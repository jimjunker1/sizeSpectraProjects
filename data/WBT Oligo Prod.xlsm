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5" yWindow="0" windowWidth="10425" windowHeight="7635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G423" i="1"/>
  <c r="DH217"/>
  <c r="DG217"/>
  <c r="DH218"/>
  <c r="DG218"/>
  <c r="DG216"/>
  <c r="DK220"/>
  <c r="DI219"/>
  <c r="DI220"/>
  <c r="DQ213"/>
  <c r="DP213"/>
  <c r="DO213"/>
  <c r="DN213"/>
  <c r="DM213"/>
  <c r="DL213"/>
  <c r="DK213"/>
  <c r="DQ212"/>
  <c r="DP212"/>
  <c r="DO212"/>
  <c r="DN212"/>
  <c r="DM212"/>
  <c r="DL212"/>
  <c r="DK212"/>
  <c r="DH216"/>
  <c r="DH215"/>
  <c r="DG215"/>
  <c r="FM16"/>
  <c r="FM15"/>
  <c r="FM14"/>
  <c r="FM13"/>
  <c r="FM12"/>
  <c r="FM11"/>
  <c r="FM10"/>
  <c r="FM9"/>
  <c r="FM8"/>
  <c r="FM7"/>
  <c r="FK16"/>
  <c r="FK15"/>
  <c r="FK14"/>
  <c r="FK13"/>
  <c r="FK12"/>
  <c r="FK11"/>
  <c r="FK10"/>
  <c r="FK9"/>
  <c r="FK8"/>
  <c r="FK7"/>
  <c r="FI8"/>
  <c r="FI9"/>
  <c r="FI10"/>
  <c r="FI11"/>
  <c r="FI12"/>
  <c r="FI13"/>
  <c r="FI14"/>
  <c r="FI15"/>
  <c r="FI16"/>
  <c r="FI7"/>
  <c r="FH16"/>
  <c r="FH15"/>
  <c r="FH14"/>
  <c r="FH13"/>
  <c r="FH12"/>
  <c r="FH11"/>
  <c r="FH10"/>
  <c r="FH9"/>
  <c r="FH8"/>
  <c r="FH7"/>
  <c r="GI4"/>
  <c r="GH4"/>
  <c r="GG4"/>
  <c r="GF4"/>
  <c r="GE4"/>
  <c r="GD4"/>
  <c r="GC4"/>
  <c r="GB4"/>
  <c r="GA4"/>
  <c r="FZ4"/>
  <c r="CX117" l="1"/>
  <c r="CX108"/>
  <c r="CX155"/>
  <c r="CX110"/>
  <c r="CX116"/>
  <c r="DE234"/>
  <c r="DE233"/>
  <c r="DE232"/>
  <c r="DE231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J36"/>
  <c r="E463" s="1"/>
  <c r="K36"/>
  <c r="E465" s="1"/>
  <c r="L36"/>
  <c r="E467" s="1"/>
  <c r="M36"/>
  <c r="E469" s="1"/>
  <c r="N36"/>
  <c r="E471" s="1"/>
  <c r="O36"/>
  <c r="O372" s="1"/>
  <c r="O381" s="1"/>
  <c r="P36"/>
  <c r="E475" s="1"/>
  <c r="Q36"/>
  <c r="R36"/>
  <c r="E479" s="1"/>
  <c r="S36"/>
  <c r="E481" s="1"/>
  <c r="T36"/>
  <c r="U36"/>
  <c r="E485" s="1"/>
  <c r="V36"/>
  <c r="W36"/>
  <c r="E489" s="1"/>
  <c r="X36"/>
  <c r="Y36"/>
  <c r="E493" s="1"/>
  <c r="Z36"/>
  <c r="E495" s="1"/>
  <c r="AA36"/>
  <c r="AB36"/>
  <c r="E499" s="1"/>
  <c r="AC36"/>
  <c r="AD36"/>
  <c r="E503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 s="1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 s="1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 s="1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 s="1"/>
  <c r="EG194"/>
  <c r="FQ194" s="1"/>
  <c r="EF194"/>
  <c r="FP194" s="1"/>
  <c r="EE194"/>
  <c r="FO194" s="1"/>
  <c r="ED194"/>
  <c r="FN194" s="1"/>
  <c r="EC194"/>
  <c r="FM194" s="1"/>
  <c r="EB194"/>
  <c r="FL194"/>
  <c r="EA194"/>
  <c r="FK194" s="1"/>
  <c r="DZ194"/>
  <c r="FJ194" s="1"/>
  <c r="DY194"/>
  <c r="FI194" s="1"/>
  <c r="DX194"/>
  <c r="FH194" s="1"/>
  <c r="DW194"/>
  <c r="FG194" s="1"/>
  <c r="DV194"/>
  <c r="FF194" s="1"/>
  <c r="DU194"/>
  <c r="FE194" s="1"/>
  <c r="DT194"/>
  <c r="FD194"/>
  <c r="DS194"/>
  <c r="FC194" s="1"/>
  <c r="DR194"/>
  <c r="FB194" s="1"/>
  <c r="DQ194"/>
  <c r="FA194" s="1"/>
  <c r="DP194"/>
  <c r="EZ194" s="1"/>
  <c r="DO194"/>
  <c r="EY194" s="1"/>
  <c r="DN194"/>
  <c r="EX194" s="1"/>
  <c r="DM194"/>
  <c r="EW194" s="1"/>
  <c r="DL194"/>
  <c r="EV194"/>
  <c r="DK194"/>
  <c r="EU194" s="1"/>
  <c r="DJ194"/>
  <c r="ET194" s="1"/>
  <c r="DI194"/>
  <c r="ES194" s="1"/>
  <c r="DH194"/>
  <c r="ER194" s="1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 s="1"/>
  <c r="EE193"/>
  <c r="FO193" s="1"/>
  <c r="ED193"/>
  <c r="FN193" s="1"/>
  <c r="EC193"/>
  <c r="FM193" s="1"/>
  <c r="EB193"/>
  <c r="FL193" s="1"/>
  <c r="EA193"/>
  <c r="FK193" s="1"/>
  <c r="DZ193"/>
  <c r="FJ193" s="1"/>
  <c r="DY193"/>
  <c r="FI193" s="1"/>
  <c r="DX193"/>
  <c r="FH193" s="1"/>
  <c r="DW193"/>
  <c r="FG193" s="1"/>
  <c r="DV193"/>
  <c r="FF193" s="1"/>
  <c r="DU193"/>
  <c r="FE193" s="1"/>
  <c r="DT193"/>
  <c r="FD193" s="1"/>
  <c r="DS193"/>
  <c r="FC193" s="1"/>
  <c r="DR193"/>
  <c r="FB193" s="1"/>
  <c r="DQ193"/>
  <c r="FA193" s="1"/>
  <c r="DP193"/>
  <c r="EZ193" s="1"/>
  <c r="DO193"/>
  <c r="EY193" s="1"/>
  <c r="DN193"/>
  <c r="EX193" s="1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 s="1"/>
  <c r="EH192"/>
  <c r="FR192" s="1"/>
  <c r="EG192"/>
  <c r="FQ192" s="1"/>
  <c r="EF192"/>
  <c r="FP192" s="1"/>
  <c r="EE192"/>
  <c r="FO192" s="1"/>
  <c r="ED192"/>
  <c r="FN192" s="1"/>
  <c r="EC192"/>
  <c r="FM192" s="1"/>
  <c r="EB192"/>
  <c r="FL192" s="1"/>
  <c r="EA192"/>
  <c r="FK192" s="1"/>
  <c r="DZ192"/>
  <c r="FJ192" s="1"/>
  <c r="DY192"/>
  <c r="FI192" s="1"/>
  <c r="DX192"/>
  <c r="FH192" s="1"/>
  <c r="DW192"/>
  <c r="FG192" s="1"/>
  <c r="DV192"/>
  <c r="FF192" s="1"/>
  <c r="DU192"/>
  <c r="FE192" s="1"/>
  <c r="DT192"/>
  <c r="FD192" s="1"/>
  <c r="DS192"/>
  <c r="FC192" s="1"/>
  <c r="DR192"/>
  <c r="FB192" s="1"/>
  <c r="DQ192"/>
  <c r="FA192" s="1"/>
  <c r="DP192"/>
  <c r="EZ192" s="1"/>
  <c r="DO192"/>
  <c r="EY192" s="1"/>
  <c r="DN192"/>
  <c r="EX192" s="1"/>
  <c r="DM192"/>
  <c r="EW192"/>
  <c r="DL192"/>
  <c r="EV192" s="1"/>
  <c r="DK192"/>
  <c r="EU192" s="1"/>
  <c r="DJ192"/>
  <c r="ET192" s="1"/>
  <c r="DI192"/>
  <c r="ES192" s="1"/>
  <c r="DH192"/>
  <c r="ER192" s="1"/>
  <c r="DG192"/>
  <c r="EQ192" s="1"/>
  <c r="DD192"/>
  <c r="DE192" s="1"/>
  <c r="DC192"/>
  <c r="CZ192"/>
  <c r="CM192"/>
  <c r="CL192"/>
  <c r="CK192"/>
  <c r="AY192"/>
  <c r="B192"/>
  <c r="DF191"/>
  <c r="EP191" s="1"/>
  <c r="FU191" s="1"/>
  <c r="EJ191"/>
  <c r="FT191" s="1"/>
  <c r="EI191"/>
  <c r="FS191" s="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 s="1"/>
  <c r="DZ191"/>
  <c r="FJ191" s="1"/>
  <c r="DY191"/>
  <c r="FI191" s="1"/>
  <c r="DX191"/>
  <c r="FH191" s="1"/>
  <c r="DW191"/>
  <c r="FG191" s="1"/>
  <c r="DV191"/>
  <c r="FF191" s="1"/>
  <c r="DU191"/>
  <c r="FE191" s="1"/>
  <c r="DT191"/>
  <c r="FD191" s="1"/>
  <c r="DS191"/>
  <c r="FC191" s="1"/>
  <c r="DR191"/>
  <c r="FB191" s="1"/>
  <c r="DQ191"/>
  <c r="FA191" s="1"/>
  <c r="DP191"/>
  <c r="EZ191" s="1"/>
  <c r="DO191"/>
  <c r="EY191" s="1"/>
  <c r="DN191"/>
  <c r="EX191" s="1"/>
  <c r="DM191"/>
  <c r="EW191" s="1"/>
  <c r="DL191"/>
  <c r="EV191" s="1"/>
  <c r="DK191"/>
  <c r="EU191" s="1"/>
  <c r="DJ191"/>
  <c r="ET191" s="1"/>
  <c r="DI191"/>
  <c r="ES191" s="1"/>
  <c r="DH191"/>
  <c r="ER191" s="1"/>
  <c r="DG191"/>
  <c r="EQ191" s="1"/>
  <c r="DD191"/>
  <c r="DE191"/>
  <c r="DC191"/>
  <c r="CZ191"/>
  <c r="CM191"/>
  <c r="CL191"/>
  <c r="CK191"/>
  <c r="AY191"/>
  <c r="B191"/>
  <c r="DF190"/>
  <c r="EK190" s="1"/>
  <c r="EJ190"/>
  <c r="FT190" s="1"/>
  <c r="EI190"/>
  <c r="FS190" s="1"/>
  <c r="EH190"/>
  <c r="FR190" s="1"/>
  <c r="EG190"/>
  <c r="FQ190" s="1"/>
  <c r="EF190"/>
  <c r="FP190" s="1"/>
  <c r="EE190"/>
  <c r="FO190" s="1"/>
  <c r="ED190"/>
  <c r="FN190" s="1"/>
  <c r="EC190"/>
  <c r="FM190" s="1"/>
  <c r="EB190"/>
  <c r="FL190" s="1"/>
  <c r="EA190"/>
  <c r="FK190" s="1"/>
  <c r="DZ190"/>
  <c r="FJ190" s="1"/>
  <c r="DY190"/>
  <c r="FI190" s="1"/>
  <c r="DX190"/>
  <c r="FH190" s="1"/>
  <c r="DW190"/>
  <c r="FG190" s="1"/>
  <c r="DV190"/>
  <c r="FF190" s="1"/>
  <c r="DU190"/>
  <c r="FE190" s="1"/>
  <c r="DT190"/>
  <c r="FD190" s="1"/>
  <c r="DS190"/>
  <c r="FC190" s="1"/>
  <c r="DR190"/>
  <c r="FB190" s="1"/>
  <c r="DQ190"/>
  <c r="FA190" s="1"/>
  <c r="DP190"/>
  <c r="EZ190" s="1"/>
  <c r="DO190"/>
  <c r="EY190" s="1"/>
  <c r="DN190"/>
  <c r="EX190" s="1"/>
  <c r="DM190"/>
  <c r="EW190" s="1"/>
  <c r="DL190"/>
  <c r="EV190" s="1"/>
  <c r="DK190"/>
  <c r="EU190" s="1"/>
  <c r="DJ190"/>
  <c r="ET190" s="1"/>
  <c r="DI190"/>
  <c r="ES190" s="1"/>
  <c r="DH190"/>
  <c r="ER190" s="1"/>
  <c r="DG190"/>
  <c r="EQ190" s="1"/>
  <c r="DD190"/>
  <c r="CZ190"/>
  <c r="CM190"/>
  <c r="CL190"/>
  <c r="CK190"/>
  <c r="AY190"/>
  <c r="B190"/>
  <c r="DF189"/>
  <c r="EP189" s="1"/>
  <c r="FU189" s="1"/>
  <c r="EJ189"/>
  <c r="FT189" s="1"/>
  <c r="EI189"/>
  <c r="FS189" s="1"/>
  <c r="EH189"/>
  <c r="FR189" s="1"/>
  <c r="EG189"/>
  <c r="FQ189" s="1"/>
  <c r="EF189"/>
  <c r="FP189" s="1"/>
  <c r="EE189"/>
  <c r="FO189" s="1"/>
  <c r="ED189"/>
  <c r="FN189" s="1"/>
  <c r="EC189"/>
  <c r="FM189" s="1"/>
  <c r="EB189"/>
  <c r="FL189" s="1"/>
  <c r="EA189"/>
  <c r="FK189" s="1"/>
  <c r="DZ189"/>
  <c r="FJ189" s="1"/>
  <c r="DY189"/>
  <c r="FI189" s="1"/>
  <c r="DX189"/>
  <c r="FH189" s="1"/>
  <c r="DW189"/>
  <c r="FG189" s="1"/>
  <c r="DV189"/>
  <c r="FF189" s="1"/>
  <c r="DU189"/>
  <c r="FE189" s="1"/>
  <c r="DT189"/>
  <c r="FD189" s="1"/>
  <c r="DS189"/>
  <c r="FC189" s="1"/>
  <c r="DR189"/>
  <c r="FB189" s="1"/>
  <c r="DQ189"/>
  <c r="FA189" s="1"/>
  <c r="DP189"/>
  <c r="EZ189" s="1"/>
  <c r="DO189"/>
  <c r="EY189" s="1"/>
  <c r="DN189"/>
  <c r="EX189" s="1"/>
  <c r="DM189"/>
  <c r="EW189" s="1"/>
  <c r="DL189"/>
  <c r="EV189" s="1"/>
  <c r="DK189"/>
  <c r="EU189" s="1"/>
  <c r="DJ189"/>
  <c r="ET189" s="1"/>
  <c r="DI189"/>
  <c r="ES189" s="1"/>
  <c r="DH189"/>
  <c r="ER189" s="1"/>
  <c r="DG189"/>
  <c r="EQ189" s="1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 s="1"/>
  <c r="DM188"/>
  <c r="EW188" s="1"/>
  <c r="DL188"/>
  <c r="EV188" s="1"/>
  <c r="DK188"/>
  <c r="EU188" s="1"/>
  <c r="DJ188"/>
  <c r="ET188" s="1"/>
  <c r="DI188"/>
  <c r="ES188" s="1"/>
  <c r="DH188"/>
  <c r="ER188" s="1"/>
  <c r="DG188"/>
  <c r="EQ188" s="1"/>
  <c r="DD188"/>
  <c r="DE188" s="1"/>
  <c r="DC188"/>
  <c r="CZ188"/>
  <c r="CM188"/>
  <c r="CL188"/>
  <c r="CK188"/>
  <c r="AY188"/>
  <c r="B188"/>
  <c r="CX187"/>
  <c r="CZ187"/>
  <c r="DZ187" s="1"/>
  <c r="DH187"/>
  <c r="DP187"/>
  <c r="DV187"/>
  <c r="ED187"/>
  <c r="EH187"/>
  <c r="DD187"/>
  <c r="BA187"/>
  <c r="CM187"/>
  <c r="CL187"/>
  <c r="CK187"/>
  <c r="AY187"/>
  <c r="B186"/>
  <c r="CX186"/>
  <c r="CZ186"/>
  <c r="DJ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DD186"/>
  <c r="BA186"/>
  <c r="CM186"/>
  <c r="CL186"/>
  <c r="CK186"/>
  <c r="AY186"/>
  <c r="B182"/>
  <c r="CX185"/>
  <c r="CZ185"/>
  <c r="DK185"/>
  <c r="DO185"/>
  <c r="DS185"/>
  <c r="DW185"/>
  <c r="EA185"/>
  <c r="EC185"/>
  <c r="EE185"/>
  <c r="DD185"/>
  <c r="DE185"/>
  <c r="DC185"/>
  <c r="BA185"/>
  <c r="CM185" s="1"/>
  <c r="CL185"/>
  <c r="CK185"/>
  <c r="AY185"/>
  <c r="B184"/>
  <c r="CX184"/>
  <c r="CZ184"/>
  <c r="DF184"/>
  <c r="DL184"/>
  <c r="DT184"/>
  <c r="EA184"/>
  <c r="EI184"/>
  <c r="DD184"/>
  <c r="BA184"/>
  <c r="CM184"/>
  <c r="CL184"/>
  <c r="CK184"/>
  <c r="AY184"/>
  <c r="B178"/>
  <c r="CX183"/>
  <c r="CZ183"/>
  <c r="DH183"/>
  <c r="DL183"/>
  <c r="DP183"/>
  <c r="DR183"/>
  <c r="DT183"/>
  <c r="DZ183"/>
  <c r="EF183"/>
  <c r="EH183"/>
  <c r="EJ183"/>
  <c r="DD183"/>
  <c r="DC183" s="1"/>
  <c r="DE183"/>
  <c r="BA183"/>
  <c r="CM183" s="1"/>
  <c r="CL183"/>
  <c r="CK183"/>
  <c r="AY183"/>
  <c r="B187"/>
  <c r="CX182"/>
  <c r="CZ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79"/>
  <c r="CX181"/>
  <c r="CZ181"/>
  <c r="DO181"/>
  <c r="DQ181"/>
  <c r="DS181"/>
  <c r="DU181"/>
  <c r="DW181"/>
  <c r="DY181"/>
  <c r="EA181"/>
  <c r="EC181"/>
  <c r="EE181"/>
  <c r="EG181"/>
  <c r="EI181"/>
  <c r="DD181"/>
  <c r="DE181"/>
  <c r="DC181"/>
  <c r="BA181"/>
  <c r="CM181" s="1"/>
  <c r="CL181"/>
  <c r="CK181"/>
  <c r="AY181"/>
  <c r="B180"/>
  <c r="CX180"/>
  <c r="CZ180"/>
  <c r="DF180"/>
  <c r="DH180"/>
  <c r="DJ180"/>
  <c r="DK180"/>
  <c r="DN180"/>
  <c r="DP180"/>
  <c r="DQ180"/>
  <c r="DR180"/>
  <c r="DS180"/>
  <c r="DU180"/>
  <c r="DV180"/>
  <c r="DX180"/>
  <c r="DY180"/>
  <c r="DZ180"/>
  <c r="EA180"/>
  <c r="EC180"/>
  <c r="ED180"/>
  <c r="EF180"/>
  <c r="EG180"/>
  <c r="EH180"/>
  <c r="EI180"/>
  <c r="DD180"/>
  <c r="DE180" s="1"/>
  <c r="DC180"/>
  <c r="BA180"/>
  <c r="CM180" s="1"/>
  <c r="CL180"/>
  <c r="CK180"/>
  <c r="AY180"/>
  <c r="B185"/>
  <c r="CX179"/>
  <c r="CZ179"/>
  <c r="DP179"/>
  <c r="DR179"/>
  <c r="EF179"/>
  <c r="EH179"/>
  <c r="DD179"/>
  <c r="DC179" s="1"/>
  <c r="BA179"/>
  <c r="CM179"/>
  <c r="CL179"/>
  <c r="CK179"/>
  <c r="AY179"/>
  <c r="B181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3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75"/>
  <c r="CZ176"/>
  <c r="DK176"/>
  <c r="DM176"/>
  <c r="DS176"/>
  <c r="DU176"/>
  <c r="EA176"/>
  <c r="EC176"/>
  <c r="EI176"/>
  <c r="DD176"/>
  <c r="DE176"/>
  <c r="DC176"/>
  <c r="BA176"/>
  <c r="CM176" s="1"/>
  <c r="CL176"/>
  <c r="CK176"/>
  <c r="AY176"/>
  <c r="B172"/>
  <c r="CZ175"/>
  <c r="DH175"/>
  <c r="DJ175"/>
  <c r="DL175"/>
  <c r="DP175"/>
  <c r="DR175"/>
  <c r="DT175"/>
  <c r="DX175"/>
  <c r="DZ175"/>
  <c r="EB175"/>
  <c r="EF175"/>
  <c r="EH175"/>
  <c r="EJ175"/>
  <c r="DD175"/>
  <c r="DC175" s="1"/>
  <c r="DE175"/>
  <c r="BA175"/>
  <c r="CM175" s="1"/>
  <c r="CL175"/>
  <c r="CK175"/>
  <c r="AY175"/>
  <c r="B174"/>
  <c r="CZ174"/>
  <c r="DG174"/>
  <c r="DI174"/>
  <c r="DK174"/>
  <c r="DM174"/>
  <c r="DO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DD174"/>
  <c r="DE174" s="1"/>
  <c r="DC174"/>
  <c r="BA174"/>
  <c r="CM174" s="1"/>
  <c r="CL174"/>
  <c r="CK174"/>
  <c r="AY174"/>
  <c r="B177"/>
  <c r="CZ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DD173"/>
  <c r="BA173"/>
  <c r="CM173"/>
  <c r="CL173"/>
  <c r="CK173"/>
  <c r="AY173"/>
  <c r="B173"/>
  <c r="CZ172"/>
  <c r="DD172"/>
  <c r="DE172" s="1"/>
  <c r="DC172"/>
  <c r="BA172"/>
  <c r="CM172" s="1"/>
  <c r="CL172"/>
  <c r="CK172"/>
  <c r="AY172"/>
  <c r="B168"/>
  <c r="CX171"/>
  <c r="CZ171"/>
  <c r="DF171"/>
  <c r="DH171"/>
  <c r="DJ171"/>
  <c r="DL171"/>
  <c r="DN171"/>
  <c r="DP171"/>
  <c r="DR171"/>
  <c r="DT171"/>
  <c r="DV171"/>
  <c r="DX171"/>
  <c r="DZ171"/>
  <c r="EB171"/>
  <c r="ED171"/>
  <c r="EF171"/>
  <c r="EH171"/>
  <c r="EJ171"/>
  <c r="DD171"/>
  <c r="BA171"/>
  <c r="CM171"/>
  <c r="CL171"/>
  <c r="CK171"/>
  <c r="AY171"/>
  <c r="B169"/>
  <c r="CX170"/>
  <c r="CZ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DD170"/>
  <c r="DC170" s="1"/>
  <c r="DE170"/>
  <c r="BA170"/>
  <c r="CM170"/>
  <c r="CL170"/>
  <c r="CK170"/>
  <c r="AY170"/>
  <c r="B176"/>
  <c r="CZ169"/>
  <c r="DI169" s="1"/>
  <c r="DG169"/>
  <c r="DK169"/>
  <c r="DO169"/>
  <c r="DS169"/>
  <c r="DW169"/>
  <c r="EA169"/>
  <c r="EE169"/>
  <c r="EI169"/>
  <c r="DD169"/>
  <c r="DE169" s="1"/>
  <c r="DC169"/>
  <c r="BA169"/>
  <c r="CM169"/>
  <c r="CL169"/>
  <c r="CK169"/>
  <c r="AY169"/>
  <c r="B170"/>
  <c r="CX168"/>
  <c r="CZ168"/>
  <c r="DZ168" s="1"/>
  <c r="DJ168"/>
  <c r="DP168"/>
  <c r="EF168"/>
  <c r="DD168"/>
  <c r="DC168" s="1"/>
  <c r="DE168"/>
  <c r="CL168"/>
  <c r="CK168"/>
  <c r="AY168"/>
  <c r="B171"/>
  <c r="CX167"/>
  <c r="CZ167"/>
  <c r="DZ167" s="1"/>
  <c r="DJ167"/>
  <c r="DK167"/>
  <c r="DP167"/>
  <c r="DU167"/>
  <c r="EA167"/>
  <c r="EF167"/>
  <c r="DD167"/>
  <c r="DE167" s="1"/>
  <c r="DC167"/>
  <c r="BA167"/>
  <c r="CM167"/>
  <c r="CL167"/>
  <c r="CK167"/>
  <c r="AY167"/>
  <c r="B160"/>
  <c r="CW166"/>
  <c r="CX166"/>
  <c r="CZ166"/>
  <c r="DF166"/>
  <c r="DK166"/>
  <c r="DP166"/>
  <c r="DQ166"/>
  <c r="DV166"/>
  <c r="EA166"/>
  <c r="EF166"/>
  <c r="EG166"/>
  <c r="DD166"/>
  <c r="BA166"/>
  <c r="CM166"/>
  <c r="CL166"/>
  <c r="CK166"/>
  <c r="AY166"/>
  <c r="B165"/>
  <c r="CZ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DD165"/>
  <c r="DE165"/>
  <c r="DC165"/>
  <c r="BA165"/>
  <c r="CM165"/>
  <c r="CL165"/>
  <c r="CK165"/>
  <c r="AY165"/>
  <c r="B158"/>
  <c r="CZ164"/>
  <c r="DJ164" s="1"/>
  <c r="DF164"/>
  <c r="DG164"/>
  <c r="DH164"/>
  <c r="DI164"/>
  <c r="DK164"/>
  <c r="DL164"/>
  <c r="DN164"/>
  <c r="DO164"/>
  <c r="DP164"/>
  <c r="DQ164"/>
  <c r="DS164"/>
  <c r="DT164"/>
  <c r="DV164"/>
  <c r="DW164"/>
  <c r="DX164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3"/>
  <c r="CZ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DD163"/>
  <c r="BA163"/>
  <c r="CM163"/>
  <c r="CL163"/>
  <c r="CK163"/>
  <c r="AY163"/>
  <c r="B164"/>
  <c r="CZ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6"/>
  <c r="CX161"/>
  <c r="CZ161"/>
  <c r="DP161"/>
  <c r="DV161"/>
  <c r="DD161"/>
  <c r="BA161"/>
  <c r="CM161"/>
  <c r="CL161"/>
  <c r="CK161"/>
  <c r="AY161"/>
  <c r="B161"/>
  <c r="CW160"/>
  <c r="CX160"/>
  <c r="CZ160"/>
  <c r="EB160"/>
  <c r="ED160"/>
  <c r="DD160"/>
  <c r="DC160" s="1"/>
  <c r="DE160"/>
  <c r="BA160"/>
  <c r="CM160"/>
  <c r="CL160"/>
  <c r="CK160"/>
  <c r="AY160"/>
  <c r="B159"/>
  <c r="CX159"/>
  <c r="DH159" s="1"/>
  <c r="CZ159"/>
  <c r="DG159"/>
  <c r="DJ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62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7"/>
  <c r="CZ157"/>
  <c r="DF157"/>
  <c r="DH157"/>
  <c r="DJ157"/>
  <c r="DL157"/>
  <c r="DN157"/>
  <c r="DP157"/>
  <c r="DR157"/>
  <c r="DT157"/>
  <c r="DV157"/>
  <c r="DX157"/>
  <c r="DZ157"/>
  <c r="EB157"/>
  <c r="ED157"/>
  <c r="EF157"/>
  <c r="EH157"/>
  <c r="EJ157"/>
  <c r="DD157"/>
  <c r="DC157" s="1"/>
  <c r="DE157"/>
  <c r="BA157"/>
  <c r="CM157" s="1"/>
  <c r="CL157"/>
  <c r="CK157"/>
  <c r="AY157"/>
  <c r="B149"/>
  <c r="CX156"/>
  <c r="DI156" s="1"/>
  <c r="CZ156"/>
  <c r="DF156"/>
  <c r="DG156"/>
  <c r="DH156"/>
  <c r="DJ156"/>
  <c r="DL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DD156"/>
  <c r="DC156" s="1"/>
  <c r="DE156"/>
  <c r="BA156"/>
  <c r="CM156"/>
  <c r="CL156"/>
  <c r="CK156"/>
  <c r="AY156"/>
  <c r="B154"/>
  <c r="CZ155"/>
  <c r="DK155" s="1"/>
  <c r="DG155"/>
  <c r="DO155"/>
  <c r="DW155"/>
  <c r="EE155"/>
  <c r="DD155"/>
  <c r="DE155"/>
  <c r="DC155"/>
  <c r="BA155"/>
  <c r="CM155" s="1"/>
  <c r="CL155"/>
  <c r="CK155"/>
  <c r="AY155"/>
  <c r="B153"/>
  <c r="CZ154"/>
  <c r="DG154" s="1"/>
  <c r="DF154"/>
  <c r="DH154"/>
  <c r="DJ154"/>
  <c r="DL154"/>
  <c r="DN154"/>
  <c r="DP154"/>
  <c r="DR154"/>
  <c r="DT154"/>
  <c r="DV154"/>
  <c r="DX154"/>
  <c r="DZ154"/>
  <c r="EB154"/>
  <c r="ED154"/>
  <c r="EF154"/>
  <c r="EH154"/>
  <c r="EJ154"/>
  <c r="DD154"/>
  <c r="DC154" s="1"/>
  <c r="DE154"/>
  <c r="BA154"/>
  <c r="CM154"/>
  <c r="CL154"/>
  <c r="CK154"/>
  <c r="AY154"/>
  <c r="B150"/>
  <c r="CZ153"/>
  <c r="DG153"/>
  <c r="DI153"/>
  <c r="DK153"/>
  <c r="DM153"/>
  <c r="DO153"/>
  <c r="DQ153"/>
  <c r="DS153"/>
  <c r="DU153"/>
  <c r="DW153"/>
  <c r="DY153"/>
  <c r="EA153"/>
  <c r="EC153"/>
  <c r="EE153"/>
  <c r="EG153"/>
  <c r="EI153"/>
  <c r="DD153"/>
  <c r="DE153"/>
  <c r="DC153"/>
  <c r="BA153"/>
  <c r="CM153" s="1"/>
  <c r="CL153"/>
  <c r="CK153"/>
  <c r="AY153"/>
  <c r="B152"/>
  <c r="CZ152"/>
  <c r="DG152" s="1"/>
  <c r="DF152"/>
  <c r="DH152"/>
  <c r="DJ152"/>
  <c r="DL152"/>
  <c r="DN152"/>
  <c r="DP152"/>
  <c r="DR152"/>
  <c r="DT152"/>
  <c r="DV152"/>
  <c r="DX152"/>
  <c r="DZ152"/>
  <c r="EB152"/>
  <c r="ED152"/>
  <c r="EF152"/>
  <c r="EH152"/>
  <c r="EJ152"/>
  <c r="DD152"/>
  <c r="DC152" s="1"/>
  <c r="DE152"/>
  <c r="BA152"/>
  <c r="CM152"/>
  <c r="CL152"/>
  <c r="CK152"/>
  <c r="AY152"/>
  <c r="B157"/>
  <c r="CZ151"/>
  <c r="DK151" s="1"/>
  <c r="DG151"/>
  <c r="DO151"/>
  <c r="DW151"/>
  <c r="EE151"/>
  <c r="DD151"/>
  <c r="DE151"/>
  <c r="DC151"/>
  <c r="BA151"/>
  <c r="CM151" s="1"/>
  <c r="CL151"/>
  <c r="CK151"/>
  <c r="AY151"/>
  <c r="B148"/>
  <c r="CZ150"/>
  <c r="DG150" s="1"/>
  <c r="DF150"/>
  <c r="DH150"/>
  <c r="DJ150"/>
  <c r="DL150"/>
  <c r="DN150"/>
  <c r="DP150"/>
  <c r="DR150"/>
  <c r="DT150"/>
  <c r="DV150"/>
  <c r="DX150"/>
  <c r="DZ150"/>
  <c r="EB150"/>
  <c r="ED150"/>
  <c r="EF150"/>
  <c r="EH150"/>
  <c r="EJ150"/>
  <c r="DD150"/>
  <c r="DC150" s="1"/>
  <c r="DE150"/>
  <c r="BA150"/>
  <c r="CM150"/>
  <c r="CL150"/>
  <c r="CK150"/>
  <c r="AY150"/>
  <c r="B151"/>
  <c r="CW149"/>
  <c r="CX149"/>
  <c r="CZ149"/>
  <c r="DF149"/>
  <c r="DH149"/>
  <c r="DJ149"/>
  <c r="DL149"/>
  <c r="DN149"/>
  <c r="DP149"/>
  <c r="DR149"/>
  <c r="DT149"/>
  <c r="DV149"/>
  <c r="DX149"/>
  <c r="DZ149"/>
  <c r="EB149"/>
  <c r="ED149"/>
  <c r="EF149"/>
  <c r="EH149"/>
  <c r="EJ149"/>
  <c r="DD149"/>
  <c r="CM149"/>
  <c r="CL149"/>
  <c r="CK149"/>
  <c r="AY149"/>
  <c r="B156"/>
  <c r="CZ148"/>
  <c r="DF148"/>
  <c r="DJ148"/>
  <c r="DN148"/>
  <c r="DR148"/>
  <c r="DV148"/>
  <c r="DZ148"/>
  <c r="ED148"/>
  <c r="EH148"/>
  <c r="DD148"/>
  <c r="CL148"/>
  <c r="CK148"/>
  <c r="AY148"/>
  <c r="B155"/>
  <c r="CZ147"/>
  <c r="DF147"/>
  <c r="DH147"/>
  <c r="DJ147"/>
  <c r="DL147"/>
  <c r="DN147"/>
  <c r="DP147"/>
  <c r="DR147"/>
  <c r="DT147"/>
  <c r="DV147"/>
  <c r="DX147"/>
  <c r="DZ147"/>
  <c r="EB147"/>
  <c r="ED147"/>
  <c r="EF147"/>
  <c r="EH147"/>
  <c r="EJ147"/>
  <c r="DD147"/>
  <c r="BA147"/>
  <c r="CM147"/>
  <c r="CL147"/>
  <c r="CK147"/>
  <c r="AY147"/>
  <c r="B143"/>
  <c r="CX146"/>
  <c r="CZ146"/>
  <c r="DG146" s="1"/>
  <c r="DF146"/>
  <c r="DH146"/>
  <c r="DJ146"/>
  <c r="DL146"/>
  <c r="DN146"/>
  <c r="DP146"/>
  <c r="DR146"/>
  <c r="DT146"/>
  <c r="DV146"/>
  <c r="DX146"/>
  <c r="DZ146"/>
  <c r="EB146"/>
  <c r="ED146"/>
  <c r="EF146"/>
  <c r="EH146"/>
  <c r="EJ146"/>
  <c r="DD146"/>
  <c r="DC146" s="1"/>
  <c r="DE146"/>
  <c r="BA146"/>
  <c r="CM146"/>
  <c r="CL146"/>
  <c r="CK146"/>
  <c r="AY146"/>
  <c r="B147"/>
  <c r="CX145"/>
  <c r="CZ145"/>
  <c r="DI145"/>
  <c r="DM145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DD145"/>
  <c r="DE145"/>
  <c r="DC145"/>
  <c r="BA145"/>
  <c r="CM145"/>
  <c r="CL145"/>
  <c r="CK145"/>
  <c r="AY145"/>
  <c r="B140"/>
  <c r="CX144"/>
  <c r="CZ144"/>
  <c r="DG144"/>
  <c r="DK144"/>
  <c r="DO144"/>
  <c r="DS144"/>
  <c r="DW144"/>
  <c r="EA144"/>
  <c r="EE144"/>
  <c r="EI144"/>
  <c r="DD144"/>
  <c r="DE144"/>
  <c r="DC144"/>
  <c r="BA144"/>
  <c r="CM144" s="1"/>
  <c r="CL144"/>
  <c r="CK144"/>
  <c r="AY144"/>
  <c r="B146"/>
  <c r="CZ143"/>
  <c r="DG143" s="1"/>
  <c r="DF143"/>
  <c r="DH143"/>
  <c r="DJ143"/>
  <c r="DL143"/>
  <c r="DN143"/>
  <c r="DP143"/>
  <c r="DR143"/>
  <c r="DT143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39"/>
  <c r="CX142"/>
  <c r="CZ142"/>
  <c r="DI142"/>
  <c r="DM142"/>
  <c r="DN142"/>
  <c r="DO142"/>
  <c r="DP142"/>
  <c r="DQ142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DD142"/>
  <c r="DE142"/>
  <c r="DC142"/>
  <c r="BA142"/>
  <c r="CM142"/>
  <c r="CL142"/>
  <c r="CK142"/>
  <c r="AY142"/>
  <c r="B142"/>
  <c r="CW141"/>
  <c r="CX141"/>
  <c r="CZ141"/>
  <c r="DI141"/>
  <c r="DM141"/>
  <c r="DO141"/>
  <c r="DQ141"/>
  <c r="DS141"/>
  <c r="DU141"/>
  <c r="DW141"/>
  <c r="DY141"/>
  <c r="EA141"/>
  <c r="EC141"/>
  <c r="EE141"/>
  <c r="EG141"/>
  <c r="EI141"/>
  <c r="DD141"/>
  <c r="DE141"/>
  <c r="DC141"/>
  <c r="BA141"/>
  <c r="CM141"/>
  <c r="CL141"/>
  <c r="CK141"/>
  <c r="AY141"/>
  <c r="B138"/>
  <c r="CW140"/>
  <c r="CX140"/>
  <c r="CZ140"/>
  <c r="DO140"/>
  <c r="DQ140"/>
  <c r="DS140"/>
  <c r="DU140"/>
  <c r="DW140"/>
  <c r="DY140"/>
  <c r="EA140"/>
  <c r="EC140"/>
  <c r="EE140"/>
  <c r="EG140"/>
  <c r="EI140"/>
  <c r="DD140"/>
  <c r="DE140"/>
  <c r="DC140"/>
  <c r="BA140"/>
  <c r="CM140"/>
  <c r="CL140"/>
  <c r="CK140"/>
  <c r="AY140"/>
  <c r="B145"/>
  <c r="CZ139"/>
  <c r="DJ139" s="1"/>
  <c r="DF139"/>
  <c r="DG139"/>
  <c r="DH139"/>
  <c r="DI139"/>
  <c r="DK139"/>
  <c r="DL139"/>
  <c r="DN139"/>
  <c r="DO139"/>
  <c r="DP139"/>
  <c r="DQ139"/>
  <c r="DS139"/>
  <c r="DT139"/>
  <c r="DV139"/>
  <c r="DW139"/>
  <c r="DX139"/>
  <c r="DY139"/>
  <c r="EA139"/>
  <c r="EB139"/>
  <c r="ED139"/>
  <c r="EE139"/>
  <c r="EF139"/>
  <c r="EG139"/>
  <c r="EI139"/>
  <c r="EJ139"/>
  <c r="DD139"/>
  <c r="DE139" s="1"/>
  <c r="DC139"/>
  <c r="BA139"/>
  <c r="CM139"/>
  <c r="CL139"/>
  <c r="CK139"/>
  <c r="AY139"/>
  <c r="B141"/>
  <c r="CZ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44"/>
  <c r="CZ137"/>
  <c r="DF137"/>
  <c r="DG137"/>
  <c r="DH137"/>
  <c r="DI137"/>
  <c r="DJ137"/>
  <c r="DK137"/>
  <c r="DL137"/>
  <c r="DM137"/>
  <c r="DN137"/>
  <c r="DO137"/>
  <c r="DP137"/>
  <c r="DQ137"/>
  <c r="DR137"/>
  <c r="DS137"/>
  <c r="DT137"/>
  <c r="DU137"/>
  <c r="DV137"/>
  <c r="DW137"/>
  <c r="DX137"/>
  <c r="DY137"/>
  <c r="DZ137"/>
  <c r="EA137"/>
  <c r="EB137"/>
  <c r="EC137"/>
  <c r="ED137"/>
  <c r="EE137"/>
  <c r="EF137"/>
  <c r="EG137"/>
  <c r="EH137"/>
  <c r="EI137"/>
  <c r="EJ137"/>
  <c r="DD137"/>
  <c r="DE137"/>
  <c r="DC137"/>
  <c r="BA137"/>
  <c r="CM137" s="1"/>
  <c r="CL137"/>
  <c r="CK137"/>
  <c r="AY137"/>
  <c r="B137"/>
  <c r="CZ136"/>
  <c r="DG136" s="1"/>
  <c r="DF136"/>
  <c r="DH136"/>
  <c r="DJ136"/>
  <c r="DL136"/>
  <c r="DN136"/>
  <c r="DP136"/>
  <c r="DR136"/>
  <c r="DT136"/>
  <c r="DV136"/>
  <c r="DX136"/>
  <c r="DZ136"/>
  <c r="EB136"/>
  <c r="ED136"/>
  <c r="EF136"/>
  <c r="EH136"/>
  <c r="EJ136"/>
  <c r="DD136"/>
  <c r="DC136" s="1"/>
  <c r="DE136"/>
  <c r="BA136"/>
  <c r="CM136"/>
  <c r="CL136"/>
  <c r="CK136"/>
  <c r="AY136"/>
  <c r="B128"/>
  <c r="CW135"/>
  <c r="CX135"/>
  <c r="CZ135"/>
  <c r="DF135"/>
  <c r="DH135"/>
  <c r="DJ135"/>
  <c r="DL135"/>
  <c r="DN135"/>
  <c r="DP135"/>
  <c r="DR135"/>
  <c r="DT135"/>
  <c r="DV135"/>
  <c r="DX135"/>
  <c r="DZ135"/>
  <c r="EB135"/>
  <c r="ED135"/>
  <c r="EF135"/>
  <c r="EH135"/>
  <c r="EJ135"/>
  <c r="DD135"/>
  <c r="DC135" s="1"/>
  <c r="BA135"/>
  <c r="CM135"/>
  <c r="CL135"/>
  <c r="CK135"/>
  <c r="AY135"/>
  <c r="B133"/>
  <c r="CW134"/>
  <c r="CX134"/>
  <c r="CZ134"/>
  <c r="DF134"/>
  <c r="DJ134"/>
  <c r="DN134"/>
  <c r="DR134"/>
  <c r="DV134"/>
  <c r="DZ134"/>
  <c r="ED134"/>
  <c r="EH134"/>
  <c r="DD134"/>
  <c r="DC134" s="1"/>
  <c r="BA134"/>
  <c r="CM134"/>
  <c r="CL134"/>
  <c r="CK134"/>
  <c r="AY134"/>
  <c r="B130"/>
  <c r="CZ133"/>
  <c r="DG133" s="1"/>
  <c r="DD133"/>
  <c r="DE133"/>
  <c r="DC133"/>
  <c r="BA133"/>
  <c r="CM133" s="1"/>
  <c r="CL133"/>
  <c r="CK133"/>
  <c r="AY133"/>
  <c r="B131"/>
  <c r="CX132"/>
  <c r="CZ132"/>
  <c r="DF132"/>
  <c r="DH132"/>
  <c r="DJ132"/>
  <c r="DL132"/>
  <c r="DN132"/>
  <c r="DP132"/>
  <c r="DR132"/>
  <c r="DT132"/>
  <c r="DV132"/>
  <c r="DX132"/>
  <c r="DZ132"/>
  <c r="EB132"/>
  <c r="ED132"/>
  <c r="EF132"/>
  <c r="EH132"/>
  <c r="EJ132"/>
  <c r="DD132"/>
  <c r="BA132"/>
  <c r="CM132" s="1"/>
  <c r="CL132"/>
  <c r="CK132"/>
  <c r="AY132"/>
  <c r="B136"/>
  <c r="CZ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DD131"/>
  <c r="DE131"/>
  <c r="DC131"/>
  <c r="BA131"/>
  <c r="CM131"/>
  <c r="CL131"/>
  <c r="CK131"/>
  <c r="AY131"/>
  <c r="B134"/>
  <c r="CX130"/>
  <c r="DG130" s="1"/>
  <c r="CZ130"/>
  <c r="DI130"/>
  <c r="DM130"/>
  <c r="DQ130"/>
  <c r="DU130"/>
  <c r="DY130"/>
  <c r="EC130"/>
  <c r="EG130"/>
  <c r="DD130"/>
  <c r="DE130"/>
  <c r="DC130"/>
  <c r="BA130"/>
  <c r="CM130" s="1"/>
  <c r="CL130"/>
  <c r="CK130"/>
  <c r="AY130"/>
  <c r="B135"/>
  <c r="CX129"/>
  <c r="CZ129"/>
  <c r="DH129" s="1"/>
  <c r="DF129"/>
  <c r="DJ129"/>
  <c r="DN129"/>
  <c r="DR129"/>
  <c r="DV129"/>
  <c r="DZ129"/>
  <c r="ED129"/>
  <c r="EH129"/>
  <c r="DD129"/>
  <c r="BA129"/>
  <c r="CM129" s="1"/>
  <c r="CL129"/>
  <c r="CK129"/>
  <c r="AY129"/>
  <c r="B129"/>
  <c r="CW128"/>
  <c r="CX128"/>
  <c r="CZ128"/>
  <c r="DH128"/>
  <c r="DL128"/>
  <c r="DP128"/>
  <c r="DT128"/>
  <c r="DX128"/>
  <c r="EB128"/>
  <c r="EF128"/>
  <c r="EJ128"/>
  <c r="DD128"/>
  <c r="CL128"/>
  <c r="CK128"/>
  <c r="AY128"/>
  <c r="B132"/>
  <c r="CX127"/>
  <c r="CZ127"/>
  <c r="DD127"/>
  <c r="DE127"/>
  <c r="DC127"/>
  <c r="BA127"/>
  <c r="CM127" s="1"/>
  <c r="CL127"/>
  <c r="CK127"/>
  <c r="AY127"/>
  <c r="B120"/>
  <c r="CX126"/>
  <c r="CZ126"/>
  <c r="DF126"/>
  <c r="DH126"/>
  <c r="DJ126"/>
  <c r="DL126"/>
  <c r="DN126"/>
  <c r="DP126"/>
  <c r="DR126"/>
  <c r="DT126"/>
  <c r="DV126"/>
  <c r="DX126"/>
  <c r="DZ126"/>
  <c r="EB126"/>
  <c r="ED126"/>
  <c r="EF126"/>
  <c r="EH126"/>
  <c r="EJ126"/>
  <c r="DD126"/>
  <c r="BA126"/>
  <c r="CM126" s="1"/>
  <c r="CL126"/>
  <c r="CK126"/>
  <c r="AY126"/>
  <c r="B127"/>
  <c r="CX125"/>
  <c r="CZ125"/>
  <c r="DG125" s="1"/>
  <c r="DF125"/>
  <c r="DH125"/>
  <c r="DJ125"/>
  <c r="DL125"/>
  <c r="DN125"/>
  <c r="DP125"/>
  <c r="DR125"/>
  <c r="DT125"/>
  <c r="DV125"/>
  <c r="DX125"/>
  <c r="DZ125"/>
  <c r="EB125"/>
  <c r="ED125"/>
  <c r="EF125"/>
  <c r="EH125"/>
  <c r="EJ125"/>
  <c r="DD125"/>
  <c r="DC125" s="1"/>
  <c r="BA125"/>
  <c r="CM125"/>
  <c r="CL125"/>
  <c r="CK125"/>
  <c r="AY125"/>
  <c r="B122"/>
  <c r="CX124"/>
  <c r="DI124" s="1"/>
  <c r="CZ124"/>
  <c r="DN124"/>
  <c r="DO124"/>
  <c r="DP124"/>
  <c r="DQ124"/>
  <c r="DR124"/>
  <c r="DS124"/>
  <c r="DT124"/>
  <c r="DU124"/>
  <c r="DV124"/>
  <c r="DW124"/>
  <c r="DX124"/>
  <c r="DY124"/>
  <c r="DZ124"/>
  <c r="EA124"/>
  <c r="EB124"/>
  <c r="EC124"/>
  <c r="ED124"/>
  <c r="EE124"/>
  <c r="EF124"/>
  <c r="EG124"/>
  <c r="EH124"/>
  <c r="EI124"/>
  <c r="EJ124"/>
  <c r="DD124"/>
  <c r="DE124"/>
  <c r="DC124"/>
  <c r="BA124"/>
  <c r="CM124"/>
  <c r="CL124"/>
  <c r="CK124"/>
  <c r="AY124"/>
  <c r="B121"/>
  <c r="CX123"/>
  <c r="CZ123"/>
  <c r="DD123"/>
  <c r="DE123"/>
  <c r="DC123"/>
  <c r="BA123"/>
  <c r="CM123" s="1"/>
  <c r="CL123"/>
  <c r="CK123"/>
  <c r="AY123"/>
  <c r="B119"/>
  <c r="CX122"/>
  <c r="CZ122"/>
  <c r="DF122"/>
  <c r="DH122"/>
  <c r="DJ122"/>
  <c r="DL122"/>
  <c r="DN122"/>
  <c r="DP122"/>
  <c r="DR122"/>
  <c r="DT122"/>
  <c r="DV122"/>
  <c r="DX122"/>
  <c r="DZ122"/>
  <c r="EB122"/>
  <c r="ED122"/>
  <c r="EF122"/>
  <c r="EH122"/>
  <c r="EJ122"/>
  <c r="DD122"/>
  <c r="BA122"/>
  <c r="CM122" s="1"/>
  <c r="CL122"/>
  <c r="CK122"/>
  <c r="AY122"/>
  <c r="B118"/>
  <c r="CW121"/>
  <c r="CX121"/>
  <c r="CZ121"/>
  <c r="DD121"/>
  <c r="BA121"/>
  <c r="CM121"/>
  <c r="CL121"/>
  <c r="CK121"/>
  <c r="AY121"/>
  <c r="B124"/>
  <c r="CZ120"/>
  <c r="DF120"/>
  <c r="DG120"/>
  <c r="DH120"/>
  <c r="DI120"/>
  <c r="DJ120"/>
  <c r="DK120"/>
  <c r="DL120"/>
  <c r="DM120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DD120"/>
  <c r="DE120"/>
  <c r="DC120"/>
  <c r="BA120"/>
  <c r="CM120"/>
  <c r="CL120"/>
  <c r="CK120"/>
  <c r="AY120"/>
  <c r="B126"/>
  <c r="CW119"/>
  <c r="CX119"/>
  <c r="DG119" s="1"/>
  <c r="CZ119"/>
  <c r="DI119"/>
  <c r="DM119"/>
  <c r="DO119"/>
  <c r="DQ119"/>
  <c r="DS119"/>
  <c r="DU119"/>
  <c r="DW119"/>
  <c r="DY119"/>
  <c r="EA119"/>
  <c r="EC119"/>
  <c r="EE119"/>
  <c r="EG119"/>
  <c r="EI119"/>
  <c r="DD119"/>
  <c r="DE119"/>
  <c r="DC119"/>
  <c r="BA119"/>
  <c r="CM119"/>
  <c r="CL119"/>
  <c r="CK119"/>
  <c r="AY119"/>
  <c r="B125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23"/>
  <c r="CZ117"/>
  <c r="DI117" s="1"/>
  <c r="DG117"/>
  <c r="DK117"/>
  <c r="DO117"/>
  <c r="DS117"/>
  <c r="DW117"/>
  <c r="EA117"/>
  <c r="EE117"/>
  <c r="EI117"/>
  <c r="DD117"/>
  <c r="DE117"/>
  <c r="DC117"/>
  <c r="BA117"/>
  <c r="CM117" s="1"/>
  <c r="CL117"/>
  <c r="CK117"/>
  <c r="AY117"/>
  <c r="B115"/>
  <c r="CZ116"/>
  <c r="DG116" s="1"/>
  <c r="DF116"/>
  <c r="DH116"/>
  <c r="DJ116"/>
  <c r="DL116"/>
  <c r="DN116"/>
  <c r="DP116"/>
  <c r="DR116"/>
  <c r="DT116"/>
  <c r="DV116"/>
  <c r="DX116"/>
  <c r="DZ116"/>
  <c r="EB116"/>
  <c r="ED116"/>
  <c r="EF116"/>
  <c r="EH116"/>
  <c r="EJ116"/>
  <c r="DD116"/>
  <c r="DC116" s="1"/>
  <c r="BA116"/>
  <c r="CM116"/>
  <c r="CL116"/>
  <c r="CK116"/>
  <c r="AY116"/>
  <c r="B108"/>
  <c r="CZ115"/>
  <c r="DI115"/>
  <c r="DM115"/>
  <c r="DQ115"/>
  <c r="DU115"/>
  <c r="DY115"/>
  <c r="EC115"/>
  <c r="EG115"/>
  <c r="DD115"/>
  <c r="DE115"/>
  <c r="DC115"/>
  <c r="BA115"/>
  <c r="CM115" s="1"/>
  <c r="CL115"/>
  <c r="CK115"/>
  <c r="AY115"/>
  <c r="B116"/>
  <c r="CZ114"/>
  <c r="DG114" s="1"/>
  <c r="DF114"/>
  <c r="DH114"/>
  <c r="DJ114"/>
  <c r="DL114"/>
  <c r="DN114"/>
  <c r="DP114"/>
  <c r="DR114"/>
  <c r="DT114"/>
  <c r="DV114"/>
  <c r="DX114"/>
  <c r="DZ114"/>
  <c r="EB114"/>
  <c r="ED114"/>
  <c r="EF114"/>
  <c r="EH114"/>
  <c r="EJ114"/>
  <c r="DD114"/>
  <c r="DC114" s="1"/>
  <c r="DE114"/>
  <c r="BA114"/>
  <c r="CM114"/>
  <c r="CL114"/>
  <c r="CK114"/>
  <c r="AY114"/>
  <c r="B112"/>
  <c r="CZ113"/>
  <c r="DI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13"/>
  <c r="CZ112"/>
  <c r="DG112" s="1"/>
  <c r="DF112"/>
  <c r="DH112"/>
  <c r="DJ112"/>
  <c r="DL112"/>
  <c r="DN112"/>
  <c r="DP112"/>
  <c r="DR112"/>
  <c r="DT112"/>
  <c r="DV112"/>
  <c r="DX112"/>
  <c r="DZ112"/>
  <c r="EB112"/>
  <c r="ED112"/>
  <c r="EF112"/>
  <c r="EH112"/>
  <c r="EJ112"/>
  <c r="DD112"/>
  <c r="DC112" s="1"/>
  <c r="BA112"/>
  <c r="CM112"/>
  <c r="CL112"/>
  <c r="CK112"/>
  <c r="AY112"/>
  <c r="B110"/>
  <c r="CZ111"/>
  <c r="DI111"/>
  <c r="DM111"/>
  <c r="DQ111"/>
  <c r="DU111"/>
  <c r="DY111"/>
  <c r="EC111"/>
  <c r="EG111"/>
  <c r="DD111"/>
  <c r="DE111"/>
  <c r="DC111"/>
  <c r="BA111"/>
  <c r="CM111" s="1"/>
  <c r="CL111"/>
  <c r="CK111"/>
  <c r="AY111"/>
  <c r="B111"/>
  <c r="CZ110"/>
  <c r="DG110" s="1"/>
  <c r="DF110"/>
  <c r="DH110"/>
  <c r="DJ110"/>
  <c r="DL110"/>
  <c r="DN110"/>
  <c r="DP110"/>
  <c r="DR110"/>
  <c r="DT110"/>
  <c r="DV110"/>
  <c r="DX110"/>
  <c r="DZ110"/>
  <c r="EB110"/>
  <c r="ED110"/>
  <c r="EF110"/>
  <c r="EH110"/>
  <c r="EJ110"/>
  <c r="DD110"/>
  <c r="DC110" s="1"/>
  <c r="DE110"/>
  <c r="BA110"/>
  <c r="CM110"/>
  <c r="CL110"/>
  <c r="CK110"/>
  <c r="AY110"/>
  <c r="B109"/>
  <c r="CZ109"/>
  <c r="DI109" s="1"/>
  <c r="DG109"/>
  <c r="DK109"/>
  <c r="DO109"/>
  <c r="DS109"/>
  <c r="DW109"/>
  <c r="EA109"/>
  <c r="EE109"/>
  <c r="EI109"/>
  <c r="DD109"/>
  <c r="DE109"/>
  <c r="DC109"/>
  <c r="BA109"/>
  <c r="CM109" s="1"/>
  <c r="CL109"/>
  <c r="CK109"/>
  <c r="AY109"/>
  <c r="B114"/>
  <c r="CZ108"/>
  <c r="DG108" s="1"/>
  <c r="DF108"/>
  <c r="DH108"/>
  <c r="DJ108"/>
  <c r="DL108"/>
  <c r="DN108"/>
  <c r="DP108"/>
  <c r="DR108"/>
  <c r="DT108"/>
  <c r="DV108"/>
  <c r="DX108"/>
  <c r="DZ108"/>
  <c r="EB108"/>
  <c r="ED108"/>
  <c r="EF108"/>
  <c r="EH108"/>
  <c r="EJ108"/>
  <c r="DD108"/>
  <c r="DC108" s="1"/>
  <c r="CL108"/>
  <c r="CK108"/>
  <c r="AY108"/>
  <c r="B117"/>
  <c r="CW107"/>
  <c r="CX107"/>
  <c r="DG107" s="1"/>
  <c r="CZ107"/>
  <c r="DO107" s="1"/>
  <c r="DI107"/>
  <c r="DM107"/>
  <c r="DQ107"/>
  <c r="DU107"/>
  <c r="DY107"/>
  <c r="EC107"/>
  <c r="EG107"/>
  <c r="DD107"/>
  <c r="DE107"/>
  <c r="DC107"/>
  <c r="BA107"/>
  <c r="CM107" s="1"/>
  <c r="CL107"/>
  <c r="CK107"/>
  <c r="AY107"/>
  <c r="B107"/>
  <c r="CZ106"/>
  <c r="DG106" s="1"/>
  <c r="DF106"/>
  <c r="DH106"/>
  <c r="DJ106"/>
  <c r="DL106"/>
  <c r="DN106"/>
  <c r="DP106"/>
  <c r="DR106"/>
  <c r="DT106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103"/>
  <c r="CZ105"/>
  <c r="DI105" s="1"/>
  <c r="DG105"/>
  <c r="DK105"/>
  <c r="DO105"/>
  <c r="DS105"/>
  <c r="DW105"/>
  <c r="EA105"/>
  <c r="EE105"/>
  <c r="EI105"/>
  <c r="DD105"/>
  <c r="DE105"/>
  <c r="DC105"/>
  <c r="BA105"/>
  <c r="CM105" s="1"/>
  <c r="CL105"/>
  <c r="CK105"/>
  <c r="AY105"/>
  <c r="B105"/>
  <c r="CZ104"/>
  <c r="DG104" s="1"/>
  <c r="DF104"/>
  <c r="DH104"/>
  <c r="DJ104"/>
  <c r="DL104"/>
  <c r="DN104"/>
  <c r="DP104"/>
  <c r="DR104"/>
  <c r="DT104"/>
  <c r="DV104"/>
  <c r="DX104"/>
  <c r="DZ104"/>
  <c r="EB104"/>
  <c r="ED104"/>
  <c r="EF104"/>
  <c r="EH104"/>
  <c r="EJ104"/>
  <c r="DD104"/>
  <c r="DC104" s="1"/>
  <c r="BA104"/>
  <c r="CM104"/>
  <c r="CL104"/>
  <c r="CK104"/>
  <c r="AY104"/>
  <c r="B100"/>
  <c r="CZ103"/>
  <c r="DI103"/>
  <c r="DM103"/>
  <c r="DQ103"/>
  <c r="DU103"/>
  <c r="DY103"/>
  <c r="EC103"/>
  <c r="EG103"/>
  <c r="DD103"/>
  <c r="DE103"/>
  <c r="DC103"/>
  <c r="BA103"/>
  <c r="CM103" s="1"/>
  <c r="CL103"/>
  <c r="CK103"/>
  <c r="AY103"/>
  <c r="B99"/>
  <c r="CZ102"/>
  <c r="DG102" s="1"/>
  <c r="DF102"/>
  <c r="DH102"/>
  <c r="DJ102"/>
  <c r="DL102"/>
  <c r="DN102"/>
  <c r="DP102"/>
  <c r="DR102"/>
  <c r="DT102"/>
  <c r="DV102"/>
  <c r="DX102"/>
  <c r="DZ102"/>
  <c r="EB102"/>
  <c r="ED102"/>
  <c r="EF102"/>
  <c r="EH102"/>
  <c r="EJ102"/>
  <c r="DD102"/>
  <c r="DC102" s="1"/>
  <c r="DE102"/>
  <c r="BA102"/>
  <c r="CM102"/>
  <c r="CL102"/>
  <c r="CK102"/>
  <c r="AY102"/>
  <c r="B98"/>
  <c r="CX101"/>
  <c r="DG101" s="1"/>
  <c r="CZ101"/>
  <c r="DI101"/>
  <c r="DM10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DD101"/>
  <c r="DE101"/>
  <c r="DC101"/>
  <c r="BA101"/>
  <c r="CM101"/>
  <c r="CL101"/>
  <c r="CK101"/>
  <c r="AY101"/>
  <c r="B101"/>
  <c r="CX100"/>
  <c r="CZ100"/>
  <c r="DI100" s="1"/>
  <c r="DG100"/>
  <c r="DK100"/>
  <c r="DO100"/>
  <c r="DS100"/>
  <c r="DW100"/>
  <c r="EA100"/>
  <c r="EE100"/>
  <c r="EI100"/>
  <c r="DD100"/>
  <c r="DE100"/>
  <c r="DC100"/>
  <c r="BA100"/>
  <c r="CM100" s="1"/>
  <c r="CL100"/>
  <c r="CK100"/>
  <c r="AY100"/>
  <c r="B104"/>
  <c r="CZ99"/>
  <c r="DG99" s="1"/>
  <c r="DF99"/>
  <c r="DH99"/>
  <c r="DJ99"/>
  <c r="DL99"/>
  <c r="DN99"/>
  <c r="DP99"/>
  <c r="DR99"/>
  <c r="DT99"/>
  <c r="DV99"/>
  <c r="DX99"/>
  <c r="DZ99"/>
  <c r="EB99"/>
  <c r="ED99"/>
  <c r="EF99"/>
  <c r="EG99"/>
  <c r="EH99"/>
  <c r="EI99"/>
  <c r="EJ99"/>
  <c r="DD99"/>
  <c r="DC99" s="1"/>
  <c r="BA99"/>
  <c r="CM99"/>
  <c r="CL99"/>
  <c r="CK99"/>
  <c r="AY99"/>
  <c r="B106"/>
  <c r="CZ98"/>
  <c r="DI98"/>
  <c r="DM98"/>
  <c r="DQ98"/>
  <c r="DU98"/>
  <c r="DY98"/>
  <c r="EC98"/>
  <c r="EG98"/>
  <c r="DD98"/>
  <c r="DE98" s="1"/>
  <c r="DC98"/>
  <c r="CL98"/>
  <c r="CK98"/>
  <c r="AY98"/>
  <c r="B102"/>
  <c r="CZ97"/>
  <c r="DG97" s="1"/>
  <c r="DD97"/>
  <c r="DE97" s="1"/>
  <c r="DC97"/>
  <c r="BA97"/>
  <c r="CM97" s="1"/>
  <c r="CL97"/>
  <c r="CK97"/>
  <c r="AY97"/>
  <c r="B96"/>
  <c r="CZ96"/>
  <c r="DF96"/>
  <c r="DG96"/>
  <c r="DH96"/>
  <c r="DI96"/>
  <c r="DJ96"/>
  <c r="DK96"/>
  <c r="DL96"/>
  <c r="DM96"/>
  <c r="DN96"/>
  <c r="DO96"/>
  <c r="DP96"/>
  <c r="DQ96"/>
  <c r="DR96"/>
  <c r="DS96"/>
  <c r="DT96"/>
  <c r="DU96"/>
  <c r="DV96"/>
  <c r="DW96"/>
  <c r="DX96"/>
  <c r="DY96"/>
  <c r="DZ96"/>
  <c r="EA96"/>
  <c r="EB96"/>
  <c r="EC96"/>
  <c r="ED96"/>
  <c r="EE96"/>
  <c r="EF96"/>
  <c r="EG96"/>
  <c r="EH96"/>
  <c r="EI96"/>
  <c r="EJ96"/>
  <c r="DD96"/>
  <c r="DC96" s="1"/>
  <c r="BA96"/>
  <c r="CM96"/>
  <c r="CL96"/>
  <c r="CK96"/>
  <c r="AY96"/>
  <c r="B88"/>
  <c r="CZ95"/>
  <c r="DD95"/>
  <c r="DE95" s="1"/>
  <c r="DC95"/>
  <c r="BA95"/>
  <c r="CM95" s="1"/>
  <c r="CL95"/>
  <c r="CK95"/>
  <c r="AY95"/>
  <c r="B93"/>
  <c r="CZ94"/>
  <c r="DF94"/>
  <c r="DG94"/>
  <c r="DH94"/>
  <c r="DI94"/>
  <c r="DJ94"/>
  <c r="DK94"/>
  <c r="DL94"/>
  <c r="DM94"/>
  <c r="DN94"/>
  <c r="DO94"/>
  <c r="DP94"/>
  <c r="DQ94"/>
  <c r="DR94"/>
  <c r="DS94"/>
  <c r="DT94"/>
  <c r="DU94"/>
  <c r="DV94"/>
  <c r="DW94"/>
  <c r="DX94"/>
  <c r="DY94"/>
  <c r="DZ94"/>
  <c r="EA94"/>
  <c r="EB94"/>
  <c r="EC94"/>
  <c r="ED94"/>
  <c r="EE94"/>
  <c r="EF94"/>
  <c r="EG94"/>
  <c r="EH94"/>
  <c r="EI94"/>
  <c r="EJ94"/>
  <c r="DD94"/>
  <c r="DC94" s="1"/>
  <c r="BA94"/>
  <c r="CM94"/>
  <c r="CL94"/>
  <c r="CK94"/>
  <c r="AY94"/>
  <c r="B94"/>
  <c r="CZ93"/>
  <c r="DD93"/>
  <c r="DE93" s="1"/>
  <c r="DC93"/>
  <c r="BA93"/>
  <c r="CM93" s="1"/>
  <c r="CL93"/>
  <c r="CK93"/>
  <c r="AY93"/>
  <c r="B92"/>
  <c r="CZ92"/>
  <c r="DF92"/>
  <c r="DG92"/>
  <c r="DH92"/>
  <c r="DI92"/>
  <c r="DJ92"/>
  <c r="DK92"/>
  <c r="DL92"/>
  <c r="DM92"/>
  <c r="DN92"/>
  <c r="DO92"/>
  <c r="DP92"/>
  <c r="DQ92"/>
  <c r="DR92"/>
  <c r="DS92"/>
  <c r="DT92"/>
  <c r="DU92"/>
  <c r="DV92"/>
  <c r="DW92"/>
  <c r="DX92"/>
  <c r="DY92"/>
  <c r="DZ92"/>
  <c r="EA92"/>
  <c r="EB92"/>
  <c r="EC92"/>
  <c r="ED92"/>
  <c r="EE92"/>
  <c r="EF92"/>
  <c r="EG92"/>
  <c r="EH92"/>
  <c r="EI92"/>
  <c r="EJ92"/>
  <c r="DD92"/>
  <c r="DC92" s="1"/>
  <c r="BA92"/>
  <c r="CM92"/>
  <c r="CL92"/>
  <c r="CK92"/>
  <c r="AY92"/>
  <c r="B91"/>
  <c r="CZ91"/>
  <c r="DG91" s="1"/>
  <c r="DD91"/>
  <c r="DE91" s="1"/>
  <c r="DC91"/>
  <c r="BA91"/>
  <c r="CM91" s="1"/>
  <c r="CL91"/>
  <c r="CK91"/>
  <c r="AY91"/>
  <c r="B97"/>
  <c r="CZ90"/>
  <c r="DF90"/>
  <c r="DG90"/>
  <c r="DH90"/>
  <c r="DI90"/>
  <c r="DJ90"/>
  <c r="DK90"/>
  <c r="DL90"/>
  <c r="DM90"/>
  <c r="DN90"/>
  <c r="DO90"/>
  <c r="DP90"/>
  <c r="DQ90"/>
  <c r="DR90"/>
  <c r="DS90"/>
  <c r="DT90"/>
  <c r="DU90"/>
  <c r="DV90"/>
  <c r="DW90"/>
  <c r="DX90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95"/>
  <c r="CX89"/>
  <c r="CZ89"/>
  <c r="DN89" s="1"/>
  <c r="DO89"/>
  <c r="DQ89"/>
  <c r="DS89"/>
  <c r="DU89"/>
  <c r="DW89"/>
  <c r="DY89"/>
  <c r="EA89"/>
  <c r="EC89"/>
  <c r="EE89"/>
  <c r="EG89"/>
  <c r="EI89"/>
  <c r="DD89"/>
  <c r="DE89"/>
  <c r="DC89"/>
  <c r="BA89"/>
  <c r="CM89" s="1"/>
  <c r="CL89"/>
  <c r="CK89"/>
  <c r="AY89"/>
  <c r="B90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89"/>
  <c r="C79"/>
  <c r="C78"/>
  <c r="C77"/>
  <c r="C76"/>
  <c r="C75"/>
  <c r="C74"/>
  <c r="C73"/>
  <c r="C72"/>
  <c r="C71"/>
  <c r="C70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EW90" l="1"/>
  <c r="ES90"/>
  <c r="EW101"/>
  <c r="EW107"/>
  <c r="EW115"/>
  <c r="ES124"/>
  <c r="EW138"/>
  <c r="EW145"/>
  <c r="EW162"/>
  <c r="ES162"/>
  <c r="ES164"/>
  <c r="EW173"/>
  <c r="ES173"/>
  <c r="FQ89"/>
  <c r="FI89"/>
  <c r="FA94"/>
  <c r="EW94"/>
  <c r="ES94"/>
  <c r="ES100"/>
  <c r="EW103"/>
  <c r="EW111"/>
  <c r="ES119"/>
  <c r="EW120"/>
  <c r="ES120"/>
  <c r="ES130"/>
  <c r="ES141"/>
  <c r="FA142"/>
  <c r="EW142"/>
  <c r="FA159"/>
  <c r="FA164"/>
  <c r="FA180"/>
  <c r="EW182"/>
  <c r="ES182"/>
  <c r="EK189"/>
  <c r="EZ94"/>
  <c r="EZ99"/>
  <c r="EZ142"/>
  <c r="EZ143"/>
  <c r="EZ150"/>
  <c r="FM96"/>
  <c r="FI96"/>
  <c r="EW96"/>
  <c r="ES96"/>
  <c r="EW98"/>
  <c r="ES101"/>
  <c r="ES105"/>
  <c r="FI107"/>
  <c r="ES107"/>
  <c r="ES113"/>
  <c r="FI115"/>
  <c r="ES115"/>
  <c r="FM119"/>
  <c r="EW119"/>
  <c r="FM130"/>
  <c r="EW130"/>
  <c r="FM131"/>
  <c r="FI131"/>
  <c r="EW131"/>
  <c r="ES131"/>
  <c r="FI139"/>
  <c r="ES139"/>
  <c r="FM141"/>
  <c r="EW141"/>
  <c r="FM143"/>
  <c r="FI143"/>
  <c r="ES145"/>
  <c r="FI153"/>
  <c r="ES153"/>
  <c r="FM156"/>
  <c r="FI156"/>
  <c r="FQ165"/>
  <c r="FM165"/>
  <c r="FI165"/>
  <c r="EW165"/>
  <c r="ES165"/>
  <c r="EW174"/>
  <c r="FM180"/>
  <c r="FM185"/>
  <c r="EP122"/>
  <c r="EP131"/>
  <c r="J372"/>
  <c r="J376" s="1"/>
  <c r="EW92"/>
  <c r="ES92"/>
  <c r="ES103"/>
  <c r="ES109"/>
  <c r="ES111"/>
  <c r="ES117"/>
  <c r="EP132"/>
  <c r="EW137"/>
  <c r="ES137"/>
  <c r="ES142"/>
  <c r="EW153"/>
  <c r="ES156"/>
  <c r="EW158"/>
  <c r="ES158"/>
  <c r="ES163"/>
  <c r="ES169"/>
  <c r="EW170"/>
  <c r="ES170"/>
  <c r="ES174"/>
  <c r="EW176"/>
  <c r="N372"/>
  <c r="N382" s="1"/>
  <c r="FJ92"/>
  <c r="FJ96"/>
  <c r="FJ156"/>
  <c r="FJ157"/>
  <c r="FJ165"/>
  <c r="EY100"/>
  <c r="FC109"/>
  <c r="EY144"/>
  <c r="EY165"/>
  <c r="FC181"/>
  <c r="EZ101"/>
  <c r="EZ183"/>
  <c r="U372"/>
  <c r="U379" s="1"/>
  <c r="EY96"/>
  <c r="EY131"/>
  <c r="EY155"/>
  <c r="EY156"/>
  <c r="EZ88"/>
  <c r="FP96"/>
  <c r="FD96"/>
  <c r="FP102"/>
  <c r="FP104"/>
  <c r="FD106"/>
  <c r="FD108"/>
  <c r="FP110"/>
  <c r="FP112"/>
  <c r="FL114"/>
  <c r="FD114"/>
  <c r="FL116"/>
  <c r="FD116"/>
  <c r="FP125"/>
  <c r="FP126"/>
  <c r="FD131"/>
  <c r="FP132"/>
  <c r="FP135"/>
  <c r="FD149"/>
  <c r="FP156"/>
  <c r="FD156"/>
  <c r="FP165"/>
  <c r="FD165"/>
  <c r="FP166"/>
  <c r="FP171"/>
  <c r="P372"/>
  <c r="P374" s="1"/>
  <c r="FN132"/>
  <c r="FN134"/>
  <c r="FN145"/>
  <c r="FJ180"/>
  <c r="FS90"/>
  <c r="FC90"/>
  <c r="EY90"/>
  <c r="FC92"/>
  <c r="EY92"/>
  <c r="FF94"/>
  <c r="FB94"/>
  <c r="EX94"/>
  <c r="EV99"/>
  <c r="FJ102"/>
  <c r="FB102"/>
  <c r="FJ104"/>
  <c r="FB104"/>
  <c r="FS105"/>
  <c r="FF106"/>
  <c r="EX106"/>
  <c r="FJ110"/>
  <c r="FB110"/>
  <c r="FJ112"/>
  <c r="FB112"/>
  <c r="FF114"/>
  <c r="FF116"/>
  <c r="EX116"/>
  <c r="FJ120"/>
  <c r="FF120"/>
  <c r="FB120"/>
  <c r="FS124"/>
  <c r="EY124"/>
  <c r="FB125"/>
  <c r="FB126"/>
  <c r="FF129"/>
  <c r="FB132"/>
  <c r="FF134"/>
  <c r="FB135"/>
  <c r="FS137"/>
  <c r="EY137"/>
  <c r="EY139"/>
  <c r="EY140"/>
  <c r="FF142"/>
  <c r="FB142"/>
  <c r="EX142"/>
  <c r="EV143"/>
  <c r="FJ146"/>
  <c r="FB146"/>
  <c r="FF149"/>
  <c r="EV150"/>
  <c r="FJ154"/>
  <c r="FB154"/>
  <c r="FF159"/>
  <c r="FB159"/>
  <c r="FS163"/>
  <c r="EY163"/>
  <c r="EX164"/>
  <c r="FS170"/>
  <c r="EY170"/>
  <c r="FJ171"/>
  <c r="FB171"/>
  <c r="EV173"/>
  <c r="FC174"/>
  <c r="FB179"/>
  <c r="FB180"/>
  <c r="EY181"/>
  <c r="FF182"/>
  <c r="FB182"/>
  <c r="FS184"/>
  <c r="EY185"/>
  <c r="EY186"/>
  <c r="AF372"/>
  <c r="AF379" s="1"/>
  <c r="FJ101"/>
  <c r="FJ149"/>
  <c r="EX88"/>
  <c r="FO89"/>
  <c r="FR90"/>
  <c r="FJ90"/>
  <c r="FF90"/>
  <c r="FB90"/>
  <c r="EX90"/>
  <c r="FF92"/>
  <c r="FB92"/>
  <c r="EX92"/>
  <c r="EV96"/>
  <c r="FB99"/>
  <c r="FO101"/>
  <c r="FO105"/>
  <c r="EV106"/>
  <c r="EV108"/>
  <c r="FO113"/>
  <c r="EV114"/>
  <c r="FF122"/>
  <c r="EX122"/>
  <c r="FR124"/>
  <c r="FJ124"/>
  <c r="FF124"/>
  <c r="FB124"/>
  <c r="FR129"/>
  <c r="FB129"/>
  <c r="EV131"/>
  <c r="FR134"/>
  <c r="FB134"/>
  <c r="FF136"/>
  <c r="EX136"/>
  <c r="FR137"/>
  <c r="FF137"/>
  <c r="FB137"/>
  <c r="EX139"/>
  <c r="FB143"/>
  <c r="FO145"/>
  <c r="FR147"/>
  <c r="FB147"/>
  <c r="FR150"/>
  <c r="FB150"/>
  <c r="FO151"/>
  <c r="FF152"/>
  <c r="EX152"/>
  <c r="FO153"/>
  <c r="FF157"/>
  <c r="EX158"/>
  <c r="FF161"/>
  <c r="FO162"/>
  <c r="FR163"/>
  <c r="FJ163"/>
  <c r="FF163"/>
  <c r="FB163"/>
  <c r="EX163"/>
  <c r="EV164"/>
  <c r="FR170"/>
  <c r="FF170"/>
  <c r="FB170"/>
  <c r="EX170"/>
  <c r="FO173"/>
  <c r="FR174"/>
  <c r="FF174"/>
  <c r="FB174"/>
  <c r="FR175"/>
  <c r="EX177"/>
  <c r="FF180"/>
  <c r="FJ183"/>
  <c r="FR186"/>
  <c r="FF186"/>
  <c r="FB186"/>
  <c r="EX186"/>
  <c r="W372"/>
  <c r="W377" s="1"/>
  <c r="FE96"/>
  <c r="FT101"/>
  <c r="ET102"/>
  <c r="ET112"/>
  <c r="FH122"/>
  <c r="FP136"/>
  <c r="FP138"/>
  <c r="FT139"/>
  <c r="FH145"/>
  <c r="ET146"/>
  <c r="FT147"/>
  <c r="ET148"/>
  <c r="FT150"/>
  <c r="ET154"/>
  <c r="FH157"/>
  <c r="FT162"/>
  <c r="FH164"/>
  <c r="ET167"/>
  <c r="FT173"/>
  <c r="FH173"/>
  <c r="FT175"/>
  <c r="FH178"/>
  <c r="FP183"/>
  <c r="FP90"/>
  <c r="FF96"/>
  <c r="FB96"/>
  <c r="FF99"/>
  <c r="FP106"/>
  <c r="FP108"/>
  <c r="FB122"/>
  <c r="FP124"/>
  <c r="FF131"/>
  <c r="FB131"/>
  <c r="FB136"/>
  <c r="FP139"/>
  <c r="FF139"/>
  <c r="FF143"/>
  <c r="FF147"/>
  <c r="FP149"/>
  <c r="FF150"/>
  <c r="FB152"/>
  <c r="FF156"/>
  <c r="FB156"/>
  <c r="FB157"/>
  <c r="FP163"/>
  <c r="FF165"/>
  <c r="FB165"/>
  <c r="FF166"/>
  <c r="FP167"/>
  <c r="FP170"/>
  <c r="FB175"/>
  <c r="FF177"/>
  <c r="FB183"/>
  <c r="FP186"/>
  <c r="ET94"/>
  <c r="FL99"/>
  <c r="FP101"/>
  <c r="FH101"/>
  <c r="ET104"/>
  <c r="ET110"/>
  <c r="ET120"/>
  <c r="FH136"/>
  <c r="ET139"/>
  <c r="FT145"/>
  <c r="FL147"/>
  <c r="FL150"/>
  <c r="FH152"/>
  <c r="FH162"/>
  <c r="ET171"/>
  <c r="FP173"/>
  <c r="FP177"/>
  <c r="FP178"/>
  <c r="FH180"/>
  <c r="FM89"/>
  <c r="FQ90"/>
  <c r="FM90"/>
  <c r="FI90"/>
  <c r="FT92"/>
  <c r="FP92"/>
  <c r="FI92"/>
  <c r="FT94"/>
  <c r="FP94"/>
  <c r="FT99"/>
  <c r="FP99"/>
  <c r="FF101"/>
  <c r="FB101"/>
  <c r="FF102"/>
  <c r="FI103"/>
  <c r="FF104"/>
  <c r="FB106"/>
  <c r="ET106"/>
  <c r="FQ107"/>
  <c r="ET108"/>
  <c r="FF110"/>
  <c r="FI111"/>
  <c r="FF112"/>
  <c r="FB114"/>
  <c r="FQ115"/>
  <c r="FB116"/>
  <c r="FI119"/>
  <c r="FT120"/>
  <c r="FT122"/>
  <c r="FM124"/>
  <c r="FI124"/>
  <c r="FF125"/>
  <c r="FF126"/>
  <c r="FF132"/>
  <c r="FF135"/>
  <c r="FT136"/>
  <c r="FM137"/>
  <c r="FI137"/>
  <c r="FI141"/>
  <c r="FT142"/>
  <c r="FP142"/>
  <c r="FF145"/>
  <c r="FB145"/>
  <c r="FF146"/>
  <c r="FB149"/>
  <c r="ET149"/>
  <c r="FP150"/>
  <c r="FT152"/>
  <c r="FM153"/>
  <c r="FF154"/>
  <c r="FT157"/>
  <c r="FT159"/>
  <c r="FF162"/>
  <c r="FB162"/>
  <c r="ET162"/>
  <c r="FQ163"/>
  <c r="FM163"/>
  <c r="FI163"/>
  <c r="FF164"/>
  <c r="FM170"/>
  <c r="FI170"/>
  <c r="FF171"/>
  <c r="FF173"/>
  <c r="FB173"/>
  <c r="FQ174"/>
  <c r="FM174"/>
  <c r="FI174"/>
  <c r="ET175"/>
  <c r="FM176"/>
  <c r="FT182"/>
  <c r="FP182"/>
  <c r="FT183"/>
  <c r="FM186"/>
  <c r="FI186"/>
  <c r="FF187"/>
  <c r="AK372"/>
  <c r="AK381" s="1"/>
  <c r="S372"/>
  <c r="S375" s="1"/>
  <c r="H516"/>
  <c r="FA89"/>
  <c r="FK90"/>
  <c r="EU90"/>
  <c r="FR92"/>
  <c r="FG92"/>
  <c r="FA96"/>
  <c r="FA103"/>
  <c r="FR104"/>
  <c r="FK109"/>
  <c r="FK117"/>
  <c r="FR120"/>
  <c r="FK124"/>
  <c r="FA131"/>
  <c r="FR135"/>
  <c r="FK137"/>
  <c r="EU137"/>
  <c r="FD139"/>
  <c r="FO140"/>
  <c r="FR142"/>
  <c r="FD145"/>
  <c r="FA153"/>
  <c r="FO155"/>
  <c r="FD162"/>
  <c r="FK163"/>
  <c r="FA165"/>
  <c r="FA166"/>
  <c r="FK167"/>
  <c r="FK169"/>
  <c r="FO170"/>
  <c r="FO174"/>
  <c r="FR180"/>
  <c r="FO181"/>
  <c r="FK186"/>
  <c r="FR187"/>
  <c r="EV88"/>
  <c r="EX89"/>
  <c r="FA90"/>
  <c r="FL92"/>
  <c r="FE92"/>
  <c r="FA92"/>
  <c r="FH94"/>
  <c r="FD94"/>
  <c r="EV94"/>
  <c r="FS96"/>
  <c r="FO96"/>
  <c r="FK96"/>
  <c r="EU96"/>
  <c r="FH99"/>
  <c r="FO100"/>
  <c r="FR101"/>
  <c r="EX101"/>
  <c r="EX102"/>
  <c r="EX104"/>
  <c r="FK105"/>
  <c r="EU105"/>
  <c r="FR106"/>
  <c r="FA107"/>
  <c r="FS109"/>
  <c r="EX110"/>
  <c r="FK113"/>
  <c r="EU113"/>
  <c r="FR114"/>
  <c r="FA115"/>
  <c r="FR116"/>
  <c r="FS117"/>
  <c r="FA119"/>
  <c r="FH120"/>
  <c r="FD120"/>
  <c r="EV120"/>
  <c r="FD122"/>
  <c r="EV122"/>
  <c r="FE124"/>
  <c r="EX126"/>
  <c r="EX129"/>
  <c r="FO131"/>
  <c r="FK131"/>
  <c r="EU131"/>
  <c r="EX132"/>
  <c r="EX134"/>
  <c r="FD136"/>
  <c r="FA137"/>
  <c r="FK140"/>
  <c r="FH142"/>
  <c r="FD142"/>
  <c r="FS143"/>
  <c r="FO143"/>
  <c r="FK143"/>
  <c r="FO144"/>
  <c r="FR145"/>
  <c r="EX145"/>
  <c r="EX146"/>
  <c r="FH147"/>
  <c r="FR149"/>
  <c r="FH150"/>
  <c r="FD152"/>
  <c r="EX154"/>
  <c r="FO156"/>
  <c r="FK156"/>
  <c r="FD157"/>
  <c r="EV157"/>
  <c r="FH159"/>
  <c r="FD159"/>
  <c r="FR162"/>
  <c r="EX162"/>
  <c r="FA163"/>
  <c r="FK164"/>
  <c r="EU164"/>
  <c r="FS165"/>
  <c r="FO165"/>
  <c r="FK165"/>
  <c r="EU165"/>
  <c r="FK166"/>
  <c r="EU166"/>
  <c r="FA170"/>
  <c r="FR173"/>
  <c r="EX173"/>
  <c r="FE174"/>
  <c r="FD175"/>
  <c r="FH177"/>
  <c r="FR179"/>
  <c r="FE180"/>
  <c r="FS181"/>
  <c r="FK181"/>
  <c r="FH182"/>
  <c r="FD182"/>
  <c r="EV182"/>
  <c r="FD183"/>
  <c r="FD184"/>
  <c r="FA186"/>
  <c r="AB372"/>
  <c r="AB380" s="1"/>
  <c r="M372"/>
  <c r="M380" s="1"/>
  <c r="H466"/>
  <c r="FO90"/>
  <c r="FG90"/>
  <c r="EU92"/>
  <c r="FR94"/>
  <c r="FR99"/>
  <c r="FD99"/>
  <c r="FD101"/>
  <c r="FR102"/>
  <c r="EU109"/>
  <c r="FR110"/>
  <c r="FR112"/>
  <c r="EU117"/>
  <c r="EU118"/>
  <c r="FO124"/>
  <c r="FR125"/>
  <c r="FR126"/>
  <c r="FR132"/>
  <c r="FO137"/>
  <c r="FD138"/>
  <c r="FO139"/>
  <c r="FD143"/>
  <c r="FG144"/>
  <c r="FR146"/>
  <c r="FD147"/>
  <c r="FD150"/>
  <c r="FR154"/>
  <c r="EU155"/>
  <c r="FR159"/>
  <c r="FO163"/>
  <c r="FG163"/>
  <c r="EU163"/>
  <c r="EU169"/>
  <c r="FK170"/>
  <c r="EU170"/>
  <c r="FR171"/>
  <c r="FD173"/>
  <c r="FK174"/>
  <c r="EU180"/>
  <c r="FR182"/>
  <c r="FO186"/>
  <c r="AI372"/>
  <c r="AI378" s="1"/>
  <c r="FD90"/>
  <c r="EV90"/>
  <c r="FO92"/>
  <c r="FD92"/>
  <c r="EV92"/>
  <c r="FO94"/>
  <c r="FR96"/>
  <c r="EX96"/>
  <c r="FA98"/>
  <c r="EX99"/>
  <c r="FA101"/>
  <c r="FD102"/>
  <c r="EV102"/>
  <c r="FD104"/>
  <c r="EV104"/>
  <c r="FO109"/>
  <c r="FD110"/>
  <c r="FD112"/>
  <c r="FO117"/>
  <c r="FO119"/>
  <c r="FO120"/>
  <c r="FR122"/>
  <c r="FD124"/>
  <c r="FD125"/>
  <c r="EV125"/>
  <c r="FD126"/>
  <c r="FR131"/>
  <c r="EX131"/>
  <c r="FD132"/>
  <c r="FD135"/>
  <c r="EV135"/>
  <c r="FR136"/>
  <c r="FD137"/>
  <c r="FA140"/>
  <c r="FO141"/>
  <c r="FO142"/>
  <c r="FR143"/>
  <c r="FA145"/>
  <c r="FD146"/>
  <c r="FR152"/>
  <c r="FD154"/>
  <c r="FR156"/>
  <c r="EX156"/>
  <c r="FR157"/>
  <c r="EV158"/>
  <c r="FO159"/>
  <c r="FD163"/>
  <c r="FO164"/>
  <c r="FD164"/>
  <c r="FR165"/>
  <c r="FO169"/>
  <c r="FD170"/>
  <c r="EV170"/>
  <c r="FD171"/>
  <c r="FL174"/>
  <c r="FD174"/>
  <c r="FO182"/>
  <c r="FR183"/>
  <c r="EV184"/>
  <c r="FO185"/>
  <c r="FD186"/>
  <c r="Y372"/>
  <c r="Y381" s="1"/>
  <c r="L372"/>
  <c r="L376" s="1"/>
  <c r="H382"/>
  <c r="H380"/>
  <c r="H375"/>
  <c r="H378"/>
  <c r="H379"/>
  <c r="EQ97"/>
  <c r="EQ100"/>
  <c r="EQ137"/>
  <c r="EQ143"/>
  <c r="EQ144"/>
  <c r="EQ150"/>
  <c r="EQ151"/>
  <c r="ER159"/>
  <c r="ER162"/>
  <c r="EQ163"/>
  <c r="EQ170"/>
  <c r="FS89"/>
  <c r="FK89"/>
  <c r="FC89"/>
  <c r="FT90"/>
  <c r="FH90"/>
  <c r="EZ90"/>
  <c r="FS92"/>
  <c r="FK92"/>
  <c r="FH92"/>
  <c r="EZ92"/>
  <c r="FS94"/>
  <c r="FK94"/>
  <c r="FC94"/>
  <c r="EY94"/>
  <c r="EU94"/>
  <c r="EQ94"/>
  <c r="FN96"/>
  <c r="ET96"/>
  <c r="FS99"/>
  <c r="FK100"/>
  <c r="EU100"/>
  <c r="FM101"/>
  <c r="FI101"/>
  <c r="FE101"/>
  <c r="FT102"/>
  <c r="EQ102"/>
  <c r="FE103"/>
  <c r="FT104"/>
  <c r="EQ104"/>
  <c r="EQ105"/>
  <c r="FH106"/>
  <c r="ER106"/>
  <c r="FM107"/>
  <c r="ER108"/>
  <c r="EY109"/>
  <c r="FT110"/>
  <c r="EQ110"/>
  <c r="FE111"/>
  <c r="FT112"/>
  <c r="EQ112"/>
  <c r="EQ113"/>
  <c r="FH114"/>
  <c r="ER114"/>
  <c r="FM115"/>
  <c r="FH116"/>
  <c r="EY117"/>
  <c r="EY119"/>
  <c r="EQ119"/>
  <c r="FK120"/>
  <c r="EY120"/>
  <c r="EU120"/>
  <c r="EQ120"/>
  <c r="FT124"/>
  <c r="FH124"/>
  <c r="FT125"/>
  <c r="EQ125"/>
  <c r="FT126"/>
  <c r="EQ130"/>
  <c r="FN131"/>
  <c r="FT132"/>
  <c r="FT135"/>
  <c r="ET136"/>
  <c r="FT137"/>
  <c r="FH137"/>
  <c r="FK139"/>
  <c r="EU139"/>
  <c r="FI140"/>
  <c r="EY141"/>
  <c r="FS142"/>
  <c r="FK142"/>
  <c r="FC142"/>
  <c r="EY142"/>
  <c r="FK144"/>
  <c r="EU144"/>
  <c r="FM145"/>
  <c r="FI145"/>
  <c r="FT146"/>
  <c r="EQ146"/>
  <c r="FH149"/>
  <c r="EZ149"/>
  <c r="EY151"/>
  <c r="ET152"/>
  <c r="FK153"/>
  <c r="EU153"/>
  <c r="FT154"/>
  <c r="EQ154"/>
  <c r="EQ156"/>
  <c r="FK159"/>
  <c r="EY159"/>
  <c r="FM162"/>
  <c r="FI162"/>
  <c r="FT163"/>
  <c r="FH163"/>
  <c r="FT164"/>
  <c r="FI164"/>
  <c r="EY164"/>
  <c r="ET164"/>
  <c r="ET165"/>
  <c r="EU167"/>
  <c r="EY169"/>
  <c r="FT170"/>
  <c r="FH170"/>
  <c r="ER170"/>
  <c r="FT171"/>
  <c r="FM173"/>
  <c r="FI173"/>
  <c r="FT174"/>
  <c r="FH174"/>
  <c r="EY174"/>
  <c r="EQ174"/>
  <c r="FK176"/>
  <c r="EU176"/>
  <c r="FN180"/>
  <c r="FI180"/>
  <c r="FI181"/>
  <c r="FS182"/>
  <c r="FK182"/>
  <c r="EY182"/>
  <c r="EU182"/>
  <c r="EQ182"/>
  <c r="FT186"/>
  <c r="FH186"/>
  <c r="EZ187"/>
  <c r="AD372"/>
  <c r="AD379" s="1"/>
  <c r="EQ90"/>
  <c r="EQ92"/>
  <c r="EQ99"/>
  <c r="EQ91"/>
  <c r="EQ96"/>
  <c r="EQ101"/>
  <c r="EQ107"/>
  <c r="EQ131"/>
  <c r="EQ136"/>
  <c r="EQ139"/>
  <c r="EQ152"/>
  <c r="EQ159"/>
  <c r="EQ165"/>
  <c r="H468"/>
  <c r="EY89"/>
  <c r="ET90"/>
  <c r="FM92"/>
  <c r="ET92"/>
  <c r="FM94"/>
  <c r="FI94"/>
  <c r="FE94"/>
  <c r="FT96"/>
  <c r="FH96"/>
  <c r="ER96"/>
  <c r="ET99"/>
  <c r="FS100"/>
  <c r="FC100"/>
  <c r="FS101"/>
  <c r="FK101"/>
  <c r="FC101"/>
  <c r="EY101"/>
  <c r="FH102"/>
  <c r="EZ102"/>
  <c r="FM103"/>
  <c r="FH104"/>
  <c r="EZ104"/>
  <c r="EY105"/>
  <c r="FT106"/>
  <c r="EQ106"/>
  <c r="FE107"/>
  <c r="EY107"/>
  <c r="EQ108"/>
  <c r="EQ109"/>
  <c r="FH110"/>
  <c r="EZ110"/>
  <c r="FM111"/>
  <c r="FH112"/>
  <c r="EY113"/>
  <c r="FT114"/>
  <c r="EQ114"/>
  <c r="FT116"/>
  <c r="EQ117"/>
  <c r="EQ118"/>
  <c r="FK119"/>
  <c r="FM120"/>
  <c r="FI120"/>
  <c r="FE120"/>
  <c r="FN122"/>
  <c r="FH125"/>
  <c r="FH126"/>
  <c r="EZ126"/>
  <c r="ER126"/>
  <c r="ER129"/>
  <c r="FI130"/>
  <c r="FT131"/>
  <c r="FH131"/>
  <c r="FH132"/>
  <c r="EZ132"/>
  <c r="EQ133"/>
  <c r="FH135"/>
  <c r="EZ135"/>
  <c r="EU138"/>
  <c r="EQ138"/>
  <c r="FH139"/>
  <c r="FM140"/>
  <c r="FK141"/>
  <c r="FM142"/>
  <c r="FI142"/>
  <c r="FT143"/>
  <c r="FH143"/>
  <c r="FS144"/>
  <c r="FK145"/>
  <c r="EY145"/>
  <c r="FH146"/>
  <c r="FT149"/>
  <c r="EU151"/>
  <c r="EY153"/>
  <c r="EQ153"/>
  <c r="FH154"/>
  <c r="FT156"/>
  <c r="FH156"/>
  <c r="EZ156"/>
  <c r="ET156"/>
  <c r="FN157"/>
  <c r="FM159"/>
  <c r="FI159"/>
  <c r="ET159"/>
  <c r="FK162"/>
  <c r="EY162"/>
  <c r="EU162"/>
  <c r="EQ162"/>
  <c r="FN163"/>
  <c r="ET163"/>
  <c r="EQ164"/>
  <c r="FT165"/>
  <c r="FH165"/>
  <c r="EZ165"/>
  <c r="ER165"/>
  <c r="EQ169"/>
  <c r="FH171"/>
  <c r="EZ171"/>
  <c r="ER171"/>
  <c r="FK173"/>
  <c r="EY173"/>
  <c r="EU173"/>
  <c r="EQ173"/>
  <c r="EU174"/>
  <c r="FH175"/>
  <c r="FK180"/>
  <c r="ET180"/>
  <c r="FM181"/>
  <c r="FM182"/>
  <c r="FI182"/>
  <c r="FK184"/>
  <c r="FK185"/>
  <c r="EU185"/>
  <c r="Z372"/>
  <c r="Z378" s="1"/>
  <c r="EK137"/>
  <c r="EK201"/>
  <c r="EK191"/>
  <c r="EK196"/>
  <c r="EP198"/>
  <c r="FU198" s="1"/>
  <c r="FJ108"/>
  <c r="EX108"/>
  <c r="EV128"/>
  <c r="FS138"/>
  <c r="FM138"/>
  <c r="FM158"/>
  <c r="EY158"/>
  <c r="FJ168"/>
  <c r="FS178"/>
  <c r="FB178"/>
  <c r="EY178"/>
  <c r="FF88"/>
  <c r="FO118"/>
  <c r="EZ128"/>
  <c r="FB148"/>
  <c r="ET168"/>
  <c r="FI178"/>
  <c r="EU178"/>
  <c r="FH88"/>
  <c r="ER8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FT138"/>
  <c r="FT158"/>
  <c r="FN158"/>
  <c r="FD158"/>
  <c r="EZ178"/>
  <c r="FT88"/>
  <c r="FD88"/>
  <c r="FM98"/>
  <c r="FK118"/>
  <c r="FI138"/>
  <c r="FF138"/>
  <c r="FI158"/>
  <c r="FR108"/>
  <c r="FF108"/>
  <c r="EY118"/>
  <c r="FP128"/>
  <c r="ES138"/>
  <c r="FR148"/>
  <c r="FT178"/>
  <c r="FM178"/>
  <c r="FC178"/>
  <c r="FP88"/>
  <c r="FE98"/>
  <c r="FN108"/>
  <c r="FR88"/>
  <c r="FJ88"/>
  <c r="FB88"/>
  <c r="ET88"/>
  <c r="FI98"/>
  <c r="ES98"/>
  <c r="FH128"/>
  <c r="FE138"/>
  <c r="EY138"/>
  <c r="FJ148"/>
  <c r="FO158"/>
  <c r="FH158"/>
  <c r="FE158"/>
  <c r="FB158"/>
  <c r="FR178"/>
  <c r="FO178"/>
  <c r="FK178"/>
  <c r="ES178"/>
  <c r="FF158"/>
  <c r="FF178"/>
  <c r="FT108"/>
  <c r="FH108"/>
  <c r="FR138"/>
  <c r="FH138"/>
  <c r="FB138"/>
  <c r="FR158"/>
  <c r="EV147"/>
  <c r="ET147"/>
  <c r="EQ155"/>
  <c r="EV116"/>
  <c r="EQ116"/>
  <c r="AK29"/>
  <c r="AK45" s="1"/>
  <c r="AK431" s="1"/>
  <c r="AK449" s="1"/>
  <c r="AJ28"/>
  <c r="AJ44" s="1"/>
  <c r="AJ430" s="1"/>
  <c r="AJ448" s="1"/>
  <c r="X28"/>
  <c r="X44" s="1"/>
  <c r="X430" s="1"/>
  <c r="X448" s="1"/>
  <c r="P28"/>
  <c r="P44" s="1"/>
  <c r="P430" s="1"/>
  <c r="P448" s="1"/>
  <c r="L28"/>
  <c r="L44" s="1"/>
  <c r="L430" s="1"/>
  <c r="L448" s="1"/>
  <c r="AE27"/>
  <c r="AE43" s="1"/>
  <c r="AE429" s="1"/>
  <c r="AE447" s="1"/>
  <c r="AF24"/>
  <c r="AF40" s="1"/>
  <c r="AF426" s="1"/>
  <c r="AF444" s="1"/>
  <c r="X24"/>
  <c r="X40" s="1"/>
  <c r="X426" s="1"/>
  <c r="X444" s="1"/>
  <c r="P24"/>
  <c r="P40" s="1"/>
  <c r="P426" s="1"/>
  <c r="P444" s="1"/>
  <c r="H24"/>
  <c r="H40" s="1"/>
  <c r="H426" s="1"/>
  <c r="H444" s="1"/>
  <c r="O23"/>
  <c r="O39" s="1"/>
  <c r="O425" s="1"/>
  <c r="O443" s="1"/>
  <c r="AK21"/>
  <c r="AK37" s="1"/>
  <c r="AK423" s="1"/>
  <c r="AK441" s="1"/>
  <c r="Q21"/>
  <c r="Q37" s="1"/>
  <c r="Q423" s="1"/>
  <c r="Q441" s="1"/>
  <c r="L23"/>
  <c r="L39" s="1"/>
  <c r="L425" s="1"/>
  <c r="L443" s="1"/>
  <c r="AJ23"/>
  <c r="AJ39" s="1"/>
  <c r="AJ425" s="1"/>
  <c r="AJ443" s="1"/>
  <c r="AF23"/>
  <c r="AF39" s="1"/>
  <c r="AF425" s="1"/>
  <c r="AF443" s="1"/>
  <c r="X23"/>
  <c r="X39" s="1"/>
  <c r="X425" s="1"/>
  <c r="X443" s="1"/>
  <c r="AH21"/>
  <c r="AH37" s="1"/>
  <c r="AH423" s="1"/>
  <c r="AH441" s="1"/>
  <c r="H22"/>
  <c r="H38" s="1"/>
  <c r="H424" s="1"/>
  <c r="H442" s="1"/>
  <c r="AF28"/>
  <c r="AF44" s="1"/>
  <c r="AF430" s="1"/>
  <c r="AF448" s="1"/>
  <c r="U25"/>
  <c r="U41" s="1"/>
  <c r="U427" s="1"/>
  <c r="U445" s="1"/>
  <c r="Y29"/>
  <c r="Y45" s="1"/>
  <c r="Y431" s="1"/>
  <c r="Y449" s="1"/>
  <c r="I28"/>
  <c r="I44" s="1"/>
  <c r="I430" s="1"/>
  <c r="I448" s="1"/>
  <c r="AJ25"/>
  <c r="AJ41" s="1"/>
  <c r="AJ427" s="1"/>
  <c r="AJ445" s="1"/>
  <c r="L25"/>
  <c r="L41" s="1"/>
  <c r="L427" s="1"/>
  <c r="L445" s="1"/>
  <c r="AB25"/>
  <c r="AB41" s="1"/>
  <c r="AB427" s="1"/>
  <c r="AB445" s="1"/>
  <c r="AD25"/>
  <c r="AD41" s="1"/>
  <c r="AD427" s="1"/>
  <c r="AD445" s="1"/>
  <c r="AB24"/>
  <c r="AB40" s="1"/>
  <c r="AB426" s="1"/>
  <c r="AB444" s="1"/>
  <c r="T24"/>
  <c r="T40" s="1"/>
  <c r="T426" s="1"/>
  <c r="T444" s="1"/>
  <c r="L24"/>
  <c r="L40" s="1"/>
  <c r="L426" s="1"/>
  <c r="L444" s="1"/>
  <c r="AJ24"/>
  <c r="AJ40" s="1"/>
  <c r="AJ426" s="1"/>
  <c r="AJ444" s="1"/>
  <c r="AK23"/>
  <c r="AK39" s="1"/>
  <c r="AK425" s="1"/>
  <c r="AK443" s="1"/>
  <c r="AG23"/>
  <c r="AG39" s="1"/>
  <c r="AG425" s="1"/>
  <c r="AG443" s="1"/>
  <c r="AC23"/>
  <c r="AC39" s="1"/>
  <c r="AC425" s="1"/>
  <c r="AC443" s="1"/>
  <c r="Y23"/>
  <c r="Y39" s="1"/>
  <c r="Y425" s="1"/>
  <c r="Y443" s="1"/>
  <c r="U23"/>
  <c r="U39" s="1"/>
  <c r="U425" s="1"/>
  <c r="U443" s="1"/>
  <c r="M23"/>
  <c r="M39" s="1"/>
  <c r="M425" s="1"/>
  <c r="M443" s="1"/>
  <c r="I23"/>
  <c r="I39" s="1"/>
  <c r="I425" s="1"/>
  <c r="I443" s="1"/>
  <c r="D73"/>
  <c r="D537" s="1"/>
  <c r="K23"/>
  <c r="K39" s="1"/>
  <c r="K425" s="1"/>
  <c r="K443" s="1"/>
  <c r="T23"/>
  <c r="T39" s="1"/>
  <c r="T425" s="1"/>
  <c r="T443" s="1"/>
  <c r="AJ22"/>
  <c r="AJ38" s="1"/>
  <c r="AJ424" s="1"/>
  <c r="AJ442" s="1"/>
  <c r="AF22"/>
  <c r="AF38" s="1"/>
  <c r="AF424" s="1"/>
  <c r="AF442" s="1"/>
  <c r="AB22"/>
  <c r="AB38" s="1"/>
  <c r="AB424" s="1"/>
  <c r="AB442" s="1"/>
  <c r="X22"/>
  <c r="X38" s="1"/>
  <c r="X424" s="1"/>
  <c r="X442" s="1"/>
  <c r="T22"/>
  <c r="T38" s="1"/>
  <c r="T424" s="1"/>
  <c r="T442" s="1"/>
  <c r="P22"/>
  <c r="P38" s="1"/>
  <c r="P424" s="1"/>
  <c r="P442" s="1"/>
  <c r="L22"/>
  <c r="L38" s="1"/>
  <c r="L424" s="1"/>
  <c r="L442" s="1"/>
  <c r="P25"/>
  <c r="P41" s="1"/>
  <c r="P427" s="1"/>
  <c r="P445" s="1"/>
  <c r="AJ26"/>
  <c r="AJ42" s="1"/>
  <c r="AJ428" s="1"/>
  <c r="AJ446" s="1"/>
  <c r="AB26"/>
  <c r="AB42" s="1"/>
  <c r="AB428" s="1"/>
  <c r="AB446" s="1"/>
  <c r="X26"/>
  <c r="X42" s="1"/>
  <c r="X428" s="1"/>
  <c r="X446" s="1"/>
  <c r="T26"/>
  <c r="T42" s="1"/>
  <c r="T428" s="1"/>
  <c r="T446" s="1"/>
  <c r="L26"/>
  <c r="L42" s="1"/>
  <c r="L428" s="1"/>
  <c r="L446" s="1"/>
  <c r="Q22"/>
  <c r="Q38" s="1"/>
  <c r="Q424" s="1"/>
  <c r="Q442" s="1"/>
  <c r="AI29"/>
  <c r="AI45" s="1"/>
  <c r="AI431" s="1"/>
  <c r="AI449" s="1"/>
  <c r="AA29"/>
  <c r="AA45" s="1"/>
  <c r="AA431" s="1"/>
  <c r="AA449" s="1"/>
  <c r="S29"/>
  <c r="S45" s="1"/>
  <c r="S431" s="1"/>
  <c r="S449" s="1"/>
  <c r="G29"/>
  <c r="G45" s="1"/>
  <c r="G431" s="1"/>
  <c r="G449" s="1"/>
  <c r="D79"/>
  <c r="D549" s="1"/>
  <c r="AE29"/>
  <c r="AE45" s="1"/>
  <c r="AE431" s="1"/>
  <c r="AE449" s="1"/>
  <c r="W29"/>
  <c r="W45" s="1"/>
  <c r="W431" s="1"/>
  <c r="W449" s="1"/>
  <c r="O29"/>
  <c r="O45" s="1"/>
  <c r="O431" s="1"/>
  <c r="O449" s="1"/>
  <c r="K29"/>
  <c r="K45" s="1"/>
  <c r="K431" s="1"/>
  <c r="K449" s="1"/>
  <c r="AB29"/>
  <c r="AB45" s="1"/>
  <c r="AB431" s="1"/>
  <c r="AB449" s="1"/>
  <c r="AF29"/>
  <c r="AF45" s="1"/>
  <c r="AF431" s="1"/>
  <c r="AF449" s="1"/>
  <c r="T29"/>
  <c r="T45" s="1"/>
  <c r="T431" s="1"/>
  <c r="T449" s="1"/>
  <c r="H29"/>
  <c r="H45" s="1"/>
  <c r="H431" s="1"/>
  <c r="H449" s="1"/>
  <c r="AG29"/>
  <c r="AG45" s="1"/>
  <c r="AG431" s="1"/>
  <c r="AG449" s="1"/>
  <c r="AC29"/>
  <c r="AC45" s="1"/>
  <c r="AC431" s="1"/>
  <c r="AC449" s="1"/>
  <c r="U29"/>
  <c r="U45" s="1"/>
  <c r="U431" s="1"/>
  <c r="U449" s="1"/>
  <c r="Q29"/>
  <c r="Q45" s="1"/>
  <c r="Q431" s="1"/>
  <c r="Q449" s="1"/>
  <c r="M29"/>
  <c r="M45" s="1"/>
  <c r="M431" s="1"/>
  <c r="M449" s="1"/>
  <c r="I29"/>
  <c r="I45" s="1"/>
  <c r="I431" s="1"/>
  <c r="I449" s="1"/>
  <c r="AJ29"/>
  <c r="AJ45" s="1"/>
  <c r="AJ431" s="1"/>
  <c r="AJ449" s="1"/>
  <c r="P29"/>
  <c r="P45" s="1"/>
  <c r="P431" s="1"/>
  <c r="P449" s="1"/>
  <c r="L29"/>
  <c r="L45" s="1"/>
  <c r="L431" s="1"/>
  <c r="L449" s="1"/>
  <c r="U28"/>
  <c r="U44" s="1"/>
  <c r="U430" s="1"/>
  <c r="U448" s="1"/>
  <c r="Q28"/>
  <c r="Q44" s="1"/>
  <c r="Q430" s="1"/>
  <c r="Q448" s="1"/>
  <c r="M28"/>
  <c r="M44" s="1"/>
  <c r="M430" s="1"/>
  <c r="M448" s="1"/>
  <c r="X29"/>
  <c r="X45" s="1"/>
  <c r="X431" s="1"/>
  <c r="X449" s="1"/>
  <c r="AB28"/>
  <c r="AB44" s="1"/>
  <c r="AB430" s="1"/>
  <c r="AB448" s="1"/>
  <c r="D78"/>
  <c r="D547" s="1"/>
  <c r="AK28"/>
  <c r="AK44" s="1"/>
  <c r="AK430" s="1"/>
  <c r="AK448" s="1"/>
  <c r="AG28"/>
  <c r="AG44" s="1"/>
  <c r="AG430" s="1"/>
  <c r="AG448" s="1"/>
  <c r="AC28"/>
  <c r="AC44" s="1"/>
  <c r="AC430" s="1"/>
  <c r="AC448" s="1"/>
  <c r="Y28"/>
  <c r="Y44" s="1"/>
  <c r="Y430" s="1"/>
  <c r="Y448" s="1"/>
  <c r="AI28"/>
  <c r="AI44" s="1"/>
  <c r="AI430" s="1"/>
  <c r="AI448" s="1"/>
  <c r="AA28"/>
  <c r="AA44" s="1"/>
  <c r="AA430" s="1"/>
  <c r="AA448" s="1"/>
  <c r="W28"/>
  <c r="W44" s="1"/>
  <c r="W430" s="1"/>
  <c r="W448" s="1"/>
  <c r="S28"/>
  <c r="S44" s="1"/>
  <c r="S430" s="1"/>
  <c r="S448" s="1"/>
  <c r="O28"/>
  <c r="O44" s="1"/>
  <c r="O430" s="1"/>
  <c r="O448" s="1"/>
  <c r="K28"/>
  <c r="K44" s="1"/>
  <c r="K430" s="1"/>
  <c r="K448" s="1"/>
  <c r="G28"/>
  <c r="G44" s="1"/>
  <c r="G430" s="1"/>
  <c r="T28"/>
  <c r="T44" s="1"/>
  <c r="T430" s="1"/>
  <c r="T448" s="1"/>
  <c r="H28"/>
  <c r="H44" s="1"/>
  <c r="H430" s="1"/>
  <c r="H448" s="1"/>
  <c r="AE28"/>
  <c r="AE44" s="1"/>
  <c r="AE430" s="1"/>
  <c r="AE448" s="1"/>
  <c r="AF27"/>
  <c r="AF43" s="1"/>
  <c r="AF429" s="1"/>
  <c r="AF447" s="1"/>
  <c r="P27"/>
  <c r="P43" s="1"/>
  <c r="P429" s="1"/>
  <c r="P447" s="1"/>
  <c r="D77"/>
  <c r="C380" s="1"/>
  <c r="AK27"/>
  <c r="AK43" s="1"/>
  <c r="AK429" s="1"/>
  <c r="AK447" s="1"/>
  <c r="AG27"/>
  <c r="AG43" s="1"/>
  <c r="AG429" s="1"/>
  <c r="AG447" s="1"/>
  <c r="AC27"/>
  <c r="AC43" s="1"/>
  <c r="AC429" s="1"/>
  <c r="AC447" s="1"/>
  <c r="Y27"/>
  <c r="Y43" s="1"/>
  <c r="Y429" s="1"/>
  <c r="Y447" s="1"/>
  <c r="U27"/>
  <c r="U43" s="1"/>
  <c r="U429" s="1"/>
  <c r="U447" s="1"/>
  <c r="Q27"/>
  <c r="Q43" s="1"/>
  <c r="Q429" s="1"/>
  <c r="Q447" s="1"/>
  <c r="M27"/>
  <c r="M43" s="1"/>
  <c r="M429" s="1"/>
  <c r="M447" s="1"/>
  <c r="I27"/>
  <c r="I43" s="1"/>
  <c r="I429" s="1"/>
  <c r="I447" s="1"/>
  <c r="AI27"/>
  <c r="AI43" s="1"/>
  <c r="AI429" s="1"/>
  <c r="AI447" s="1"/>
  <c r="AA27"/>
  <c r="AA43" s="1"/>
  <c r="AA429" s="1"/>
  <c r="AA447" s="1"/>
  <c r="W27"/>
  <c r="W43" s="1"/>
  <c r="W429" s="1"/>
  <c r="W447" s="1"/>
  <c r="S27"/>
  <c r="S43" s="1"/>
  <c r="S429" s="1"/>
  <c r="S447" s="1"/>
  <c r="O27"/>
  <c r="O43" s="1"/>
  <c r="O429" s="1"/>
  <c r="O447" s="1"/>
  <c r="K27"/>
  <c r="K43" s="1"/>
  <c r="K429" s="1"/>
  <c r="K447" s="1"/>
  <c r="G27"/>
  <c r="G43" s="1"/>
  <c r="G429" s="1"/>
  <c r="G447" s="1"/>
  <c r="U26"/>
  <c r="U42" s="1"/>
  <c r="U428" s="1"/>
  <c r="U446" s="1"/>
  <c r="M26"/>
  <c r="M42" s="1"/>
  <c r="M428" s="1"/>
  <c r="M446" s="1"/>
  <c r="AI26"/>
  <c r="AI42" s="1"/>
  <c r="AI428" s="1"/>
  <c r="AI446" s="1"/>
  <c r="AE26"/>
  <c r="AE42" s="1"/>
  <c r="AE428" s="1"/>
  <c r="AE446" s="1"/>
  <c r="AA26"/>
  <c r="AA42" s="1"/>
  <c r="AA428" s="1"/>
  <c r="AA446" s="1"/>
  <c r="W26"/>
  <c r="W42" s="1"/>
  <c r="W428" s="1"/>
  <c r="W446" s="1"/>
  <c r="S26"/>
  <c r="S42" s="1"/>
  <c r="S428" s="1"/>
  <c r="S446" s="1"/>
  <c r="O26"/>
  <c r="O42" s="1"/>
  <c r="O428" s="1"/>
  <c r="O446" s="1"/>
  <c r="K26"/>
  <c r="K42" s="1"/>
  <c r="K428" s="1"/>
  <c r="K446" s="1"/>
  <c r="AG26"/>
  <c r="AG42" s="1"/>
  <c r="AG428" s="1"/>
  <c r="AG446" s="1"/>
  <c r="D76"/>
  <c r="D543" s="1"/>
  <c r="AB27"/>
  <c r="AB43" s="1"/>
  <c r="AB429" s="1"/>
  <c r="AB447" s="1"/>
  <c r="P26"/>
  <c r="P42" s="1"/>
  <c r="P428" s="1"/>
  <c r="P446" s="1"/>
  <c r="AJ27"/>
  <c r="AJ43" s="1"/>
  <c r="AJ429" s="1"/>
  <c r="AJ447" s="1"/>
  <c r="T27"/>
  <c r="T43" s="1"/>
  <c r="T429" s="1"/>
  <c r="T447" s="1"/>
  <c r="H27"/>
  <c r="H43" s="1"/>
  <c r="H429" s="1"/>
  <c r="H447" s="1"/>
  <c r="AF26"/>
  <c r="AF42" s="1"/>
  <c r="AF428" s="1"/>
  <c r="AF446" s="1"/>
  <c r="H26"/>
  <c r="H42" s="1"/>
  <c r="H428" s="1"/>
  <c r="H446" s="1"/>
  <c r="L27"/>
  <c r="L43" s="1"/>
  <c r="L429" s="1"/>
  <c r="L447" s="1"/>
  <c r="AK26"/>
  <c r="AK42" s="1"/>
  <c r="AK428" s="1"/>
  <c r="AK446" s="1"/>
  <c r="AC26"/>
  <c r="AC42" s="1"/>
  <c r="AC428" s="1"/>
  <c r="AC446" s="1"/>
  <c r="Y26"/>
  <c r="Y42" s="1"/>
  <c r="Y428" s="1"/>
  <c r="Y446" s="1"/>
  <c r="Q26"/>
  <c r="Q42" s="1"/>
  <c r="Q428" s="1"/>
  <c r="Q446" s="1"/>
  <c r="I26"/>
  <c r="I42" s="1"/>
  <c r="I428" s="1"/>
  <c r="I446" s="1"/>
  <c r="X27"/>
  <c r="X43" s="1"/>
  <c r="X429" s="1"/>
  <c r="X447" s="1"/>
  <c r="D75"/>
  <c r="D541" s="1"/>
  <c r="G26"/>
  <c r="G42" s="1"/>
  <c r="G428" s="1"/>
  <c r="G25"/>
  <c r="G41" s="1"/>
  <c r="AI25"/>
  <c r="AI41" s="1"/>
  <c r="AI427" s="1"/>
  <c r="AI445" s="1"/>
  <c r="AE25"/>
  <c r="AE41" s="1"/>
  <c r="AE427" s="1"/>
  <c r="AE445" s="1"/>
  <c r="AA25"/>
  <c r="AA41" s="1"/>
  <c r="AA427" s="1"/>
  <c r="AA445" s="1"/>
  <c r="W25"/>
  <c r="W41" s="1"/>
  <c r="W427" s="1"/>
  <c r="W445" s="1"/>
  <c r="S25"/>
  <c r="S41" s="1"/>
  <c r="S427" s="1"/>
  <c r="S445" s="1"/>
  <c r="K25"/>
  <c r="K41" s="1"/>
  <c r="K427" s="1"/>
  <c r="K445" s="1"/>
  <c r="O25"/>
  <c r="O41" s="1"/>
  <c r="O427" s="1"/>
  <c r="O445" s="1"/>
  <c r="T25"/>
  <c r="T41" s="1"/>
  <c r="T427" s="1"/>
  <c r="T445" s="1"/>
  <c r="AK25"/>
  <c r="AK41" s="1"/>
  <c r="AK427" s="1"/>
  <c r="AK445" s="1"/>
  <c r="AG25"/>
  <c r="AG41" s="1"/>
  <c r="AG427" s="1"/>
  <c r="AG445" s="1"/>
  <c r="AC25"/>
  <c r="AC41" s="1"/>
  <c r="AC427" s="1"/>
  <c r="AC445" s="1"/>
  <c r="Y25"/>
  <c r="Y41" s="1"/>
  <c r="Y427" s="1"/>
  <c r="Y445" s="1"/>
  <c r="Q25"/>
  <c r="Q41" s="1"/>
  <c r="Q427" s="1"/>
  <c r="Q445" s="1"/>
  <c r="M25"/>
  <c r="M41" s="1"/>
  <c r="M427" s="1"/>
  <c r="M445" s="1"/>
  <c r="I25"/>
  <c r="I41" s="1"/>
  <c r="I427" s="1"/>
  <c r="I445" s="1"/>
  <c r="AF25"/>
  <c r="AF41" s="1"/>
  <c r="AF427" s="1"/>
  <c r="AF445" s="1"/>
  <c r="H25"/>
  <c r="H41" s="1"/>
  <c r="H427" s="1"/>
  <c r="H445" s="1"/>
  <c r="D74"/>
  <c r="D539" s="1"/>
  <c r="X25"/>
  <c r="X41" s="1"/>
  <c r="X427" s="1"/>
  <c r="X445" s="1"/>
  <c r="AK24"/>
  <c r="AK40" s="1"/>
  <c r="AK426" s="1"/>
  <c r="AK444" s="1"/>
  <c r="AG24"/>
  <c r="AG40" s="1"/>
  <c r="AG426" s="1"/>
  <c r="AG444" s="1"/>
  <c r="AC24"/>
  <c r="AC40" s="1"/>
  <c r="AC426" s="1"/>
  <c r="AC444" s="1"/>
  <c r="Y24"/>
  <c r="Y40" s="1"/>
  <c r="Y426" s="1"/>
  <c r="Y444" s="1"/>
  <c r="U24"/>
  <c r="U40" s="1"/>
  <c r="U426" s="1"/>
  <c r="U444" s="1"/>
  <c r="Q24"/>
  <c r="Q40" s="1"/>
  <c r="Q426" s="1"/>
  <c r="Q444" s="1"/>
  <c r="M24"/>
  <c r="M40" s="1"/>
  <c r="M426" s="1"/>
  <c r="M444" s="1"/>
  <c r="I24"/>
  <c r="I40" s="1"/>
  <c r="I426" s="1"/>
  <c r="I444" s="1"/>
  <c r="AI23"/>
  <c r="AI39" s="1"/>
  <c r="AI425" s="1"/>
  <c r="AI443" s="1"/>
  <c r="AE23"/>
  <c r="AE39" s="1"/>
  <c r="AE425" s="1"/>
  <c r="AE443" s="1"/>
  <c r="AA23"/>
  <c r="AA39" s="1"/>
  <c r="AA425" s="1"/>
  <c r="AA443" s="1"/>
  <c r="S23"/>
  <c r="S39" s="1"/>
  <c r="S425" s="1"/>
  <c r="S443" s="1"/>
  <c r="G23"/>
  <c r="G39" s="1"/>
  <c r="G425" s="1"/>
  <c r="G443" s="1"/>
  <c r="AB23"/>
  <c r="AB39" s="1"/>
  <c r="AB425" s="1"/>
  <c r="AB443" s="1"/>
  <c r="P23"/>
  <c r="P39" s="1"/>
  <c r="P425" s="1"/>
  <c r="P443" s="1"/>
  <c r="H23"/>
  <c r="H39" s="1"/>
  <c r="H425" s="1"/>
  <c r="H443" s="1"/>
  <c r="AG22"/>
  <c r="AG38" s="1"/>
  <c r="AG424" s="1"/>
  <c r="AG442" s="1"/>
  <c r="AC22"/>
  <c r="AC38" s="1"/>
  <c r="AC424" s="1"/>
  <c r="AC442" s="1"/>
  <c r="U30"/>
  <c r="U46" s="1"/>
  <c r="U61" s="1"/>
  <c r="M22"/>
  <c r="M38" s="1"/>
  <c r="M424" s="1"/>
  <c r="M442" s="1"/>
  <c r="I22"/>
  <c r="I38" s="1"/>
  <c r="I424" s="1"/>
  <c r="I442" s="1"/>
  <c r="Q23"/>
  <c r="Q39" s="1"/>
  <c r="Q425" s="1"/>
  <c r="Q443" s="1"/>
  <c r="D72"/>
  <c r="D535" s="1"/>
  <c r="Y22"/>
  <c r="Y38" s="1"/>
  <c r="Y424" s="1"/>
  <c r="Y442" s="1"/>
  <c r="AI30"/>
  <c r="AI46" s="1"/>
  <c r="AI61" s="1"/>
  <c r="AA30"/>
  <c r="AA46" s="1"/>
  <c r="AA432" s="1"/>
  <c r="AA450" s="1"/>
  <c r="O30"/>
  <c r="O46" s="1"/>
  <c r="O432" s="1"/>
  <c r="O450" s="1"/>
  <c r="G21"/>
  <c r="G37" s="1"/>
  <c r="X30"/>
  <c r="X46" s="1"/>
  <c r="X432" s="1"/>
  <c r="X450" s="1"/>
  <c r="T30"/>
  <c r="T46" s="1"/>
  <c r="T432" s="1"/>
  <c r="T450" s="1"/>
  <c r="H30"/>
  <c r="H46" s="1"/>
  <c r="H432" s="1"/>
  <c r="H450" s="1"/>
  <c r="AK30"/>
  <c r="AK46" s="1"/>
  <c r="AK61" s="1"/>
  <c r="AG21"/>
  <c r="AG37" s="1"/>
  <c r="AG423" s="1"/>
  <c r="AG441" s="1"/>
  <c r="AC30"/>
  <c r="AC46" s="1"/>
  <c r="AC432" s="1"/>
  <c r="AC450" s="1"/>
  <c r="Y30"/>
  <c r="Y46" s="1"/>
  <c r="Y432" s="1"/>
  <c r="Y450" s="1"/>
  <c r="U21"/>
  <c r="U37" s="1"/>
  <c r="U423" s="1"/>
  <c r="U441" s="1"/>
  <c r="Q30"/>
  <c r="Q46" s="1"/>
  <c r="Q432" s="1"/>
  <c r="Q450" s="1"/>
  <c r="M21"/>
  <c r="M37" s="1"/>
  <c r="M423" s="1"/>
  <c r="M441" s="1"/>
  <c r="I21"/>
  <c r="I37" s="1"/>
  <c r="I423" s="1"/>
  <c r="I441" s="1"/>
  <c r="L30"/>
  <c r="L46" s="1"/>
  <c r="L432" s="1"/>
  <c r="L450" s="1"/>
  <c r="J21"/>
  <c r="J37" s="1"/>
  <c r="J423" s="1"/>
  <c r="J441" s="1"/>
  <c r="AD21"/>
  <c r="AD37" s="1"/>
  <c r="AD423" s="1"/>
  <c r="AD441" s="1"/>
  <c r="Z21"/>
  <c r="Z37" s="1"/>
  <c r="Z423" s="1"/>
  <c r="Z441" s="1"/>
  <c r="V21"/>
  <c r="V37" s="1"/>
  <c r="V423" s="1"/>
  <c r="V441" s="1"/>
  <c r="R21"/>
  <c r="R37" s="1"/>
  <c r="R423" s="1"/>
  <c r="R441" s="1"/>
  <c r="N21"/>
  <c r="N37" s="1"/>
  <c r="N423" s="1"/>
  <c r="N441" s="1"/>
  <c r="AG30"/>
  <c r="AG46" s="1"/>
  <c r="AG432" s="1"/>
  <c r="AG450" s="1"/>
  <c r="X21"/>
  <c r="X37" s="1"/>
  <c r="X423" s="1"/>
  <c r="X441" s="1"/>
  <c r="W30"/>
  <c r="W46" s="1"/>
  <c r="W61" s="1"/>
  <c r="S30"/>
  <c r="S46" s="1"/>
  <c r="S61" s="1"/>
  <c r="K30"/>
  <c r="K46" s="1"/>
  <c r="K432" s="1"/>
  <c r="K450" s="1"/>
  <c r="G30"/>
  <c r="G46" s="1"/>
  <c r="G432" s="1"/>
  <c r="G450" s="1"/>
  <c r="AD29"/>
  <c r="AD45" s="1"/>
  <c r="AD431" s="1"/>
  <c r="AD449" s="1"/>
  <c r="V29"/>
  <c r="V45" s="1"/>
  <c r="V431" s="1"/>
  <c r="V449" s="1"/>
  <c r="N29"/>
  <c r="N45" s="1"/>
  <c r="N431" s="1"/>
  <c r="N449" s="1"/>
  <c r="AD27"/>
  <c r="AD43" s="1"/>
  <c r="AD429" s="1"/>
  <c r="AD447" s="1"/>
  <c r="V27"/>
  <c r="V43" s="1"/>
  <c r="V429" s="1"/>
  <c r="V447" s="1"/>
  <c r="N27"/>
  <c r="N43" s="1"/>
  <c r="N429" s="1"/>
  <c r="N447" s="1"/>
  <c r="AH25"/>
  <c r="AH41" s="1"/>
  <c r="AH427" s="1"/>
  <c r="AH445" s="1"/>
  <c r="Z25"/>
  <c r="Z41" s="1"/>
  <c r="Z427" s="1"/>
  <c r="Z445" s="1"/>
  <c r="R25"/>
  <c r="R41" s="1"/>
  <c r="R427" s="1"/>
  <c r="R445" s="1"/>
  <c r="J25"/>
  <c r="J41" s="1"/>
  <c r="J427" s="1"/>
  <c r="J445" s="1"/>
  <c r="AK22"/>
  <c r="AK38" s="1"/>
  <c r="AK424" s="1"/>
  <c r="AK442" s="1"/>
  <c r="Y21"/>
  <c r="Y37" s="1"/>
  <c r="Y423" s="1"/>
  <c r="Y441" s="1"/>
  <c r="L21"/>
  <c r="L37" s="1"/>
  <c r="L423" s="1"/>
  <c r="L441" s="1"/>
  <c r="AE30"/>
  <c r="AE46" s="1"/>
  <c r="M30"/>
  <c r="M46" s="1"/>
  <c r="M61" s="1"/>
  <c r="W23"/>
  <c r="W39" s="1"/>
  <c r="W425" s="1"/>
  <c r="W443" s="1"/>
  <c r="U22"/>
  <c r="U38" s="1"/>
  <c r="U424" s="1"/>
  <c r="U442" s="1"/>
  <c r="T21"/>
  <c r="T37" s="1"/>
  <c r="T423" s="1"/>
  <c r="T441" s="1"/>
  <c r="AI21"/>
  <c r="AI37" s="1"/>
  <c r="AI423" s="1"/>
  <c r="AI441" s="1"/>
  <c r="AE21"/>
  <c r="AE37" s="1"/>
  <c r="AE423" s="1"/>
  <c r="AE441" s="1"/>
  <c r="AA21"/>
  <c r="AA37" s="1"/>
  <c r="AA423" s="1"/>
  <c r="AA441" s="1"/>
  <c r="W21"/>
  <c r="W37" s="1"/>
  <c r="W423" s="1"/>
  <c r="W441" s="1"/>
  <c r="S21"/>
  <c r="S37" s="1"/>
  <c r="S423" s="1"/>
  <c r="S441" s="1"/>
  <c r="O21"/>
  <c r="O37" s="1"/>
  <c r="O423" s="1"/>
  <c r="O441" s="1"/>
  <c r="K21"/>
  <c r="K37" s="1"/>
  <c r="K423" s="1"/>
  <c r="K441" s="1"/>
  <c r="AH29"/>
  <c r="AH45" s="1"/>
  <c r="AH431" s="1"/>
  <c r="AH449" s="1"/>
  <c r="Z29"/>
  <c r="Z45" s="1"/>
  <c r="Z431" s="1"/>
  <c r="Z449" s="1"/>
  <c r="R29"/>
  <c r="R45" s="1"/>
  <c r="R431" s="1"/>
  <c r="R449" s="1"/>
  <c r="J29"/>
  <c r="AH27"/>
  <c r="AH43" s="1"/>
  <c r="AH429" s="1"/>
  <c r="AH447" s="1"/>
  <c r="Z27"/>
  <c r="Z43" s="1"/>
  <c r="Z429" s="1"/>
  <c r="Z447" s="1"/>
  <c r="R27"/>
  <c r="R43" s="1"/>
  <c r="R429" s="1"/>
  <c r="R447" s="1"/>
  <c r="J27"/>
  <c r="V25"/>
  <c r="V41" s="1"/>
  <c r="V427" s="1"/>
  <c r="V445" s="1"/>
  <c r="N25"/>
  <c r="N41" s="1"/>
  <c r="N427" s="1"/>
  <c r="N445" s="1"/>
  <c r="I30"/>
  <c r="I46" s="1"/>
  <c r="I61" s="1"/>
  <c r="AC21"/>
  <c r="AC37" s="1"/>
  <c r="AC423" s="1"/>
  <c r="AC441" s="1"/>
  <c r="H21"/>
  <c r="H37" s="1"/>
  <c r="H423" s="1"/>
  <c r="H441" s="1"/>
  <c r="AI22"/>
  <c r="AI38" s="1"/>
  <c r="AI424" s="1"/>
  <c r="AI442" s="1"/>
  <c r="AE22"/>
  <c r="AE38" s="1"/>
  <c r="AE424" s="1"/>
  <c r="AE442" s="1"/>
  <c r="AA22"/>
  <c r="AA38" s="1"/>
  <c r="AA424" s="1"/>
  <c r="AA442" s="1"/>
  <c r="W22"/>
  <c r="W38" s="1"/>
  <c r="W424" s="1"/>
  <c r="W442" s="1"/>
  <c r="S22"/>
  <c r="S38" s="1"/>
  <c r="S424" s="1"/>
  <c r="S442" s="1"/>
  <c r="O22"/>
  <c r="O38" s="1"/>
  <c r="O424" s="1"/>
  <c r="O442" s="1"/>
  <c r="K22"/>
  <c r="K38" s="1"/>
  <c r="K424" s="1"/>
  <c r="K442" s="1"/>
  <c r="EW163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X373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O376"/>
  <c r="O373"/>
  <c r="O380"/>
  <c r="AA372"/>
  <c r="AA374" s="1"/>
  <c r="FJ182"/>
  <c r="FJ158"/>
  <c r="FJ150"/>
  <c r="FJ143"/>
  <c r="FJ142"/>
  <c r="FJ114"/>
  <c r="FJ159"/>
  <c r="FJ145"/>
  <c r="FJ137"/>
  <c r="FJ131"/>
  <c r="E487"/>
  <c r="H488" s="1"/>
  <c r="FE156"/>
  <c r="FC164"/>
  <c r="T372"/>
  <c r="T381" s="1"/>
  <c r="FC169"/>
  <c r="FC156"/>
  <c r="FC153"/>
  <c r="EZ186"/>
  <c r="EZ177"/>
  <c r="EZ170"/>
  <c r="EZ152"/>
  <c r="EZ145"/>
  <c r="EZ131"/>
  <c r="EZ116"/>
  <c r="E477"/>
  <c r="H478" s="1"/>
  <c r="Q372"/>
  <c r="Q382" s="1"/>
  <c r="EZ182"/>
  <c r="EZ154"/>
  <c r="EZ146"/>
  <c r="EZ137"/>
  <c r="EZ120"/>
  <c r="R372"/>
  <c r="R379" s="1"/>
  <c r="FA174"/>
  <c r="FA181"/>
  <c r="FA162"/>
  <c r="FA156"/>
  <c r="EX157"/>
  <c r="EX150"/>
  <c r="EX143"/>
  <c r="EX120"/>
  <c r="E473"/>
  <c r="H474" s="1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AE382" s="1"/>
  <c r="E511"/>
  <c r="H512" s="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O375"/>
  <c r="O377"/>
  <c r="V372"/>
  <c r="V376" s="1"/>
  <c r="G372"/>
  <c r="G382" s="1"/>
  <c r="H514"/>
  <c r="E497"/>
  <c r="H498" s="1"/>
  <c r="E483"/>
  <c r="H484" s="1"/>
  <c r="AJ372"/>
  <c r="AJ381" s="1"/>
  <c r="FS164"/>
  <c r="FS162"/>
  <c r="FS139"/>
  <c r="FS180"/>
  <c r="FS169"/>
  <c r="FS156"/>
  <c r="FS153"/>
  <c r="AG372"/>
  <c r="AG378" s="1"/>
  <c r="FP152"/>
  <c r="FP145"/>
  <c r="FP143"/>
  <c r="FP131"/>
  <c r="FP116"/>
  <c r="E509"/>
  <c r="H508" s="1"/>
  <c r="FP157"/>
  <c r="FP154"/>
  <c r="FP146"/>
  <c r="FP137"/>
  <c r="FP120"/>
  <c r="K372"/>
  <c r="K378" s="1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O379"/>
  <c r="AH372"/>
  <c r="AH379" s="1"/>
  <c r="AC372"/>
  <c r="AC382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EV98" s="1"/>
  <c r="DN98"/>
  <c r="EX98" s="1"/>
  <c r="DP98"/>
  <c r="EZ98" s="1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EQ128" s="1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EU88" s="1"/>
  <c r="DM88"/>
  <c r="EW88" s="1"/>
  <c r="DO88"/>
  <c r="EY88" s="1"/>
  <c r="DQ88"/>
  <c r="FA88" s="1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ER118" s="1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EQ148" s="1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EY98" s="1"/>
  <c r="DK98"/>
  <c r="EU98" s="1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ES168" s="1"/>
  <c r="DK168"/>
  <c r="EU168" s="1"/>
  <c r="DM168"/>
  <c r="EW168" s="1"/>
  <c r="DO168"/>
  <c r="EY168" s="1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DM147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4"/>
  <c r="H46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H381"/>
  <c r="H377"/>
  <c r="H373"/>
  <c r="H376"/>
  <c r="H374"/>
  <c r="AJ30"/>
  <c r="AJ46" s="1"/>
  <c r="AJ21"/>
  <c r="AJ37" s="1"/>
  <c r="AJ423" s="1"/>
  <c r="AJ441" s="1"/>
  <c r="AF21"/>
  <c r="AF37" s="1"/>
  <c r="AF423" s="1"/>
  <c r="AF441" s="1"/>
  <c r="AF30"/>
  <c r="AF46" s="1"/>
  <c r="AB30"/>
  <c r="AB46" s="1"/>
  <c r="AB21"/>
  <c r="AB37" s="1"/>
  <c r="AB423" s="1"/>
  <c r="AB441" s="1"/>
  <c r="P21"/>
  <c r="P30"/>
  <c r="P46" s="1"/>
  <c r="AH28"/>
  <c r="AH44" s="1"/>
  <c r="AH430" s="1"/>
  <c r="AH448" s="1"/>
  <c r="AD28"/>
  <c r="AD44" s="1"/>
  <c r="AD430" s="1"/>
  <c r="AD448" s="1"/>
  <c r="Z28"/>
  <c r="Z44" s="1"/>
  <c r="Z430" s="1"/>
  <c r="Z448" s="1"/>
  <c r="V28"/>
  <c r="V44" s="1"/>
  <c r="V430" s="1"/>
  <c r="V448" s="1"/>
  <c r="R28"/>
  <c r="R44" s="1"/>
  <c r="R430" s="1"/>
  <c r="R448" s="1"/>
  <c r="N28"/>
  <c r="N44" s="1"/>
  <c r="N430" s="1"/>
  <c r="N448" s="1"/>
  <c r="J28"/>
  <c r="CM128"/>
  <c r="H480"/>
  <c r="H470"/>
  <c r="O382"/>
  <c r="O378"/>
  <c r="O374"/>
  <c r="AH23"/>
  <c r="AH39" s="1"/>
  <c r="AH425" s="1"/>
  <c r="AH443" s="1"/>
  <c r="AH30"/>
  <c r="AH46" s="1"/>
  <c r="AD23"/>
  <c r="AD39" s="1"/>
  <c r="AD425" s="1"/>
  <c r="AD443" s="1"/>
  <c r="AD30"/>
  <c r="AD46" s="1"/>
  <c r="Z23"/>
  <c r="Z39" s="1"/>
  <c r="Z425" s="1"/>
  <c r="Z443" s="1"/>
  <c r="Z30"/>
  <c r="Z46" s="1"/>
  <c r="V23"/>
  <c r="V39" s="1"/>
  <c r="V425" s="1"/>
  <c r="V443" s="1"/>
  <c r="V30"/>
  <c r="V46" s="1"/>
  <c r="R23"/>
  <c r="R39" s="1"/>
  <c r="R425" s="1"/>
  <c r="R443" s="1"/>
  <c r="R30"/>
  <c r="R46" s="1"/>
  <c r="N23"/>
  <c r="N39" s="1"/>
  <c r="N425" s="1"/>
  <c r="N443" s="1"/>
  <c r="N30"/>
  <c r="N46" s="1"/>
  <c r="J23"/>
  <c r="J30"/>
  <c r="D70"/>
  <c r="E459"/>
  <c r="G22"/>
  <c r="D71"/>
  <c r="AH26"/>
  <c r="AH42" s="1"/>
  <c r="AH428" s="1"/>
  <c r="AH446" s="1"/>
  <c r="AD26"/>
  <c r="AD42" s="1"/>
  <c r="AD428" s="1"/>
  <c r="AD446" s="1"/>
  <c r="Z26"/>
  <c r="Z42" s="1"/>
  <c r="Z428" s="1"/>
  <c r="Z446" s="1"/>
  <c r="V26"/>
  <c r="V42" s="1"/>
  <c r="V428" s="1"/>
  <c r="V446" s="1"/>
  <c r="R26"/>
  <c r="R42" s="1"/>
  <c r="R428" s="1"/>
  <c r="R446" s="1"/>
  <c r="N26"/>
  <c r="N42" s="1"/>
  <c r="N428" s="1"/>
  <c r="N446" s="1"/>
  <c r="J26"/>
  <c r="AH24"/>
  <c r="AH40" s="1"/>
  <c r="AH426" s="1"/>
  <c r="AH444" s="1"/>
  <c r="AD24"/>
  <c r="AD40" s="1"/>
  <c r="AD426" s="1"/>
  <c r="AD444" s="1"/>
  <c r="Z24"/>
  <c r="Z40" s="1"/>
  <c r="Z426" s="1"/>
  <c r="Z444" s="1"/>
  <c r="V24"/>
  <c r="V40" s="1"/>
  <c r="V426" s="1"/>
  <c r="V444" s="1"/>
  <c r="R24"/>
  <c r="R40" s="1"/>
  <c r="R426" s="1"/>
  <c r="R444" s="1"/>
  <c r="N24"/>
  <c r="N40" s="1"/>
  <c r="N426" s="1"/>
  <c r="N444" s="1"/>
  <c r="J24"/>
  <c r="J40" s="1"/>
  <c r="J426" s="1"/>
  <c r="J444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I426" s="1"/>
  <c r="AI444" s="1"/>
  <c r="AE24"/>
  <c r="AE40" s="1"/>
  <c r="AE426" s="1"/>
  <c r="AE444" s="1"/>
  <c r="AA24"/>
  <c r="AA40" s="1"/>
  <c r="AA426" s="1"/>
  <c r="AA444" s="1"/>
  <c r="W24"/>
  <c r="W40" s="1"/>
  <c r="W426" s="1"/>
  <c r="W444" s="1"/>
  <c r="S24"/>
  <c r="S40" s="1"/>
  <c r="S426" s="1"/>
  <c r="S444" s="1"/>
  <c r="O24"/>
  <c r="O40" s="1"/>
  <c r="O426" s="1"/>
  <c r="O444" s="1"/>
  <c r="K24"/>
  <c r="K40" s="1"/>
  <c r="K426" s="1"/>
  <c r="K444" s="1"/>
  <c r="G24"/>
  <c r="D457"/>
  <c r="G553"/>
  <c r="AH22"/>
  <c r="AH38" s="1"/>
  <c r="AH424" s="1"/>
  <c r="AH442" s="1"/>
  <c r="AD22"/>
  <c r="AD38" s="1"/>
  <c r="AD424" s="1"/>
  <c r="AD442" s="1"/>
  <c r="Z22"/>
  <c r="Z38" s="1"/>
  <c r="Z424" s="1"/>
  <c r="Z442" s="1"/>
  <c r="V22"/>
  <c r="V38" s="1"/>
  <c r="V424" s="1"/>
  <c r="V442" s="1"/>
  <c r="R22"/>
  <c r="R38" s="1"/>
  <c r="R424" s="1"/>
  <c r="R442" s="1"/>
  <c r="N22"/>
  <c r="N38" s="1"/>
  <c r="N424" s="1"/>
  <c r="N442" s="1"/>
  <c r="J22"/>
  <c r="J38" s="1"/>
  <c r="J424" s="1"/>
  <c r="J442" s="1"/>
  <c r="N378" l="1"/>
  <c r="AF374"/>
  <c r="X381"/>
  <c r="N374"/>
  <c r="N381"/>
  <c r="N373"/>
  <c r="N375"/>
  <c r="AF377"/>
  <c r="S378"/>
  <c r="P381"/>
  <c r="P380"/>
  <c r="S379"/>
  <c r="S377"/>
  <c r="Y382"/>
  <c r="N379"/>
  <c r="AF376"/>
  <c r="N380"/>
  <c r="J378"/>
  <c r="J373"/>
  <c r="J374"/>
  <c r="J375"/>
  <c r="N376"/>
  <c r="P376"/>
  <c r="L381"/>
  <c r="J382"/>
  <c r="N377"/>
  <c r="J381"/>
  <c r="J379"/>
  <c r="M381"/>
  <c r="J380"/>
  <c r="J377"/>
  <c r="AE374"/>
  <c r="AD374"/>
  <c r="H476"/>
  <c r="AB373"/>
  <c r="U373"/>
  <c r="U382"/>
  <c r="AB378"/>
  <c r="AI373"/>
  <c r="M377"/>
  <c r="U374"/>
  <c r="AB379"/>
  <c r="U380"/>
  <c r="W378"/>
  <c r="AI382"/>
  <c r="L379"/>
  <c r="U377"/>
  <c r="U376"/>
  <c r="AJ379"/>
  <c r="Z380"/>
  <c r="U378"/>
  <c r="Z379"/>
  <c r="L373"/>
  <c r="U381"/>
  <c r="AB375"/>
  <c r="AB381"/>
  <c r="AI374"/>
  <c r="L374"/>
  <c r="U375"/>
  <c r="AG380"/>
  <c r="W376"/>
  <c r="Z382"/>
  <c r="AF373"/>
  <c r="P382"/>
  <c r="T378"/>
  <c r="AF381"/>
  <c r="S382"/>
  <c r="AD376"/>
  <c r="P378"/>
  <c r="P375"/>
  <c r="S380"/>
  <c r="Y374"/>
  <c r="AF380"/>
  <c r="AF378"/>
  <c r="P377"/>
  <c r="AF382"/>
  <c r="AH375"/>
  <c r="AF375"/>
  <c r="Q374"/>
  <c r="Y380"/>
  <c r="AD375"/>
  <c r="P379"/>
  <c r="P373"/>
  <c r="S381"/>
  <c r="Y373"/>
  <c r="AK379"/>
  <c r="W382"/>
  <c r="AB377"/>
  <c r="AD373"/>
  <c r="AD378"/>
  <c r="AI376"/>
  <c r="L380"/>
  <c r="L382"/>
  <c r="AA376"/>
  <c r="H482"/>
  <c r="AB374"/>
  <c r="W379"/>
  <c r="W380"/>
  <c r="W381"/>
  <c r="W374"/>
  <c r="H472"/>
  <c r="T380"/>
  <c r="AB382"/>
  <c r="AK376"/>
  <c r="AD377"/>
  <c r="L375"/>
  <c r="L377"/>
  <c r="W373"/>
  <c r="L378"/>
  <c r="AB376"/>
  <c r="W375"/>
  <c r="AE378"/>
  <c r="Q379"/>
  <c r="T377"/>
  <c r="S376"/>
  <c r="Y378"/>
  <c r="AK380"/>
  <c r="V374"/>
  <c r="AK378"/>
  <c r="Z374"/>
  <c r="Z381"/>
  <c r="S373"/>
  <c r="Y379"/>
  <c r="AK375"/>
  <c r="X374"/>
  <c r="AK377"/>
  <c r="Z375"/>
  <c r="Q376"/>
  <c r="S374"/>
  <c r="Y376"/>
  <c r="AK373"/>
  <c r="AK382"/>
  <c r="V381"/>
  <c r="H496"/>
  <c r="Z373"/>
  <c r="AK374"/>
  <c r="Y375"/>
  <c r="Y377"/>
  <c r="G459"/>
  <c r="AC380"/>
  <c r="M373"/>
  <c r="AG377"/>
  <c r="AJ373"/>
  <c r="M379"/>
  <c r="M375"/>
  <c r="AI381"/>
  <c r="AI380"/>
  <c r="AI377"/>
  <c r="AI379"/>
  <c r="AI375"/>
  <c r="M374"/>
  <c r="M382"/>
  <c r="M376"/>
  <c r="AA382"/>
  <c r="AJ378"/>
  <c r="M378"/>
  <c r="Z377"/>
  <c r="Z376"/>
  <c r="AC376"/>
  <c r="AA377"/>
  <c r="AC381"/>
  <c r="AC378"/>
  <c r="AA375"/>
  <c r="AG375"/>
  <c r="AJ374"/>
  <c r="AJ382"/>
  <c r="H490"/>
  <c r="AD382"/>
  <c r="AD380"/>
  <c r="AD381"/>
  <c r="H500"/>
  <c r="H460"/>
  <c r="AC374"/>
  <c r="AA379"/>
  <c r="AG373"/>
  <c r="AG382"/>
  <c r="AJ380"/>
  <c r="H510"/>
  <c r="FU92"/>
  <c r="DW217"/>
  <c r="DX212"/>
  <c r="DK219"/>
  <c r="DF216"/>
  <c r="EH221"/>
  <c r="DO217"/>
  <c r="EH214"/>
  <c r="DP219"/>
  <c r="DT217"/>
  <c r="DR212"/>
  <c r="DS221"/>
  <c r="DV217"/>
  <c r="FU131"/>
  <c r="EG213"/>
  <c r="EA221"/>
  <c r="EH212"/>
  <c r="EA215"/>
  <c r="EI219"/>
  <c r="DF214"/>
  <c r="DF212"/>
  <c r="DF218"/>
  <c r="FU137"/>
  <c r="DF219"/>
  <c r="DF217"/>
  <c r="DF221"/>
  <c r="FR168"/>
  <c r="EH220"/>
  <c r="FT168"/>
  <c r="EJ220"/>
  <c r="FS168"/>
  <c r="EI220"/>
  <c r="FC168"/>
  <c r="DS220"/>
  <c r="FH118"/>
  <c r="DX215"/>
  <c r="FO98"/>
  <c r="EE213"/>
  <c r="FG148"/>
  <c r="DW218"/>
  <c r="EY148"/>
  <c r="DO218"/>
  <c r="FM88"/>
  <c r="EC212"/>
  <c r="FE88"/>
  <c r="DU212"/>
  <c r="FQ128"/>
  <c r="EG216"/>
  <c r="ES128"/>
  <c r="DI216"/>
  <c r="FT98"/>
  <c r="EJ213"/>
  <c r="FD98"/>
  <c r="DT213"/>
  <c r="FK108"/>
  <c r="EA214"/>
  <c r="ER168"/>
  <c r="DH220"/>
  <c r="FR118"/>
  <c r="EH215"/>
  <c r="FB118"/>
  <c r="DR215"/>
  <c r="FB128"/>
  <c r="DR216"/>
  <c r="FK98"/>
  <c r="EA213"/>
  <c r="EZ148"/>
  <c r="DP218"/>
  <c r="FI148"/>
  <c r="DY218"/>
  <c r="FK128"/>
  <c r="EA216"/>
  <c r="EU128"/>
  <c r="DK216"/>
  <c r="FF98"/>
  <c r="DV213"/>
  <c r="FA108"/>
  <c r="DQ214"/>
  <c r="FI108"/>
  <c r="DY214"/>
  <c r="FQ108"/>
  <c r="EG214"/>
  <c r="FH168"/>
  <c r="DX220"/>
  <c r="FD168"/>
  <c r="DT220"/>
  <c r="FO168"/>
  <c r="EE220"/>
  <c r="FG168"/>
  <c r="DW220"/>
  <c r="EQ168"/>
  <c r="DG220"/>
  <c r="FT118"/>
  <c r="EJ215"/>
  <c r="FL118"/>
  <c r="EB215"/>
  <c r="FD118"/>
  <c r="DT215"/>
  <c r="EX128"/>
  <c r="DN216"/>
  <c r="FN128"/>
  <c r="ED216"/>
  <c r="FA118"/>
  <c r="DQ215"/>
  <c r="FQ118"/>
  <c r="EG215"/>
  <c r="EQ98"/>
  <c r="DG213"/>
  <c r="FG98"/>
  <c r="DW213"/>
  <c r="FT148"/>
  <c r="EJ218"/>
  <c r="FD148"/>
  <c r="DT218"/>
  <c r="FS148"/>
  <c r="EI218"/>
  <c r="FK148"/>
  <c r="EA218"/>
  <c r="FC148"/>
  <c r="DS218"/>
  <c r="FQ88"/>
  <c r="EG212"/>
  <c r="FI88"/>
  <c r="DY212"/>
  <c r="ES88"/>
  <c r="DI212"/>
  <c r="FM128"/>
  <c r="EC216"/>
  <c r="FE128"/>
  <c r="DU216"/>
  <c r="EW128"/>
  <c r="DM216"/>
  <c r="FP98"/>
  <c r="EF213"/>
  <c r="FH98"/>
  <c r="DX213"/>
  <c r="ER98"/>
  <c r="DH213"/>
  <c r="DF215"/>
  <c r="DU221"/>
  <c r="EF221"/>
  <c r="DU219"/>
  <c r="EE219"/>
  <c r="DY213"/>
  <c r="DU213"/>
  <c r="EJ221"/>
  <c r="DO215"/>
  <c r="DT212"/>
  <c r="DX214"/>
  <c r="FU102"/>
  <c r="DG214"/>
  <c r="DL217"/>
  <c r="DN219"/>
  <c r="DP214"/>
  <c r="DN218"/>
  <c r="DW219"/>
  <c r="DS215"/>
  <c r="DJ219"/>
  <c r="EB214"/>
  <c r="DS217"/>
  <c r="EA217"/>
  <c r="DI215"/>
  <c r="DY221"/>
  <c r="DR218"/>
  <c r="EE215"/>
  <c r="DO221"/>
  <c r="EI221"/>
  <c r="DO219"/>
  <c r="EC217"/>
  <c r="DZ214"/>
  <c r="FU162"/>
  <c r="DM219"/>
  <c r="DN221"/>
  <c r="EF220"/>
  <c r="EF217"/>
  <c r="EG219"/>
  <c r="EG217"/>
  <c r="DJ221"/>
  <c r="EF219"/>
  <c r="DI221"/>
  <c r="EE221"/>
  <c r="DR219"/>
  <c r="DX219"/>
  <c r="DZ218"/>
  <c r="DU217"/>
  <c r="DI213"/>
  <c r="DJ212"/>
  <c r="DZ212"/>
  <c r="ED214"/>
  <c r="EF212"/>
  <c r="EC221"/>
  <c r="EH218"/>
  <c r="EF216"/>
  <c r="DV214"/>
  <c r="DY219"/>
  <c r="DY217"/>
  <c r="EC213"/>
  <c r="EJ212"/>
  <c r="ED221"/>
  <c r="DP221"/>
  <c r="ED219"/>
  <c r="EJ217"/>
  <c r="DL220"/>
  <c r="FE108"/>
  <c r="DU214"/>
  <c r="FM108"/>
  <c r="EC214"/>
  <c r="FN168"/>
  <c r="ED220"/>
  <c r="FK168"/>
  <c r="EA220"/>
  <c r="FP118"/>
  <c r="EF215"/>
  <c r="EZ118"/>
  <c r="DP215"/>
  <c r="FF128"/>
  <c r="DV216"/>
  <c r="FI118"/>
  <c r="DY215"/>
  <c r="FL148"/>
  <c r="EB218"/>
  <c r="FO148"/>
  <c r="EE218"/>
  <c r="FI128"/>
  <c r="DY216"/>
  <c r="FA128"/>
  <c r="DQ216"/>
  <c r="FL98"/>
  <c r="EB213"/>
  <c r="EW178"/>
  <c r="FU178" s="1"/>
  <c r="DM221"/>
  <c r="FC108"/>
  <c r="DS214"/>
  <c r="FS108"/>
  <c r="EI214"/>
  <c r="FM168"/>
  <c r="EC220"/>
  <c r="FE168"/>
  <c r="DU220"/>
  <c r="FJ118"/>
  <c r="DZ215"/>
  <c r="FR128"/>
  <c r="EH216"/>
  <c r="FE118"/>
  <c r="DU215"/>
  <c r="FP148"/>
  <c r="EF218"/>
  <c r="FQ148"/>
  <c r="EG218"/>
  <c r="FA148"/>
  <c r="DQ218"/>
  <c r="FO88"/>
  <c r="EE212"/>
  <c r="FG88"/>
  <c r="DW212"/>
  <c r="EQ88"/>
  <c r="DG212"/>
  <c r="FS128"/>
  <c r="EI216"/>
  <c r="FC128"/>
  <c r="DS216"/>
  <c r="FN98"/>
  <c r="ED213"/>
  <c r="EY108"/>
  <c r="DO214"/>
  <c r="FG108"/>
  <c r="DW214"/>
  <c r="FO108"/>
  <c r="EE214"/>
  <c r="FB168"/>
  <c r="DR220"/>
  <c r="FF168"/>
  <c r="DV220"/>
  <c r="FL168"/>
  <c r="EB220"/>
  <c r="FQ168"/>
  <c r="EG220"/>
  <c r="FI168"/>
  <c r="DY220"/>
  <c r="FA168"/>
  <c r="DQ220"/>
  <c r="FN118"/>
  <c r="ED215"/>
  <c r="FF118"/>
  <c r="DV215"/>
  <c r="EX118"/>
  <c r="DN215"/>
  <c r="ET128"/>
  <c r="DJ216"/>
  <c r="FJ128"/>
  <c r="DZ216"/>
  <c r="FM118"/>
  <c r="EC215"/>
  <c r="FC98"/>
  <c r="DS213"/>
  <c r="FS98"/>
  <c r="EI213"/>
  <c r="FH148"/>
  <c r="DX218"/>
  <c r="FM148"/>
  <c r="EC218"/>
  <c r="FE148"/>
  <c r="DU218"/>
  <c r="FS88"/>
  <c r="EI212"/>
  <c r="FK88"/>
  <c r="EA212"/>
  <c r="FC88"/>
  <c r="DS212"/>
  <c r="FO128"/>
  <c r="EE216"/>
  <c r="FG128"/>
  <c r="DW216"/>
  <c r="EY128"/>
  <c r="DO216"/>
  <c r="FR98"/>
  <c r="EH213"/>
  <c r="FJ98"/>
  <c r="DZ213"/>
  <c r="FB98"/>
  <c r="DR213"/>
  <c r="ET98"/>
  <c r="DJ213"/>
  <c r="FU170"/>
  <c r="FU173"/>
  <c r="DH219"/>
  <c r="DW215"/>
  <c r="DP217"/>
  <c r="DX216"/>
  <c r="DI217"/>
  <c r="DP220"/>
  <c r="DX217"/>
  <c r="EB212"/>
  <c r="FU125"/>
  <c r="FU106"/>
  <c r="DF220"/>
  <c r="DF213"/>
  <c r="FU129"/>
  <c r="FU158"/>
  <c r="DL219"/>
  <c r="DQ221"/>
  <c r="EF214"/>
  <c r="DQ217"/>
  <c r="DV221"/>
  <c r="EG221"/>
  <c r="DR217"/>
  <c r="EJ219"/>
  <c r="DV219"/>
  <c r="DL221"/>
  <c r="DZ221"/>
  <c r="DV218"/>
  <c r="DT216"/>
  <c r="DR214"/>
  <c r="DL216"/>
  <c r="EK171"/>
  <c r="EK156"/>
  <c r="DJ217"/>
  <c r="DH221"/>
  <c r="DX221"/>
  <c r="EB219"/>
  <c r="EB217"/>
  <c r="DT214"/>
  <c r="DZ219"/>
  <c r="DZ217"/>
  <c r="ED212"/>
  <c r="DS219"/>
  <c r="EB216"/>
  <c r="DW221"/>
  <c r="DQ219"/>
  <c r="EH219"/>
  <c r="EH217"/>
  <c r="EJ214"/>
  <c r="DT219"/>
  <c r="ED217"/>
  <c r="EB221"/>
  <c r="ED218"/>
  <c r="DG221"/>
  <c r="DT221"/>
  <c r="DG219"/>
  <c r="EA219"/>
  <c r="DN217"/>
  <c r="EE217"/>
  <c r="EJ216"/>
  <c r="EI215"/>
  <c r="DH212"/>
  <c r="DK221"/>
  <c r="DJ220"/>
  <c r="DP216"/>
  <c r="DV212"/>
  <c r="DR221"/>
  <c r="DZ220"/>
  <c r="EC219"/>
  <c r="EI217"/>
  <c r="DN214"/>
  <c r="EW147"/>
  <c r="DM217"/>
  <c r="EU147"/>
  <c r="DK217"/>
  <c r="DH214"/>
  <c r="DL214"/>
  <c r="DJ214"/>
  <c r="EW118"/>
  <c r="DM215"/>
  <c r="ET118"/>
  <c r="DJ215"/>
  <c r="FA91"/>
  <c r="EU91"/>
  <c r="EV123"/>
  <c r="DL215"/>
  <c r="EU123"/>
  <c r="DK215"/>
  <c r="ET155"/>
  <c r="DJ218"/>
  <c r="ES155"/>
  <c r="DI218"/>
  <c r="ER148"/>
  <c r="EW116"/>
  <c r="DM214"/>
  <c r="EU116"/>
  <c r="DK214"/>
  <c r="ES116"/>
  <c r="DI214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J429" s="1"/>
  <c r="J447" s="1"/>
  <c r="C447" s="1"/>
  <c r="C379"/>
  <c r="D411" s="1"/>
  <c r="AK432"/>
  <c r="AK450" s="1"/>
  <c r="C378"/>
  <c r="D410" s="1"/>
  <c r="U432"/>
  <c r="U450" s="1"/>
  <c r="H61"/>
  <c r="AI432"/>
  <c r="AI450" s="1"/>
  <c r="Y61"/>
  <c r="AC61"/>
  <c r="I432"/>
  <c r="I450" s="1"/>
  <c r="S432"/>
  <c r="S450" s="1"/>
  <c r="AG61"/>
  <c r="M432"/>
  <c r="M450" s="1"/>
  <c r="W432"/>
  <c r="W450" s="1"/>
  <c r="O61"/>
  <c r="AA61"/>
  <c r="K61"/>
  <c r="J45"/>
  <c r="J431" s="1"/>
  <c r="J449" s="1"/>
  <c r="C449" s="1"/>
  <c r="D25"/>
  <c r="G61"/>
  <c r="EX175"/>
  <c r="DN220"/>
  <c r="EW175"/>
  <c r="DM220"/>
  <c r="EU175"/>
  <c r="FU165"/>
  <c r="EV153"/>
  <c r="DL218"/>
  <c r="EW154"/>
  <c r="DM218"/>
  <c r="EU154"/>
  <c r="DK218"/>
  <c r="K381"/>
  <c r="K379"/>
  <c r="K373"/>
  <c r="K380"/>
  <c r="K376"/>
  <c r="AE432"/>
  <c r="AE450" s="1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G427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D26"/>
  <c r="C374"/>
  <c r="D533"/>
  <c r="G446"/>
  <c r="I540"/>
  <c r="P432"/>
  <c r="P450" s="1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I510" s="1"/>
  <c r="J510" s="1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Z432"/>
  <c r="Z450" s="1"/>
  <c r="Z61"/>
  <c r="AB432"/>
  <c r="AB450" s="1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I472" s="1"/>
  <c r="J472" s="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G475"/>
  <c r="F459"/>
  <c r="I542"/>
  <c r="I550"/>
  <c r="J39"/>
  <c r="D23"/>
  <c r="G448"/>
  <c r="AF432"/>
  <c r="AF450" s="1"/>
  <c r="AF61"/>
  <c r="EP107"/>
  <c r="FU107" s="1"/>
  <c r="EK107"/>
  <c r="EP155"/>
  <c r="EK155"/>
  <c r="EP123"/>
  <c r="EK123"/>
  <c r="EP130"/>
  <c r="FU130" s="1"/>
  <c r="EK130"/>
  <c r="G441"/>
  <c r="F517"/>
  <c r="I518" s="1"/>
  <c r="J518" s="1"/>
  <c r="G517"/>
  <c r="F501"/>
  <c r="I502" s="1"/>
  <c r="J502" s="1"/>
  <c r="G501"/>
  <c r="F485"/>
  <c r="G485"/>
  <c r="F469"/>
  <c r="I470" s="1"/>
  <c r="J470" s="1"/>
  <c r="G469"/>
  <c r="R432"/>
  <c r="R450" s="1"/>
  <c r="R61"/>
  <c r="AH432"/>
  <c r="AH450" s="1"/>
  <c r="AH61"/>
  <c r="AJ432"/>
  <c r="AJ450" s="1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G481"/>
  <c r="F481"/>
  <c r="G473"/>
  <c r="F473"/>
  <c r="I474" s="1"/>
  <c r="J474" s="1"/>
  <c r="G465"/>
  <c r="F465"/>
  <c r="I466" s="1"/>
  <c r="J466" s="1"/>
  <c r="G38"/>
  <c r="D22"/>
  <c r="C373"/>
  <c r="D531"/>
  <c r="N432"/>
  <c r="N450" s="1"/>
  <c r="N61"/>
  <c r="V432"/>
  <c r="V450" s="1"/>
  <c r="V61"/>
  <c r="AD432"/>
  <c r="AD450" s="1"/>
  <c r="AD61"/>
  <c r="I536"/>
  <c r="J44"/>
  <c r="D28"/>
  <c r="P37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I476" l="1"/>
  <c r="J476" s="1"/>
  <c r="K478" s="1"/>
  <c r="I504"/>
  <c r="J504" s="1"/>
  <c r="K504" s="1"/>
  <c r="I482"/>
  <c r="J482" s="1"/>
  <c r="K484" s="1"/>
  <c r="I500"/>
  <c r="J500" s="1"/>
  <c r="K502" s="1"/>
  <c r="I490"/>
  <c r="J490" s="1"/>
  <c r="K492" s="1"/>
  <c r="I496"/>
  <c r="J496" s="1"/>
  <c r="K496" s="1"/>
  <c r="I460"/>
  <c r="J460" s="1"/>
  <c r="K462" s="1"/>
  <c r="FU108"/>
  <c r="FU168"/>
  <c r="FU153"/>
  <c r="FU154"/>
  <c r="FU88"/>
  <c r="Y11"/>
  <c r="DG233"/>
  <c r="FU116"/>
  <c r="DG234"/>
  <c r="FU128"/>
  <c r="AC8" s="1"/>
  <c r="FU148"/>
  <c r="DG232"/>
  <c r="DG226"/>
  <c r="FU98"/>
  <c r="AE5" s="1"/>
  <c r="AD13"/>
  <c r="X11"/>
  <c r="DG229"/>
  <c r="FU147"/>
  <c r="AD9" s="1"/>
  <c r="DG230"/>
  <c r="Z9"/>
  <c r="FU118"/>
  <c r="DG228"/>
  <c r="FU91"/>
  <c r="DG225"/>
  <c r="FU123"/>
  <c r="FU155"/>
  <c r="DG231"/>
  <c r="DG227"/>
  <c r="I546"/>
  <c r="D43"/>
  <c r="E43" s="1"/>
  <c r="C429"/>
  <c r="E41"/>
  <c r="D377"/>
  <c r="E377" s="1"/>
  <c r="K470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K482"/>
  <c r="K514"/>
  <c r="D375"/>
  <c r="E375" s="1"/>
  <c r="C431"/>
  <c r="D32"/>
  <c r="AN15" s="1"/>
  <c r="K510"/>
  <c r="D45"/>
  <c r="E45" s="1"/>
  <c r="FU175"/>
  <c r="AD11"/>
  <c r="AC11"/>
  <c r="K472"/>
  <c r="C427"/>
  <c r="G445"/>
  <c r="C445" s="1"/>
  <c r="K494"/>
  <c r="I486"/>
  <c r="J486" s="1"/>
  <c r="K486" s="1"/>
  <c r="K518"/>
  <c r="AE13"/>
  <c r="D374"/>
  <c r="E374" s="1"/>
  <c r="D37"/>
  <c r="P423"/>
  <c r="E414"/>
  <c r="G414"/>
  <c r="Z5"/>
  <c r="Y5"/>
  <c r="X5"/>
  <c r="D40"/>
  <c r="E40" s="1"/>
  <c r="G426"/>
  <c r="G411"/>
  <c r="E411"/>
  <c r="G413"/>
  <c r="E413"/>
  <c r="Z10"/>
  <c r="X10"/>
  <c r="Y10"/>
  <c r="Z12"/>
  <c r="X12"/>
  <c r="Y12"/>
  <c r="J428"/>
  <c r="D42"/>
  <c r="E42" s="1"/>
  <c r="D44"/>
  <c r="E44" s="1"/>
  <c r="J430"/>
  <c r="E409"/>
  <c r="G409"/>
  <c r="D38"/>
  <c r="E38" s="1"/>
  <c r="G424"/>
  <c r="D39"/>
  <c r="E39" s="1"/>
  <c r="J425"/>
  <c r="Z8"/>
  <c r="Y8"/>
  <c r="X8"/>
  <c r="E412"/>
  <c r="G412"/>
  <c r="G408"/>
  <c r="E408"/>
  <c r="AE11"/>
  <c r="K516"/>
  <c r="K512"/>
  <c r="G520"/>
  <c r="AR15" s="1"/>
  <c r="X9"/>
  <c r="Z11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432"/>
  <c r="J61"/>
  <c r="D61" s="1"/>
  <c r="D46"/>
  <c r="E46" s="1"/>
  <c r="D406"/>
  <c r="K464"/>
  <c r="K466"/>
  <c r="Y9"/>
  <c r="K474"/>
  <c r="K480"/>
  <c r="K468"/>
  <c r="AE7" l="1"/>
  <c r="DH231"/>
  <c r="K476"/>
  <c r="DH227"/>
  <c r="DH232"/>
  <c r="K490"/>
  <c r="DH234"/>
  <c r="DH228"/>
  <c r="DH230"/>
  <c r="DH233"/>
  <c r="DH229"/>
  <c r="K506"/>
  <c r="K498"/>
  <c r="K500"/>
  <c r="AC6"/>
  <c r="AE6"/>
  <c r="AC4"/>
  <c r="AD5"/>
  <c r="AF5" s="1"/>
  <c r="AD6"/>
  <c r="DH226"/>
  <c r="AC12"/>
  <c r="AC5"/>
  <c r="AA11"/>
  <c r="AD8"/>
  <c r="AE8"/>
  <c r="AA13"/>
  <c r="AF13"/>
  <c r="AE10"/>
  <c r="AE9"/>
  <c r="AF9" s="1"/>
  <c r="AC9"/>
  <c r="AA9"/>
  <c r="F395"/>
  <c r="F381" s="1"/>
  <c r="F390"/>
  <c r="F376" s="1"/>
  <c r="F394"/>
  <c r="F380" s="1"/>
  <c r="U58" s="1"/>
  <c r="AC7"/>
  <c r="AD4"/>
  <c r="AE4"/>
  <c r="AD7"/>
  <c r="AD10"/>
  <c r="AC10"/>
  <c r="AA6"/>
  <c r="F396"/>
  <c r="F382" s="1"/>
  <c r="K60" s="1"/>
  <c r="F392"/>
  <c r="F378" s="1"/>
  <c r="K56" s="1"/>
  <c r="F389"/>
  <c r="F375" s="1"/>
  <c r="J53" s="1"/>
  <c r="K58"/>
  <c r="Z58"/>
  <c r="H58"/>
  <c r="I58"/>
  <c r="S58"/>
  <c r="M58"/>
  <c r="W58"/>
  <c r="N58"/>
  <c r="X58"/>
  <c r="Y58"/>
  <c r="K460"/>
  <c r="AH58"/>
  <c r="L58"/>
  <c r="AE58"/>
  <c r="V58"/>
  <c r="AB58"/>
  <c r="AC58"/>
  <c r="M54"/>
  <c r="AG54"/>
  <c r="AF54"/>
  <c r="N54"/>
  <c r="Z54"/>
  <c r="Q54"/>
  <c r="W54"/>
  <c r="U54"/>
  <c r="T54"/>
  <c r="AE54"/>
  <c r="AA54"/>
  <c r="P54"/>
  <c r="S54"/>
  <c r="AK54"/>
  <c r="AJ54"/>
  <c r="V54"/>
  <c r="AD58"/>
  <c r="G58"/>
  <c r="J58"/>
  <c r="AA58"/>
  <c r="AF58"/>
  <c r="P58"/>
  <c r="AG58"/>
  <c r="Q58"/>
  <c r="F391"/>
  <c r="F377" s="1"/>
  <c r="O58"/>
  <c r="R58"/>
  <c r="AI58"/>
  <c r="AJ58"/>
  <c r="T58"/>
  <c r="AK58"/>
  <c r="K488"/>
  <c r="AD12"/>
  <c r="AA12"/>
  <c r="AE12"/>
  <c r="AF11"/>
  <c r="AI54"/>
  <c r="AD54"/>
  <c r="R54"/>
  <c r="G54"/>
  <c r="X54"/>
  <c r="H54"/>
  <c r="Y54"/>
  <c r="I54"/>
  <c r="J54"/>
  <c r="K54"/>
  <c r="AH54"/>
  <c r="O54"/>
  <c r="AB54"/>
  <c r="L54"/>
  <c r="AC54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H59"/>
  <c r="L59"/>
  <c r="P59"/>
  <c r="T59"/>
  <c r="X59"/>
  <c r="AB59"/>
  <c r="AF59"/>
  <c r="AJ59"/>
  <c r="G59"/>
  <c r="K59"/>
  <c r="O59"/>
  <c r="S59"/>
  <c r="W59"/>
  <c r="AA59"/>
  <c r="AE59"/>
  <c r="AI59"/>
  <c r="J59"/>
  <c r="R59"/>
  <c r="Z59"/>
  <c r="AH59"/>
  <c r="AC59"/>
  <c r="I59"/>
  <c r="Q59"/>
  <c r="Y59"/>
  <c r="AG59"/>
  <c r="N59"/>
  <c r="V59"/>
  <c r="AD59"/>
  <c r="M59"/>
  <c r="U59"/>
  <c r="AK59"/>
  <c r="F388"/>
  <c r="F374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AF7" l="1"/>
  <c r="AF6"/>
  <c r="AF10"/>
  <c r="AF8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D58"/>
  <c r="I520"/>
  <c r="F522" s="1"/>
  <c r="D54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/>
  <c r="D56" l="1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<sst xmlns="http://schemas.openxmlformats.org/spreadsheetml/2006/main" count="1026" uniqueCount="150">
  <si>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</si>
  <si>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</si>
  <si>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</si>
  <si>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</si>
  <si>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</si>
  <si>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</si>
  <si>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</si>
  <si>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</si>
  <si>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</si>
  <si>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</si>
  <si>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</si>
  <si>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</si>
  <si>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</si>
  <si>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</si>
  <si>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</si>
  <si>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</si>
  <si>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</si>
  <si>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</si>
  <si>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</si>
  <si>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</si>
  <si>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</si>
  <si>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</si>
  <si>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</si>
  <si>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</si>
  <si>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</si>
  <si>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</si>
  <si>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</si>
  <si>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</si>
  <si>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</si>
  <si>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</si>
  <si>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</si>
  <si>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</si>
  <si>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</si>
  <si>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</si>
  <si>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</si>
  <si>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</si>
  <si>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</si>
  <si>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</si>
  <si>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</si>
  <si>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</si>
  <si>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</si>
  <si>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</si>
  <si>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</si>
  <si>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</si>
  <si>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</si>
  <si>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</si>
  <si>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</si>
  <si>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</si>
  <si>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</si>
  <si>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</si>
  <si>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</si>
  <si>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</si>
  <si>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</si>
  <si>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</si>
  <si>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</si>
  <si>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</si>
  <si>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</si>
  <si>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</si>
  <si>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</si>
  <si>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</si>
  <si>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</si>
  <si>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</si>
  <si>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</si>
  <si>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</si>
  <si>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</si>
  <si>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</si>
  <si>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</si>
  <si>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</si>
  <si>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</si>
  <si>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</si>
  <si>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</si>
  <si>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</si>
  <si>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</si>
  <si>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</si>
  <si>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</si>
  <si>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</si>
  <si>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</si>
  <si>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</si>
  <si>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</si>
  <si>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</si>
  <si>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</si>
  <si>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</si>
  <si>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</si>
  <si>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</si>
  <si>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</si>
  <si>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</si>
  <si>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</si>
  <si>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</si>
  <si>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</si>
  <si>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</si>
  <si>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</si>
  <si>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</si>
  <si>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</si>
  <si>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</si>
  <si>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</si>
  <si>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</si>
  <si>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</si>
  <si>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</si>
  <si>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</si>
  <si>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</si>
  <si>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</si>
  <si>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</si>
  <si>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</si>
  <si>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</si>
  <si>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</si>
  <si>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</si>
  <si>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</si>
  <si>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</si>
  <si>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</si>
  <si>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</si>
  <si>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</si>
  <si>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</si>
  <si>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</si>
  <si>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</si>
  <si>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</si>
  <si>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</si>
  <si>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</si>
  <si>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</si>
  <si>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</si>
  <si>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</si>
  <si>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</si>
  <si>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</si>
  <si>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</si>
  <si>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</si>
  <si>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</si>
  <si>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</si>
  <si>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</si>
  <si>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</si>
  <si>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</si>
  <si>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</si>
  <si>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</si>
  <si>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</si>
  <si>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</si>
  <si>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</si>
  <si>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</si>
  <si>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</si>
  <si>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</si>
  <si>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</si>
  <si>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</si>
  <si>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</si>
  <si>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</si>
  <si>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</si>
  <si>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</si>
  <si>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Boot</t>
  </si>
  <si>
    <t>Upper 95% CI</t>
  </si>
  <si>
    <t>Lower 95% CI</t>
  </si>
  <si>
    <t>Interval Growth Variation</t>
  </si>
  <si>
    <t>Avg. Boot Prod</t>
  </si>
  <si>
    <t>Inerval Growth Prod - Boot</t>
  </si>
  <si>
    <t>Oligo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</si>
</sst>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36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1" borderId="0" xfId="0" applyFill="1"/>
    <xf numFmtId="0" fontId="1" fillId="31" borderId="10" xfId="0" applyFont="1" applyFill="1" applyBorder="1"/>
    <xf numFmtId="2" fontId="3" fillId="29" borderId="0" xfId="0" applyNumberFormat="1" applyFont="1" applyFill="1" applyBorder="1"/>
    <xf numFmtId="0" fontId="1" fillId="30" borderId="13" xfId="0" applyFont="1" applyFill="1" applyBorder="1" applyAlignment="1"/>
    <xf numFmtId="0" fontId="1" fillId="30" borderId="14" xfId="0" applyFont="1" applyFill="1" applyBorder="1" applyAlignment="1"/>
    <xf numFmtId="0" fontId="1" fillId="32" borderId="0" xfId="0" applyFont="1" applyFill="1"/>
    <xf numFmtId="0" fontId="1" fillId="33" borderId="10" xfId="0" applyFont="1" applyFill="1" applyBorder="1"/>
    <xf numFmtId="0" fontId="1" fillId="30" borderId="14" xfId="0" applyFont="1" applyFill="1" applyBorder="1" applyAlignment="1">
      <alignment horizontal="center"/>
    </xf>
    <xf numFmtId="164" fontId="1" fillId="30" borderId="14" xfId="0" applyNumberFormat="1" applyFont="1" applyFill="1" applyBorder="1" applyAlignment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66" fontId="1" fillId="26" borderId="10" xfId="0" applyNumberFormat="1" applyFont="1" applyFill="1" applyBorder="1"/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2" borderId="12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1338"/>
  <sheetViews>
    <sheetView tabSelected="1" topLeftCell="A9" zoomScale="85" zoomScaleNormal="85" workbookViewId="0">
      <selection activeCell="E21" sqref="E21:E30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bestFit="1" customWidth="1"/>
    <col min="165" max="165" width="9.7109375" style="8" customWidth="1"/>
    <col min="166" max="176" width="8.85546875" style="8"/>
    <col min="177" max="177" width="15.140625" style="8" customWidth="1"/>
    <col min="178" max="182" width="8.85546875" style="8"/>
    <col min="183" max="183" width="9.85546875" style="8" bestFit="1" customWidth="1"/>
    <col min="184" max="184" width="9.7109375" style="8" bestFit="1" customWidth="1"/>
    <col min="185" max="185" width="9.42578125" style="8" bestFit="1" customWidth="1"/>
    <col min="186" max="187" width="9.7109375" style="8" bestFit="1" customWidth="1"/>
    <col min="188" max="189" width="8.85546875" style="8"/>
    <col min="190" max="190" width="9.85546875" style="8" bestFit="1" customWidth="1"/>
    <col min="191" max="191" width="9.42578125" style="8" bestFit="1" customWidth="1"/>
    <col min="192" max="16384" width="8.85546875" style="8"/>
  </cols>
  <sheetData>
    <row r="1" spans="1:196" s="7" customFormat="1">
      <c r="A1" s="181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9"/>
      <c r="FY2" s="209"/>
      <c r="FZ2" s="209"/>
      <c r="GA2" s="209"/>
      <c r="GB2" s="209"/>
      <c r="GC2" s="231" t="s">
        <v>148</v>
      </c>
      <c r="GD2" s="231"/>
      <c r="GE2" s="231"/>
      <c r="GF2" s="231"/>
      <c r="GG2" s="231"/>
      <c r="GH2" s="231"/>
      <c r="GI2" s="231"/>
      <c r="GJ2" s="209"/>
      <c r="GK2" s="209"/>
      <c r="GL2" s="209"/>
      <c r="GM2" s="209"/>
      <c r="GN2" s="209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9"/>
      <c r="FY3" s="207"/>
      <c r="FZ3" s="207"/>
      <c r="GA3" s="207"/>
      <c r="GB3" s="207"/>
      <c r="GC3" s="207"/>
      <c r="GD3" s="207"/>
      <c r="GE3" s="207"/>
      <c r="GF3" s="207"/>
      <c r="GG3" s="207"/>
      <c r="GH3" s="207"/>
      <c r="GI3" s="207"/>
      <c r="GJ3" s="207"/>
      <c r="GK3" s="207"/>
      <c r="GL3" s="207"/>
      <c r="GM3" s="207"/>
      <c r="GN3" s="209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</v>
      </c>
      <c r="H4" s="1"/>
      <c r="I4" s="4"/>
      <c r="J4" s="5"/>
      <c r="K4" s="20" t="s">
        <v>28</v>
      </c>
      <c r="L4" s="13"/>
      <c r="M4" s="130">
        <v>70.252306435394672</v>
      </c>
      <c r="N4" s="130">
        <v>48.383857996880565</v>
      </c>
      <c r="O4" s="130">
        <v>384.27724856844981</v>
      </c>
      <c r="P4" s="130">
        <v>0</v>
      </c>
      <c r="Q4" s="130">
        <v>48.26935664108683</v>
      </c>
      <c r="R4" s="130">
        <v>356.94201466291508</v>
      </c>
      <c r="S4" s="131">
        <v>28.309845605652395</v>
      </c>
      <c r="T4" s="131">
        <v>156.17991942173728</v>
      </c>
      <c r="U4" s="5"/>
      <c r="V4" s="4"/>
      <c r="W4" s="127">
        <f t="shared" ref="W4:W13" si="0">C4</f>
        <v>39646</v>
      </c>
      <c r="X4" s="132">
        <f>AVERAGE(EK88:EK97)</f>
        <v>2.083333333333333</v>
      </c>
      <c r="Y4" s="131">
        <f>COUNT(EK88:EK97)</f>
        <v>10</v>
      </c>
      <c r="Z4" s="130">
        <f>STDEV(EK88:EK97)</f>
        <v>4.3920523057894156</v>
      </c>
      <c r="AA4" s="130">
        <f>Z4/SQRT(Y4)</f>
        <v>1.3888888888888888</v>
      </c>
      <c r="AB4" s="131"/>
      <c r="AC4" s="130">
        <f>AVERAGE($FU88:$FU97)</f>
        <v>4.1720635239703346E-2</v>
      </c>
      <c r="AD4" s="132">
        <f>COUNT($FU88:$FU97)</f>
        <v>10</v>
      </c>
      <c r="AE4" s="130">
        <f>STDEV($FU88:$FU97)</f>
        <v>0.10011041357321067</v>
      </c>
      <c r="AF4" s="130">
        <f>AE4/SQRT(AD4)</f>
        <v>3.1657692439278136E-2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34" t="s">
        <v>146</v>
      </c>
      <c r="FK4" s="234"/>
      <c r="FL4" s="234"/>
      <c r="FM4" s="234"/>
      <c r="FN4" s="5"/>
      <c r="FO4" s="5"/>
      <c r="FX4" s="209"/>
      <c r="FY4" s="211" t="s">
        <v>143</v>
      </c>
      <c r="FZ4" s="212">
        <f>C4</f>
        <v>39646</v>
      </c>
      <c r="GA4" s="212">
        <f>C5</f>
        <v>39673</v>
      </c>
      <c r="GB4" s="212">
        <f>C6</f>
        <v>39714</v>
      </c>
      <c r="GC4" s="212">
        <f>C7</f>
        <v>39747</v>
      </c>
      <c r="GD4" s="212">
        <f>C8</f>
        <v>39775</v>
      </c>
      <c r="GE4" s="212">
        <f>C9</f>
        <v>39799</v>
      </c>
      <c r="GF4" s="212">
        <f>C10</f>
        <v>39847</v>
      </c>
      <c r="GG4" s="212">
        <f>C11</f>
        <v>39910</v>
      </c>
      <c r="GH4" s="212">
        <f>C12</f>
        <v>39949</v>
      </c>
      <c r="GI4" s="212">
        <f>C13</f>
        <v>39987</v>
      </c>
      <c r="GJ4" s="208"/>
      <c r="GK4" s="208"/>
      <c r="GL4" s="208"/>
      <c r="GM4" s="208"/>
      <c r="GN4" s="209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73.336146304675708</v>
      </c>
      <c r="N5" s="130">
        <f t="shared" si="1"/>
        <v>50.188582542146072</v>
      </c>
      <c r="O5" s="130">
        <f t="shared" si="1"/>
        <v>405.1657903254694</v>
      </c>
      <c r="P5" s="130">
        <f t="shared" si="1"/>
        <v>0</v>
      </c>
      <c r="Q5" s="130">
        <f t="shared" si="1"/>
        <v>50.315221061561168</v>
      </c>
      <c r="R5" s="130">
        <f t="shared" si="1"/>
        <v>361.06267730450054</v>
      </c>
      <c r="S5" s="131">
        <f t="shared" si="1"/>
        <v>29.677376097818438</v>
      </c>
      <c r="T5" s="131">
        <f t="shared" si="1"/>
        <v>171.82476605985752</v>
      </c>
      <c r="U5" s="5"/>
      <c r="V5" s="4"/>
      <c r="W5" s="127">
        <f t="shared" si="0"/>
        <v>39673</v>
      </c>
      <c r="X5" s="132">
        <f>AVERAGE(EK98:EK107)</f>
        <v>2.083333333333333</v>
      </c>
      <c r="Y5" s="131">
        <f>COUNT(EK98:EK107)</f>
        <v>10</v>
      </c>
      <c r="Z5" s="130">
        <f>STDEV(EK98:EK107)</f>
        <v>4.3920523057894156</v>
      </c>
      <c r="AA5" s="130">
        <f t="shared" ref="AA5:AA13" si="2">Z5/SQRT(Y5)</f>
        <v>1.3888888888888888</v>
      </c>
      <c r="AB5" s="131"/>
      <c r="AC5" s="130">
        <f>AVERAGE($FU98:$FU107)</f>
        <v>9.5605073384358058E-2</v>
      </c>
      <c r="AD5" s="132">
        <f>COUNT($FU98:$FU107)</f>
        <v>10</v>
      </c>
      <c r="AE5" s="130">
        <f>STDEV($FU98:$FU107)</f>
        <v>0.23494665469558035</v>
      </c>
      <c r="AF5" s="130">
        <f t="shared" ref="AF5:AF13" si="3">AE5/SQRT(AD5)</f>
        <v>7.4296655747512791E-2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09"/>
      <c r="FY5" s="209"/>
      <c r="FZ5" s="209"/>
      <c r="GA5" s="209"/>
      <c r="GB5" s="209"/>
      <c r="GC5" s="209"/>
      <c r="GD5" s="209"/>
      <c r="GE5" s="209"/>
      <c r="GF5" s="209"/>
      <c r="GG5" s="209"/>
      <c r="GH5" s="209"/>
      <c r="GI5" s="209"/>
      <c r="GJ5" s="209"/>
      <c r="GK5" s="209"/>
      <c r="GL5" s="209"/>
      <c r="GM5" s="209"/>
      <c r="GN5" s="209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81.105173768225228</v>
      </c>
      <c r="N6" s="130">
        <f t="shared" si="4"/>
        <v>58.726913641424161</v>
      </c>
      <c r="O6" s="130">
        <f t="shared" si="4"/>
        <v>481.38092725758116</v>
      </c>
      <c r="P6" s="130">
        <f t="shared" si="4"/>
        <v>0</v>
      </c>
      <c r="Q6" s="130">
        <f t="shared" si="4"/>
        <v>58.713293602994497</v>
      </c>
      <c r="R6" s="130">
        <f t="shared" si="4"/>
        <v>411.57305708018083</v>
      </c>
      <c r="S6" s="130">
        <f t="shared" si="4"/>
        <v>35.83714616325792</v>
      </c>
      <c r="T6" s="130">
        <f t="shared" si="4"/>
        <v>237.99392185941818</v>
      </c>
      <c r="U6" s="5"/>
      <c r="V6" s="4"/>
      <c r="W6" s="127">
        <f t="shared" si="0"/>
        <v>39714</v>
      </c>
      <c r="X6" s="132">
        <f>AVERAGE(EK108:EK117)</f>
        <v>97.526041666666657</v>
      </c>
      <c r="Y6" s="131">
        <f>COUNT(EK108:EK117)</f>
        <v>10</v>
      </c>
      <c r="Z6" s="130">
        <f>STDEV(EK108:EK117)</f>
        <v>278.97720782489296</v>
      </c>
      <c r="AA6" s="130">
        <f t="shared" si="2"/>
        <v>88.220339200081014</v>
      </c>
      <c r="AB6" s="131"/>
      <c r="AC6" s="130">
        <f>AVERAGE($FU108:$FU117)</f>
        <v>0.39373871217491779</v>
      </c>
      <c r="AD6" s="132">
        <f>COUNT($FU108:$FU117)</f>
        <v>10</v>
      </c>
      <c r="AE6" s="130">
        <f>STDEV($FU108:$FU117)</f>
        <v>0.99927362209407777</v>
      </c>
      <c r="AF6" s="130">
        <f t="shared" si="3"/>
        <v>0.31599806515436413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32" t="s">
        <v>147</v>
      </c>
      <c r="FJ6" s="232"/>
      <c r="FK6" s="233" t="s">
        <v>144</v>
      </c>
      <c r="FL6" s="233"/>
      <c r="FM6" s="233" t="s">
        <v>145</v>
      </c>
      <c r="FN6" s="233"/>
      <c r="FO6" s="5"/>
      <c r="FY6" s="210">
        <v>1</v>
      </c>
      <c r="FZ6" s="205">
        <v>26.71477573594559</v>
      </c>
      <c r="GA6" s="205">
        <v>31.030207249481414</v>
      </c>
      <c r="GB6" s="205">
        <v>30.183700810366734</v>
      </c>
      <c r="GC6" s="205">
        <v>6.6808076526719482</v>
      </c>
      <c r="GD6" s="205">
        <v>7.1556520823326979</v>
      </c>
      <c r="GE6" s="205">
        <v>11.760633493741718</v>
      </c>
      <c r="GF6" s="205">
        <v>104.69619611504471</v>
      </c>
      <c r="GG6" s="205">
        <v>55.979445544924545</v>
      </c>
      <c r="GH6" s="205">
        <v>54.607153524591794</v>
      </c>
      <c r="GI6" s="205">
        <v>39.964093747337422</v>
      </c>
      <c r="GJ6" s="205"/>
      <c r="GK6" s="205"/>
      <c r="GL6" s="205"/>
      <c r="GM6" s="205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64.379889548768205</v>
      </c>
      <c r="N7" s="130">
        <f t="shared" si="5"/>
        <v>39.52273575422501</v>
      </c>
      <c r="O7" s="130">
        <f t="shared" si="5"/>
        <v>276.06815375537622</v>
      </c>
      <c r="P7" s="130">
        <f t="shared" si="5"/>
        <v>0</v>
      </c>
      <c r="Q7" s="130">
        <f t="shared" si="5"/>
        <v>38.609093896364705</v>
      </c>
      <c r="R7" s="130">
        <f t="shared" si="5"/>
        <v>290.83737831659403</v>
      </c>
      <c r="S7" s="130">
        <f t="shared" si="5"/>
        <v>21.884230800674271</v>
      </c>
      <c r="T7" s="130">
        <f t="shared" si="5"/>
        <v>114.8735353223904</v>
      </c>
      <c r="U7" s="5"/>
      <c r="V7" s="4"/>
      <c r="W7" s="127">
        <f t="shared" si="0"/>
        <v>39747</v>
      </c>
      <c r="X7" s="132">
        <f>AVERAGE(EK118:EK127)</f>
        <v>23.363095238095237</v>
      </c>
      <c r="Y7" s="131">
        <f>COUNT(EK118:EK127)</f>
        <v>10</v>
      </c>
      <c r="Z7" s="130">
        <f>STDEV(EK118:EK127)</f>
        <v>70.296816824045095</v>
      </c>
      <c r="AA7" s="130">
        <f t="shared" si="2"/>
        <v>22.229805342362646</v>
      </c>
      <c r="AB7" s="131"/>
      <c r="AC7" s="130">
        <f>AVERAGE($FU118:$FU127)</f>
        <v>8.7540237331644663E-2</v>
      </c>
      <c r="AD7" s="132">
        <f>COUNT($FU118:$FU127)</f>
        <v>10</v>
      </c>
      <c r="AE7" s="130">
        <f>STDEV($FU118:$FU127)</f>
        <v>0.19024687506745133</v>
      </c>
      <c r="AF7" s="130">
        <f t="shared" si="3"/>
        <v>6.0161344294264597E-2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3">
        <f t="shared" ref="FH7:FH16" si="6">C4</f>
        <v>39646</v>
      </c>
      <c r="FI7" s="235">
        <f>AVERAGE(FZ6:FZ1005)</f>
        <v>24.406435293374081</v>
      </c>
      <c r="FJ7" s="235"/>
      <c r="FK7" s="235">
        <f>PERCENTILE($FZ$6:$FZ$1005,0.975)</f>
        <v>29.499794259808858</v>
      </c>
      <c r="FL7" s="235"/>
      <c r="FM7" s="235">
        <f>PERCENTILE($FZ$6:$FZ$1005,0.025)</f>
        <v>16.002132153350338</v>
      </c>
      <c r="FN7" s="235"/>
      <c r="FO7" s="5"/>
      <c r="FY7" s="210">
        <v>2</v>
      </c>
      <c r="FZ7" s="205">
        <v>17.6612509651709</v>
      </c>
      <c r="GA7" s="205">
        <v>30.004269342488605</v>
      </c>
      <c r="GB7" s="205">
        <v>37.776941661480613</v>
      </c>
      <c r="GC7" s="205">
        <v>5.1056030636072052</v>
      </c>
      <c r="GD7" s="205">
        <v>7.8548611071952177</v>
      </c>
      <c r="GE7" s="205">
        <v>14.962537812498645</v>
      </c>
      <c r="GF7" s="205">
        <v>131.61547737901759</v>
      </c>
      <c r="GG7" s="205">
        <v>89.334931425454684</v>
      </c>
      <c r="GH7" s="205">
        <v>93.305962682381903</v>
      </c>
      <c r="GI7" s="205">
        <v>49.356928646348528</v>
      </c>
      <c r="GJ7" s="205"/>
      <c r="GK7" s="205"/>
      <c r="GL7" s="205"/>
      <c r="GM7" s="205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4.1666666666666661</v>
      </c>
      <c r="Y8" s="131">
        <f>COUNT(EK128:EK137)</f>
        <v>10</v>
      </c>
      <c r="Z8" s="130">
        <f>STDEV(EK128:EK137)</f>
        <v>8.7841046115788313</v>
      </c>
      <c r="AA8" s="130">
        <f t="shared" si="2"/>
        <v>2.7777777777777777</v>
      </c>
      <c r="AB8" s="131"/>
      <c r="AC8" s="130">
        <f>AVERAGE($FU128:$FU137)</f>
        <v>0.10484984502183617</v>
      </c>
      <c r="AD8" s="132">
        <f>COUNT($FU128:$FU137)</f>
        <v>10</v>
      </c>
      <c r="AE8" s="130">
        <f>STDEV($FU128:$FU137)</f>
        <v>0.22655064929069252</v>
      </c>
      <c r="AF8" s="130">
        <f t="shared" si="3"/>
        <v>7.1641605714859821E-2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3">
        <f t="shared" si="6"/>
        <v>39673</v>
      </c>
      <c r="FI8" s="235">
        <f>AVERAGE(GA6:GA1005)</f>
        <v>29.19677607871056</v>
      </c>
      <c r="FJ8" s="235"/>
      <c r="FK8" s="235">
        <f>PERCENTILE($GA$6:$GA$1005,0.975)</f>
        <v>38.014777506225933</v>
      </c>
      <c r="FL8" s="235"/>
      <c r="FM8" s="235">
        <f>PERCENTILE($GA$6:$GA$1005,0.025)</f>
        <v>20.850997269843614</v>
      </c>
      <c r="FN8" s="235"/>
      <c r="FO8" s="5"/>
      <c r="FY8" s="210">
        <v>3</v>
      </c>
      <c r="FZ8" s="205">
        <v>26.696422610724845</v>
      </c>
      <c r="GA8" s="205">
        <v>37.460037928169747</v>
      </c>
      <c r="GB8" s="205">
        <v>37.449273233351768</v>
      </c>
      <c r="GC8" s="205">
        <v>6.0293281631832194</v>
      </c>
      <c r="GD8" s="205">
        <v>6.5435135117517644</v>
      </c>
      <c r="GE8" s="205">
        <v>13.751736684880028</v>
      </c>
      <c r="GF8" s="205">
        <v>71.681348639280316</v>
      </c>
      <c r="GG8" s="205">
        <v>47.453212371589444</v>
      </c>
      <c r="GH8" s="205">
        <v>57.529580432660993</v>
      </c>
      <c r="GI8" s="205">
        <v>36.08542776857967</v>
      </c>
      <c r="GJ8" s="205"/>
      <c r="GK8" s="205"/>
      <c r="GL8" s="205"/>
      <c r="GM8" s="205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6.2499999999999991</v>
      </c>
      <c r="Y9" s="131">
        <f>COUNT(EK138:EK147)</f>
        <v>10</v>
      </c>
      <c r="Z9" s="130">
        <f>STDEV(EK138:EK147)</f>
        <v>13.176156917368246</v>
      </c>
      <c r="AA9" s="130">
        <f t="shared" si="2"/>
        <v>4.1666666666666661</v>
      </c>
      <c r="AB9" s="131"/>
      <c r="AC9" s="130">
        <f>AVERAGE($FU138:$FU147)</f>
        <v>0.10725082592027466</v>
      </c>
      <c r="AD9" s="132">
        <f>COUNT($FU138:$FU147)</f>
        <v>10</v>
      </c>
      <c r="AE9" s="130">
        <f>STDEV($FU138:$FU147)</f>
        <v>0.23168003656465158</v>
      </c>
      <c r="AF9" s="130">
        <f t="shared" si="3"/>
        <v>7.3263660393539098E-2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3">
        <f t="shared" si="6"/>
        <v>39714</v>
      </c>
      <c r="FI9" s="235">
        <f>AVERAGE(GB6:GB1005)</f>
        <v>33.811988558803549</v>
      </c>
      <c r="FJ9" s="235"/>
      <c r="FK9" s="235">
        <f>PERCENTILE($GB$6:$GB$1005,0.975)</f>
        <v>37.703216265151624</v>
      </c>
      <c r="FL9" s="235"/>
      <c r="FM9" s="235">
        <f>PERCENTILE($GB$6:$GB$1005,0.025)</f>
        <v>26.030137231676814</v>
      </c>
      <c r="FN9" s="235"/>
      <c r="FO9" s="5"/>
      <c r="FY9" s="210">
        <v>4</v>
      </c>
      <c r="FZ9" s="205">
        <v>24.17189815409499</v>
      </c>
      <c r="GA9" s="205">
        <v>21.968458639666061</v>
      </c>
      <c r="GB9" s="205">
        <v>36.639310077767675</v>
      </c>
      <c r="GC9" s="205">
        <v>6.8276158611904831</v>
      </c>
      <c r="GD9" s="205">
        <v>7.681489474662639</v>
      </c>
      <c r="GE9" s="205">
        <v>12.624710560849749</v>
      </c>
      <c r="GF9" s="205">
        <v>57.721850362519845</v>
      </c>
      <c r="GG9" s="205">
        <v>30.053708555429498</v>
      </c>
      <c r="GH9" s="205">
        <v>28.25000712404049</v>
      </c>
      <c r="GI9" s="205">
        <v>31.370861451633466</v>
      </c>
      <c r="GJ9" s="205"/>
      <c r="GK9" s="205"/>
      <c r="GL9" s="205"/>
      <c r="GM9" s="205"/>
    </row>
    <row r="10" spans="1:196" s="7" customFormat="1">
      <c r="A10" s="143"/>
      <c r="B10" s="2"/>
      <c r="C10" s="17">
        <v>39847</v>
      </c>
      <c r="D10" s="18">
        <f>COUNTA(C288:C297)</f>
        <v>10</v>
      </c>
      <c r="E10" s="109">
        <v>10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0</v>
      </c>
      <c r="Y10" s="131">
        <f>COUNT(EK148:EK157)</f>
        <v>10</v>
      </c>
      <c r="Z10" s="130">
        <f>STDEV(EK148:EK157)</f>
        <v>0</v>
      </c>
      <c r="AA10" s="130">
        <f t="shared" si="2"/>
        <v>0</v>
      </c>
      <c r="AB10" s="131"/>
      <c r="AC10" s="130">
        <f>AVERAGE($FU148:$FU157)</f>
        <v>0</v>
      </c>
      <c r="AD10" s="132">
        <f>COUNT($FU148:$FU157)</f>
        <v>10</v>
      </c>
      <c r="AE10" s="130">
        <f>STDEV($FU148:$FU157)</f>
        <v>0</v>
      </c>
      <c r="AF10" s="130">
        <f t="shared" si="3"/>
        <v>0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3">
        <f t="shared" si="6"/>
        <v>39747</v>
      </c>
      <c r="FI10" s="235">
        <f>AVERAGE(GC6:GC1005)</f>
        <v>5.7594247413558426</v>
      </c>
      <c r="FJ10" s="235"/>
      <c r="FK10" s="235">
        <f>PERCENTILE($GC$6:$GC$1005,0.975)</f>
        <v>6.8172588863246091</v>
      </c>
      <c r="FL10" s="235"/>
      <c r="FM10" s="235">
        <f>PERCENTILE($GC$6:$GC$1005,0.025)</f>
        <v>4.2977806635480977</v>
      </c>
      <c r="FN10" s="235"/>
      <c r="FO10" s="5"/>
      <c r="FY10" s="210">
        <v>5</v>
      </c>
      <c r="FZ10" s="205">
        <v>28.581817535928344</v>
      </c>
      <c r="GA10" s="205">
        <v>22.244552618705505</v>
      </c>
      <c r="GB10" s="205">
        <v>24.824263934637806</v>
      </c>
      <c r="GC10" s="205">
        <v>4.0632515796599691</v>
      </c>
      <c r="GD10" s="205">
        <v>6.8956639485589415</v>
      </c>
      <c r="GE10" s="205">
        <v>14.80697600052838</v>
      </c>
      <c r="GF10" s="205">
        <v>140.06596221333876</v>
      </c>
      <c r="GG10" s="205">
        <v>79.839388171558994</v>
      </c>
      <c r="GH10" s="205">
        <v>51.965509064349483</v>
      </c>
      <c r="GI10" s="205">
        <v>43.54328520863514</v>
      </c>
      <c r="GJ10" s="205"/>
      <c r="GK10" s="205"/>
      <c r="GL10" s="205"/>
      <c r="GM10" s="205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2.083333333333333</v>
      </c>
      <c r="Y11" s="131">
        <f>COUNT(EK158:EK167)</f>
        <v>10</v>
      </c>
      <c r="Z11" s="130">
        <f>STDEV(EK158:EK167)</f>
        <v>4.3920523057894156</v>
      </c>
      <c r="AA11" s="130">
        <f t="shared" si="2"/>
        <v>1.3888888888888888</v>
      </c>
      <c r="AB11" s="131"/>
      <c r="AC11" s="130">
        <f>AVERAGE($FU158:$FU167)</f>
        <v>0.11384465691500156</v>
      </c>
      <c r="AD11" s="132">
        <f>COUNT($FU158:$FU167)</f>
        <v>10</v>
      </c>
      <c r="AE11" s="130">
        <f>STDEV($FU158:$FU167)</f>
        <v>0.27591085079770711</v>
      </c>
      <c r="AF11" s="130">
        <f t="shared" si="3"/>
        <v>8.7250671967564003E-2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3">
        <f t="shared" si="6"/>
        <v>39775</v>
      </c>
      <c r="FI11" s="235">
        <f>AVERAGE(GD5:GD1005)</f>
        <v>6.4447092268077242</v>
      </c>
      <c r="FJ11" s="235"/>
      <c r="FK11" s="235">
        <f>PERCENTILE($GD$6:$GD$1005,0.975)</f>
        <v>7.8158524898753878</v>
      </c>
      <c r="FL11" s="235"/>
      <c r="FM11" s="235">
        <f>PERCENTILE($GD$6:$GD$1005,0.025)</f>
        <v>4.6437476556694222</v>
      </c>
      <c r="FN11" s="235"/>
      <c r="FO11" s="5"/>
      <c r="FY11" s="210">
        <v>6</v>
      </c>
      <c r="FZ11" s="205">
        <v>23.086728062306356</v>
      </c>
      <c r="GA11" s="205">
        <v>20.639081291122476</v>
      </c>
      <c r="GB11" s="205">
        <v>34.019562125974154</v>
      </c>
      <c r="GC11" s="205">
        <v>5.4168091832576355</v>
      </c>
      <c r="GD11" s="205">
        <v>6.1011323299525291</v>
      </c>
      <c r="GE11" s="205">
        <v>10.587756124849218</v>
      </c>
      <c r="GF11" s="205">
        <v>108.91343855977229</v>
      </c>
      <c r="GG11" s="205">
        <v>60.156941489119518</v>
      </c>
      <c r="GH11" s="205">
        <v>93.958910896767719</v>
      </c>
      <c r="GI11" s="205">
        <v>44.272580134924347</v>
      </c>
      <c r="GJ11" s="205"/>
      <c r="GK11" s="205"/>
      <c r="GL11" s="205"/>
      <c r="GM11" s="205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5.208333333333333</v>
      </c>
      <c r="Y12" s="131">
        <f>COUNT(EK168:EK177)</f>
        <v>10</v>
      </c>
      <c r="Z12" s="130">
        <f>STDEV(EK168:EK177)</f>
        <v>7.3656956373598694</v>
      </c>
      <c r="AA12" s="130">
        <f t="shared" si="2"/>
        <v>2.3292374765622808</v>
      </c>
      <c r="AB12" s="131"/>
      <c r="AC12" s="130">
        <f>AVERAGE($FU168:$FU177)</f>
        <v>0.30738204287379362</v>
      </c>
      <c r="AD12" s="132">
        <f>COUNT($FU168:$FU177)</f>
        <v>10</v>
      </c>
      <c r="AE12" s="130">
        <f>STDEV($FU168:$FU177)</f>
        <v>0.54795586840991239</v>
      </c>
      <c r="AF12" s="130">
        <f t="shared" si="3"/>
        <v>0.173278860143083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3">
        <f t="shared" si="6"/>
        <v>39799</v>
      </c>
      <c r="FI12" s="235">
        <f>AVERAGE(GE6:GE1005)</f>
        <v>11.68545146836297</v>
      </c>
      <c r="FJ12" s="235"/>
      <c r="FK12" s="235">
        <f>PERCENTILE($GE$6:$GE$1005,0.975)</f>
        <v>14.927536404805336</v>
      </c>
      <c r="FL12" s="235"/>
      <c r="FM12" s="235">
        <f>PERCENTILE($GE$6:$GE$1005,0.025)</f>
        <v>7.4573544667554161</v>
      </c>
      <c r="FN12" s="235"/>
      <c r="FO12" s="5"/>
      <c r="FY12" s="210">
        <v>7</v>
      </c>
      <c r="FZ12" s="205">
        <v>28.32097488198011</v>
      </c>
      <c r="GA12" s="205">
        <v>35.493581409125753</v>
      </c>
      <c r="GB12" s="205">
        <v>32.65413405386122</v>
      </c>
      <c r="GC12" s="205">
        <v>5.1638475621758042</v>
      </c>
      <c r="GD12" s="205">
        <v>4.394822533557047</v>
      </c>
      <c r="GE12" s="205">
        <v>6.9104048341080597</v>
      </c>
      <c r="GF12" s="205">
        <v>136.03566700729749</v>
      </c>
      <c r="GG12" s="205">
        <v>86.543541452560675</v>
      </c>
      <c r="GH12" s="205">
        <v>78.520886839014167</v>
      </c>
      <c r="GI12" s="205">
        <v>44.116109062811823</v>
      </c>
      <c r="GJ12" s="205"/>
      <c r="GK12" s="205"/>
      <c r="GL12" s="205"/>
      <c r="GM12" s="205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0</v>
      </c>
      <c r="Y13" s="131">
        <f>COUNT(EK178:EK187)</f>
        <v>10</v>
      </c>
      <c r="Z13" s="130">
        <f>STDEV(EK178:EK187)</f>
        <v>0</v>
      </c>
      <c r="AA13" s="130">
        <f t="shared" si="2"/>
        <v>0</v>
      </c>
      <c r="AB13" s="131"/>
      <c r="AC13" s="130">
        <f>AVERAGE($FU178:$FU187)</f>
        <v>0</v>
      </c>
      <c r="AD13" s="132">
        <f>COUNT($FU178:$FU187)</f>
        <v>10</v>
      </c>
      <c r="AE13" s="130">
        <f>STDEV($FU178:$FU187)</f>
        <v>0</v>
      </c>
      <c r="AF13" s="130">
        <f t="shared" si="3"/>
        <v>0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3">
        <f t="shared" si="6"/>
        <v>39847</v>
      </c>
      <c r="FI13" s="235">
        <f>AVERAGE(GF6:GF1005)</f>
        <v>116.23231655998229</v>
      </c>
      <c r="FJ13" s="235"/>
      <c r="FK13" s="235">
        <f>PERCENTILE($GF$6:$GF$1005,0.975)</f>
        <v>149.6976754462774</v>
      </c>
      <c r="FL13" s="235"/>
      <c r="FM13" s="235">
        <f>PERCENTILE($GF$6:$GF$1005,0.025)</f>
        <v>60.862737474790954</v>
      </c>
      <c r="FN13" s="235"/>
      <c r="FO13" s="5"/>
      <c r="FY13" s="210">
        <v>8</v>
      </c>
      <c r="FZ13" s="205">
        <v>29.76630363125804</v>
      </c>
      <c r="GA13" s="205">
        <v>38.175830932113215</v>
      </c>
      <c r="GB13" s="205">
        <v>33.596245937500463</v>
      </c>
      <c r="GC13" s="205">
        <v>6.781584861786599</v>
      </c>
      <c r="GD13" s="205">
        <v>6.7969565538454271</v>
      </c>
      <c r="GE13" s="205">
        <v>11.635099231759966</v>
      </c>
      <c r="GF13" s="205">
        <v>152.49397928809827</v>
      </c>
      <c r="GG13" s="205">
        <v>82.21276373686581</v>
      </c>
      <c r="GH13" s="205">
        <v>72.011113009761246</v>
      </c>
      <c r="GI13" s="205">
        <v>49.18909744709007</v>
      </c>
      <c r="GJ13" s="205"/>
      <c r="GK13" s="205"/>
      <c r="GL13" s="205"/>
      <c r="GM13" s="205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3">
        <f t="shared" si="6"/>
        <v>39910</v>
      </c>
      <c r="FI14" s="235">
        <f>AVERAGE(GG6:GG1005)</f>
        <v>68.778116594719435</v>
      </c>
      <c r="FJ14" s="235"/>
      <c r="FK14" s="235">
        <f>PERCENTILE($GG$6:$GG$1005,0.975)</f>
        <v>88.70686868155353</v>
      </c>
      <c r="FL14" s="235"/>
      <c r="FM14" s="235">
        <f>PERCENTILE($GG$6:$GG$1005,0.025)</f>
        <v>33.968596914065486</v>
      </c>
      <c r="FN14" s="235"/>
      <c r="FO14" s="5"/>
      <c r="FY14" s="210">
        <v>9</v>
      </c>
      <c r="FZ14" s="205">
        <v>15.52045249830566</v>
      </c>
      <c r="GA14" s="205">
        <v>21.580930085438649</v>
      </c>
      <c r="GB14" s="205">
        <v>34.477486209103148</v>
      </c>
      <c r="GC14" s="205">
        <v>5.1450044882174248</v>
      </c>
      <c r="GD14" s="205">
        <v>5.5011564096120473</v>
      </c>
      <c r="GE14" s="205">
        <v>10.4733678500954</v>
      </c>
      <c r="GF14" s="205">
        <v>130.26939019779491</v>
      </c>
      <c r="GG14" s="205">
        <v>79.53706696116096</v>
      </c>
      <c r="GH14" s="205">
        <v>47.49051571118234</v>
      </c>
      <c r="GI14" s="205">
        <v>38.950401392079151</v>
      </c>
      <c r="GJ14" s="205"/>
      <c r="GK14" s="205"/>
      <c r="GL14" s="205"/>
      <c r="GM14" s="205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74.633578431372541</v>
      </c>
      <c r="AO15" s="163">
        <f>D48</f>
        <v>0.88123729128834838</v>
      </c>
      <c r="AP15" s="163">
        <f>D63</f>
        <v>6.9629474734386747</v>
      </c>
      <c r="AQ15" s="163" t="e">
        <f>C453</f>
        <v>#NUM!</v>
      </c>
      <c r="AR15" s="163">
        <f>G520</f>
        <v>0.84147352322637092</v>
      </c>
      <c r="AS15" s="163">
        <f>I523</f>
        <v>7.7364274993706461</v>
      </c>
      <c r="AT15" s="122">
        <f>G556</f>
        <v>0.69879150855471195</v>
      </c>
      <c r="AU15" s="122">
        <f>I556</f>
        <v>1.5937714391111037</v>
      </c>
      <c r="AV15" s="23"/>
      <c r="AW15" s="23"/>
      <c r="FG15" s="5"/>
      <c r="FH15" s="213">
        <f t="shared" si="6"/>
        <v>39949</v>
      </c>
      <c r="FI15" s="235">
        <f>AVERAGE(GH6:GH1005)</f>
        <v>66.585786111641511</v>
      </c>
      <c r="FJ15" s="235"/>
      <c r="FK15" s="235">
        <f>PERCENTILE($GH$6:$GH$1005,0.975)</f>
        <v>93.811997548530911</v>
      </c>
      <c r="FL15" s="235"/>
      <c r="FM15" s="235">
        <f>PERCENTILE($GH$6:$GH$1005,0.025)</f>
        <v>32.579121556147406</v>
      </c>
      <c r="FN15" s="235"/>
      <c r="FO15" s="5"/>
      <c r="FY15" s="210">
        <v>10</v>
      </c>
      <c r="FZ15" s="205">
        <v>23.543728858025968</v>
      </c>
      <c r="GA15" s="205">
        <v>33.370811290794151</v>
      </c>
      <c r="GB15" s="205">
        <v>36.498967543991881</v>
      </c>
      <c r="GC15" s="205">
        <v>6.38039499780814</v>
      </c>
      <c r="GD15" s="205">
        <v>5.5218443166089353</v>
      </c>
      <c r="GE15" s="205">
        <v>9.3412920903185306</v>
      </c>
      <c r="GF15" s="205">
        <v>128.82985583765864</v>
      </c>
      <c r="GG15" s="205">
        <v>76.6701662385303</v>
      </c>
      <c r="GH15" s="205">
        <v>88.218221831665062</v>
      </c>
      <c r="GI15" s="205">
        <v>45.799072057674216</v>
      </c>
      <c r="GJ15" s="205"/>
      <c r="GK15" s="205"/>
      <c r="GL15" s="205"/>
      <c r="GM15" s="20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3">
        <f t="shared" si="6"/>
        <v>39987</v>
      </c>
      <c r="FI16" s="235">
        <f>AVERAGE(GI6:GI1005)</f>
        <v>42.264785691711381</v>
      </c>
      <c r="FJ16" s="235"/>
      <c r="FK16" s="235">
        <f>PERCENTILE($GI$6:$GI$1005,0.975)</f>
        <v>49.319166626515376</v>
      </c>
      <c r="FL16" s="235"/>
      <c r="FM16" s="235">
        <f>PERCENTILE($GI$6:$GI$1005,0.025)</f>
        <v>32.431638872946365</v>
      </c>
      <c r="FN16" s="235"/>
      <c r="FO16" s="5"/>
      <c r="FY16" s="210">
        <v>11</v>
      </c>
      <c r="FZ16" s="205"/>
      <c r="GA16" s="205"/>
      <c r="GB16" s="205"/>
      <c r="GC16" s="205"/>
      <c r="GD16" s="205"/>
      <c r="GE16" s="205"/>
      <c r="GF16" s="205"/>
      <c r="GG16" s="205"/>
      <c r="GH16" s="205"/>
      <c r="GI16" s="205"/>
      <c r="GJ16" s="205"/>
      <c r="GK16" s="205"/>
      <c r="GL16" s="205"/>
      <c r="GM16" s="205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74.517744469582709</v>
      </c>
      <c r="AO17">
        <v>47.712655338664902</v>
      </c>
      <c r="AP17">
        <v>368.77266595643857</v>
      </c>
      <c r="AQ17">
        <v>0</v>
      </c>
      <c r="AR17">
        <v>47.5763020801636</v>
      </c>
      <c r="AS17">
        <v>359.58763273912274</v>
      </c>
      <c r="AT17">
        <v>27.453248181669561</v>
      </c>
      <c r="AU17">
        <v>127.32767083194172</v>
      </c>
      <c r="AV17"/>
      <c r="AW17"/>
      <c r="FG17" s="5"/>
      <c r="FH17" s="214"/>
      <c r="FI17" s="13"/>
      <c r="FJ17" s="13"/>
      <c r="FK17" s="13"/>
      <c r="FL17" s="13"/>
      <c r="FM17" s="13"/>
      <c r="FN17" s="13"/>
      <c r="FO17" s="5"/>
      <c r="FY17" s="210">
        <v>12</v>
      </c>
      <c r="FZ17" s="205"/>
      <c r="GA17" s="205"/>
      <c r="GB17" s="205"/>
      <c r="GC17" s="205"/>
      <c r="GD17" s="205"/>
      <c r="GE17" s="205"/>
      <c r="GF17" s="205"/>
      <c r="GG17" s="205"/>
      <c r="GH17" s="205"/>
      <c r="GI17" s="205"/>
      <c r="GJ17" s="205"/>
      <c r="GK17" s="205"/>
      <c r="GL17" s="205"/>
      <c r="GM17" s="205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76.027787204625426</v>
      </c>
      <c r="AO18">
        <v>58.870130519178893</v>
      </c>
      <c r="AP18">
        <v>476.97876408564389</v>
      </c>
      <c r="AQ18">
        <v>0</v>
      </c>
      <c r="AR18">
        <v>58.758248388510161</v>
      </c>
      <c r="AS18">
        <v>375.92488362499341</v>
      </c>
      <c r="AT18">
        <v>35.899238745975602</v>
      </c>
      <c r="AU18">
        <v>183.89520489821265</v>
      </c>
      <c r="AV18"/>
      <c r="AW18"/>
      <c r="FG18" s="5"/>
      <c r="FH18" s="214"/>
      <c r="FI18" s="13"/>
      <c r="FJ18" s="13"/>
      <c r="FK18" s="13"/>
      <c r="FL18" s="13"/>
      <c r="FM18" s="13"/>
      <c r="FN18" s="13"/>
      <c r="FO18" s="5"/>
      <c r="FY18" s="210">
        <v>13</v>
      </c>
      <c r="FZ18" s="205"/>
      <c r="GA18" s="205"/>
      <c r="GB18" s="205"/>
      <c r="GC18" s="205"/>
      <c r="GD18" s="205"/>
      <c r="GE18" s="205"/>
      <c r="GF18" s="205"/>
      <c r="GG18" s="205"/>
      <c r="GH18" s="205"/>
      <c r="GI18" s="205"/>
      <c r="GJ18" s="205"/>
      <c r="GK18" s="205"/>
      <c r="GL18" s="205"/>
      <c r="GM18" s="205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81.857817998994463</v>
      </c>
      <c r="AO19">
        <v>44.670977710398454</v>
      </c>
      <c r="AP19">
        <v>340.6798813441718</v>
      </c>
      <c r="AQ19">
        <v>0</v>
      </c>
      <c r="AR19">
        <v>42.958842581642436</v>
      </c>
      <c r="AS19">
        <v>324.87414018291543</v>
      </c>
      <c r="AT19">
        <v>26.624418196491963</v>
      </c>
      <c r="AU19">
        <v>247.87038697084537</v>
      </c>
      <c r="AV19"/>
      <c r="AW19"/>
      <c r="FG19" s="5"/>
      <c r="FH19" s="214"/>
      <c r="FI19" s="13"/>
      <c r="FJ19" s="13"/>
      <c r="FK19" s="13"/>
      <c r="FL19" s="13"/>
      <c r="FM19" s="13"/>
      <c r="FN19" s="13"/>
      <c r="FO19" s="5"/>
      <c r="FY19" s="210">
        <v>14</v>
      </c>
      <c r="FZ19" s="205"/>
      <c r="GA19" s="205"/>
      <c r="GB19" s="205"/>
      <c r="GC19" s="205"/>
      <c r="GD19" s="205"/>
      <c r="GE19" s="205"/>
      <c r="GF19" s="205"/>
      <c r="GG19" s="205"/>
      <c r="GH19" s="205"/>
      <c r="GI19" s="205"/>
      <c r="GJ19" s="205"/>
      <c r="GK19" s="205"/>
      <c r="GL19" s="205"/>
      <c r="GM19" s="205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65.551687405731514</v>
      </c>
      <c r="AO20">
        <v>38.028084863723038</v>
      </c>
      <c r="AP20">
        <v>257.3099102618549</v>
      </c>
      <c r="AQ20">
        <v>0</v>
      </c>
      <c r="AR20">
        <v>37.346263632896978</v>
      </c>
      <c r="AS20">
        <v>280.9557377747588</v>
      </c>
      <c r="AT20">
        <v>20.58091194282413</v>
      </c>
      <c r="AU20">
        <v>111.25781856155291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0">
        <v>15</v>
      </c>
      <c r="FZ20" s="205"/>
      <c r="GA20" s="205"/>
      <c r="GB20" s="205"/>
      <c r="GC20" s="205"/>
      <c r="GD20" s="205"/>
      <c r="GE20" s="205"/>
      <c r="GF20" s="205"/>
      <c r="GG20" s="205"/>
      <c r="GH20" s="205"/>
      <c r="GI20" s="205"/>
      <c r="GJ20" s="205"/>
      <c r="GK20" s="205"/>
      <c r="GL20" s="205"/>
      <c r="GM20" s="205"/>
    </row>
    <row r="21" spans="1:195" s="7" customFormat="1">
      <c r="A21" s="4"/>
      <c r="B21" s="36"/>
      <c r="C21" s="48" t="s">
        <v>38</v>
      </c>
      <c r="D21" s="49">
        <f t="shared" ref="D21:D26" si="7">SUM(G21:AK21)</f>
        <v>80.136846405228766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3.125</v>
      </c>
      <c r="I21" s="18">
        <f t="shared" si="9"/>
        <v>54.166666666666664</v>
      </c>
      <c r="J21" s="18">
        <f t="shared" si="9"/>
        <v>15.032679738562091</v>
      </c>
      <c r="K21" s="18">
        <f t="shared" si="9"/>
        <v>0.52083333333333326</v>
      </c>
      <c r="L21" s="18">
        <f t="shared" si="9"/>
        <v>1.5625</v>
      </c>
      <c r="M21" s="18">
        <f t="shared" si="9"/>
        <v>1.0416666666666665</v>
      </c>
      <c r="N21" s="18">
        <f t="shared" si="9"/>
        <v>1.0416666666666665</v>
      </c>
      <c r="O21" s="18">
        <f t="shared" si="9"/>
        <v>1.0416666666666665</v>
      </c>
      <c r="P21" s="18">
        <f t="shared" si="9"/>
        <v>0.52083333333333326</v>
      </c>
      <c r="Q21" s="18">
        <f t="shared" si="9"/>
        <v>1.0416666666666665</v>
      </c>
      <c r="R21" s="18">
        <f t="shared" si="9"/>
        <v>1.0416666666666665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78.512732528908984</v>
      </c>
      <c r="AO21">
        <v>52.116263562471296</v>
      </c>
      <c r="AP21">
        <v>416.83067027590135</v>
      </c>
      <c r="AQ21">
        <v>0</v>
      </c>
      <c r="AR21">
        <v>51.837244295994211</v>
      </c>
      <c r="AS21">
        <v>365.2816374419919</v>
      </c>
      <c r="AT21">
        <v>26.391427779598303</v>
      </c>
      <c r="AU21">
        <v>203.97498647561335</v>
      </c>
      <c r="AV21"/>
      <c r="AW21"/>
      <c r="FY21" s="210">
        <v>16</v>
      </c>
      <c r="FZ21" s="205"/>
      <c r="GA21" s="205"/>
      <c r="GB21" s="205"/>
      <c r="GC21" s="205"/>
      <c r="GD21" s="205"/>
      <c r="GE21" s="205"/>
      <c r="GF21" s="205"/>
      <c r="GG21" s="205"/>
      <c r="GH21" s="205"/>
      <c r="GI21" s="205"/>
      <c r="GJ21" s="205"/>
      <c r="GK21" s="205"/>
      <c r="GL21" s="205"/>
      <c r="GM21" s="205"/>
    </row>
    <row r="22" spans="1:195" s="7" customFormat="1">
      <c r="B22" s="36"/>
      <c r="C22" s="48" t="s">
        <v>39</v>
      </c>
      <c r="D22" s="49">
        <f t="shared" si="7"/>
        <v>102.53267973856208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0</v>
      </c>
      <c r="I22" s="18">
        <f t="shared" si="10"/>
        <v>21.354166666666664</v>
      </c>
      <c r="J22" s="18">
        <f t="shared" si="10"/>
        <v>32.741013071895424</v>
      </c>
      <c r="K22" s="18">
        <f t="shared" si="10"/>
        <v>44.270833333333336</v>
      </c>
      <c r="L22" s="18">
        <f t="shared" si="10"/>
        <v>2.083333333333333</v>
      </c>
      <c r="M22" s="18">
        <f t="shared" si="10"/>
        <v>0</v>
      </c>
      <c r="N22" s="18">
        <f t="shared" si="10"/>
        <v>0</v>
      </c>
      <c r="O22" s="18">
        <f t="shared" si="10"/>
        <v>0</v>
      </c>
      <c r="P22" s="18">
        <f t="shared" si="10"/>
        <v>0.52083333333333326</v>
      </c>
      <c r="Q22" s="18">
        <f t="shared" si="10"/>
        <v>1.0416666666666665</v>
      </c>
      <c r="R22" s="18">
        <f t="shared" si="10"/>
        <v>0.52083333333333326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64.039690170940148</v>
      </c>
      <c r="AO22">
        <v>49.183811016650907</v>
      </c>
      <c r="AP22">
        <v>407.15294019804622</v>
      </c>
      <c r="AQ22">
        <v>0</v>
      </c>
      <c r="AR22">
        <v>52.705452541576598</v>
      </c>
      <c r="AS22">
        <v>412.30154164029034</v>
      </c>
      <c r="AT22">
        <v>32.869864226408616</v>
      </c>
      <c r="AU22">
        <v>150.36990196184021</v>
      </c>
      <c r="AV22"/>
      <c r="AW22"/>
      <c r="FY22" s="210">
        <v>17</v>
      </c>
      <c r="FZ22" s="205"/>
      <c r="GA22" s="205"/>
      <c r="GB22" s="205"/>
      <c r="GC22" s="205"/>
      <c r="GD22" s="205"/>
      <c r="GE22" s="205"/>
      <c r="GF22" s="205"/>
      <c r="GG22" s="205"/>
      <c r="GH22" s="205"/>
      <c r="GI22" s="205"/>
      <c r="GJ22" s="205"/>
      <c r="GK22" s="205"/>
      <c r="GL22" s="205"/>
      <c r="GM22" s="205"/>
    </row>
    <row r="23" spans="1:195" s="7" customFormat="1">
      <c r="B23" s="36"/>
      <c r="C23" s="48" t="s">
        <v>40</v>
      </c>
      <c r="D23" s="49">
        <f t="shared" si="7"/>
        <v>103.28647047397047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3.5056089743589745</v>
      </c>
      <c r="I23" s="18">
        <f t="shared" si="11"/>
        <v>3.5056089743589745</v>
      </c>
      <c r="J23" s="18">
        <f t="shared" si="11"/>
        <v>26.388888888888893</v>
      </c>
      <c r="K23" s="18">
        <f t="shared" si="11"/>
        <v>46.354166666666664</v>
      </c>
      <c r="L23" s="18">
        <f t="shared" si="11"/>
        <v>10.15625</v>
      </c>
      <c r="M23" s="18">
        <f t="shared" si="11"/>
        <v>9.3513257575757578</v>
      </c>
      <c r="N23" s="18">
        <f t="shared" si="11"/>
        <v>4.0246212121212119</v>
      </c>
      <c r="O23" s="18">
        <f t="shared" si="11"/>
        <v>0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67.68603569632981</v>
      </c>
      <c r="AO23">
        <v>51.851097547432005</v>
      </c>
      <c r="AP23">
        <v>458.15396963649215</v>
      </c>
      <c r="AQ23">
        <v>0</v>
      </c>
      <c r="AR23">
        <v>52.519177455728347</v>
      </c>
      <c r="AS23">
        <v>349.49929004463792</v>
      </c>
      <c r="AT23">
        <v>33.501452323088053</v>
      </c>
      <c r="AU23">
        <v>201.5371591025488</v>
      </c>
      <c r="AV23"/>
      <c r="AW23"/>
      <c r="FY23" s="210">
        <v>18</v>
      </c>
      <c r="FZ23" s="205"/>
      <c r="GA23" s="205"/>
      <c r="GB23" s="205"/>
      <c r="GC23" s="205"/>
      <c r="GD23" s="205"/>
      <c r="GE23" s="205"/>
      <c r="GF23" s="205"/>
      <c r="GG23" s="205"/>
      <c r="GH23" s="205"/>
      <c r="GI23" s="205"/>
      <c r="GJ23" s="205"/>
      <c r="GK23" s="205"/>
      <c r="GL23" s="205"/>
      <c r="GM23" s="205"/>
    </row>
    <row r="24" spans="1:195" s="7" customFormat="1">
      <c r="A24" s="4"/>
      <c r="B24" s="36"/>
      <c r="C24" s="48" t="s">
        <v>41</v>
      </c>
      <c r="D24" s="49">
        <f t="shared" si="7"/>
        <v>87.963772338772316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3.5056089743589745</v>
      </c>
      <c r="I24" s="18">
        <f t="shared" si="12"/>
        <v>4.5472756410256405</v>
      </c>
      <c r="J24" s="18">
        <f t="shared" si="12"/>
        <v>8.6805555555555554</v>
      </c>
      <c r="K24" s="18">
        <f t="shared" si="12"/>
        <v>15.198863636363635</v>
      </c>
      <c r="L24" s="18">
        <f t="shared" si="12"/>
        <v>25.765467171717169</v>
      </c>
      <c r="M24" s="18">
        <f t="shared" si="12"/>
        <v>24.820925602175599</v>
      </c>
      <c r="N24" s="18">
        <f t="shared" si="12"/>
        <v>5.4450757575757578</v>
      </c>
      <c r="O24" s="18">
        <f t="shared" si="12"/>
        <v>0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77.840896807440942</v>
      </c>
      <c r="AO24">
        <v>58.233611062491185</v>
      </c>
      <c r="AP24">
        <v>482.65897463007911</v>
      </c>
      <c r="AQ24">
        <v>0</v>
      </c>
      <c r="AR24">
        <v>58.55844934177388</v>
      </c>
      <c r="AS24">
        <v>409.063832484248</v>
      </c>
      <c r="AT24">
        <v>35.623271711674789</v>
      </c>
      <c r="AU24">
        <v>149.51018610007347</v>
      </c>
      <c r="AV24"/>
      <c r="AW24"/>
      <c r="FY24" s="210">
        <v>19</v>
      </c>
      <c r="FZ24" s="205"/>
      <c r="GA24" s="205"/>
      <c r="GB24" s="205"/>
      <c r="GC24" s="205"/>
      <c r="GD24" s="205"/>
      <c r="GE24" s="205"/>
      <c r="GF24" s="205"/>
      <c r="GG24" s="205"/>
      <c r="GH24" s="205"/>
      <c r="GI24" s="205"/>
      <c r="GJ24" s="205"/>
      <c r="GK24" s="205"/>
      <c r="GL24" s="205"/>
      <c r="GM24" s="205"/>
    </row>
    <row r="25" spans="1:195" s="7" customFormat="1">
      <c r="A25" s="4"/>
      <c r="B25" s="36"/>
      <c r="C25" s="48" t="s">
        <v>42</v>
      </c>
      <c r="D25" s="49">
        <f t="shared" si="7"/>
        <v>80.630827505827497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0</v>
      </c>
      <c r="I25" s="18">
        <f t="shared" si="13"/>
        <v>12.219551282051283</v>
      </c>
      <c r="J25" s="18">
        <f t="shared" si="13"/>
        <v>0</v>
      </c>
      <c r="K25" s="18">
        <f t="shared" si="13"/>
        <v>14.998543123543122</v>
      </c>
      <c r="L25" s="18">
        <f t="shared" si="13"/>
        <v>20.456973581973578</v>
      </c>
      <c r="M25" s="18">
        <f t="shared" si="13"/>
        <v>28.089792152292148</v>
      </c>
      <c r="N25" s="18">
        <f t="shared" si="13"/>
        <v>3.1432109557109555</v>
      </c>
      <c r="O25" s="18">
        <f t="shared" si="13"/>
        <v>1.7227564102564101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72.693492332830573</v>
      </c>
      <c r="AO25">
        <v>47.715322365947486</v>
      </c>
      <c r="AP25">
        <v>388.94577180298967</v>
      </c>
      <c r="AQ25">
        <v>0</v>
      </c>
      <c r="AR25">
        <v>46.369525466760884</v>
      </c>
      <c r="AS25">
        <v>332.91996287086124</v>
      </c>
      <c r="AT25">
        <v>26.373440199935857</v>
      </c>
      <c r="AU25">
        <v>171.32104668458905</v>
      </c>
      <c r="AV25"/>
      <c r="AW25"/>
      <c r="FY25" s="210">
        <v>20</v>
      </c>
      <c r="FZ25" s="205"/>
      <c r="GA25" s="205"/>
      <c r="GB25" s="205"/>
      <c r="GC25" s="205"/>
      <c r="GD25" s="205"/>
      <c r="GE25" s="205"/>
      <c r="GF25" s="205"/>
      <c r="GG25" s="205"/>
      <c r="GH25" s="205"/>
      <c r="GI25" s="205"/>
      <c r="GJ25" s="205"/>
      <c r="GK25" s="205"/>
      <c r="GL25" s="205"/>
      <c r="GM25" s="205"/>
    </row>
    <row r="26" spans="1:195" s="7" customFormat="1">
      <c r="A26" s="4"/>
      <c r="B26" s="36"/>
      <c r="C26" s="48" t="s">
        <v>118</v>
      </c>
      <c r="D26" s="49">
        <f t="shared" si="7"/>
        <v>67.307692307692307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0</v>
      </c>
      <c r="I26" s="18">
        <f t="shared" si="14"/>
        <v>16.386217948717949</v>
      </c>
      <c r="J26" s="18">
        <f t="shared" si="14"/>
        <v>2.083333333333333</v>
      </c>
      <c r="K26" s="18">
        <f t="shared" si="14"/>
        <v>3.4455128205128203</v>
      </c>
      <c r="L26" s="18">
        <f t="shared" si="14"/>
        <v>19.431089743589745</v>
      </c>
      <c r="M26" s="18">
        <f t="shared" si="14"/>
        <v>18.349358974358974</v>
      </c>
      <c r="N26" s="18">
        <f t="shared" si="14"/>
        <v>5.8894230769230766</v>
      </c>
      <c r="O26" s="18">
        <f t="shared" si="14"/>
        <v>1.7227564102564101</v>
      </c>
      <c r="P26" s="18">
        <f t="shared" si="14"/>
        <v>0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74.633578431372541</v>
      </c>
      <c r="AO26">
        <v>53.503871434502514</v>
      </c>
      <c r="AP26">
        <v>454.17435506307584</v>
      </c>
      <c r="AQ26">
        <v>0</v>
      </c>
      <c r="AR26">
        <v>54.522704830564535</v>
      </c>
      <c r="AS26">
        <v>400.21811424118596</v>
      </c>
      <c r="AT26">
        <v>31.45648767051749</v>
      </c>
      <c r="AU26">
        <v>171.18329901135812</v>
      </c>
      <c r="AV26"/>
      <c r="AW26"/>
      <c r="FY26" s="210">
        <v>21</v>
      </c>
      <c r="FZ26" s="205"/>
      <c r="GA26" s="205"/>
      <c r="GB26" s="205"/>
      <c r="GC26" s="205"/>
      <c r="GD26" s="205"/>
      <c r="GE26" s="205"/>
      <c r="GF26" s="205"/>
      <c r="GG26" s="205"/>
      <c r="GH26" s="205"/>
      <c r="GI26" s="205"/>
      <c r="GJ26" s="205"/>
      <c r="GK26" s="205"/>
      <c r="GL26" s="205"/>
      <c r="GM26" s="205"/>
    </row>
    <row r="27" spans="1:195" s="7" customFormat="1">
      <c r="A27" s="4"/>
      <c r="B27" s="1"/>
      <c r="C27" s="48" t="s">
        <v>119</v>
      </c>
      <c r="D27" s="49">
        <f>SUM(G27:AK27)</f>
        <v>82.954545454545467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0</v>
      </c>
      <c r="I27" s="18">
        <f t="shared" si="15"/>
        <v>5.208333333333333</v>
      </c>
      <c r="J27" s="18">
        <f t="shared" si="15"/>
        <v>16.145833333333332</v>
      </c>
      <c r="K27" s="18">
        <f t="shared" si="15"/>
        <v>1.0416666666666665</v>
      </c>
      <c r="L27" s="18">
        <f t="shared" si="15"/>
        <v>16.666666666666668</v>
      </c>
      <c r="M27" s="18">
        <f t="shared" si="15"/>
        <v>11.553030303030303</v>
      </c>
      <c r="N27" s="18">
        <f t="shared" si="15"/>
        <v>14.251893939393938</v>
      </c>
      <c r="O27" s="18">
        <f t="shared" si="15"/>
        <v>1.0416666666666665</v>
      </c>
      <c r="P27" s="18">
        <f t="shared" si="15"/>
        <v>17.045454545454543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/>
      <c r="AO27"/>
      <c r="AP27"/>
      <c r="AQ27"/>
      <c r="AR27"/>
      <c r="AS27"/>
      <c r="AT27"/>
      <c r="AU27"/>
      <c r="AV27"/>
      <c r="AW27"/>
      <c r="FY27" s="210">
        <v>22</v>
      </c>
      <c r="FZ27" s="205"/>
      <c r="GA27" s="205"/>
      <c r="GB27" s="205"/>
      <c r="GC27" s="205"/>
      <c r="GD27" s="205"/>
      <c r="GE27" s="205"/>
      <c r="GF27" s="205"/>
      <c r="GG27" s="205"/>
      <c r="GH27" s="205"/>
      <c r="GI27" s="205"/>
      <c r="GJ27" s="205"/>
      <c r="GK27" s="205"/>
      <c r="GL27" s="205"/>
      <c r="GM27" s="205"/>
    </row>
    <row r="28" spans="1:195" s="7" customFormat="1">
      <c r="A28" s="51"/>
      <c r="B28" s="1"/>
      <c r="C28" s="48" t="s">
        <v>120</v>
      </c>
      <c r="D28" s="49">
        <f>SUM(G28:AK28)</f>
        <v>55.871212121212118</v>
      </c>
      <c r="E28" s="18">
        <f>C12-C11</f>
        <v>39</v>
      </c>
      <c r="F28" s="50"/>
      <c r="G28" s="18">
        <f t="shared" si="15"/>
        <v>0</v>
      </c>
      <c r="H28" s="18">
        <f t="shared" si="15"/>
        <v>0</v>
      </c>
      <c r="I28" s="18">
        <f t="shared" si="15"/>
        <v>0</v>
      </c>
      <c r="J28" s="18">
        <f t="shared" si="15"/>
        <v>14.583333333333334</v>
      </c>
      <c r="K28" s="18">
        <f t="shared" si="15"/>
        <v>0</v>
      </c>
      <c r="L28" s="18">
        <f t="shared" si="15"/>
        <v>0.52083333333333326</v>
      </c>
      <c r="M28" s="18">
        <f t="shared" si="15"/>
        <v>5.8238636363636358</v>
      </c>
      <c r="N28" s="18">
        <f t="shared" si="15"/>
        <v>12.689393939393938</v>
      </c>
      <c r="O28" s="18">
        <f t="shared" si="15"/>
        <v>4.6875</v>
      </c>
      <c r="P28" s="18">
        <f t="shared" si="15"/>
        <v>17.045454545454543</v>
      </c>
      <c r="Q28" s="18">
        <f t="shared" si="15"/>
        <v>0.52083333333333326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/>
      <c r="AO28"/>
      <c r="AP28"/>
      <c r="AQ28"/>
      <c r="AR28"/>
      <c r="AS28"/>
      <c r="AT28"/>
      <c r="AU28"/>
      <c r="AV28"/>
      <c r="AW28"/>
      <c r="FY28" s="210">
        <v>23</v>
      </c>
      <c r="FZ28" s="205"/>
      <c r="GA28" s="205"/>
      <c r="GB28" s="205"/>
      <c r="GC28" s="205"/>
      <c r="GD28" s="205"/>
      <c r="GE28" s="205"/>
      <c r="GF28" s="205"/>
      <c r="GG28" s="205"/>
      <c r="GH28" s="205"/>
      <c r="GI28" s="205"/>
      <c r="GJ28" s="205"/>
      <c r="GK28" s="205"/>
      <c r="GL28" s="205"/>
      <c r="GM28" s="205"/>
    </row>
    <row r="29" spans="1:195" s="7" customFormat="1">
      <c r="A29" s="51"/>
      <c r="B29" s="1"/>
      <c r="C29" s="48" t="s">
        <v>121</v>
      </c>
      <c r="D29" s="49">
        <f>SUM(G29:AK29)</f>
        <v>13.541666666666666</v>
      </c>
      <c r="E29" s="18">
        <f>C13-C12</f>
        <v>38</v>
      </c>
      <c r="F29" s="50"/>
      <c r="G29" s="18">
        <f t="shared" si="15"/>
        <v>0</v>
      </c>
      <c r="H29" s="18">
        <f t="shared" si="15"/>
        <v>0</v>
      </c>
      <c r="I29" s="18">
        <f t="shared" si="15"/>
        <v>0</v>
      </c>
      <c r="J29" s="18">
        <f t="shared" si="15"/>
        <v>0.52083333333333326</v>
      </c>
      <c r="K29" s="18">
        <f t="shared" si="15"/>
        <v>0</v>
      </c>
      <c r="L29" s="18">
        <f t="shared" si="15"/>
        <v>0.52083333333333326</v>
      </c>
      <c r="M29" s="18">
        <f t="shared" si="15"/>
        <v>0</v>
      </c>
      <c r="N29" s="18">
        <f t="shared" si="15"/>
        <v>2.604166666666667</v>
      </c>
      <c r="O29" s="18">
        <f t="shared" si="15"/>
        <v>4.6875</v>
      </c>
      <c r="P29" s="18">
        <f t="shared" si="15"/>
        <v>0</v>
      </c>
      <c r="Q29" s="18">
        <f t="shared" si="15"/>
        <v>1.0416666666666665</v>
      </c>
      <c r="R29" s="18">
        <f t="shared" si="15"/>
        <v>1.5625</v>
      </c>
      <c r="S29" s="18">
        <f t="shared" si="15"/>
        <v>0</v>
      </c>
      <c r="T29" s="18">
        <f t="shared" si="15"/>
        <v>1.0416666666666665</v>
      </c>
      <c r="U29" s="18">
        <f t="shared" si="15"/>
        <v>1.5625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/>
      <c r="AO29"/>
      <c r="AP29"/>
      <c r="AQ29"/>
      <c r="AR29"/>
      <c r="AS29"/>
      <c r="AT29"/>
      <c r="AU29"/>
      <c r="AV29"/>
      <c r="AW29"/>
      <c r="FY29" s="210">
        <v>24</v>
      </c>
      <c r="FZ29" s="205"/>
      <c r="GA29" s="205"/>
      <c r="GB29" s="205"/>
      <c r="GC29" s="205"/>
      <c r="GD29" s="205"/>
      <c r="GE29" s="205"/>
      <c r="GF29" s="205"/>
      <c r="GG29" s="205"/>
      <c r="GH29" s="205"/>
      <c r="GI29" s="205"/>
      <c r="GJ29" s="205"/>
      <c r="GK29" s="205"/>
      <c r="GL29" s="205"/>
      <c r="GM29" s="205"/>
    </row>
    <row r="30" spans="1:195" s="7" customFormat="1">
      <c r="A30" s="51"/>
      <c r="B30" s="1"/>
      <c r="C30" s="48" t="s">
        <v>122</v>
      </c>
      <c r="D30" s="49">
        <f>SUM(G30:AK30)</f>
        <v>72.110071301247771</v>
      </c>
      <c r="E30" s="18">
        <v>24</v>
      </c>
      <c r="F30" s="50"/>
      <c r="G30" s="18">
        <f>AVERAGE(G70:G79)</f>
        <v>0</v>
      </c>
      <c r="H30" s="18">
        <f t="shared" ref="H30:AK30" si="16">AVERAGE(H70:H79)</f>
        <v>1.3261217948717949</v>
      </c>
      <c r="I30" s="18">
        <f t="shared" si="16"/>
        <v>15.020032051282049</v>
      </c>
      <c r="J30" s="18">
        <f t="shared" si="16"/>
        <v>11.617647058823531</v>
      </c>
      <c r="K30" s="18">
        <f t="shared" si="16"/>
        <v>12.583041958041957</v>
      </c>
      <c r="L30" s="18">
        <f t="shared" si="16"/>
        <v>9.8726447163947153</v>
      </c>
      <c r="M30" s="18">
        <f t="shared" si="16"/>
        <v>10.007162975912973</v>
      </c>
      <c r="N30" s="18">
        <f t="shared" si="16"/>
        <v>5.0131118881118883</v>
      </c>
      <c r="O30" s="18">
        <f t="shared" si="16"/>
        <v>1.6987179487179485</v>
      </c>
      <c r="P30" s="18">
        <f t="shared" si="16"/>
        <v>3.5132575757575752</v>
      </c>
      <c r="Q30" s="18">
        <f t="shared" si="16"/>
        <v>0.41666666666666663</v>
      </c>
      <c r="R30" s="18">
        <f t="shared" si="16"/>
        <v>0.52083333333333326</v>
      </c>
      <c r="S30" s="18">
        <f t="shared" si="16"/>
        <v>0</v>
      </c>
      <c r="T30" s="18">
        <f t="shared" si="16"/>
        <v>0.20833333333333331</v>
      </c>
      <c r="U30" s="18">
        <f t="shared" si="16"/>
        <v>0.3125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/>
      <c r="AO30"/>
      <c r="AP30"/>
      <c r="AQ30"/>
      <c r="AR30"/>
      <c r="AS30"/>
      <c r="AT30"/>
      <c r="AU30"/>
      <c r="AV30"/>
      <c r="AW30"/>
      <c r="FY30" s="210">
        <v>25</v>
      </c>
      <c r="FZ30" s="205"/>
      <c r="GA30" s="205"/>
      <c r="GB30" s="205"/>
      <c r="GC30" s="205"/>
      <c r="GD30" s="205"/>
      <c r="GE30" s="205"/>
      <c r="GF30" s="205"/>
      <c r="GG30" s="205"/>
      <c r="GH30" s="205"/>
      <c r="GI30" s="205"/>
      <c r="GJ30" s="205"/>
      <c r="GK30" s="205"/>
      <c r="GL30" s="205"/>
      <c r="GM30" s="205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/>
      <c r="AO31"/>
      <c r="AP31"/>
      <c r="AQ31"/>
      <c r="AR31"/>
      <c r="AS31"/>
      <c r="AT31"/>
      <c r="AU31"/>
      <c r="AV31"/>
      <c r="AW31"/>
      <c r="FY31" s="210">
        <v>26</v>
      </c>
      <c r="FZ31" s="205"/>
      <c r="GA31" s="205"/>
      <c r="GB31" s="205"/>
      <c r="GC31" s="205"/>
      <c r="GD31" s="205"/>
      <c r="GE31" s="205"/>
      <c r="GF31" s="205"/>
      <c r="GG31" s="205"/>
      <c r="GH31" s="205"/>
      <c r="GI31" s="205"/>
      <c r="GJ31" s="205"/>
      <c r="GK31" s="205"/>
      <c r="GL31" s="205"/>
      <c r="GM31" s="205"/>
    </row>
    <row r="32" spans="1:195" s="7" customFormat="1">
      <c r="A32" s="51"/>
      <c r="B32" s="1"/>
      <c r="C32" s="52" t="s">
        <v>43</v>
      </c>
      <c r="D32" s="53">
        <f>AVERAGE(D21:D31)</f>
        <v>74.633578431372541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/>
      <c r="AO32"/>
      <c r="AP32"/>
      <c r="AQ32"/>
      <c r="AR32"/>
      <c r="AS32"/>
      <c r="AT32"/>
      <c r="AU32"/>
      <c r="AV32"/>
      <c r="AW32"/>
      <c r="FY32" s="210">
        <v>27</v>
      </c>
      <c r="FZ32" s="205"/>
      <c r="GA32" s="205"/>
      <c r="GB32" s="205"/>
      <c r="GC32" s="205"/>
      <c r="GD32" s="205"/>
      <c r="GE32" s="205"/>
      <c r="GF32" s="205"/>
      <c r="GG32" s="205"/>
      <c r="GH32" s="205"/>
      <c r="GI32" s="205"/>
      <c r="GJ32" s="205"/>
      <c r="GK32" s="205"/>
      <c r="GL32" s="205"/>
      <c r="GM32" s="205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/>
      <c r="AO33"/>
      <c r="AP33"/>
      <c r="AQ33"/>
      <c r="AR33"/>
      <c r="AS33"/>
      <c r="AT33"/>
      <c r="AU33"/>
      <c r="AV33"/>
      <c r="AW33"/>
      <c r="FY33" s="210">
        <v>28</v>
      </c>
      <c r="FZ33" s="205"/>
      <c r="GA33" s="205"/>
      <c r="GB33" s="205"/>
      <c r="GC33" s="205"/>
      <c r="GD33" s="205"/>
      <c r="GE33" s="205"/>
      <c r="GF33" s="205"/>
      <c r="GG33" s="205"/>
      <c r="GH33" s="205"/>
      <c r="GI33" s="205"/>
      <c r="GJ33" s="205"/>
      <c r="GK33" s="205"/>
      <c r="GL33" s="205"/>
      <c r="GM33" s="205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/>
      <c r="AO34"/>
      <c r="AP34"/>
      <c r="AQ34"/>
      <c r="AR34"/>
      <c r="AS34"/>
      <c r="AT34"/>
      <c r="AU34"/>
      <c r="AV34"/>
      <c r="AW34"/>
      <c r="FY34" s="210">
        <v>29</v>
      </c>
      <c r="FZ34" s="205"/>
      <c r="GA34" s="205"/>
      <c r="GB34" s="205"/>
      <c r="GC34" s="205"/>
      <c r="GD34" s="205"/>
      <c r="GE34" s="205"/>
      <c r="GF34" s="205"/>
      <c r="GG34" s="205"/>
      <c r="GH34" s="205"/>
      <c r="GI34" s="205"/>
      <c r="GJ34" s="205"/>
      <c r="GK34" s="205"/>
      <c r="GL34" s="205"/>
      <c r="GM34" s="205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/>
      <c r="AO35"/>
      <c r="AP35"/>
      <c r="AQ35"/>
      <c r="AR35"/>
      <c r="AS35"/>
      <c r="AT35"/>
      <c r="AU35"/>
      <c r="AV35"/>
      <c r="AW35"/>
      <c r="FY35" s="210">
        <v>30</v>
      </c>
      <c r="FZ35" s="205"/>
      <c r="GA35" s="205"/>
      <c r="GB35" s="205"/>
      <c r="GC35" s="205"/>
      <c r="GD35" s="205"/>
      <c r="GE35" s="205"/>
      <c r="GF35" s="205"/>
      <c r="GG35" s="205"/>
      <c r="GH35" s="205"/>
      <c r="GI35" s="205"/>
      <c r="GJ35" s="205"/>
      <c r="GK35" s="205"/>
      <c r="GL35" s="205"/>
      <c r="GM35" s="20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1.1591235947098146E-3</v>
      </c>
      <c r="H36" s="59">
        <f t="shared" ref="H36:AK36" si="17">(1-($A$43/100))*($A$39*(H35^$A$41))</f>
        <v>2.3999999999999998E-3</v>
      </c>
      <c r="I36" s="59">
        <f t="shared" si="17"/>
        <v>4.9692716344386118E-3</v>
      </c>
      <c r="J36" s="59">
        <f t="shared" si="17"/>
        <v>7.6065646215566739E-3</v>
      </c>
      <c r="K36" s="59">
        <f t="shared" si="17"/>
        <v>1.0289025240348413E-2</v>
      </c>
      <c r="L36" s="59">
        <f t="shared" si="17"/>
        <v>1.3005580640812416E-2</v>
      </c>
      <c r="M36" s="59">
        <f t="shared" si="17"/>
        <v>1.5749619087260771E-2</v>
      </c>
      <c r="N36" s="59">
        <f t="shared" si="17"/>
        <v>1.8516725298755882E-2</v>
      </c>
      <c r="O36" s="59">
        <f t="shared" si="17"/>
        <v>2.1303733863702618E-2</v>
      </c>
      <c r="P36" s="59">
        <f t="shared" si="17"/>
        <v>2.4108260559132344E-2</v>
      </c>
      <c r="Q36" s="59">
        <f t="shared" si="17"/>
        <v>2.6928442903247123E-2</v>
      </c>
      <c r="R36" s="59">
        <f t="shared" si="17"/>
        <v>2.9762784589766802E-2</v>
      </c>
      <c r="S36" s="59">
        <f t="shared" si="17"/>
        <v>3.2610056409807457E-2</v>
      </c>
      <c r="T36" s="59">
        <f t="shared" si="17"/>
        <v>3.5469230093094682E-2</v>
      </c>
      <c r="U36" s="59">
        <f t="shared" si="17"/>
        <v>3.8339432412416441E-2</v>
      </c>
      <c r="V36" s="59">
        <f t="shared" si="17"/>
        <v>4.1219912327169213E-2</v>
      </c>
      <c r="W36" s="59">
        <f t="shared" si="17"/>
        <v>4.4110016831886138E-2</v>
      </c>
      <c r="X36" s="59">
        <f t="shared" si="17"/>
        <v>4.7009172799427408E-2</v>
      </c>
      <c r="Y36" s="59">
        <f t="shared" si="17"/>
        <v>4.9916873063396441E-2</v>
      </c>
      <c r="Z36" s="59">
        <f t="shared" si="17"/>
        <v>5.2832665568041913E-2</v>
      </c>
      <c r="AA36" s="59">
        <f t="shared" si="17"/>
        <v>5.5756144782794018E-2</v>
      </c>
      <c r="AB36" s="59">
        <f t="shared" si="17"/>
        <v>5.8686944818583303E-2</v>
      </c>
      <c r="AC36" s="59">
        <f t="shared" si="17"/>
        <v>6.1624733843264508E-2</v>
      </c>
      <c r="AD36" s="59">
        <f t="shared" si="17"/>
        <v>6.4569209502812724E-2</v>
      </c>
      <c r="AE36" s="59">
        <f t="shared" si="17"/>
        <v>6.7520095131124683E-2</v>
      </c>
      <c r="AF36" s="59">
        <f t="shared" si="17"/>
        <v>7.0477136585281125E-2</v>
      </c>
      <c r="AG36" s="59">
        <f t="shared" si="17"/>
        <v>7.3440099582079935E-2</v>
      </c>
      <c r="AH36" s="59">
        <f t="shared" si="17"/>
        <v>7.6408767440152542E-2</v>
      </c>
      <c r="AI36" s="59">
        <f t="shared" si="17"/>
        <v>7.9382939153123902E-2</v>
      </c>
      <c r="AJ36" s="59">
        <f t="shared" si="17"/>
        <v>8.2362427735154398E-2</v>
      </c>
      <c r="AK36" s="59">
        <f t="shared" si="17"/>
        <v>8.5347058792270183E-2</v>
      </c>
      <c r="AL36" s="42"/>
      <c r="AM36" s="43">
        <v>20</v>
      </c>
      <c r="AN36"/>
      <c r="AO36"/>
      <c r="AP36"/>
      <c r="AQ36"/>
      <c r="AR36"/>
      <c r="AS36"/>
      <c r="AT36"/>
      <c r="AU36"/>
      <c r="AV36"/>
      <c r="AW36"/>
      <c r="FY36" s="210">
        <v>31</v>
      </c>
      <c r="FZ36" s="205"/>
      <c r="GA36" s="205"/>
      <c r="GB36" s="205"/>
      <c r="GC36" s="205"/>
      <c r="GD36" s="205"/>
      <c r="GE36" s="205"/>
      <c r="GF36" s="205"/>
      <c r="GG36" s="205"/>
      <c r="GH36" s="205"/>
      <c r="GI36" s="205"/>
      <c r="GJ36" s="205"/>
      <c r="GK36" s="205"/>
      <c r="GL36" s="205"/>
      <c r="GM36" s="205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0.54619126298580911</v>
      </c>
      <c r="E37" s="107">
        <f t="shared" ref="E37:E46" si="19">+D37/D21</f>
        <v>6.8157319321486458E-3</v>
      </c>
      <c r="F37" s="18"/>
      <c r="G37" s="49">
        <f t="shared" ref="G37:G43" si="20">G21*G$36</f>
        <v>0</v>
      </c>
      <c r="H37" s="49">
        <f t="shared" ref="H37:AK40" si="21">H21*H$36</f>
        <v>7.4999999999999997E-3</v>
      </c>
      <c r="I37" s="49">
        <f t="shared" si="21"/>
        <v>0.26916888019875812</v>
      </c>
      <c r="J37" s="49">
        <f t="shared" si="21"/>
        <v>0.11434704986653824</v>
      </c>
      <c r="K37" s="49">
        <f t="shared" si="21"/>
        <v>5.3588673126814647E-3</v>
      </c>
      <c r="L37" s="49">
        <f t="shared" si="21"/>
        <v>2.0321219751269399E-2</v>
      </c>
      <c r="M37" s="49">
        <f t="shared" si="21"/>
        <v>1.6405853215896635E-2</v>
      </c>
      <c r="N37" s="49">
        <f t="shared" si="21"/>
        <v>1.9288255519537376E-2</v>
      </c>
      <c r="O37" s="49">
        <f t="shared" si="21"/>
        <v>2.2191389441356891E-2</v>
      </c>
      <c r="P37" s="49">
        <f t="shared" si="21"/>
        <v>1.2556385707881427E-2</v>
      </c>
      <c r="Q37" s="49">
        <f t="shared" si="21"/>
        <v>2.8050461357549083E-2</v>
      </c>
      <c r="R37" s="49">
        <f t="shared" si="21"/>
        <v>3.1002900614340415E-2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/>
      <c r="AO37"/>
      <c r="AP37"/>
      <c r="AQ37"/>
      <c r="AR37"/>
      <c r="AS37"/>
      <c r="AT37"/>
      <c r="AU37"/>
      <c r="AV37"/>
      <c r="AW37"/>
      <c r="FY37" s="210">
        <v>32</v>
      </c>
      <c r="FZ37" s="205"/>
      <c r="GA37" s="205"/>
      <c r="GB37" s="205"/>
      <c r="GC37" s="205"/>
      <c r="GD37" s="205"/>
      <c r="GE37" s="205"/>
      <c r="GF37" s="205"/>
      <c r="GG37" s="205"/>
      <c r="GH37" s="205"/>
      <c r="GI37" s="205"/>
      <c r="GJ37" s="205"/>
      <c r="GK37" s="205"/>
      <c r="GL37" s="205"/>
      <c r="GM37" s="205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0.89386826501922989</v>
      </c>
      <c r="E38" s="107">
        <f t="shared" si="19"/>
        <v>8.7178865050481068E-3</v>
      </c>
      <c r="F38" s="18"/>
      <c r="G38" s="49">
        <f t="shared" si="20"/>
        <v>0</v>
      </c>
      <c r="H38" s="49">
        <f t="shared" si="21"/>
        <v>0</v>
      </c>
      <c r="I38" s="49">
        <f t="shared" si="21"/>
        <v>0.10611465469374118</v>
      </c>
      <c r="J38" s="49">
        <f t="shared" si="21"/>
        <v>0.24904663170660432</v>
      </c>
      <c r="K38" s="49">
        <f t="shared" si="21"/>
        <v>0.45550372157792457</v>
      </c>
      <c r="L38" s="49">
        <f t="shared" si="21"/>
        <v>2.7094959668359196E-2</v>
      </c>
      <c r="M38" s="49">
        <f t="shared" si="21"/>
        <v>0</v>
      </c>
      <c r="N38" s="49">
        <f t="shared" si="21"/>
        <v>0</v>
      </c>
      <c r="O38" s="49">
        <f t="shared" si="21"/>
        <v>0</v>
      </c>
      <c r="P38" s="49">
        <f t="shared" si="21"/>
        <v>1.2556385707881427E-2</v>
      </c>
      <c r="Q38" s="49">
        <f t="shared" si="21"/>
        <v>2.8050461357549083E-2</v>
      </c>
      <c r="R38" s="49">
        <f t="shared" si="21"/>
        <v>1.5501450307170208E-2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/>
      <c r="AO38"/>
      <c r="AP38"/>
      <c r="AQ38"/>
      <c r="AR38"/>
      <c r="AS38"/>
      <c r="AT38"/>
      <c r="AU38"/>
      <c r="AV38"/>
      <c r="AW38"/>
      <c r="FY38" s="210">
        <v>33</v>
      </c>
      <c r="FZ38" s="205"/>
      <c r="GA38" s="205"/>
      <c r="GB38" s="205"/>
      <c r="GC38" s="205"/>
      <c r="GD38" s="205"/>
      <c r="GE38" s="205"/>
      <c r="GF38" s="205"/>
      <c r="GG38" s="205"/>
      <c r="GH38" s="205"/>
      <c r="GI38" s="205"/>
      <c r="GJ38" s="205"/>
      <c r="GK38" s="205"/>
      <c r="GL38" s="205"/>
      <c r="GM38" s="205"/>
    </row>
    <row r="39" spans="1:195" s="7" customFormat="1">
      <c r="A39" s="114">
        <v>2.3999999999999998E-3</v>
      </c>
      <c r="B39" s="57"/>
      <c r="C39" s="48" t="s">
        <v>40</v>
      </c>
      <c r="D39" s="49">
        <f t="shared" si="18"/>
        <v>1.0573923166715935</v>
      </c>
      <c r="E39" s="107">
        <f t="shared" si="19"/>
        <v>1.0237471682586638E-2</v>
      </c>
      <c r="F39" s="18"/>
      <c r="G39" s="49">
        <f t="shared" si="20"/>
        <v>0</v>
      </c>
      <c r="H39" s="49">
        <f t="shared" si="21"/>
        <v>8.4134615384615381E-3</v>
      </c>
      <c r="I39" s="49">
        <f t="shared" si="21"/>
        <v>1.7420323237715488E-2</v>
      </c>
      <c r="J39" s="49">
        <f t="shared" si="21"/>
        <v>0.20072878862441226</v>
      </c>
      <c r="K39" s="49">
        <f t="shared" si="21"/>
        <v>0.47693919082865038</v>
      </c>
      <c r="L39" s="49">
        <f t="shared" si="21"/>
        <v>0.13208792838325109</v>
      </c>
      <c r="M39" s="49">
        <f t="shared" si="21"/>
        <v>0.14727981864270845</v>
      </c>
      <c r="N39" s="49">
        <f t="shared" si="21"/>
        <v>7.4522805416394403E-2</v>
      </c>
      <c r="O39" s="49">
        <f t="shared" si="21"/>
        <v>0</v>
      </c>
      <c r="P39" s="49">
        <f t="shared" si="21"/>
        <v>0</v>
      </c>
      <c r="Q39" s="49">
        <f t="shared" si="21"/>
        <v>0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/>
      <c r="AO39"/>
      <c r="AP39"/>
      <c r="AQ39"/>
      <c r="AR39"/>
      <c r="AS39"/>
      <c r="AT39"/>
      <c r="AU39"/>
      <c r="AV39"/>
      <c r="AW39"/>
      <c r="FY39" s="210">
        <v>34</v>
      </c>
      <c r="FZ39" s="205"/>
      <c r="GA39" s="205"/>
      <c r="GB39" s="205"/>
      <c r="GC39" s="205"/>
      <c r="GD39" s="205"/>
      <c r="GE39" s="205"/>
      <c r="GF39" s="205"/>
      <c r="GG39" s="205"/>
      <c r="GH39" s="205"/>
      <c r="GI39" s="205"/>
      <c r="GJ39" s="205"/>
      <c r="GK39" s="205"/>
      <c r="GL39" s="205"/>
      <c r="GM39" s="205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1.0802607644703115</v>
      </c>
      <c r="E40" s="107">
        <f t="shared" si="19"/>
        <v>1.2280746217999095E-2</v>
      </c>
      <c r="F40" s="18"/>
      <c r="G40" s="49">
        <f t="shared" si="20"/>
        <v>0</v>
      </c>
      <c r="H40" s="49">
        <f t="shared" si="21"/>
        <v>8.4134615384615381E-3</v>
      </c>
      <c r="I40" s="49">
        <f t="shared" si="21"/>
        <v>2.2596647856922371E-2</v>
      </c>
      <c r="J40" s="49">
        <f t="shared" si="21"/>
        <v>6.6029206784346123E-2</v>
      </c>
      <c r="K40" s="49">
        <f t="shared" si="21"/>
        <v>0.15638149157915912</v>
      </c>
      <c r="L40" s="49">
        <f t="shared" si="21"/>
        <v>0.33509486104997266</v>
      </c>
      <c r="M40" s="49">
        <f t="shared" si="21"/>
        <v>0.39092012362750433</v>
      </c>
      <c r="N40" s="49">
        <f t="shared" si="21"/>
        <v>0.10082497203394539</v>
      </c>
      <c r="O40" s="49">
        <f t="shared" si="21"/>
        <v>0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/>
      <c r="AO40"/>
      <c r="AP40"/>
      <c r="AQ40"/>
      <c r="AR40"/>
      <c r="AS40"/>
      <c r="AT40"/>
      <c r="AU40"/>
      <c r="AV40"/>
      <c r="AW40"/>
      <c r="FY40" s="210">
        <v>35</v>
      </c>
      <c r="FZ40" s="205"/>
      <c r="GA40" s="205"/>
      <c r="GB40" s="205"/>
      <c r="GC40" s="205"/>
      <c r="GD40" s="205"/>
      <c r="GE40" s="205"/>
      <c r="GF40" s="205"/>
      <c r="GG40" s="205"/>
      <c r="GH40" s="205"/>
      <c r="GI40" s="205"/>
      <c r="GJ40" s="205"/>
      <c r="GK40" s="205"/>
      <c r="GL40" s="205"/>
      <c r="GM40" s="205"/>
    </row>
    <row r="41" spans="1:195" s="7" customFormat="1">
      <c r="A41" s="114">
        <v>1.05</v>
      </c>
      <c r="B41" s="57"/>
      <c r="C41" s="48" t="s">
        <v>42</v>
      </c>
      <c r="D41" s="49">
        <f t="shared" si="18"/>
        <v>1.0184041224633393</v>
      </c>
      <c r="E41" s="107">
        <f t="shared" si="19"/>
        <v>1.2630456042259213E-2</v>
      </c>
      <c r="F41" s="18"/>
      <c r="G41" s="49">
        <f t="shared" si="20"/>
        <v>0</v>
      </c>
      <c r="H41" s="49">
        <f t="shared" ref="H41:AK43" si="22">H25*H$36</f>
        <v>0</v>
      </c>
      <c r="I41" s="49">
        <f t="shared" si="22"/>
        <v>6.0722269571465412E-2</v>
      </c>
      <c r="J41" s="49">
        <f t="shared" si="22"/>
        <v>0</v>
      </c>
      <c r="K41" s="49">
        <f t="shared" si="22"/>
        <v>0.15432038876658932</v>
      </c>
      <c r="L41" s="49">
        <f t="shared" si="22"/>
        <v>0.26605481958732657</v>
      </c>
      <c r="M41" s="49">
        <f t="shared" si="22"/>
        <v>0.44240352663892824</v>
      </c>
      <c r="N41" s="49">
        <f t="shared" si="22"/>
        <v>5.8201973822939707E-2</v>
      </c>
      <c r="O41" s="49">
        <f t="shared" si="22"/>
        <v>3.6701144076090243E-2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/>
      <c r="AO41"/>
      <c r="AP41"/>
      <c r="AQ41"/>
      <c r="AR41"/>
      <c r="AS41"/>
      <c r="AT41"/>
      <c r="AU41"/>
      <c r="AV41"/>
      <c r="AW41"/>
      <c r="FY41" s="210">
        <v>36</v>
      </c>
      <c r="FZ41" s="205"/>
      <c r="GA41" s="205"/>
      <c r="GB41" s="205"/>
      <c r="GC41" s="205"/>
      <c r="GD41" s="205"/>
      <c r="GE41" s="205"/>
      <c r="GF41" s="205"/>
      <c r="GG41" s="205"/>
      <c r="GH41" s="205"/>
      <c r="GI41" s="205"/>
      <c r="GJ41" s="205"/>
      <c r="GK41" s="205"/>
      <c r="GL41" s="205"/>
      <c r="GM41" s="205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0.82018753835304825</v>
      </c>
      <c r="E42" s="107">
        <f t="shared" si="19"/>
        <v>1.2185643426959575E-2</v>
      </c>
      <c r="F42" s="18"/>
      <c r="G42" s="49">
        <f t="shared" si="20"/>
        <v>0</v>
      </c>
      <c r="H42" s="49">
        <f t="shared" si="22"/>
        <v>0</v>
      </c>
      <c r="I42" s="49">
        <f t="shared" si="22"/>
        <v>8.1427568048292959E-2</v>
      </c>
      <c r="J42" s="49">
        <f t="shared" si="22"/>
        <v>1.5847009628243067E-2</v>
      </c>
      <c r="K42" s="49">
        <f t="shared" si="22"/>
        <v>3.5450968376200459E-2</v>
      </c>
      <c r="L42" s="49">
        <f t="shared" si="22"/>
        <v>0.25271260459911948</v>
      </c>
      <c r="M42" s="49">
        <f t="shared" si="22"/>
        <v>0.28899541434156384</v>
      </c>
      <c r="N42" s="49">
        <f t="shared" si="22"/>
        <v>0.10905282928353824</v>
      </c>
      <c r="O42" s="49">
        <f t="shared" si="22"/>
        <v>3.6701144076090243E-2</v>
      </c>
      <c r="P42" s="49">
        <f t="shared" si="22"/>
        <v>0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/>
      <c r="AO42"/>
      <c r="AP42"/>
      <c r="AQ42"/>
      <c r="AR42"/>
      <c r="AS42"/>
      <c r="AT42"/>
      <c r="AU42"/>
      <c r="AV42"/>
      <c r="AW42"/>
      <c r="FY42" s="210">
        <v>37</v>
      </c>
      <c r="FZ42" s="205"/>
      <c r="GA42" s="205"/>
      <c r="GB42" s="205"/>
      <c r="GC42" s="205"/>
      <c r="GD42" s="205"/>
      <c r="GE42" s="205"/>
      <c r="GF42" s="205"/>
      <c r="GG42" s="205"/>
      <c r="GH42" s="205"/>
      <c r="GI42" s="205"/>
      <c r="GJ42" s="205"/>
      <c r="GK42" s="205"/>
      <c r="GL42" s="205"/>
      <c r="GM42" s="205"/>
    </row>
    <row r="43" spans="1:195" s="7" customFormat="1">
      <c r="A43" s="95">
        <v>0</v>
      </c>
      <c r="B43" s="1"/>
      <c r="C43" s="48" t="s">
        <v>119</v>
      </c>
      <c r="D43" s="49">
        <f>IF(SUM(G43:AK43)&lt;0.0001, 0, SUM(G43:AK43))</f>
        <v>1.255155240298246</v>
      </c>
      <c r="E43" s="107">
        <f t="shared" si="19"/>
        <v>1.5130638513184334E-2</v>
      </c>
      <c r="F43" s="18"/>
      <c r="G43" s="49">
        <f t="shared" si="20"/>
        <v>0</v>
      </c>
      <c r="H43" s="49">
        <f t="shared" si="22"/>
        <v>0</v>
      </c>
      <c r="I43" s="49">
        <f t="shared" si="22"/>
        <v>2.5881623096034437E-2</v>
      </c>
      <c r="J43" s="49">
        <f t="shared" si="22"/>
        <v>0.12281432461888379</v>
      </c>
      <c r="K43" s="49">
        <f t="shared" si="22"/>
        <v>1.0717734625362929E-2</v>
      </c>
      <c r="L43" s="49">
        <f t="shared" si="22"/>
        <v>0.21675967734687362</v>
      </c>
      <c r="M43" s="49">
        <f t="shared" si="22"/>
        <v>0.18195582657630816</v>
      </c>
      <c r="N43" s="49">
        <f t="shared" si="22"/>
        <v>0.26389840506276135</v>
      </c>
      <c r="O43" s="49">
        <f t="shared" si="22"/>
        <v>2.2191389441356891E-2</v>
      </c>
      <c r="P43" s="49">
        <f t="shared" si="22"/>
        <v>0.41093625953066493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/>
      <c r="AO43"/>
      <c r="AP43"/>
      <c r="AQ43"/>
      <c r="AR43"/>
      <c r="AS43"/>
      <c r="AT43"/>
      <c r="AU43"/>
      <c r="AV43"/>
      <c r="AW43"/>
      <c r="FY43" s="210">
        <v>38</v>
      </c>
      <c r="FZ43" s="205"/>
      <c r="GA43" s="205"/>
      <c r="GB43" s="205"/>
      <c r="GC43" s="205"/>
      <c r="GD43" s="205"/>
      <c r="GE43" s="205"/>
      <c r="GF43" s="205"/>
      <c r="GG43" s="205"/>
      <c r="GH43" s="205"/>
      <c r="GI43" s="205"/>
      <c r="GJ43" s="205"/>
      <c r="GK43" s="205"/>
      <c r="GL43" s="205"/>
      <c r="GM43" s="205"/>
    </row>
    <row r="44" spans="1:195" s="7" customFormat="1">
      <c r="A44" s="4"/>
      <c r="B44" s="1"/>
      <c r="C44" s="48" t="s">
        <v>120</v>
      </c>
      <c r="D44" s="49">
        <f>IF(SUM(G44:AK44)&lt;0.0001, 0, SUM(G44:AK44))</f>
        <v>0.96921520568266872</v>
      </c>
      <c r="E44" s="107">
        <f t="shared" si="19"/>
        <v>1.7347309444083022E-2</v>
      </c>
      <c r="F44" s="18"/>
      <c r="G44" s="49">
        <f>G28*G36</f>
        <v>0</v>
      </c>
      <c r="H44" s="49">
        <f t="shared" ref="H44:AK44" si="23">H28*H36</f>
        <v>0</v>
      </c>
      <c r="I44" s="49">
        <f t="shared" si="23"/>
        <v>0</v>
      </c>
      <c r="J44" s="49">
        <f t="shared" si="23"/>
        <v>0.1109290673977015</v>
      </c>
      <c r="K44" s="49">
        <f t="shared" si="23"/>
        <v>0</v>
      </c>
      <c r="L44" s="49">
        <f t="shared" si="23"/>
        <v>6.773739917089799E-3</v>
      </c>
      <c r="M44" s="49">
        <f t="shared" si="23"/>
        <v>9.1723633888876638E-2</v>
      </c>
      <c r="N44" s="49">
        <f t="shared" si="23"/>
        <v>0.2349660217834553</v>
      </c>
      <c r="O44" s="49">
        <f t="shared" si="23"/>
        <v>9.9861252486106028E-2</v>
      </c>
      <c r="P44" s="49">
        <f t="shared" si="23"/>
        <v>0.41093625953066493</v>
      </c>
      <c r="Q44" s="49">
        <f t="shared" si="23"/>
        <v>1.4025230678774541E-2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/>
      <c r="AO44"/>
      <c r="AP44"/>
      <c r="AQ44"/>
      <c r="AR44"/>
      <c r="AS44"/>
      <c r="AT44"/>
      <c r="AU44"/>
      <c r="AV44"/>
      <c r="AW44"/>
      <c r="FY44" s="210">
        <v>39</v>
      </c>
      <c r="FZ44" s="205"/>
      <c r="GA44" s="205"/>
      <c r="GB44" s="205"/>
      <c r="GC44" s="205"/>
      <c r="GD44" s="205"/>
      <c r="GE44" s="205"/>
      <c r="GF44" s="205"/>
      <c r="GG44" s="205"/>
      <c r="GH44" s="205"/>
      <c r="GI44" s="205"/>
      <c r="GJ44" s="205"/>
      <c r="GK44" s="205"/>
      <c r="GL44" s="205"/>
      <c r="GM44" s="205"/>
    </row>
    <row r="45" spans="1:195" s="7" customFormat="1">
      <c r="A45" s="4"/>
      <c r="B45" s="1"/>
      <c r="C45" s="48" t="s">
        <v>121</v>
      </c>
      <c r="D45" s="49">
        <f>IF(SUM(G45:AK45)&lt;0.0001, 0, SUM(G45:AK45))</f>
        <v>0.3302246737128674</v>
      </c>
      <c r="E45" s="107">
        <f t="shared" si="19"/>
        <v>2.4385822058796362E-2</v>
      </c>
      <c r="F45" s="18"/>
      <c r="G45" s="49">
        <f>G29*G36</f>
        <v>0</v>
      </c>
      <c r="H45" s="49">
        <f t="shared" ref="H45:AK45" si="24">H29*H36</f>
        <v>0</v>
      </c>
      <c r="I45" s="49">
        <f t="shared" si="24"/>
        <v>0</v>
      </c>
      <c r="J45" s="49">
        <f t="shared" si="24"/>
        <v>3.9617524070607668E-3</v>
      </c>
      <c r="K45" s="49">
        <f t="shared" si="24"/>
        <v>0</v>
      </c>
      <c r="L45" s="49">
        <f t="shared" si="24"/>
        <v>6.773739917089799E-3</v>
      </c>
      <c r="M45" s="49">
        <f t="shared" si="24"/>
        <v>0</v>
      </c>
      <c r="N45" s="49">
        <f t="shared" si="24"/>
        <v>4.8220638798843446E-2</v>
      </c>
      <c r="O45" s="49">
        <f t="shared" si="24"/>
        <v>9.9861252486106028E-2</v>
      </c>
      <c r="P45" s="49">
        <f t="shared" si="24"/>
        <v>0</v>
      </c>
      <c r="Q45" s="49">
        <f t="shared" si="24"/>
        <v>2.8050461357549083E-2</v>
      </c>
      <c r="R45" s="49">
        <f t="shared" si="24"/>
        <v>4.6504350921510625E-2</v>
      </c>
      <c r="S45" s="49">
        <f t="shared" si="24"/>
        <v>0</v>
      </c>
      <c r="T45" s="49">
        <f t="shared" si="24"/>
        <v>3.6947114680306953E-2</v>
      </c>
      <c r="U45" s="49">
        <f t="shared" si="24"/>
        <v>5.9905363144400689E-2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/>
      <c r="AO45"/>
      <c r="AP45"/>
      <c r="AQ45"/>
      <c r="AR45"/>
      <c r="AS45"/>
      <c r="AT45"/>
      <c r="AU45"/>
      <c r="AV45"/>
      <c r="AW45"/>
      <c r="FY45" s="210">
        <v>40</v>
      </c>
      <c r="FZ45" s="205"/>
      <c r="GA45" s="205"/>
      <c r="GB45" s="205"/>
      <c r="GC45" s="205"/>
      <c r="GD45" s="205"/>
      <c r="GE45" s="205"/>
      <c r="GF45" s="205"/>
      <c r="GG45" s="205"/>
      <c r="GH45" s="205"/>
      <c r="GI45" s="205"/>
      <c r="GJ45" s="205"/>
      <c r="GK45" s="205"/>
      <c r="GL45" s="205"/>
      <c r="GM45" s="205"/>
    </row>
    <row r="46" spans="1:195" s="7" customFormat="1">
      <c r="A46" s="4"/>
      <c r="B46" s="1"/>
      <c r="C46" s="48" t="s">
        <v>122</v>
      </c>
      <c r="D46" s="49">
        <f>IF(SUM(G46:AK46)&lt;0.0001, 0, SUM(G46:AK46))</f>
        <v>0.84147352322637092</v>
      </c>
      <c r="E46" s="107">
        <f t="shared" si="19"/>
        <v>1.1669292625034616E-2</v>
      </c>
      <c r="F46" s="18"/>
      <c r="G46" s="49">
        <f>G30*G36</f>
        <v>0</v>
      </c>
      <c r="H46" s="49">
        <f t="shared" ref="H46:AK46" si="25">H30*H36</f>
        <v>3.1826923076923074E-3</v>
      </c>
      <c r="I46" s="49">
        <f t="shared" si="25"/>
        <v>7.4638619220794691E-2</v>
      </c>
      <c r="J46" s="49">
        <f t="shared" si="25"/>
        <v>8.837038310337901E-2</v>
      </c>
      <c r="K46" s="49">
        <f t="shared" si="25"/>
        <v>0.12946723630665682</v>
      </c>
      <c r="L46" s="49">
        <f t="shared" si="25"/>
        <v>0.12839947699716209</v>
      </c>
      <c r="M46" s="49">
        <f t="shared" si="25"/>
        <v>0.15760900501476827</v>
      </c>
      <c r="N46" s="49">
        <f t="shared" si="25"/>
        <v>9.2826415724095265E-2</v>
      </c>
      <c r="O46" s="49">
        <f t="shared" si="25"/>
        <v>3.6189035088982004E-2</v>
      </c>
      <c r="P46" s="49">
        <f t="shared" si="25"/>
        <v>8.4698529047709262E-2</v>
      </c>
      <c r="Q46" s="49">
        <f t="shared" si="25"/>
        <v>1.1220184543019634E-2</v>
      </c>
      <c r="R46" s="49">
        <f t="shared" si="25"/>
        <v>1.5501450307170208E-2</v>
      </c>
      <c r="S46" s="49">
        <f t="shared" si="25"/>
        <v>0</v>
      </c>
      <c r="T46" s="49">
        <f t="shared" si="25"/>
        <v>7.3894229360613913E-3</v>
      </c>
      <c r="U46" s="49">
        <f t="shared" si="25"/>
        <v>1.1981072628880138E-2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/>
      <c r="AO46"/>
      <c r="AP46"/>
      <c r="AQ46"/>
      <c r="AR46"/>
      <c r="AS46"/>
      <c r="AT46"/>
      <c r="AU46"/>
      <c r="AV46"/>
      <c r="AW46"/>
      <c r="FY46" s="210">
        <v>41</v>
      </c>
      <c r="FZ46" s="205"/>
      <c r="GA46" s="205"/>
      <c r="GB46" s="205"/>
      <c r="GC46" s="205"/>
      <c r="GD46" s="205"/>
      <c r="GE46" s="205"/>
      <c r="GF46" s="205"/>
      <c r="GG46" s="205"/>
      <c r="GH46" s="205"/>
      <c r="GI46" s="205"/>
      <c r="GJ46" s="205"/>
      <c r="GK46" s="205"/>
      <c r="GL46" s="205"/>
      <c r="GM46" s="205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/>
      <c r="AO47"/>
      <c r="AP47"/>
      <c r="AQ47"/>
      <c r="AR47"/>
      <c r="AS47"/>
      <c r="AT47"/>
      <c r="AU47"/>
      <c r="AV47"/>
      <c r="AW47"/>
      <c r="FY47" s="210">
        <v>42</v>
      </c>
      <c r="FZ47" s="205"/>
      <c r="GA47" s="205"/>
      <c r="GB47" s="205"/>
      <c r="GC47" s="205"/>
      <c r="GD47" s="205"/>
      <c r="GE47" s="205"/>
      <c r="GF47" s="205"/>
      <c r="GG47" s="205"/>
      <c r="GH47" s="205"/>
      <c r="GI47" s="205"/>
      <c r="GJ47" s="205"/>
      <c r="GK47" s="205"/>
      <c r="GL47" s="205"/>
      <c r="GM47" s="205"/>
    </row>
    <row r="48" spans="1:195" s="7" customFormat="1">
      <c r="A48" s="4"/>
      <c r="B48" s="1"/>
      <c r="C48" s="60" t="s">
        <v>50</v>
      </c>
      <c r="D48" s="53">
        <f>AVERAGE(D37:D47)</f>
        <v>0.88123729128834838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/>
      <c r="AO48"/>
      <c r="AP48"/>
      <c r="AQ48"/>
      <c r="AR48"/>
      <c r="AS48"/>
      <c r="AT48"/>
      <c r="AU48"/>
      <c r="AV48"/>
      <c r="AW48"/>
      <c r="FY48" s="210">
        <v>43</v>
      </c>
      <c r="FZ48" s="205"/>
      <c r="GA48" s="205"/>
      <c r="GB48" s="205"/>
      <c r="GC48" s="205"/>
      <c r="GD48" s="205"/>
      <c r="GE48" s="205"/>
      <c r="GF48" s="205"/>
      <c r="GG48" s="205"/>
      <c r="GH48" s="205"/>
      <c r="GI48" s="205"/>
      <c r="GJ48" s="205"/>
      <c r="GK48" s="205"/>
      <c r="GL48" s="205"/>
      <c r="GM48" s="205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/>
      <c r="AO49"/>
      <c r="AP49"/>
      <c r="AQ49"/>
      <c r="AR49"/>
      <c r="AS49"/>
      <c r="AT49"/>
      <c r="AU49"/>
      <c r="AV49"/>
      <c r="AW49"/>
      <c r="FY49" s="210">
        <v>44</v>
      </c>
      <c r="FZ49" s="205"/>
      <c r="GA49" s="205"/>
      <c r="GB49" s="205"/>
      <c r="GC49" s="205"/>
      <c r="GD49" s="205"/>
      <c r="GE49" s="205"/>
      <c r="GF49" s="205"/>
      <c r="GG49" s="205"/>
      <c r="GH49" s="205"/>
      <c r="GI49" s="205"/>
      <c r="GJ49" s="205"/>
      <c r="GK49" s="205"/>
      <c r="GL49" s="205"/>
      <c r="GM49" s="205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/>
      <c r="AO50"/>
      <c r="AP50"/>
      <c r="AQ50"/>
      <c r="AR50"/>
      <c r="AS50"/>
      <c r="AT50"/>
      <c r="AU50"/>
      <c r="AV50"/>
      <c r="AW50"/>
      <c r="FY50" s="210">
        <v>45</v>
      </c>
      <c r="FZ50" s="205"/>
      <c r="GA50" s="205"/>
      <c r="GB50" s="205"/>
      <c r="GC50" s="205"/>
      <c r="GD50" s="205"/>
      <c r="GE50" s="205"/>
      <c r="GF50" s="205"/>
      <c r="GG50" s="205"/>
      <c r="GH50" s="205"/>
      <c r="GI50" s="205"/>
      <c r="GJ50" s="205"/>
      <c r="GK50" s="205"/>
      <c r="GL50" s="205"/>
      <c r="GM50" s="205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/>
      <c r="AO51"/>
      <c r="AP51"/>
      <c r="AQ51"/>
      <c r="AR51"/>
      <c r="AS51"/>
      <c r="AT51"/>
      <c r="AU51"/>
      <c r="AV51"/>
      <c r="AW51"/>
      <c r="FY51" s="210">
        <v>46</v>
      </c>
      <c r="FZ51" s="205"/>
      <c r="GA51" s="205"/>
      <c r="GB51" s="205"/>
      <c r="GC51" s="205"/>
      <c r="GD51" s="205"/>
      <c r="GE51" s="205"/>
      <c r="GF51" s="205"/>
      <c r="GG51" s="205"/>
      <c r="GH51" s="205"/>
      <c r="GI51" s="205"/>
      <c r="GJ51" s="205"/>
      <c r="GK51" s="205"/>
      <c r="GL51" s="205"/>
      <c r="GM51" s="205"/>
    </row>
    <row r="52" spans="1:195" s="7" customFormat="1">
      <c r="A52" s="4"/>
      <c r="B52" s="36"/>
      <c r="C52" s="48" t="s">
        <v>38</v>
      </c>
      <c r="D52" s="49">
        <f>SUM(G52:AK52)</f>
        <v>0.57185259175357372</v>
      </c>
      <c r="E52" s="19">
        <v>3.8777122696400615E-2</v>
      </c>
      <c r="F52" s="8"/>
      <c r="G52" s="49">
        <f>$E$52*$E$21*G37</f>
        <v>0</v>
      </c>
      <c r="H52" s="49">
        <f t="shared" ref="H52:AK52" si="26">$E$52*$E$21*H37</f>
        <v>7.8523673460211239E-3</v>
      </c>
      <c r="I52" s="49">
        <f t="shared" si="26"/>
        <v>0.28181505672504004</v>
      </c>
      <c r="J52" s="49">
        <f t="shared" si="26"/>
        <v>0.1197193387314472</v>
      </c>
      <c r="K52" s="49">
        <f t="shared" si="26"/>
        <v>5.6106392930346544E-3</v>
      </c>
      <c r="L52" s="49">
        <f t="shared" si="26"/>
        <v>2.1275957654158312E-2</v>
      </c>
      <c r="M52" s="49">
        <f t="shared" si="26"/>
        <v>1.7176638143482987E-2</v>
      </c>
      <c r="N52" s="49">
        <f t="shared" si="26"/>
        <v>2.0194462373776936E-2</v>
      </c>
      <c r="O52" s="49">
        <f t="shared" si="26"/>
        <v>2.3233992241619841E-2</v>
      </c>
      <c r="P52" s="49">
        <f t="shared" si="26"/>
        <v>1.3146313748881928E-2</v>
      </c>
      <c r="Q52" s="49">
        <f t="shared" si="26"/>
        <v>2.9368336907312775E-2</v>
      </c>
      <c r="R52" s="49">
        <f t="shared" si="26"/>
        <v>3.2459488588797991E-2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/>
      <c r="AO52"/>
      <c r="AP52"/>
      <c r="AQ52"/>
      <c r="AR52"/>
      <c r="AS52"/>
      <c r="AT52"/>
      <c r="AU52"/>
      <c r="AV52"/>
      <c r="AW52"/>
      <c r="FY52" s="210">
        <v>47</v>
      </c>
      <c r="FZ52" s="205"/>
      <c r="GA52" s="205"/>
      <c r="GB52" s="205"/>
      <c r="GC52" s="205"/>
      <c r="GD52" s="205"/>
      <c r="GE52" s="205"/>
      <c r="GF52" s="205"/>
      <c r="GG52" s="205"/>
      <c r="GH52" s="205"/>
      <c r="GI52" s="205"/>
      <c r="GJ52" s="205"/>
      <c r="GK52" s="205"/>
      <c r="GL52" s="205"/>
      <c r="GM52" s="205"/>
    </row>
    <row r="53" spans="1:195" s="7" customFormat="1">
      <c r="A53" s="4"/>
      <c r="B53" s="36"/>
      <c r="C53" s="48" t="s">
        <v>39</v>
      </c>
      <c r="D53" s="49">
        <f t="shared" ref="D53:D61" si="27">SUM(G53:AK53)</f>
        <v>1.2301461230713797</v>
      </c>
      <c r="E53" s="19">
        <v>3.3565979632026934E-2</v>
      </c>
      <c r="F53" s="8"/>
      <c r="G53" s="49">
        <f>$E$53*$E$22*G38</f>
        <v>0</v>
      </c>
      <c r="H53" s="49">
        <f t="shared" ref="H53:AK53" si="28">$E$53*$E$22*H38</f>
        <v>0</v>
      </c>
      <c r="I53" s="49">
        <f t="shared" si="28"/>
        <v>0.14603553586249718</v>
      </c>
      <c r="J53" s="49">
        <f t="shared" si="28"/>
        <v>0.34273926085884054</v>
      </c>
      <c r="K53" s="49">
        <f t="shared" si="28"/>
        <v>0.62686657427268033</v>
      </c>
      <c r="L53" s="49">
        <f t="shared" si="28"/>
        <v>3.7288223438708176E-2</v>
      </c>
      <c r="M53" s="49">
        <f t="shared" si="28"/>
        <v>0</v>
      </c>
      <c r="N53" s="49">
        <f t="shared" si="28"/>
        <v>0</v>
      </c>
      <c r="O53" s="49">
        <f t="shared" si="28"/>
        <v>0</v>
      </c>
      <c r="P53" s="49">
        <f t="shared" si="28"/>
        <v>1.7280162863827504E-2</v>
      </c>
      <c r="Q53" s="49">
        <f t="shared" si="28"/>
        <v>3.8603189798454493E-2</v>
      </c>
      <c r="R53" s="49">
        <f t="shared" si="28"/>
        <v>2.1333175976371466E-2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/>
      <c r="AO53"/>
      <c r="AP53"/>
      <c r="AQ53"/>
      <c r="AR53"/>
      <c r="AS53"/>
      <c r="AT53"/>
      <c r="AU53"/>
      <c r="AV53"/>
      <c r="AW53"/>
      <c r="FY53" s="210">
        <v>48</v>
      </c>
      <c r="FZ53" s="205"/>
      <c r="GA53" s="205"/>
      <c r="GB53" s="205"/>
      <c r="GC53" s="205"/>
      <c r="GD53" s="205"/>
      <c r="GE53" s="205"/>
      <c r="GF53" s="205"/>
      <c r="GG53" s="205"/>
      <c r="GH53" s="205"/>
      <c r="GI53" s="205"/>
      <c r="GJ53" s="205"/>
      <c r="GK53" s="205"/>
      <c r="GL53" s="205"/>
      <c r="GM53" s="205"/>
    </row>
    <row r="54" spans="1:195" s="7" customFormat="1">
      <c r="A54" s="4"/>
      <c r="B54" s="36"/>
      <c r="C54" s="48" t="s">
        <v>40</v>
      </c>
      <c r="D54" s="49">
        <f t="shared" si="27"/>
        <v>1.2512147481833675</v>
      </c>
      <c r="E54" s="19">
        <v>3.5857645106735621E-2</v>
      </c>
      <c r="F54" s="8"/>
      <c r="G54" s="49">
        <f>$E$54*$E$23*G39</f>
        <v>0</v>
      </c>
      <c r="H54" s="49">
        <f t="shared" ref="H54:AK54" si="29">$E$54*$E$23*H39</f>
        <v>9.9556682928556833E-3</v>
      </c>
      <c r="I54" s="49">
        <f t="shared" si="29"/>
        <v>2.0613508353986513E-2</v>
      </c>
      <c r="J54" s="49">
        <f t="shared" si="29"/>
        <v>0.23752283495157112</v>
      </c>
      <c r="K54" s="49">
        <f t="shared" si="29"/>
        <v>0.56436323599350424</v>
      </c>
      <c r="L54" s="49">
        <f t="shared" si="29"/>
        <v>0.15629994794206745</v>
      </c>
      <c r="M54" s="49">
        <f t="shared" si="29"/>
        <v>0.17427654645306259</v>
      </c>
      <c r="N54" s="49">
        <f t="shared" si="29"/>
        <v>8.8183006196319719E-2</v>
      </c>
      <c r="O54" s="49">
        <f t="shared" si="29"/>
        <v>0</v>
      </c>
      <c r="P54" s="49">
        <f t="shared" si="29"/>
        <v>0</v>
      </c>
      <c r="Q54" s="49">
        <f t="shared" si="29"/>
        <v>0</v>
      </c>
      <c r="R54" s="49">
        <f t="shared" si="29"/>
        <v>0</v>
      </c>
      <c r="S54" s="49">
        <f t="shared" si="29"/>
        <v>0</v>
      </c>
      <c r="T54" s="49">
        <f t="shared" si="29"/>
        <v>0</v>
      </c>
      <c r="U54" s="49">
        <f t="shared" si="29"/>
        <v>0</v>
      </c>
      <c r="V54" s="49">
        <f t="shared" si="29"/>
        <v>0</v>
      </c>
      <c r="W54" s="49">
        <f t="shared" si="29"/>
        <v>0</v>
      </c>
      <c r="X54" s="49">
        <f t="shared" si="29"/>
        <v>0</v>
      </c>
      <c r="Y54" s="49">
        <f t="shared" si="29"/>
        <v>0</v>
      </c>
      <c r="Z54" s="49">
        <f t="shared" si="29"/>
        <v>0</v>
      </c>
      <c r="AA54" s="49">
        <f t="shared" si="29"/>
        <v>0</v>
      </c>
      <c r="AB54" s="49">
        <f t="shared" si="29"/>
        <v>0</v>
      </c>
      <c r="AC54" s="49">
        <f t="shared" si="29"/>
        <v>0</v>
      </c>
      <c r="AD54" s="49">
        <f t="shared" si="29"/>
        <v>0</v>
      </c>
      <c r="AE54" s="49">
        <f t="shared" si="29"/>
        <v>0</v>
      </c>
      <c r="AF54" s="49">
        <f t="shared" si="29"/>
        <v>0</v>
      </c>
      <c r="AG54" s="49">
        <f t="shared" si="29"/>
        <v>0</v>
      </c>
      <c r="AH54" s="49">
        <f t="shared" si="29"/>
        <v>0</v>
      </c>
      <c r="AI54" s="49">
        <f t="shared" si="29"/>
        <v>0</v>
      </c>
      <c r="AJ54" s="49">
        <f t="shared" si="29"/>
        <v>0</v>
      </c>
      <c r="AK54" s="49">
        <f t="shared" si="29"/>
        <v>0</v>
      </c>
      <c r="AL54" s="42"/>
      <c r="AM54" s="43">
        <v>38</v>
      </c>
      <c r="AN54"/>
      <c r="AO54"/>
      <c r="AP54"/>
      <c r="AQ54"/>
      <c r="AR54"/>
      <c r="AS54"/>
      <c r="AT54"/>
      <c r="AU54"/>
      <c r="AV54"/>
      <c r="AW54"/>
      <c r="FY54" s="210">
        <v>49</v>
      </c>
      <c r="FZ54" s="205"/>
      <c r="GA54" s="205"/>
      <c r="GB54" s="205"/>
      <c r="GC54" s="205"/>
      <c r="GD54" s="205"/>
      <c r="GE54" s="205"/>
      <c r="GF54" s="205"/>
      <c r="GG54" s="205"/>
      <c r="GH54" s="205"/>
      <c r="GI54" s="205"/>
      <c r="GJ54" s="205"/>
      <c r="GK54" s="205"/>
      <c r="GL54" s="205"/>
      <c r="GM54" s="205"/>
    </row>
    <row r="55" spans="1:195" s="7" customFormat="1">
      <c r="A55" s="4"/>
      <c r="B55" s="36"/>
      <c r="C55" s="48" t="s">
        <v>41</v>
      </c>
      <c r="D55" s="49">
        <f t="shared" si="27"/>
        <v>0.15123650702584363</v>
      </c>
      <c r="E55" s="19">
        <v>5.0000000000000001E-3</v>
      </c>
      <c r="F55" s="8"/>
      <c r="G55" s="49">
        <f>$E$55*$E$24*G40</f>
        <v>0</v>
      </c>
      <c r="H55" s="49">
        <f t="shared" ref="H55:AK55" si="30">$E$55*$E$24*H40</f>
        <v>1.1778846153846154E-3</v>
      </c>
      <c r="I55" s="49">
        <f t="shared" si="30"/>
        <v>3.163530699969132E-3</v>
      </c>
      <c r="J55" s="49">
        <f t="shared" si="30"/>
        <v>9.2440889498084586E-3</v>
      </c>
      <c r="K55" s="49">
        <f t="shared" si="30"/>
        <v>2.1893408821082278E-2</v>
      </c>
      <c r="L55" s="49">
        <f t="shared" si="30"/>
        <v>4.6913280546996179E-2</v>
      </c>
      <c r="M55" s="49">
        <f t="shared" si="30"/>
        <v>5.4728817307850612E-2</v>
      </c>
      <c r="N55" s="49">
        <f t="shared" si="30"/>
        <v>1.4115496084752356E-2</v>
      </c>
      <c r="O55" s="49">
        <f t="shared" si="30"/>
        <v>0</v>
      </c>
      <c r="P55" s="49">
        <f t="shared" si="30"/>
        <v>0</v>
      </c>
      <c r="Q55" s="49">
        <f t="shared" si="30"/>
        <v>0</v>
      </c>
      <c r="R55" s="49">
        <f t="shared" si="30"/>
        <v>0</v>
      </c>
      <c r="S55" s="49">
        <f t="shared" si="30"/>
        <v>0</v>
      </c>
      <c r="T55" s="49">
        <f t="shared" si="30"/>
        <v>0</v>
      </c>
      <c r="U55" s="49">
        <f t="shared" si="30"/>
        <v>0</v>
      </c>
      <c r="V55" s="49">
        <f t="shared" si="30"/>
        <v>0</v>
      </c>
      <c r="W55" s="49">
        <f t="shared" si="30"/>
        <v>0</v>
      </c>
      <c r="X55" s="49">
        <f t="shared" si="30"/>
        <v>0</v>
      </c>
      <c r="Y55" s="49">
        <f t="shared" si="30"/>
        <v>0</v>
      </c>
      <c r="Z55" s="49">
        <f t="shared" si="30"/>
        <v>0</v>
      </c>
      <c r="AA55" s="49">
        <f t="shared" si="30"/>
        <v>0</v>
      </c>
      <c r="AB55" s="49">
        <f t="shared" si="30"/>
        <v>0</v>
      </c>
      <c r="AC55" s="49">
        <f t="shared" si="30"/>
        <v>0</v>
      </c>
      <c r="AD55" s="49">
        <f t="shared" si="30"/>
        <v>0</v>
      </c>
      <c r="AE55" s="49">
        <f t="shared" si="30"/>
        <v>0</v>
      </c>
      <c r="AF55" s="49">
        <f t="shared" si="30"/>
        <v>0</v>
      </c>
      <c r="AG55" s="49">
        <f t="shared" si="30"/>
        <v>0</v>
      </c>
      <c r="AH55" s="49">
        <f t="shared" si="30"/>
        <v>0</v>
      </c>
      <c r="AI55" s="49">
        <f t="shared" si="30"/>
        <v>0</v>
      </c>
      <c r="AJ55" s="49">
        <f t="shared" si="30"/>
        <v>0</v>
      </c>
      <c r="AK55" s="49">
        <f t="shared" si="30"/>
        <v>0</v>
      </c>
      <c r="AL55" s="42"/>
      <c r="AM55" s="43">
        <v>39</v>
      </c>
      <c r="AN55"/>
      <c r="AO55"/>
      <c r="AP55"/>
      <c r="AQ55"/>
      <c r="AR55"/>
      <c r="AS55"/>
      <c r="AT55"/>
      <c r="AU55"/>
      <c r="AV55"/>
      <c r="AW55"/>
      <c r="FY55" s="210">
        <v>50</v>
      </c>
      <c r="FZ55" s="205"/>
      <c r="GA55" s="205"/>
      <c r="GB55" s="205"/>
      <c r="GC55" s="205"/>
      <c r="GD55" s="205"/>
      <c r="GE55" s="205"/>
      <c r="GF55" s="205"/>
      <c r="GG55" s="205"/>
      <c r="GH55" s="205"/>
      <c r="GI55" s="205"/>
      <c r="GJ55" s="205"/>
      <c r="GK55" s="205"/>
      <c r="GL55" s="205"/>
      <c r="GM55" s="205"/>
    </row>
    <row r="56" spans="1:195" s="7" customFormat="1">
      <c r="A56" s="4"/>
      <c r="B56" s="36"/>
      <c r="C56" s="48" t="s">
        <v>42</v>
      </c>
      <c r="D56" s="49">
        <f t="shared" si="27"/>
        <v>0.12220849469560074</v>
      </c>
      <c r="E56" s="19">
        <v>5.0000000000000001E-3</v>
      </c>
      <c r="F56" s="8"/>
      <c r="G56" s="49">
        <f>$E$56*$E$25*G41</f>
        <v>0</v>
      </c>
      <c r="H56" s="49">
        <f t="shared" ref="H56:AK56" si="31">$E$56*$E$25*H41</f>
        <v>0</v>
      </c>
      <c r="I56" s="49">
        <f t="shared" si="31"/>
        <v>7.2866723485758489E-3</v>
      </c>
      <c r="J56" s="49">
        <f t="shared" si="31"/>
        <v>0</v>
      </c>
      <c r="K56" s="49">
        <f t="shared" si="31"/>
        <v>1.8518446651990719E-2</v>
      </c>
      <c r="L56" s="49">
        <f t="shared" si="31"/>
        <v>3.1926578350479184E-2</v>
      </c>
      <c r="M56" s="49">
        <f t="shared" si="31"/>
        <v>5.3088423196671383E-2</v>
      </c>
      <c r="N56" s="49">
        <f t="shared" si="31"/>
        <v>6.9842368587527646E-3</v>
      </c>
      <c r="O56" s="49">
        <f t="shared" si="31"/>
        <v>4.4041372891308293E-3</v>
      </c>
      <c r="P56" s="49">
        <f t="shared" si="31"/>
        <v>0</v>
      </c>
      <c r="Q56" s="49">
        <f t="shared" si="31"/>
        <v>0</v>
      </c>
      <c r="R56" s="49">
        <f t="shared" si="31"/>
        <v>0</v>
      </c>
      <c r="S56" s="49">
        <f t="shared" si="31"/>
        <v>0</v>
      </c>
      <c r="T56" s="49">
        <f t="shared" si="31"/>
        <v>0</v>
      </c>
      <c r="U56" s="49">
        <f t="shared" si="31"/>
        <v>0</v>
      </c>
      <c r="V56" s="49">
        <f t="shared" si="31"/>
        <v>0</v>
      </c>
      <c r="W56" s="49">
        <f t="shared" si="31"/>
        <v>0</v>
      </c>
      <c r="X56" s="49">
        <f t="shared" si="31"/>
        <v>0</v>
      </c>
      <c r="Y56" s="49">
        <f t="shared" si="31"/>
        <v>0</v>
      </c>
      <c r="Z56" s="49">
        <f t="shared" si="31"/>
        <v>0</v>
      </c>
      <c r="AA56" s="49">
        <f t="shared" si="31"/>
        <v>0</v>
      </c>
      <c r="AB56" s="49">
        <f t="shared" si="31"/>
        <v>0</v>
      </c>
      <c r="AC56" s="49">
        <f t="shared" si="31"/>
        <v>0</v>
      </c>
      <c r="AD56" s="49">
        <f t="shared" si="31"/>
        <v>0</v>
      </c>
      <c r="AE56" s="49">
        <f t="shared" si="31"/>
        <v>0</v>
      </c>
      <c r="AF56" s="49">
        <f t="shared" si="31"/>
        <v>0</v>
      </c>
      <c r="AG56" s="49">
        <f t="shared" si="31"/>
        <v>0</v>
      </c>
      <c r="AH56" s="49">
        <f t="shared" si="31"/>
        <v>0</v>
      </c>
      <c r="AI56" s="49">
        <f t="shared" si="31"/>
        <v>0</v>
      </c>
      <c r="AJ56" s="49">
        <f t="shared" si="31"/>
        <v>0</v>
      </c>
      <c r="AK56" s="49">
        <f t="shared" si="31"/>
        <v>0</v>
      </c>
      <c r="AL56" s="42"/>
      <c r="AM56" s="43">
        <v>40</v>
      </c>
      <c r="AN56"/>
      <c r="AO56"/>
      <c r="AP56"/>
      <c r="AQ56"/>
      <c r="AR56"/>
      <c r="AS56"/>
      <c r="AT56"/>
      <c r="AU56"/>
      <c r="AV56"/>
      <c r="AW56"/>
      <c r="FY56" s="210">
        <v>51</v>
      </c>
      <c r="FZ56" s="205"/>
      <c r="GA56" s="205"/>
      <c r="GB56" s="205"/>
      <c r="GC56" s="205"/>
      <c r="GD56" s="205"/>
      <c r="GE56" s="205"/>
      <c r="GF56" s="205"/>
      <c r="GG56" s="205"/>
      <c r="GH56" s="205"/>
      <c r="GI56" s="205"/>
      <c r="GJ56" s="205"/>
      <c r="GK56" s="205"/>
      <c r="GL56" s="205"/>
      <c r="GM56" s="205"/>
    </row>
    <row r="57" spans="1:195" s="7" customFormat="1">
      <c r="A57" s="4"/>
      <c r="B57" s="36"/>
      <c r="C57" s="48" t="s">
        <v>118</v>
      </c>
      <c r="D57" s="49">
        <f t="shared" si="27"/>
        <v>0.19684500920473161</v>
      </c>
      <c r="E57" s="19">
        <v>5.0000000000000001E-3</v>
      </c>
      <c r="F57" s="8"/>
      <c r="G57" s="49">
        <f>$E$57*$E$26*G42</f>
        <v>0</v>
      </c>
      <c r="H57" s="49">
        <f t="shared" ref="H57:AK57" si="32">$E$57*$E$26*H42</f>
        <v>0</v>
      </c>
      <c r="I57" s="49">
        <f t="shared" si="32"/>
        <v>1.954261633159031E-2</v>
      </c>
      <c r="J57" s="49">
        <f t="shared" si="32"/>
        <v>3.8032823107783361E-3</v>
      </c>
      <c r="K57" s="49">
        <f t="shared" si="32"/>
        <v>8.50823241028811E-3</v>
      </c>
      <c r="L57" s="49">
        <f t="shared" si="32"/>
        <v>6.0651025103788676E-2</v>
      </c>
      <c r="M57" s="49">
        <f t="shared" si="32"/>
        <v>6.9358899441975319E-2</v>
      </c>
      <c r="N57" s="49">
        <f t="shared" si="32"/>
        <v>2.6172679028049175E-2</v>
      </c>
      <c r="O57" s="49">
        <f t="shared" si="32"/>
        <v>8.8082745782616587E-3</v>
      </c>
      <c r="P57" s="49">
        <f t="shared" si="32"/>
        <v>0</v>
      </c>
      <c r="Q57" s="49">
        <f t="shared" si="32"/>
        <v>0</v>
      </c>
      <c r="R57" s="49">
        <f t="shared" si="32"/>
        <v>0</v>
      </c>
      <c r="S57" s="49">
        <f t="shared" si="32"/>
        <v>0</v>
      </c>
      <c r="T57" s="49">
        <f t="shared" si="32"/>
        <v>0</v>
      </c>
      <c r="U57" s="49">
        <f t="shared" si="32"/>
        <v>0</v>
      </c>
      <c r="V57" s="49">
        <f t="shared" si="32"/>
        <v>0</v>
      </c>
      <c r="W57" s="49">
        <f t="shared" si="32"/>
        <v>0</v>
      </c>
      <c r="X57" s="49">
        <f t="shared" si="32"/>
        <v>0</v>
      </c>
      <c r="Y57" s="49">
        <f t="shared" si="32"/>
        <v>0</v>
      </c>
      <c r="Z57" s="49">
        <f t="shared" si="32"/>
        <v>0</v>
      </c>
      <c r="AA57" s="49">
        <f t="shared" si="32"/>
        <v>0</v>
      </c>
      <c r="AB57" s="49">
        <f t="shared" si="32"/>
        <v>0</v>
      </c>
      <c r="AC57" s="49">
        <f t="shared" si="32"/>
        <v>0</v>
      </c>
      <c r="AD57" s="49">
        <f t="shared" si="32"/>
        <v>0</v>
      </c>
      <c r="AE57" s="49">
        <f t="shared" si="32"/>
        <v>0</v>
      </c>
      <c r="AF57" s="49">
        <f t="shared" si="32"/>
        <v>0</v>
      </c>
      <c r="AG57" s="49">
        <f t="shared" si="32"/>
        <v>0</v>
      </c>
      <c r="AH57" s="49">
        <f t="shared" si="32"/>
        <v>0</v>
      </c>
      <c r="AI57" s="49">
        <f t="shared" si="32"/>
        <v>0</v>
      </c>
      <c r="AJ57" s="49">
        <f t="shared" si="32"/>
        <v>0</v>
      </c>
      <c r="AK57" s="49">
        <f t="shared" si="32"/>
        <v>0</v>
      </c>
      <c r="AL57" s="42"/>
      <c r="AM57" s="43">
        <v>41</v>
      </c>
      <c r="AN57"/>
      <c r="AO57"/>
      <c r="AP57"/>
      <c r="AQ57"/>
      <c r="AR57"/>
      <c r="AS57"/>
      <c r="AT57"/>
      <c r="AU57"/>
      <c r="AV57"/>
      <c r="AW57"/>
      <c r="FY57" s="210">
        <v>52</v>
      </c>
      <c r="FZ57" s="205"/>
      <c r="GA57" s="205"/>
      <c r="GB57" s="205"/>
      <c r="GC57" s="205"/>
      <c r="GD57" s="205"/>
      <c r="GE57" s="205"/>
      <c r="GF57" s="205"/>
      <c r="GG57" s="205"/>
      <c r="GH57" s="205"/>
      <c r="GI57" s="205"/>
      <c r="GJ57" s="205"/>
      <c r="GK57" s="205"/>
      <c r="GL57" s="205"/>
      <c r="GM57" s="205"/>
    </row>
    <row r="58" spans="1:195" s="7" customFormat="1">
      <c r="A58" s="4"/>
      <c r="B58" s="1"/>
      <c r="C58" s="48" t="s">
        <v>119</v>
      </c>
      <c r="D58" s="49">
        <f t="shared" si="27"/>
        <v>1.5677657380174645</v>
      </c>
      <c r="E58" s="19">
        <v>1.9826368600276503E-2</v>
      </c>
      <c r="F58" s="8"/>
      <c r="G58" s="49">
        <f>$E$58*$E$27*G43</f>
        <v>0</v>
      </c>
      <c r="H58" s="49">
        <f t="shared" ref="H58:AK58" si="33">$E$58*$E$27*H43</f>
        <v>0</v>
      </c>
      <c r="I58" s="49">
        <f t="shared" si="33"/>
        <v>3.2327731766950724E-2</v>
      </c>
      <c r="J58" s="49">
        <f t="shared" si="33"/>
        <v>0.15340261036514422</v>
      </c>
      <c r="K58" s="49">
        <f t="shared" si="33"/>
        <v>1.3387106706270685E-2</v>
      </c>
      <c r="L58" s="49">
        <f t="shared" si="33"/>
        <v>0.27074610742763566</v>
      </c>
      <c r="M58" s="49">
        <f t="shared" si="33"/>
        <v>0.227273967060202</v>
      </c>
      <c r="N58" s="49">
        <f t="shared" si="33"/>
        <v>0.32962526426336103</v>
      </c>
      <c r="O58" s="49">
        <f t="shared" si="33"/>
        <v>2.7718404009447428E-2</v>
      </c>
      <c r="P58" s="49">
        <f t="shared" si="33"/>
        <v>0.51328454641845267</v>
      </c>
      <c r="Q58" s="49">
        <f t="shared" si="33"/>
        <v>0</v>
      </c>
      <c r="R58" s="49">
        <f t="shared" si="33"/>
        <v>0</v>
      </c>
      <c r="S58" s="49">
        <f t="shared" si="33"/>
        <v>0</v>
      </c>
      <c r="T58" s="49">
        <f t="shared" si="33"/>
        <v>0</v>
      </c>
      <c r="U58" s="49">
        <f t="shared" si="33"/>
        <v>0</v>
      </c>
      <c r="V58" s="49">
        <f t="shared" si="33"/>
        <v>0</v>
      </c>
      <c r="W58" s="49">
        <f t="shared" si="33"/>
        <v>0</v>
      </c>
      <c r="X58" s="49">
        <f t="shared" si="33"/>
        <v>0</v>
      </c>
      <c r="Y58" s="49">
        <f t="shared" si="33"/>
        <v>0</v>
      </c>
      <c r="Z58" s="49">
        <f t="shared" si="33"/>
        <v>0</v>
      </c>
      <c r="AA58" s="49">
        <f t="shared" si="33"/>
        <v>0</v>
      </c>
      <c r="AB58" s="49">
        <f t="shared" si="33"/>
        <v>0</v>
      </c>
      <c r="AC58" s="49">
        <f t="shared" si="33"/>
        <v>0</v>
      </c>
      <c r="AD58" s="49">
        <f t="shared" si="33"/>
        <v>0</v>
      </c>
      <c r="AE58" s="49">
        <f t="shared" si="33"/>
        <v>0</v>
      </c>
      <c r="AF58" s="49">
        <f t="shared" si="33"/>
        <v>0</v>
      </c>
      <c r="AG58" s="49">
        <f t="shared" si="33"/>
        <v>0</v>
      </c>
      <c r="AH58" s="49">
        <f t="shared" si="33"/>
        <v>0</v>
      </c>
      <c r="AI58" s="49">
        <f t="shared" si="33"/>
        <v>0</v>
      </c>
      <c r="AJ58" s="49">
        <f t="shared" si="33"/>
        <v>0</v>
      </c>
      <c r="AK58" s="49">
        <f t="shared" si="33"/>
        <v>0</v>
      </c>
      <c r="AL58" s="42"/>
      <c r="AM58" s="43">
        <v>42</v>
      </c>
      <c r="AN58"/>
      <c r="AO58"/>
      <c r="AP58"/>
      <c r="AQ58"/>
      <c r="AR58"/>
      <c r="AS58"/>
      <c r="AT58"/>
      <c r="AU58"/>
      <c r="AV58"/>
      <c r="AW58"/>
      <c r="FY58" s="210">
        <v>53</v>
      </c>
      <c r="FZ58" s="205"/>
      <c r="GA58" s="205"/>
      <c r="GB58" s="205"/>
      <c r="GC58" s="205"/>
      <c r="GD58" s="205"/>
      <c r="GE58" s="205"/>
      <c r="GF58" s="205"/>
      <c r="GG58" s="205"/>
      <c r="GH58" s="205"/>
      <c r="GI58" s="205"/>
      <c r="GJ58" s="205"/>
      <c r="GK58" s="205"/>
      <c r="GL58" s="205"/>
      <c r="GM58" s="205"/>
    </row>
    <row r="59" spans="1:195" s="7" customFormat="1">
      <c r="A59" s="4"/>
      <c r="B59" s="1"/>
      <c r="C59" s="48" t="s">
        <v>120</v>
      </c>
      <c r="D59" s="49">
        <f t="shared" si="27"/>
        <v>0.74941076604671908</v>
      </c>
      <c r="E59" s="19">
        <v>1.9826E-2</v>
      </c>
      <c r="F59" s="8"/>
      <c r="G59" s="49">
        <f>$E$59*$E$28*G44</f>
        <v>0</v>
      </c>
      <c r="H59" s="49">
        <f t="shared" ref="H59:AK59" si="34">$E$59*$E$28*H44</f>
        <v>0</v>
      </c>
      <c r="I59" s="49">
        <f t="shared" si="34"/>
        <v>0</v>
      </c>
      <c r="J59" s="49">
        <f t="shared" si="34"/>
        <v>8.5771907918846368E-2</v>
      </c>
      <c r="K59" s="49">
        <f t="shared" si="34"/>
        <v>0</v>
      </c>
      <c r="L59" s="49">
        <f t="shared" si="34"/>
        <v>5.2375505362526713E-3</v>
      </c>
      <c r="M59" s="49">
        <f t="shared" si="34"/>
        <v>7.092199785375386E-2</v>
      </c>
      <c r="N59" s="49">
        <f t="shared" si="34"/>
        <v>0.18167901756727259</v>
      </c>
      <c r="O59" s="49">
        <f t="shared" si="34"/>
        <v>7.7214118479791982E-2</v>
      </c>
      <c r="P59" s="49">
        <f t="shared" si="34"/>
        <v>0.31774166897674355</v>
      </c>
      <c r="Q59" s="49">
        <f t="shared" si="34"/>
        <v>1.0844504714057977E-2</v>
      </c>
      <c r="R59" s="49">
        <f t="shared" si="34"/>
        <v>0</v>
      </c>
      <c r="S59" s="49">
        <f t="shared" si="34"/>
        <v>0</v>
      </c>
      <c r="T59" s="49">
        <f t="shared" si="34"/>
        <v>0</v>
      </c>
      <c r="U59" s="49">
        <f t="shared" si="34"/>
        <v>0</v>
      </c>
      <c r="V59" s="49">
        <f t="shared" si="34"/>
        <v>0</v>
      </c>
      <c r="W59" s="49">
        <f t="shared" si="34"/>
        <v>0</v>
      </c>
      <c r="X59" s="49">
        <f t="shared" si="34"/>
        <v>0</v>
      </c>
      <c r="Y59" s="49">
        <f t="shared" si="34"/>
        <v>0</v>
      </c>
      <c r="Z59" s="49">
        <f t="shared" si="34"/>
        <v>0</v>
      </c>
      <c r="AA59" s="49">
        <f t="shared" si="34"/>
        <v>0</v>
      </c>
      <c r="AB59" s="49">
        <f t="shared" si="34"/>
        <v>0</v>
      </c>
      <c r="AC59" s="49">
        <f t="shared" si="34"/>
        <v>0</v>
      </c>
      <c r="AD59" s="49">
        <f t="shared" si="34"/>
        <v>0</v>
      </c>
      <c r="AE59" s="49">
        <f t="shared" si="34"/>
        <v>0</v>
      </c>
      <c r="AF59" s="49">
        <f t="shared" si="34"/>
        <v>0</v>
      </c>
      <c r="AG59" s="49">
        <f t="shared" si="34"/>
        <v>0</v>
      </c>
      <c r="AH59" s="49">
        <f t="shared" si="34"/>
        <v>0</v>
      </c>
      <c r="AI59" s="49">
        <f t="shared" si="34"/>
        <v>0</v>
      </c>
      <c r="AJ59" s="49">
        <f t="shared" si="34"/>
        <v>0</v>
      </c>
      <c r="AK59" s="49">
        <f t="shared" si="34"/>
        <v>0</v>
      </c>
      <c r="AL59" s="42"/>
      <c r="AM59" s="43">
        <v>43</v>
      </c>
      <c r="AN59"/>
      <c r="AO59"/>
      <c r="AP59"/>
      <c r="AQ59"/>
      <c r="AR59"/>
      <c r="AS59"/>
      <c r="AT59"/>
      <c r="AU59"/>
      <c r="AV59"/>
      <c r="AW59"/>
      <c r="FY59" s="210">
        <v>54</v>
      </c>
      <c r="FZ59" s="205"/>
      <c r="GA59" s="205"/>
      <c r="GB59" s="205"/>
      <c r="GC59" s="205"/>
      <c r="GD59" s="205"/>
      <c r="GE59" s="205"/>
      <c r="GF59" s="205"/>
      <c r="GG59" s="205"/>
      <c r="GH59" s="205"/>
      <c r="GI59" s="205"/>
      <c r="GJ59" s="205"/>
      <c r="GK59" s="205"/>
      <c r="GL59" s="205"/>
      <c r="GM59" s="205"/>
    </row>
    <row r="60" spans="1:195" s="7" customFormat="1">
      <c r="A60" s="4"/>
      <c r="B60" s="1"/>
      <c r="C60" s="48" t="s">
        <v>121</v>
      </c>
      <c r="D60" s="49">
        <f t="shared" si="27"/>
        <v>0.41542973592984211</v>
      </c>
      <c r="E60" s="19">
        <v>3.3105828673915851E-2</v>
      </c>
      <c r="F60" s="8"/>
      <c r="G60" s="49">
        <f>$E$60*$E$29*G45</f>
        <v>0</v>
      </c>
      <c r="H60" s="49">
        <f t="shared" ref="H60:AK60" si="35">$E$60*$E$29*H45</f>
        <v>0</v>
      </c>
      <c r="I60" s="49">
        <f t="shared" si="35"/>
        <v>0</v>
      </c>
      <c r="J60" s="49">
        <f t="shared" si="35"/>
        <v>4.9839696645918438E-3</v>
      </c>
      <c r="K60" s="49">
        <f t="shared" si="35"/>
        <v>0</v>
      </c>
      <c r="L60" s="49">
        <f t="shared" si="35"/>
        <v>8.5215103807199134E-3</v>
      </c>
      <c r="M60" s="49">
        <f t="shared" si="35"/>
        <v>0</v>
      </c>
      <c r="N60" s="49">
        <f t="shared" si="35"/>
        <v>6.0662599851609038E-2</v>
      </c>
      <c r="O60" s="49">
        <f t="shared" si="35"/>
        <v>0.1256276016067718</v>
      </c>
      <c r="P60" s="49">
        <f t="shared" si="35"/>
        <v>0</v>
      </c>
      <c r="Q60" s="49">
        <f t="shared" si="35"/>
        <v>3.5288083181238043E-2</v>
      </c>
      <c r="R60" s="49">
        <f t="shared" si="35"/>
        <v>5.8503472819569267E-2</v>
      </c>
      <c r="S60" s="49">
        <f t="shared" si="35"/>
        <v>0</v>
      </c>
      <c r="T60" s="49">
        <f t="shared" si="35"/>
        <v>4.6480264246866999E-2</v>
      </c>
      <c r="U60" s="49">
        <f t="shared" si="35"/>
        <v>7.5362234178475193E-2</v>
      </c>
      <c r="V60" s="49">
        <f t="shared" si="35"/>
        <v>0</v>
      </c>
      <c r="W60" s="49">
        <f t="shared" si="35"/>
        <v>0</v>
      </c>
      <c r="X60" s="49">
        <f t="shared" si="35"/>
        <v>0</v>
      </c>
      <c r="Y60" s="49">
        <f t="shared" si="35"/>
        <v>0</v>
      </c>
      <c r="Z60" s="49">
        <f t="shared" si="35"/>
        <v>0</v>
      </c>
      <c r="AA60" s="49">
        <f t="shared" si="35"/>
        <v>0</v>
      </c>
      <c r="AB60" s="49">
        <f t="shared" si="35"/>
        <v>0</v>
      </c>
      <c r="AC60" s="49">
        <f t="shared" si="35"/>
        <v>0</v>
      </c>
      <c r="AD60" s="49">
        <f t="shared" si="35"/>
        <v>0</v>
      </c>
      <c r="AE60" s="49">
        <f t="shared" si="35"/>
        <v>0</v>
      </c>
      <c r="AF60" s="49">
        <f t="shared" si="35"/>
        <v>0</v>
      </c>
      <c r="AG60" s="49">
        <f t="shared" si="35"/>
        <v>0</v>
      </c>
      <c r="AH60" s="49">
        <f t="shared" si="35"/>
        <v>0</v>
      </c>
      <c r="AI60" s="49">
        <f t="shared" si="35"/>
        <v>0</v>
      </c>
      <c r="AJ60" s="49">
        <f t="shared" si="35"/>
        <v>0</v>
      </c>
      <c r="AK60" s="49">
        <f t="shared" si="35"/>
        <v>0</v>
      </c>
      <c r="AL60" s="42"/>
      <c r="AM60" s="43">
        <v>44</v>
      </c>
      <c r="AN60"/>
      <c r="AO60"/>
      <c r="AP60"/>
      <c r="AQ60"/>
      <c r="AR60"/>
      <c r="AS60"/>
      <c r="AT60"/>
      <c r="AU60"/>
      <c r="AV60"/>
      <c r="AW60"/>
      <c r="FY60" s="210">
        <v>55</v>
      </c>
      <c r="FZ60" s="205"/>
      <c r="GA60" s="205"/>
      <c r="GB60" s="205"/>
      <c r="GC60" s="205"/>
      <c r="GD60" s="205"/>
      <c r="GE60" s="205"/>
      <c r="GF60" s="205"/>
      <c r="GG60" s="205"/>
      <c r="GH60" s="205"/>
      <c r="GI60" s="205"/>
      <c r="GJ60" s="205"/>
      <c r="GK60" s="205"/>
      <c r="GL60" s="205"/>
      <c r="GM60" s="205"/>
    </row>
    <row r="61" spans="1:195" s="7" customFormat="1">
      <c r="A61" s="4"/>
      <c r="B61" s="1"/>
      <c r="C61" s="48" t="s">
        <v>122</v>
      </c>
      <c r="D61" s="49">
        <f t="shared" si="27"/>
        <v>0.70683775951015171</v>
      </c>
      <c r="E61" s="19">
        <v>3.5000000000000003E-2</v>
      </c>
      <c r="F61" s="8"/>
      <c r="G61" s="49">
        <f>$E$61*$E$30*G46</f>
        <v>0</v>
      </c>
      <c r="H61" s="49">
        <f t="shared" ref="H61:AK61" si="36">$E$61*$E$30*H46</f>
        <v>2.6734615384615386E-3</v>
      </c>
      <c r="I61" s="49">
        <f t="shared" si="36"/>
        <v>6.2696440145467547E-2</v>
      </c>
      <c r="J61" s="49">
        <f t="shared" si="36"/>
        <v>7.4231121806838371E-2</v>
      </c>
      <c r="K61" s="49">
        <f t="shared" si="36"/>
        <v>0.10875247849759175</v>
      </c>
      <c r="L61" s="49">
        <f t="shared" si="36"/>
        <v>0.10785556067761616</v>
      </c>
      <c r="M61" s="49">
        <f t="shared" si="36"/>
        <v>0.13239156421240536</v>
      </c>
      <c r="N61" s="49">
        <f t="shared" si="36"/>
        <v>7.7974189208240036E-2</v>
      </c>
      <c r="O61" s="49">
        <f t="shared" si="36"/>
        <v>3.0398789474744885E-2</v>
      </c>
      <c r="P61" s="49">
        <f t="shared" si="36"/>
        <v>7.1146764400075793E-2</v>
      </c>
      <c r="Q61" s="49">
        <f t="shared" si="36"/>
        <v>9.4249550161364937E-3</v>
      </c>
      <c r="R61" s="49">
        <f t="shared" si="36"/>
        <v>1.3021218258022976E-2</v>
      </c>
      <c r="S61" s="49">
        <f t="shared" si="36"/>
        <v>0</v>
      </c>
      <c r="T61" s="49">
        <f t="shared" si="36"/>
        <v>6.2071152662915696E-3</v>
      </c>
      <c r="U61" s="49">
        <f t="shared" si="36"/>
        <v>1.0064101008259317E-2</v>
      </c>
      <c r="V61" s="49">
        <f t="shared" si="36"/>
        <v>0</v>
      </c>
      <c r="W61" s="49">
        <f t="shared" si="36"/>
        <v>0</v>
      </c>
      <c r="X61" s="49">
        <f t="shared" si="36"/>
        <v>0</v>
      </c>
      <c r="Y61" s="49">
        <f t="shared" si="36"/>
        <v>0</v>
      </c>
      <c r="Z61" s="49">
        <f t="shared" si="36"/>
        <v>0</v>
      </c>
      <c r="AA61" s="49">
        <f t="shared" si="36"/>
        <v>0</v>
      </c>
      <c r="AB61" s="49">
        <f t="shared" si="36"/>
        <v>0</v>
      </c>
      <c r="AC61" s="49">
        <f t="shared" si="36"/>
        <v>0</v>
      </c>
      <c r="AD61" s="49">
        <f t="shared" si="36"/>
        <v>0</v>
      </c>
      <c r="AE61" s="49">
        <f t="shared" si="36"/>
        <v>0</v>
      </c>
      <c r="AF61" s="49">
        <f t="shared" si="36"/>
        <v>0</v>
      </c>
      <c r="AG61" s="49">
        <f t="shared" si="36"/>
        <v>0</v>
      </c>
      <c r="AH61" s="49">
        <f t="shared" si="36"/>
        <v>0</v>
      </c>
      <c r="AI61" s="49">
        <f t="shared" si="36"/>
        <v>0</v>
      </c>
      <c r="AJ61" s="49">
        <f t="shared" si="36"/>
        <v>0</v>
      </c>
      <c r="AK61" s="49">
        <f t="shared" si="36"/>
        <v>0</v>
      </c>
      <c r="AL61" s="42"/>
      <c r="AM61" s="43">
        <v>45</v>
      </c>
      <c r="AN61"/>
      <c r="AO61"/>
      <c r="AP61"/>
      <c r="AQ61"/>
      <c r="AR61"/>
      <c r="AS61"/>
      <c r="AT61"/>
      <c r="AU61"/>
      <c r="AV61"/>
      <c r="AW61"/>
      <c r="FY61" s="210">
        <v>56</v>
      </c>
      <c r="FZ61" s="205"/>
      <c r="GA61" s="205"/>
      <c r="GB61" s="205"/>
      <c r="GC61" s="205"/>
      <c r="GD61" s="205"/>
      <c r="GE61" s="205"/>
      <c r="GF61" s="205"/>
      <c r="GG61" s="205"/>
      <c r="GH61" s="205"/>
      <c r="GI61" s="205"/>
      <c r="GJ61" s="205"/>
      <c r="GK61" s="205"/>
      <c r="GL61" s="205"/>
      <c r="GM61" s="205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/>
      <c r="AO62"/>
      <c r="AP62"/>
      <c r="AQ62"/>
      <c r="AR62"/>
      <c r="AS62"/>
      <c r="AT62"/>
      <c r="AU62"/>
      <c r="AV62"/>
      <c r="AW62"/>
      <c r="FY62" s="210">
        <v>57</v>
      </c>
      <c r="FZ62" s="205"/>
      <c r="GA62" s="205"/>
      <c r="GB62" s="205"/>
      <c r="GC62" s="205"/>
      <c r="GD62" s="205"/>
      <c r="GE62" s="205"/>
      <c r="GF62" s="205"/>
      <c r="GG62" s="205"/>
      <c r="GH62" s="205"/>
      <c r="GI62" s="205"/>
      <c r="GJ62" s="205"/>
      <c r="GK62" s="205"/>
      <c r="GL62" s="205"/>
      <c r="GM62" s="205"/>
    </row>
    <row r="63" spans="1:195" s="7" customFormat="1">
      <c r="A63" s="4"/>
      <c r="B63" s="1"/>
      <c r="C63" s="52" t="s">
        <v>53</v>
      </c>
      <c r="D63" s="53">
        <f>SUM(D52:D62)</f>
        <v>6.9629474734386747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/>
      <c r="AO63"/>
      <c r="AP63"/>
      <c r="AQ63"/>
      <c r="AR63"/>
      <c r="AS63"/>
      <c r="AT63"/>
      <c r="AU63"/>
      <c r="AV63"/>
      <c r="AW63"/>
      <c r="FY63" s="210">
        <v>58</v>
      </c>
      <c r="FZ63" s="205"/>
      <c r="GA63" s="205"/>
      <c r="GB63" s="205"/>
      <c r="GC63" s="205"/>
      <c r="GD63" s="205"/>
      <c r="GE63" s="205"/>
      <c r="GF63" s="205"/>
      <c r="GG63" s="205"/>
      <c r="GH63" s="205"/>
      <c r="GI63" s="205"/>
      <c r="GJ63" s="205"/>
      <c r="GK63" s="205"/>
      <c r="GL63" s="205"/>
      <c r="GM63" s="205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/>
      <c r="AO64"/>
      <c r="AP64"/>
      <c r="AQ64"/>
      <c r="AR64"/>
      <c r="AS64"/>
      <c r="AT64"/>
      <c r="AU64"/>
      <c r="AV64"/>
      <c r="AW64"/>
      <c r="FY64" s="210">
        <v>59</v>
      </c>
      <c r="FZ64" s="205"/>
      <c r="GA64" s="205"/>
      <c r="GB64" s="205"/>
      <c r="GC64" s="205"/>
      <c r="GD64" s="205"/>
      <c r="GE64" s="205"/>
      <c r="GF64" s="205"/>
      <c r="GG64" s="205"/>
      <c r="GH64" s="205"/>
      <c r="GI64" s="205"/>
      <c r="GJ64" s="205"/>
      <c r="GK64" s="205"/>
      <c r="GL64" s="205"/>
      <c r="GM64" s="205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/>
      <c r="AO65"/>
      <c r="AP65"/>
      <c r="AQ65"/>
      <c r="AR65"/>
      <c r="AS65"/>
      <c r="AT65"/>
      <c r="AU65"/>
      <c r="AV65"/>
      <c r="AW65"/>
      <c r="FY65" s="210">
        <v>60</v>
      </c>
      <c r="FZ65" s="205"/>
      <c r="GA65" s="205"/>
      <c r="GB65" s="205"/>
      <c r="GC65" s="205"/>
      <c r="GD65" s="205"/>
      <c r="GE65" s="205"/>
      <c r="GF65" s="205"/>
      <c r="GG65" s="205"/>
      <c r="GH65" s="205"/>
      <c r="GI65" s="205"/>
      <c r="GJ65" s="205"/>
      <c r="GK65" s="205"/>
      <c r="GL65" s="205"/>
      <c r="GM65" s="20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/>
      <c r="AO66"/>
      <c r="AP66"/>
      <c r="AQ66"/>
      <c r="AR66"/>
      <c r="AS66"/>
      <c r="AT66"/>
      <c r="AU66"/>
      <c r="AV66"/>
      <c r="AW66"/>
      <c r="FY66" s="210">
        <v>61</v>
      </c>
      <c r="FZ66" s="205"/>
      <c r="GA66" s="205"/>
      <c r="GB66" s="205"/>
      <c r="GC66" s="205"/>
      <c r="GD66" s="205"/>
      <c r="GE66" s="205"/>
      <c r="GF66" s="205"/>
      <c r="GG66" s="205"/>
      <c r="GH66" s="205"/>
      <c r="GI66" s="205"/>
      <c r="GJ66" s="205"/>
      <c r="GK66" s="205"/>
      <c r="GL66" s="205"/>
      <c r="GM66" s="205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/>
      <c r="AO67"/>
      <c r="AP67"/>
      <c r="AQ67"/>
      <c r="AR67"/>
      <c r="AS67"/>
      <c r="AT67"/>
      <c r="AU67"/>
      <c r="AV67"/>
      <c r="AW67"/>
      <c r="FY67" s="210">
        <v>62</v>
      </c>
      <c r="FZ67" s="205"/>
      <c r="GA67" s="205"/>
      <c r="GB67" s="205"/>
      <c r="GC67" s="205"/>
      <c r="GD67" s="205"/>
      <c r="GE67" s="205"/>
      <c r="GF67" s="205"/>
      <c r="GG67" s="205"/>
      <c r="GH67" s="205"/>
      <c r="GI67" s="205"/>
      <c r="GJ67" s="205"/>
      <c r="GK67" s="205"/>
      <c r="GL67" s="205"/>
      <c r="GM67" s="205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/>
      <c r="AO68"/>
      <c r="AP68"/>
      <c r="AQ68"/>
      <c r="AR68"/>
      <c r="AS68"/>
      <c r="AT68"/>
      <c r="AU68"/>
      <c r="AV68"/>
      <c r="AW68"/>
      <c r="FY68" s="210">
        <v>63</v>
      </c>
      <c r="FZ68" s="205"/>
      <c r="GA68" s="205"/>
      <c r="GB68" s="205"/>
      <c r="GC68" s="205"/>
      <c r="GD68" s="205"/>
      <c r="GE68" s="205"/>
      <c r="GF68" s="205"/>
      <c r="GG68" s="205"/>
      <c r="GH68" s="205"/>
      <c r="GI68" s="205"/>
      <c r="GJ68" s="205"/>
      <c r="GK68" s="205"/>
      <c r="GL68" s="205"/>
      <c r="GM68" s="205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/>
      <c r="AO69"/>
      <c r="AP69"/>
      <c r="AQ69"/>
      <c r="AR69"/>
      <c r="AS69"/>
      <c r="AT69"/>
      <c r="AU69"/>
      <c r="AV69"/>
      <c r="AW69"/>
      <c r="FY69" s="210">
        <v>64</v>
      </c>
      <c r="FZ69" s="205"/>
      <c r="GA69" s="205"/>
      <c r="GB69" s="205"/>
      <c r="GC69" s="205"/>
      <c r="GD69" s="205"/>
      <c r="GE69" s="205"/>
      <c r="GF69" s="205"/>
      <c r="GG69" s="205"/>
      <c r="GH69" s="205"/>
      <c r="GI69" s="205"/>
      <c r="GJ69" s="205"/>
      <c r="GK69" s="205"/>
      <c r="GL69" s="205"/>
      <c r="GM69" s="205"/>
    </row>
    <row r="70" spans="1:195" s="7" customFormat="1">
      <c r="A70" s="4"/>
      <c r="B70" s="66"/>
      <c r="C70" s="71">
        <f t="shared" ref="C70:C79" si="37">C4</f>
        <v>39646</v>
      </c>
      <c r="D70" s="72">
        <f t="shared" ref="D70:D75" si="38">SUM(G70:AK70)</f>
        <v>82.291666666666657</v>
      </c>
      <c r="E70" s="64"/>
      <c r="F70" s="64"/>
      <c r="G70" s="18">
        <f>AVERAGE(E228:E237)</f>
        <v>0</v>
      </c>
      <c r="H70" s="18">
        <f t="shared" ref="H70:AK70" si="39">AVERAGE(F228:F237)</f>
        <v>6.25</v>
      </c>
      <c r="I70" s="18">
        <f t="shared" si="39"/>
        <v>65.625</v>
      </c>
      <c r="J70" s="18">
        <f t="shared" si="39"/>
        <v>0</v>
      </c>
      <c r="K70" s="18">
        <f t="shared" si="39"/>
        <v>0</v>
      </c>
      <c r="L70" s="18">
        <f t="shared" si="39"/>
        <v>3.125</v>
      </c>
      <c r="M70" s="18">
        <f t="shared" si="39"/>
        <v>2.083333333333333</v>
      </c>
      <c r="N70" s="18">
        <f t="shared" si="39"/>
        <v>2.083333333333333</v>
      </c>
      <c r="O70" s="18">
        <f t="shared" si="39"/>
        <v>2.083333333333333</v>
      </c>
      <c r="P70" s="18">
        <f t="shared" si="39"/>
        <v>0</v>
      </c>
      <c r="Q70" s="18">
        <f t="shared" si="39"/>
        <v>0</v>
      </c>
      <c r="R70" s="18">
        <f t="shared" si="39"/>
        <v>1.0416666666666665</v>
      </c>
      <c r="S70" s="18">
        <f t="shared" si="39"/>
        <v>0</v>
      </c>
      <c r="T70" s="18">
        <f t="shared" si="39"/>
        <v>0</v>
      </c>
      <c r="U70" s="18">
        <f t="shared" si="39"/>
        <v>0</v>
      </c>
      <c r="V70" s="18">
        <f t="shared" si="39"/>
        <v>0</v>
      </c>
      <c r="W70" s="18">
        <f t="shared" si="39"/>
        <v>0</v>
      </c>
      <c r="X70" s="18">
        <f t="shared" si="39"/>
        <v>0</v>
      </c>
      <c r="Y70" s="18">
        <f t="shared" si="39"/>
        <v>0</v>
      </c>
      <c r="Z70" s="18">
        <f t="shared" si="39"/>
        <v>0</v>
      </c>
      <c r="AA70" s="18">
        <f t="shared" si="39"/>
        <v>0</v>
      </c>
      <c r="AB70" s="18">
        <f t="shared" si="39"/>
        <v>0</v>
      </c>
      <c r="AC70" s="18">
        <f t="shared" si="39"/>
        <v>0</v>
      </c>
      <c r="AD70" s="18">
        <f t="shared" si="39"/>
        <v>0</v>
      </c>
      <c r="AE70" s="18">
        <f t="shared" si="39"/>
        <v>0</v>
      </c>
      <c r="AF70" s="18">
        <f t="shared" si="39"/>
        <v>0</v>
      </c>
      <c r="AG70" s="18">
        <f t="shared" si="39"/>
        <v>0</v>
      </c>
      <c r="AH70" s="18">
        <f t="shared" si="39"/>
        <v>0</v>
      </c>
      <c r="AI70" s="18">
        <f t="shared" si="39"/>
        <v>0</v>
      </c>
      <c r="AJ70" s="18">
        <f t="shared" si="39"/>
        <v>0</v>
      </c>
      <c r="AK70" s="18">
        <f t="shared" si="39"/>
        <v>0</v>
      </c>
      <c r="AL70" s="2"/>
      <c r="AM70" s="43">
        <v>54</v>
      </c>
      <c r="AN70"/>
      <c r="AO70"/>
      <c r="AP70"/>
      <c r="AQ70"/>
      <c r="AR70"/>
      <c r="AS70"/>
      <c r="AT70"/>
      <c r="AU70"/>
      <c r="AV70"/>
      <c r="AW70"/>
      <c r="FY70" s="210">
        <v>65</v>
      </c>
      <c r="FZ70" s="205"/>
      <c r="GA70" s="205"/>
      <c r="GB70" s="205"/>
      <c r="GC70" s="205"/>
      <c r="GD70" s="205"/>
      <c r="GE70" s="205"/>
      <c r="GF70" s="205"/>
      <c r="GG70" s="205"/>
      <c r="GH70" s="205"/>
      <c r="GI70" s="205"/>
      <c r="GJ70" s="205"/>
      <c r="GK70" s="205"/>
      <c r="GL70" s="205"/>
      <c r="GM70" s="205"/>
    </row>
    <row r="71" spans="1:195" s="7" customFormat="1">
      <c r="A71" s="4"/>
      <c r="B71" s="66"/>
      <c r="C71" s="71">
        <f t="shared" si="37"/>
        <v>39673</v>
      </c>
      <c r="D71" s="72">
        <f t="shared" si="38"/>
        <v>77.982026143790847</v>
      </c>
      <c r="E71" s="64"/>
      <c r="F71" s="64"/>
      <c r="G71" s="18">
        <f>AVERAGE(E238:E247)</f>
        <v>0</v>
      </c>
      <c r="H71" s="18">
        <f t="shared" ref="H71:AK71" si="40">AVERAGE(F238:F247)</f>
        <v>0</v>
      </c>
      <c r="I71" s="18">
        <f t="shared" si="40"/>
        <v>42.708333333333329</v>
      </c>
      <c r="J71" s="18">
        <f t="shared" si="40"/>
        <v>30.065359477124183</v>
      </c>
      <c r="K71" s="18">
        <f t="shared" si="40"/>
        <v>1.0416666666666665</v>
      </c>
      <c r="L71" s="18">
        <f t="shared" si="40"/>
        <v>0</v>
      </c>
      <c r="M71" s="18">
        <f t="shared" si="40"/>
        <v>0</v>
      </c>
      <c r="N71" s="18">
        <f t="shared" si="40"/>
        <v>0</v>
      </c>
      <c r="O71" s="18">
        <f t="shared" si="40"/>
        <v>0</v>
      </c>
      <c r="P71" s="18">
        <f t="shared" si="40"/>
        <v>1.0416666666666665</v>
      </c>
      <c r="Q71" s="18">
        <f t="shared" si="40"/>
        <v>2.083333333333333</v>
      </c>
      <c r="R71" s="18">
        <f t="shared" si="40"/>
        <v>1.0416666666666665</v>
      </c>
      <c r="S71" s="18">
        <f t="shared" si="40"/>
        <v>0</v>
      </c>
      <c r="T71" s="18">
        <f t="shared" si="40"/>
        <v>0</v>
      </c>
      <c r="U71" s="18">
        <f t="shared" si="40"/>
        <v>0</v>
      </c>
      <c r="V71" s="18">
        <f t="shared" si="40"/>
        <v>0</v>
      </c>
      <c r="W71" s="18">
        <f t="shared" si="40"/>
        <v>0</v>
      </c>
      <c r="X71" s="18">
        <f t="shared" si="40"/>
        <v>0</v>
      </c>
      <c r="Y71" s="18">
        <f t="shared" si="40"/>
        <v>0</v>
      </c>
      <c r="Z71" s="18">
        <f t="shared" si="40"/>
        <v>0</v>
      </c>
      <c r="AA71" s="18">
        <f t="shared" si="40"/>
        <v>0</v>
      </c>
      <c r="AB71" s="18">
        <f t="shared" si="40"/>
        <v>0</v>
      </c>
      <c r="AC71" s="18">
        <f t="shared" si="40"/>
        <v>0</v>
      </c>
      <c r="AD71" s="18">
        <f t="shared" si="40"/>
        <v>0</v>
      </c>
      <c r="AE71" s="18">
        <f t="shared" si="40"/>
        <v>0</v>
      </c>
      <c r="AF71" s="18">
        <f t="shared" si="40"/>
        <v>0</v>
      </c>
      <c r="AG71" s="18">
        <f t="shared" si="40"/>
        <v>0</v>
      </c>
      <c r="AH71" s="18">
        <f t="shared" si="40"/>
        <v>0</v>
      </c>
      <c r="AI71" s="18">
        <f t="shared" si="40"/>
        <v>0</v>
      </c>
      <c r="AJ71" s="18">
        <f t="shared" si="40"/>
        <v>0</v>
      </c>
      <c r="AK71" s="18">
        <f t="shared" si="40"/>
        <v>0</v>
      </c>
      <c r="AL71" s="2"/>
      <c r="AM71" s="43">
        <v>55</v>
      </c>
      <c r="AN71"/>
      <c r="AO71"/>
      <c r="AP71"/>
      <c r="AQ71"/>
      <c r="AR71"/>
      <c r="AS71"/>
      <c r="AT71"/>
      <c r="AU71"/>
      <c r="AV71"/>
      <c r="AW71"/>
      <c r="FY71" s="210">
        <v>66</v>
      </c>
      <c r="FZ71" s="205"/>
      <c r="GA71" s="205"/>
      <c r="GB71" s="205"/>
      <c r="GC71" s="205"/>
      <c r="GD71" s="205"/>
      <c r="GE71" s="205"/>
      <c r="GF71" s="205"/>
      <c r="GG71" s="205"/>
      <c r="GH71" s="205"/>
      <c r="GI71" s="205"/>
      <c r="GJ71" s="205"/>
      <c r="GK71" s="205"/>
      <c r="GL71" s="205"/>
      <c r="GM71" s="205"/>
    </row>
    <row r="72" spans="1:195" s="7" customFormat="1">
      <c r="A72" s="4"/>
      <c r="B72" s="66"/>
      <c r="C72" s="71">
        <f t="shared" si="37"/>
        <v>39714</v>
      </c>
      <c r="D72" s="72">
        <f t="shared" si="38"/>
        <v>127.08333333333334</v>
      </c>
      <c r="E72" s="64"/>
      <c r="F72" s="64"/>
      <c r="G72" s="18">
        <f>AVERAGE(E248:E257)</f>
        <v>0</v>
      </c>
      <c r="H72" s="18">
        <f t="shared" ref="H72:AK72" si="41">AVERAGE(F248:F257)</f>
        <v>0</v>
      </c>
      <c r="I72" s="18">
        <f t="shared" si="41"/>
        <v>0</v>
      </c>
      <c r="J72" s="18">
        <f t="shared" si="41"/>
        <v>35.416666666666671</v>
      </c>
      <c r="K72" s="18">
        <f t="shared" si="41"/>
        <v>87.5</v>
      </c>
      <c r="L72" s="18">
        <f t="shared" si="41"/>
        <v>4.1666666666666661</v>
      </c>
      <c r="M72" s="18">
        <f t="shared" si="41"/>
        <v>0</v>
      </c>
      <c r="N72" s="18">
        <f t="shared" si="41"/>
        <v>0</v>
      </c>
      <c r="O72" s="18">
        <f t="shared" si="41"/>
        <v>0</v>
      </c>
      <c r="P72" s="18">
        <f t="shared" si="41"/>
        <v>0</v>
      </c>
      <c r="Q72" s="18">
        <f t="shared" si="41"/>
        <v>0</v>
      </c>
      <c r="R72" s="18">
        <f t="shared" si="41"/>
        <v>0</v>
      </c>
      <c r="S72" s="18">
        <f t="shared" si="41"/>
        <v>0</v>
      </c>
      <c r="T72" s="18">
        <f t="shared" si="41"/>
        <v>0</v>
      </c>
      <c r="U72" s="18">
        <f t="shared" si="41"/>
        <v>0</v>
      </c>
      <c r="V72" s="18">
        <f t="shared" si="41"/>
        <v>0</v>
      </c>
      <c r="W72" s="18">
        <f t="shared" si="41"/>
        <v>0</v>
      </c>
      <c r="X72" s="18">
        <f t="shared" si="41"/>
        <v>0</v>
      </c>
      <c r="Y72" s="18">
        <f t="shared" si="41"/>
        <v>0</v>
      </c>
      <c r="Z72" s="18">
        <f t="shared" si="41"/>
        <v>0</v>
      </c>
      <c r="AA72" s="18">
        <f t="shared" si="41"/>
        <v>0</v>
      </c>
      <c r="AB72" s="18">
        <f t="shared" si="41"/>
        <v>0</v>
      </c>
      <c r="AC72" s="18">
        <f t="shared" si="41"/>
        <v>0</v>
      </c>
      <c r="AD72" s="18">
        <f t="shared" si="41"/>
        <v>0</v>
      </c>
      <c r="AE72" s="18">
        <f t="shared" si="41"/>
        <v>0</v>
      </c>
      <c r="AF72" s="18">
        <f t="shared" si="41"/>
        <v>0</v>
      </c>
      <c r="AG72" s="18">
        <f t="shared" si="41"/>
        <v>0</v>
      </c>
      <c r="AH72" s="18">
        <f t="shared" si="41"/>
        <v>0</v>
      </c>
      <c r="AI72" s="18">
        <f t="shared" si="41"/>
        <v>0</v>
      </c>
      <c r="AJ72" s="18">
        <f t="shared" si="41"/>
        <v>0</v>
      </c>
      <c r="AK72" s="18">
        <f t="shared" si="41"/>
        <v>0</v>
      </c>
      <c r="AL72" s="2"/>
      <c r="AM72" s="43">
        <v>56</v>
      </c>
      <c r="AN72"/>
      <c r="AO72"/>
      <c r="AP72"/>
      <c r="AQ72"/>
      <c r="AR72"/>
      <c r="AS72"/>
      <c r="AT72"/>
      <c r="AU72"/>
      <c r="AV72"/>
      <c r="AW72"/>
      <c r="FY72" s="210">
        <v>67</v>
      </c>
      <c r="FZ72" s="205"/>
      <c r="GA72" s="205"/>
      <c r="GB72" s="205"/>
      <c r="GC72" s="205"/>
      <c r="GD72" s="205"/>
      <c r="GE72" s="205"/>
      <c r="GF72" s="205"/>
      <c r="GG72" s="205"/>
      <c r="GH72" s="205"/>
      <c r="GI72" s="205"/>
      <c r="GJ72" s="205"/>
      <c r="GK72" s="205"/>
      <c r="GL72" s="205"/>
      <c r="GM72" s="205"/>
    </row>
    <row r="73" spans="1:195" s="7" customFormat="1">
      <c r="A73" s="4"/>
      <c r="B73" s="66"/>
      <c r="C73" s="71">
        <f t="shared" si="37"/>
        <v>39747</v>
      </c>
      <c r="D73" s="72">
        <f t="shared" si="38"/>
        <v>79.489607614607607</v>
      </c>
      <c r="E73" s="64"/>
      <c r="F73" s="64"/>
      <c r="G73" s="18">
        <f>AVERAGE(E258:E267)</f>
        <v>0</v>
      </c>
      <c r="H73" s="18">
        <f t="shared" ref="H73:AK73" si="42">AVERAGE(F258:F267)</f>
        <v>7.0112179487179489</v>
      </c>
      <c r="I73" s="18">
        <f t="shared" si="42"/>
        <v>7.0112179487179489</v>
      </c>
      <c r="J73" s="18">
        <f t="shared" si="42"/>
        <v>17.361111111111111</v>
      </c>
      <c r="K73" s="18">
        <f t="shared" si="42"/>
        <v>5.208333333333333</v>
      </c>
      <c r="L73" s="18">
        <f t="shared" si="42"/>
        <v>16.145833333333332</v>
      </c>
      <c r="M73" s="18">
        <f t="shared" si="42"/>
        <v>18.702651515151516</v>
      </c>
      <c r="N73" s="18">
        <f t="shared" si="42"/>
        <v>8.0492424242424239</v>
      </c>
      <c r="O73" s="18">
        <f t="shared" si="42"/>
        <v>0</v>
      </c>
      <c r="P73" s="18">
        <f t="shared" si="42"/>
        <v>0</v>
      </c>
      <c r="Q73" s="18">
        <f t="shared" si="42"/>
        <v>0</v>
      </c>
      <c r="R73" s="18">
        <f t="shared" si="42"/>
        <v>0</v>
      </c>
      <c r="S73" s="18">
        <f t="shared" si="42"/>
        <v>0</v>
      </c>
      <c r="T73" s="18">
        <f t="shared" si="42"/>
        <v>0</v>
      </c>
      <c r="U73" s="18">
        <f t="shared" si="42"/>
        <v>0</v>
      </c>
      <c r="V73" s="18">
        <f t="shared" si="42"/>
        <v>0</v>
      </c>
      <c r="W73" s="18">
        <f t="shared" si="42"/>
        <v>0</v>
      </c>
      <c r="X73" s="18">
        <f t="shared" si="42"/>
        <v>0</v>
      </c>
      <c r="Y73" s="18">
        <f t="shared" si="42"/>
        <v>0</v>
      </c>
      <c r="Z73" s="18">
        <f t="shared" si="42"/>
        <v>0</v>
      </c>
      <c r="AA73" s="18">
        <f t="shared" si="42"/>
        <v>0</v>
      </c>
      <c r="AB73" s="18">
        <f t="shared" si="42"/>
        <v>0</v>
      </c>
      <c r="AC73" s="18">
        <f t="shared" si="42"/>
        <v>0</v>
      </c>
      <c r="AD73" s="18">
        <f t="shared" si="42"/>
        <v>0</v>
      </c>
      <c r="AE73" s="18">
        <f t="shared" si="42"/>
        <v>0</v>
      </c>
      <c r="AF73" s="18">
        <f t="shared" si="42"/>
        <v>0</v>
      </c>
      <c r="AG73" s="18">
        <f t="shared" si="42"/>
        <v>0</v>
      </c>
      <c r="AH73" s="18">
        <f t="shared" si="42"/>
        <v>0</v>
      </c>
      <c r="AI73" s="18">
        <f t="shared" si="42"/>
        <v>0</v>
      </c>
      <c r="AJ73" s="18">
        <f t="shared" si="42"/>
        <v>0</v>
      </c>
      <c r="AK73" s="18">
        <f t="shared" si="42"/>
        <v>0</v>
      </c>
      <c r="AL73" s="2"/>
      <c r="AM73" s="43">
        <v>57</v>
      </c>
      <c r="AN73"/>
      <c r="AO73"/>
      <c r="AP73"/>
      <c r="AQ73"/>
      <c r="AR73"/>
      <c r="AS73"/>
      <c r="AT73"/>
      <c r="AU73"/>
      <c r="AV73"/>
      <c r="AW73"/>
      <c r="FY73" s="210">
        <v>68</v>
      </c>
      <c r="FZ73" s="205"/>
      <c r="GA73" s="205"/>
      <c r="GB73" s="205"/>
      <c r="GC73" s="205"/>
      <c r="GD73" s="205"/>
      <c r="GE73" s="205"/>
      <c r="GF73" s="205"/>
      <c r="GG73" s="205"/>
      <c r="GH73" s="205"/>
      <c r="GI73" s="205"/>
      <c r="GJ73" s="205"/>
      <c r="GK73" s="205"/>
      <c r="GL73" s="205"/>
      <c r="GM73" s="205"/>
    </row>
    <row r="74" spans="1:195" s="7" customFormat="1">
      <c r="A74" s="4"/>
      <c r="B74" s="66"/>
      <c r="C74" s="71">
        <f t="shared" si="37"/>
        <v>39775</v>
      </c>
      <c r="D74" s="72">
        <f t="shared" si="38"/>
        <v>96.437937062937053</v>
      </c>
      <c r="E74" s="64"/>
      <c r="F74" s="64"/>
      <c r="G74" s="18">
        <f>AVERAGE(E268:E277)</f>
        <v>0</v>
      </c>
      <c r="H74" s="18">
        <f t="shared" ref="H74:AK74" si="43">AVERAGE(F268:F277)</f>
        <v>0</v>
      </c>
      <c r="I74" s="18">
        <f t="shared" si="43"/>
        <v>2.083333333333333</v>
      </c>
      <c r="J74" s="18">
        <f t="shared" si="43"/>
        <v>0</v>
      </c>
      <c r="K74" s="18">
        <f t="shared" si="43"/>
        <v>25.189393939393938</v>
      </c>
      <c r="L74" s="18">
        <f t="shared" si="43"/>
        <v>35.385101010101003</v>
      </c>
      <c r="M74" s="18">
        <f t="shared" si="43"/>
        <v>30.939199689199683</v>
      </c>
      <c r="N74" s="18">
        <f t="shared" si="43"/>
        <v>2.8409090909090908</v>
      </c>
      <c r="O74" s="18">
        <f t="shared" si="43"/>
        <v>0</v>
      </c>
      <c r="P74" s="18">
        <f t="shared" si="43"/>
        <v>0</v>
      </c>
      <c r="Q74" s="18">
        <f t="shared" si="43"/>
        <v>0</v>
      </c>
      <c r="R74" s="18">
        <f t="shared" si="43"/>
        <v>0</v>
      </c>
      <c r="S74" s="18">
        <f t="shared" si="43"/>
        <v>0</v>
      </c>
      <c r="T74" s="18">
        <f t="shared" si="43"/>
        <v>0</v>
      </c>
      <c r="U74" s="18">
        <f t="shared" si="43"/>
        <v>0</v>
      </c>
      <c r="V74" s="18">
        <f t="shared" si="43"/>
        <v>0</v>
      </c>
      <c r="W74" s="18">
        <f t="shared" si="43"/>
        <v>0</v>
      </c>
      <c r="X74" s="18">
        <f t="shared" si="43"/>
        <v>0</v>
      </c>
      <c r="Y74" s="18">
        <f t="shared" si="43"/>
        <v>0</v>
      </c>
      <c r="Z74" s="18">
        <f t="shared" si="43"/>
        <v>0</v>
      </c>
      <c r="AA74" s="18">
        <f t="shared" si="43"/>
        <v>0</v>
      </c>
      <c r="AB74" s="18">
        <f t="shared" si="43"/>
        <v>0</v>
      </c>
      <c r="AC74" s="18">
        <f t="shared" si="43"/>
        <v>0</v>
      </c>
      <c r="AD74" s="18">
        <f t="shared" si="43"/>
        <v>0</v>
      </c>
      <c r="AE74" s="18">
        <f t="shared" si="43"/>
        <v>0</v>
      </c>
      <c r="AF74" s="18">
        <f t="shared" si="43"/>
        <v>0</v>
      </c>
      <c r="AG74" s="18">
        <f t="shared" si="43"/>
        <v>0</v>
      </c>
      <c r="AH74" s="18">
        <f t="shared" si="43"/>
        <v>0</v>
      </c>
      <c r="AI74" s="18">
        <f t="shared" si="43"/>
        <v>0</v>
      </c>
      <c r="AJ74" s="18">
        <f t="shared" si="43"/>
        <v>0</v>
      </c>
      <c r="AK74" s="18">
        <f t="shared" si="43"/>
        <v>0</v>
      </c>
      <c r="AL74" s="2"/>
      <c r="AM74" s="43">
        <v>58</v>
      </c>
      <c r="AN74"/>
      <c r="AO74"/>
      <c r="AP74"/>
      <c r="AQ74"/>
      <c r="AR74"/>
      <c r="AS74"/>
      <c r="AT74"/>
      <c r="AU74"/>
      <c r="AV74"/>
      <c r="AW74"/>
      <c r="FY74" s="210">
        <v>69</v>
      </c>
      <c r="FZ74" s="205"/>
      <c r="GA74" s="205"/>
      <c r="GB74" s="205"/>
      <c r="GC74" s="205"/>
      <c r="GD74" s="205"/>
      <c r="GE74" s="205"/>
      <c r="GF74" s="205"/>
      <c r="GG74" s="205"/>
      <c r="GH74" s="205"/>
      <c r="GI74" s="205"/>
      <c r="GJ74" s="205"/>
      <c r="GK74" s="205"/>
      <c r="GL74" s="205"/>
      <c r="GM74" s="205"/>
    </row>
    <row r="75" spans="1:195" s="7" customFormat="1">
      <c r="A75" s="4"/>
      <c r="B75" s="66"/>
      <c r="C75" s="71">
        <f t="shared" si="37"/>
        <v>39799</v>
      </c>
      <c r="D75" s="72">
        <f t="shared" si="38"/>
        <v>64.823717948717942</v>
      </c>
      <c r="E75" s="64"/>
      <c r="F75" s="64"/>
      <c r="G75" s="18">
        <f>AVERAGE(E278:E287)</f>
        <v>0</v>
      </c>
      <c r="H75" s="18">
        <f t="shared" ref="H75:AK75" si="44">AVERAGE(F278:F287)</f>
        <v>0</v>
      </c>
      <c r="I75" s="18">
        <f t="shared" si="44"/>
        <v>22.355769230769234</v>
      </c>
      <c r="J75" s="18">
        <f t="shared" si="44"/>
        <v>0</v>
      </c>
      <c r="K75" s="18">
        <f t="shared" si="44"/>
        <v>4.8076923076923075</v>
      </c>
      <c r="L75" s="18">
        <f t="shared" si="44"/>
        <v>5.5288461538461533</v>
      </c>
      <c r="M75" s="18">
        <f t="shared" si="44"/>
        <v>25.240384615384617</v>
      </c>
      <c r="N75" s="18">
        <f t="shared" si="44"/>
        <v>3.4455128205128203</v>
      </c>
      <c r="O75" s="18">
        <f t="shared" si="44"/>
        <v>3.4455128205128203</v>
      </c>
      <c r="P75" s="18">
        <f t="shared" si="44"/>
        <v>0</v>
      </c>
      <c r="Q75" s="18">
        <f t="shared" si="44"/>
        <v>0</v>
      </c>
      <c r="R75" s="18">
        <f t="shared" si="44"/>
        <v>0</v>
      </c>
      <c r="S75" s="18">
        <f t="shared" si="44"/>
        <v>0</v>
      </c>
      <c r="T75" s="18">
        <f t="shared" si="44"/>
        <v>0</v>
      </c>
      <c r="U75" s="18">
        <f t="shared" si="44"/>
        <v>0</v>
      </c>
      <c r="V75" s="18">
        <f t="shared" si="44"/>
        <v>0</v>
      </c>
      <c r="W75" s="18">
        <f t="shared" si="44"/>
        <v>0</v>
      </c>
      <c r="X75" s="18">
        <f t="shared" si="44"/>
        <v>0</v>
      </c>
      <c r="Y75" s="18">
        <f t="shared" si="44"/>
        <v>0</v>
      </c>
      <c r="Z75" s="18">
        <f t="shared" si="44"/>
        <v>0</v>
      </c>
      <c r="AA75" s="18">
        <f t="shared" si="44"/>
        <v>0</v>
      </c>
      <c r="AB75" s="18">
        <f t="shared" si="44"/>
        <v>0</v>
      </c>
      <c r="AC75" s="18">
        <f t="shared" si="44"/>
        <v>0</v>
      </c>
      <c r="AD75" s="18">
        <f t="shared" si="44"/>
        <v>0</v>
      </c>
      <c r="AE75" s="18">
        <f t="shared" si="44"/>
        <v>0</v>
      </c>
      <c r="AF75" s="18">
        <f t="shared" si="44"/>
        <v>0</v>
      </c>
      <c r="AG75" s="18">
        <f t="shared" si="44"/>
        <v>0</v>
      </c>
      <c r="AH75" s="18">
        <f t="shared" si="44"/>
        <v>0</v>
      </c>
      <c r="AI75" s="18">
        <f t="shared" si="44"/>
        <v>0</v>
      </c>
      <c r="AJ75" s="18">
        <f t="shared" si="44"/>
        <v>0</v>
      </c>
      <c r="AK75" s="18">
        <f t="shared" si="44"/>
        <v>0</v>
      </c>
      <c r="AL75" s="2"/>
      <c r="AM75" s="43">
        <v>59</v>
      </c>
      <c r="AN75"/>
      <c r="AO75"/>
      <c r="AP75"/>
      <c r="AQ75"/>
      <c r="AR75"/>
      <c r="AS75"/>
      <c r="AT75"/>
      <c r="AU75"/>
      <c r="AV75"/>
      <c r="AW75"/>
      <c r="FY75" s="210">
        <v>70</v>
      </c>
      <c r="FZ75" s="205"/>
      <c r="GA75" s="205"/>
      <c r="GB75" s="205"/>
      <c r="GC75" s="205"/>
      <c r="GD75" s="205"/>
      <c r="GE75" s="205"/>
      <c r="GF75" s="205"/>
      <c r="GG75" s="205"/>
      <c r="GH75" s="205"/>
      <c r="GI75" s="205"/>
      <c r="GJ75" s="205"/>
      <c r="GK75" s="205"/>
      <c r="GL75" s="205"/>
      <c r="GM75" s="205"/>
    </row>
    <row r="76" spans="1:195" s="7" customFormat="1">
      <c r="A76" s="4"/>
      <c r="B76" s="66"/>
      <c r="C76" s="71">
        <f t="shared" si="37"/>
        <v>39847</v>
      </c>
      <c r="D76" s="72">
        <f>SUM(G76:AK76)</f>
        <v>69.791666666666671</v>
      </c>
      <c r="E76" s="64"/>
      <c r="F76" s="64"/>
      <c r="G76" s="18">
        <f>AVERAGE(E288:E297)</f>
        <v>0</v>
      </c>
      <c r="H76" s="18">
        <f t="shared" ref="H76:AK76" si="45">AVERAGE(F288:F297)</f>
        <v>0</v>
      </c>
      <c r="I76" s="18">
        <f t="shared" si="45"/>
        <v>10.416666666666666</v>
      </c>
      <c r="J76" s="18">
        <f t="shared" si="45"/>
        <v>4.1666666666666661</v>
      </c>
      <c r="K76" s="18">
        <f t="shared" si="45"/>
        <v>2.083333333333333</v>
      </c>
      <c r="L76" s="18">
        <f t="shared" si="45"/>
        <v>33.333333333333336</v>
      </c>
      <c r="M76" s="18">
        <f t="shared" si="45"/>
        <v>11.458333333333334</v>
      </c>
      <c r="N76" s="18">
        <f t="shared" si="45"/>
        <v>8.3333333333333321</v>
      </c>
      <c r="O76" s="18">
        <f t="shared" si="45"/>
        <v>0</v>
      </c>
      <c r="P76" s="18">
        <f t="shared" si="45"/>
        <v>0</v>
      </c>
      <c r="Q76" s="18">
        <f t="shared" si="45"/>
        <v>0</v>
      </c>
      <c r="R76" s="18">
        <f t="shared" si="45"/>
        <v>0</v>
      </c>
      <c r="S76" s="18">
        <f t="shared" si="45"/>
        <v>0</v>
      </c>
      <c r="T76" s="18">
        <f t="shared" si="45"/>
        <v>0</v>
      </c>
      <c r="U76" s="18">
        <f t="shared" si="45"/>
        <v>0</v>
      </c>
      <c r="V76" s="18">
        <f t="shared" si="45"/>
        <v>0</v>
      </c>
      <c r="W76" s="18">
        <f t="shared" si="45"/>
        <v>0</v>
      </c>
      <c r="X76" s="18">
        <f t="shared" si="45"/>
        <v>0</v>
      </c>
      <c r="Y76" s="18">
        <f t="shared" si="45"/>
        <v>0</v>
      </c>
      <c r="Z76" s="18">
        <f t="shared" si="45"/>
        <v>0</v>
      </c>
      <c r="AA76" s="18">
        <f t="shared" si="45"/>
        <v>0</v>
      </c>
      <c r="AB76" s="18">
        <f t="shared" si="45"/>
        <v>0</v>
      </c>
      <c r="AC76" s="18">
        <f t="shared" si="45"/>
        <v>0</v>
      </c>
      <c r="AD76" s="18">
        <f t="shared" si="45"/>
        <v>0</v>
      </c>
      <c r="AE76" s="18">
        <f t="shared" si="45"/>
        <v>0</v>
      </c>
      <c r="AF76" s="18">
        <f t="shared" si="45"/>
        <v>0</v>
      </c>
      <c r="AG76" s="18">
        <f t="shared" si="45"/>
        <v>0</v>
      </c>
      <c r="AH76" s="18">
        <f t="shared" si="45"/>
        <v>0</v>
      </c>
      <c r="AI76" s="18">
        <f t="shared" si="45"/>
        <v>0</v>
      </c>
      <c r="AJ76" s="18">
        <f t="shared" si="45"/>
        <v>0</v>
      </c>
      <c r="AK76" s="18">
        <f t="shared" si="45"/>
        <v>0</v>
      </c>
      <c r="AL76" s="2"/>
      <c r="AM76" s="43">
        <v>60</v>
      </c>
      <c r="AN76"/>
      <c r="AO76"/>
      <c r="AP76"/>
      <c r="AQ76"/>
      <c r="AR76"/>
      <c r="AS76"/>
      <c r="AT76"/>
      <c r="AU76"/>
      <c r="AV76"/>
      <c r="AW76"/>
      <c r="FY76" s="210">
        <v>71</v>
      </c>
      <c r="FZ76" s="205"/>
      <c r="GA76" s="205"/>
      <c r="GB76" s="205"/>
      <c r="GC76" s="205"/>
      <c r="GD76" s="205"/>
      <c r="GE76" s="205"/>
      <c r="GF76" s="205"/>
      <c r="GG76" s="205"/>
      <c r="GH76" s="205"/>
      <c r="GI76" s="205"/>
      <c r="GJ76" s="205"/>
      <c r="GK76" s="205"/>
      <c r="GL76" s="205"/>
      <c r="GM76" s="205"/>
    </row>
    <row r="77" spans="1:195" s="7" customFormat="1">
      <c r="A77" s="4"/>
      <c r="B77" s="66"/>
      <c r="C77" s="71">
        <f t="shared" si="37"/>
        <v>39910</v>
      </c>
      <c r="D77" s="72">
        <f>SUM(G77:AK77)</f>
        <v>96.117424242424235</v>
      </c>
      <c r="E77" s="64"/>
      <c r="F77" s="64"/>
      <c r="G77" s="18">
        <f>AVERAGE(E298:E307)</f>
        <v>0</v>
      </c>
      <c r="H77" s="18">
        <f t="shared" ref="H77:AK77" si="46">AVERAGE(F298:F307)</f>
        <v>0</v>
      </c>
      <c r="I77" s="18">
        <f t="shared" si="46"/>
        <v>0</v>
      </c>
      <c r="J77" s="18">
        <f t="shared" si="46"/>
        <v>28.125</v>
      </c>
      <c r="K77" s="18">
        <f t="shared" si="46"/>
        <v>0</v>
      </c>
      <c r="L77" s="18">
        <f t="shared" si="46"/>
        <v>0</v>
      </c>
      <c r="M77" s="18">
        <f t="shared" si="46"/>
        <v>11.647727272727272</v>
      </c>
      <c r="N77" s="18">
        <f t="shared" si="46"/>
        <v>20.170454545454543</v>
      </c>
      <c r="O77" s="18">
        <f t="shared" si="46"/>
        <v>2.083333333333333</v>
      </c>
      <c r="P77" s="18">
        <f t="shared" si="46"/>
        <v>34.090909090909086</v>
      </c>
      <c r="Q77" s="18">
        <f t="shared" si="46"/>
        <v>0</v>
      </c>
      <c r="R77" s="18">
        <f t="shared" si="46"/>
        <v>0</v>
      </c>
      <c r="S77" s="18">
        <f t="shared" si="46"/>
        <v>0</v>
      </c>
      <c r="T77" s="18">
        <f t="shared" si="46"/>
        <v>0</v>
      </c>
      <c r="U77" s="18">
        <f t="shared" si="46"/>
        <v>0</v>
      </c>
      <c r="V77" s="18">
        <f t="shared" si="46"/>
        <v>0</v>
      </c>
      <c r="W77" s="18">
        <f t="shared" si="46"/>
        <v>0</v>
      </c>
      <c r="X77" s="18">
        <f t="shared" si="46"/>
        <v>0</v>
      </c>
      <c r="Y77" s="18">
        <f t="shared" si="46"/>
        <v>0</v>
      </c>
      <c r="Z77" s="18">
        <f t="shared" si="46"/>
        <v>0</v>
      </c>
      <c r="AA77" s="18">
        <f t="shared" si="46"/>
        <v>0</v>
      </c>
      <c r="AB77" s="18">
        <f t="shared" si="46"/>
        <v>0</v>
      </c>
      <c r="AC77" s="18">
        <f t="shared" si="46"/>
        <v>0</v>
      </c>
      <c r="AD77" s="18">
        <f t="shared" si="46"/>
        <v>0</v>
      </c>
      <c r="AE77" s="18">
        <f t="shared" si="46"/>
        <v>0</v>
      </c>
      <c r="AF77" s="18">
        <f t="shared" si="46"/>
        <v>0</v>
      </c>
      <c r="AG77" s="18">
        <f t="shared" si="46"/>
        <v>0</v>
      </c>
      <c r="AH77" s="18">
        <f t="shared" si="46"/>
        <v>0</v>
      </c>
      <c r="AI77" s="18">
        <f t="shared" si="46"/>
        <v>0</v>
      </c>
      <c r="AJ77" s="18">
        <f t="shared" si="46"/>
        <v>0</v>
      </c>
      <c r="AK77" s="18">
        <f t="shared" si="46"/>
        <v>0</v>
      </c>
      <c r="AL77" s="2"/>
      <c r="AM77" s="43">
        <v>61</v>
      </c>
      <c r="AN77"/>
      <c r="AO77"/>
      <c r="AP77"/>
      <c r="AQ77"/>
      <c r="AR77"/>
      <c r="AS77"/>
      <c r="AT77"/>
      <c r="AU77"/>
      <c r="AV77"/>
      <c r="AW77"/>
      <c r="FY77" s="210">
        <v>72</v>
      </c>
      <c r="FZ77" s="205"/>
      <c r="GA77" s="205"/>
      <c r="GB77" s="205"/>
      <c r="GC77" s="205"/>
      <c r="GD77" s="205"/>
      <c r="GE77" s="205"/>
      <c r="GF77" s="205"/>
      <c r="GG77" s="205"/>
      <c r="GH77" s="205"/>
      <c r="GI77" s="205"/>
      <c r="GJ77" s="205"/>
      <c r="GK77" s="205"/>
      <c r="GL77" s="205"/>
      <c r="GM77" s="205"/>
    </row>
    <row r="78" spans="1:195" s="7" customFormat="1">
      <c r="A78" s="4"/>
      <c r="B78" s="66"/>
      <c r="C78" s="71">
        <f t="shared" si="37"/>
        <v>39949</v>
      </c>
      <c r="D78" s="72">
        <f>SUM(G78:AK78)</f>
        <v>15.625</v>
      </c>
      <c r="E78" s="64"/>
      <c r="F78" s="64"/>
      <c r="G78" s="18">
        <f>AVERAGE(E308:E317)</f>
        <v>0</v>
      </c>
      <c r="H78" s="18">
        <f t="shared" ref="H78:AK78" si="47">AVERAGE(F308:F317)</f>
        <v>0</v>
      </c>
      <c r="I78" s="18">
        <f t="shared" si="47"/>
        <v>0</v>
      </c>
      <c r="J78" s="18">
        <f t="shared" si="47"/>
        <v>1.0416666666666665</v>
      </c>
      <c r="K78" s="18">
        <f t="shared" si="47"/>
        <v>0</v>
      </c>
      <c r="L78" s="18">
        <f t="shared" si="47"/>
        <v>1.0416666666666665</v>
      </c>
      <c r="M78" s="18">
        <f t="shared" si="47"/>
        <v>0</v>
      </c>
      <c r="N78" s="18">
        <f t="shared" si="47"/>
        <v>5.2083333333333339</v>
      </c>
      <c r="O78" s="18">
        <f t="shared" si="47"/>
        <v>7.291666666666667</v>
      </c>
      <c r="P78" s="18">
        <f t="shared" si="47"/>
        <v>0</v>
      </c>
      <c r="Q78" s="18">
        <f t="shared" si="47"/>
        <v>1.0416666666666665</v>
      </c>
      <c r="R78" s="18">
        <f t="shared" si="47"/>
        <v>0</v>
      </c>
      <c r="S78" s="18">
        <f t="shared" si="47"/>
        <v>0</v>
      </c>
      <c r="T78" s="18">
        <f t="shared" si="47"/>
        <v>0</v>
      </c>
      <c r="U78" s="18">
        <f t="shared" si="47"/>
        <v>0</v>
      </c>
      <c r="V78" s="18">
        <f t="shared" si="47"/>
        <v>0</v>
      </c>
      <c r="W78" s="18">
        <f t="shared" si="47"/>
        <v>0</v>
      </c>
      <c r="X78" s="18">
        <f t="shared" si="47"/>
        <v>0</v>
      </c>
      <c r="Y78" s="18">
        <f t="shared" si="47"/>
        <v>0</v>
      </c>
      <c r="Z78" s="18">
        <f t="shared" si="47"/>
        <v>0</v>
      </c>
      <c r="AA78" s="18">
        <f t="shared" si="47"/>
        <v>0</v>
      </c>
      <c r="AB78" s="18">
        <f t="shared" si="47"/>
        <v>0</v>
      </c>
      <c r="AC78" s="18">
        <f t="shared" si="47"/>
        <v>0</v>
      </c>
      <c r="AD78" s="18">
        <f t="shared" si="47"/>
        <v>0</v>
      </c>
      <c r="AE78" s="18">
        <f t="shared" si="47"/>
        <v>0</v>
      </c>
      <c r="AF78" s="18">
        <f t="shared" si="47"/>
        <v>0</v>
      </c>
      <c r="AG78" s="18">
        <f t="shared" si="47"/>
        <v>0</v>
      </c>
      <c r="AH78" s="18">
        <f t="shared" si="47"/>
        <v>0</v>
      </c>
      <c r="AI78" s="18">
        <f t="shared" si="47"/>
        <v>0</v>
      </c>
      <c r="AJ78" s="18">
        <f t="shared" si="47"/>
        <v>0</v>
      </c>
      <c r="AK78" s="18">
        <f t="shared" si="47"/>
        <v>0</v>
      </c>
      <c r="AL78" s="2"/>
      <c r="AM78" s="43">
        <v>62</v>
      </c>
      <c r="AN78"/>
      <c r="AO78"/>
      <c r="AP78"/>
      <c r="AQ78"/>
      <c r="AR78"/>
      <c r="AS78"/>
      <c r="AT78"/>
      <c r="AU78"/>
      <c r="AV78"/>
      <c r="AW78"/>
      <c r="FY78" s="210">
        <v>73</v>
      </c>
      <c r="FZ78" s="205"/>
      <c r="GA78" s="205"/>
      <c r="GB78" s="205"/>
      <c r="GC78" s="205"/>
      <c r="GD78" s="205"/>
      <c r="GE78" s="205"/>
      <c r="GF78" s="205"/>
      <c r="GG78" s="205"/>
      <c r="GH78" s="205"/>
      <c r="GI78" s="205"/>
      <c r="GJ78" s="205"/>
      <c r="GK78" s="205"/>
      <c r="GL78" s="205"/>
      <c r="GM78" s="205"/>
    </row>
    <row r="79" spans="1:195" s="7" customFormat="1">
      <c r="A79" s="4"/>
      <c r="B79" s="66"/>
      <c r="C79" s="71">
        <f t="shared" si="37"/>
        <v>39987</v>
      </c>
      <c r="D79" s="72">
        <f>SUM(G79:AK79)</f>
        <v>11.458333333333332</v>
      </c>
      <c r="E79" s="64"/>
      <c r="F79" s="64"/>
      <c r="G79" s="18">
        <f>AVERAGE(E318:E327)</f>
        <v>0</v>
      </c>
      <c r="H79" s="18">
        <f t="shared" ref="H79:AK79" si="48">AVERAGE(F318:F327)</f>
        <v>0</v>
      </c>
      <c r="I79" s="18">
        <f t="shared" si="48"/>
        <v>0</v>
      </c>
      <c r="J79" s="18">
        <f t="shared" si="48"/>
        <v>0</v>
      </c>
      <c r="K79" s="18">
        <f t="shared" si="48"/>
        <v>0</v>
      </c>
      <c r="L79" s="18">
        <f t="shared" si="48"/>
        <v>0</v>
      </c>
      <c r="M79" s="18">
        <f t="shared" si="48"/>
        <v>0</v>
      </c>
      <c r="N79" s="18">
        <f t="shared" si="48"/>
        <v>0</v>
      </c>
      <c r="O79" s="18">
        <f t="shared" si="48"/>
        <v>2.083333333333333</v>
      </c>
      <c r="P79" s="18">
        <f t="shared" si="48"/>
        <v>0</v>
      </c>
      <c r="Q79" s="18">
        <f t="shared" si="48"/>
        <v>1.0416666666666665</v>
      </c>
      <c r="R79" s="18">
        <f t="shared" si="48"/>
        <v>3.125</v>
      </c>
      <c r="S79" s="18">
        <f t="shared" si="48"/>
        <v>0</v>
      </c>
      <c r="T79" s="18">
        <f t="shared" si="48"/>
        <v>2.083333333333333</v>
      </c>
      <c r="U79" s="18">
        <f t="shared" si="48"/>
        <v>3.125</v>
      </c>
      <c r="V79" s="18">
        <f t="shared" si="48"/>
        <v>0</v>
      </c>
      <c r="W79" s="18">
        <f t="shared" si="48"/>
        <v>0</v>
      </c>
      <c r="X79" s="18">
        <f t="shared" si="48"/>
        <v>0</v>
      </c>
      <c r="Y79" s="18">
        <f t="shared" si="48"/>
        <v>0</v>
      </c>
      <c r="Z79" s="18">
        <f t="shared" si="48"/>
        <v>0</v>
      </c>
      <c r="AA79" s="18">
        <f t="shared" si="48"/>
        <v>0</v>
      </c>
      <c r="AB79" s="18">
        <f t="shared" si="48"/>
        <v>0</v>
      </c>
      <c r="AC79" s="18">
        <f t="shared" si="48"/>
        <v>0</v>
      </c>
      <c r="AD79" s="18">
        <f t="shared" si="48"/>
        <v>0</v>
      </c>
      <c r="AE79" s="18">
        <f t="shared" si="48"/>
        <v>0</v>
      </c>
      <c r="AF79" s="18">
        <f t="shared" si="48"/>
        <v>0</v>
      </c>
      <c r="AG79" s="18">
        <f t="shared" si="48"/>
        <v>0</v>
      </c>
      <c r="AH79" s="18">
        <f t="shared" si="48"/>
        <v>0</v>
      </c>
      <c r="AI79" s="18">
        <f t="shared" si="48"/>
        <v>0</v>
      </c>
      <c r="AJ79" s="18">
        <f t="shared" si="48"/>
        <v>0</v>
      </c>
      <c r="AK79" s="18">
        <f t="shared" si="48"/>
        <v>0</v>
      </c>
      <c r="AL79" s="2"/>
      <c r="AM79" s="43">
        <v>63</v>
      </c>
      <c r="AN79"/>
      <c r="AO79"/>
      <c r="AP79"/>
      <c r="AQ79"/>
      <c r="AR79"/>
      <c r="AS79"/>
      <c r="AT79"/>
      <c r="AU79"/>
      <c r="AV79"/>
      <c r="AW79"/>
      <c r="FY79" s="210">
        <v>74</v>
      </c>
      <c r="FZ79" s="205"/>
      <c r="GA79" s="205"/>
      <c r="GB79" s="205"/>
      <c r="GC79" s="205"/>
      <c r="GD79" s="205"/>
      <c r="GE79" s="205"/>
      <c r="GF79" s="205"/>
      <c r="GG79" s="205"/>
      <c r="GH79" s="205"/>
      <c r="GI79" s="205"/>
      <c r="GJ79" s="205"/>
      <c r="GK79" s="205"/>
      <c r="GL79" s="205"/>
      <c r="GM79" s="205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/>
      <c r="AO80"/>
      <c r="AP80"/>
      <c r="AQ80"/>
      <c r="AR80"/>
      <c r="AS80"/>
      <c r="AT80"/>
      <c r="AU80"/>
      <c r="AV80"/>
      <c r="AW80"/>
      <c r="FY80" s="210">
        <v>75</v>
      </c>
      <c r="FZ80" s="205"/>
      <c r="GA80" s="205"/>
      <c r="GB80" s="205"/>
      <c r="GC80" s="205"/>
      <c r="GD80" s="205"/>
      <c r="GE80" s="205"/>
      <c r="GF80" s="205"/>
      <c r="GG80" s="205"/>
      <c r="GH80" s="205"/>
      <c r="GI80" s="205"/>
      <c r="GJ80" s="205"/>
      <c r="GK80" s="205"/>
      <c r="GL80" s="205"/>
      <c r="GM80" s="205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/>
      <c r="AO81"/>
      <c r="AP81"/>
      <c r="AQ81"/>
      <c r="AR81"/>
      <c r="AS81"/>
      <c r="AT81"/>
      <c r="AU81"/>
      <c r="AV81"/>
      <c r="AW81"/>
      <c r="FY81" s="210">
        <v>76</v>
      </c>
      <c r="FZ81" s="205"/>
      <c r="GA81" s="205"/>
      <c r="GB81" s="205"/>
      <c r="GC81" s="205"/>
      <c r="GD81" s="205"/>
      <c r="GE81" s="205"/>
      <c r="GF81" s="205"/>
      <c r="GG81" s="205"/>
      <c r="GH81" s="205"/>
      <c r="GI81" s="205"/>
      <c r="GJ81" s="205"/>
      <c r="GK81" s="205"/>
      <c r="GL81" s="205"/>
      <c r="GM81" s="205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/>
      <c r="AO82"/>
      <c r="AP82"/>
      <c r="AQ82"/>
      <c r="AR82"/>
      <c r="AS82"/>
      <c r="AT82"/>
      <c r="AU82"/>
      <c r="AV82"/>
      <c r="AW82"/>
      <c r="FY82" s="210">
        <v>77</v>
      </c>
      <c r="FZ82" s="205"/>
      <c r="GA82" s="205"/>
      <c r="GB82" s="205"/>
      <c r="GC82" s="205"/>
      <c r="GD82" s="205"/>
      <c r="GE82" s="205"/>
      <c r="GF82" s="205"/>
      <c r="GG82" s="205"/>
      <c r="GH82" s="205"/>
      <c r="GI82" s="205"/>
      <c r="GJ82" s="205"/>
      <c r="GK82" s="205"/>
      <c r="GL82" s="205"/>
      <c r="GM82" s="205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/>
      <c r="AO83"/>
      <c r="AP83"/>
      <c r="AQ83"/>
      <c r="AR83"/>
      <c r="AS83"/>
      <c r="AT83"/>
      <c r="AU83"/>
      <c r="AV83"/>
      <c r="AW83"/>
      <c r="FY83" s="210">
        <v>78</v>
      </c>
      <c r="FZ83" s="205"/>
      <c r="GA83" s="205"/>
      <c r="GB83" s="205"/>
      <c r="GC83" s="205"/>
      <c r="GD83" s="205"/>
      <c r="GE83" s="205"/>
      <c r="GF83" s="205"/>
      <c r="GG83" s="205"/>
      <c r="GH83" s="205"/>
      <c r="GI83" s="205"/>
      <c r="GJ83" s="205"/>
      <c r="GK83" s="205"/>
      <c r="GL83" s="205"/>
      <c r="GM83" s="205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/>
      <c r="AO84"/>
      <c r="AP84"/>
      <c r="AQ84"/>
      <c r="AR84"/>
      <c r="AS84"/>
      <c r="AT84"/>
      <c r="AU84"/>
      <c r="AV84"/>
      <c r="AW84"/>
      <c r="AX84" s="157" t="s">
        <v>111</v>
      </c>
      <c r="CJ84" s="157" t="s">
        <v>112</v>
      </c>
      <c r="FY84" s="210">
        <v>79</v>
      </c>
      <c r="FZ84" s="205"/>
      <c r="GA84" s="205"/>
      <c r="GB84" s="205"/>
      <c r="GC84" s="205"/>
      <c r="GD84" s="205"/>
      <c r="GE84" s="205"/>
      <c r="GF84" s="205"/>
      <c r="GG84" s="205"/>
      <c r="GH84" s="205"/>
      <c r="GI84" s="205"/>
      <c r="GJ84" s="205"/>
      <c r="GK84" s="205"/>
      <c r="GL84" s="205"/>
      <c r="GM84" s="205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/>
      <c r="AO85"/>
      <c r="AP85"/>
      <c r="AQ85"/>
      <c r="AR85"/>
      <c r="AS85"/>
      <c r="AT85"/>
      <c r="AU85"/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0">
        <v>80</v>
      </c>
      <c r="FZ85" s="205"/>
      <c r="GA85" s="205"/>
      <c r="GB85" s="205"/>
      <c r="GC85" s="205"/>
      <c r="GD85" s="205"/>
      <c r="GE85" s="205"/>
      <c r="GF85" s="205"/>
      <c r="GG85" s="205"/>
      <c r="GH85" s="205"/>
      <c r="GI85" s="205"/>
      <c r="GJ85" s="205"/>
      <c r="GK85" s="205"/>
      <c r="GL85" s="205"/>
      <c r="GM85" s="20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/>
      <c r="AO86"/>
      <c r="AP86"/>
      <c r="AQ86"/>
      <c r="AR86"/>
      <c r="AS86"/>
      <c r="AT86"/>
      <c r="AU86"/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29" t="s">
        <v>123</v>
      </c>
      <c r="CX86" s="229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0">
        <v>81</v>
      </c>
      <c r="FZ86" s="205"/>
      <c r="GA86" s="205"/>
      <c r="GB86" s="205"/>
      <c r="GC86" s="205"/>
      <c r="GD86" s="205"/>
      <c r="GE86" s="205"/>
      <c r="GF86" s="205"/>
      <c r="GG86" s="205"/>
      <c r="GH86" s="205"/>
      <c r="GI86" s="205"/>
      <c r="GJ86" s="205"/>
      <c r="GK86" s="205"/>
      <c r="GL86" s="205"/>
      <c r="GM86" s="205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/>
      <c r="AO87"/>
      <c r="AP87"/>
      <c r="AQ87"/>
      <c r="AR87"/>
      <c r="AS87"/>
      <c r="AT87"/>
      <c r="AU87"/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0">
        <v>82</v>
      </c>
      <c r="FZ87" s="205"/>
      <c r="GA87" s="205"/>
      <c r="GB87" s="205"/>
      <c r="GC87" s="205"/>
      <c r="GD87" s="205"/>
      <c r="GE87" s="205"/>
      <c r="GF87" s="205"/>
      <c r="GG87" s="205"/>
      <c r="GH87" s="205"/>
      <c r="GI87" s="205"/>
      <c r="GJ87" s="205"/>
      <c r="GK87" s="205"/>
      <c r="GL87" s="205"/>
      <c r="GM87" s="205"/>
    </row>
    <row r="88" spans="1:195" s="7" customFormat="1">
      <c r="A88" s="128"/>
      <c r="B88" s="76">
        <f t="shared" ref="B88:B119" ca="1" si="49">IF(C88="", "", RAND())</f>
        <v>0.47906355162893477</v>
      </c>
      <c r="C88">
        <v>10</v>
      </c>
      <c r="D88">
        <v>39646</v>
      </c>
      <c r="E88">
        <v>0</v>
      </c>
      <c r="F88">
        <v>20.833333333333332</v>
      </c>
      <c r="G88">
        <v>41.666666666666664</v>
      </c>
      <c r="H88">
        <v>0</v>
      </c>
      <c r="I88">
        <v>0</v>
      </c>
      <c r="J88">
        <v>10.416666666666666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/>
      <c r="AO88"/>
      <c r="AP88"/>
      <c r="AQ88"/>
      <c r="AR88"/>
      <c r="AS88"/>
      <c r="AT88"/>
      <c r="AU88"/>
      <c r="AV88"/>
      <c r="AW88"/>
      <c r="AX88" s="128"/>
      <c r="AY88" s="76">
        <f ca="1">IF(AZ88="", "", RAND())</f>
        <v>3.9107825447580957E-2</v>
      </c>
      <c r="AZ88">
        <v>1</v>
      </c>
      <c r="BA88" s="129">
        <f>IF(AZ88="", "",$C$4)</f>
        <v>39646</v>
      </c>
      <c r="BB88">
        <v>0</v>
      </c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 s="147"/>
      <c r="CH88" s="176"/>
      <c r="CJ88" s="128"/>
      <c r="CK88" s="76">
        <f ca="1">IF(AZ88="", "", RAND())</f>
        <v>0.41311988737270711</v>
      </c>
      <c r="CL88" s="179">
        <f>IF(AZ88="", "", AZ88)</f>
        <v>1</v>
      </c>
      <c r="CM88" s="180">
        <f>IF(AZ88="", "", BA88)</f>
        <v>39646</v>
      </c>
      <c r="CN88"/>
      <c r="CO88"/>
      <c r="CP88"/>
      <c r="CQ88"/>
      <c r="CR88"/>
      <c r="CS88"/>
      <c r="CT88"/>
      <c r="CU88"/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0">IF(DD88="", "", RAND())</f>
        <v>7.6018786787085402E-2</v>
      </c>
      <c r="DD88">
        <f>IF(AZ88="", "", AZ88)</f>
        <v>1</v>
      </c>
      <c r="DE88" s="129">
        <f t="shared" ref="DE88:DE97" si="51">IF(DD88="", "", $C$4)</f>
        <v>39646</v>
      </c>
      <c r="DF88" s="161">
        <f t="shared" ref="DF88:DM88" si="52">IF($AZ88="", "", ((BB88*$CW88)+(CN88*$CX88))/$CZ88)</f>
        <v>0</v>
      </c>
      <c r="DG88" s="161">
        <f t="shared" si="52"/>
        <v>0</v>
      </c>
      <c r="DH88" s="161">
        <f t="shared" si="52"/>
        <v>0</v>
      </c>
      <c r="DI88" s="161">
        <f t="shared" si="52"/>
        <v>0</v>
      </c>
      <c r="DJ88" s="161">
        <f t="shared" si="52"/>
        <v>0</v>
      </c>
      <c r="DK88" s="161">
        <f t="shared" si="52"/>
        <v>0</v>
      </c>
      <c r="DL88" s="161">
        <f t="shared" si="52"/>
        <v>0</v>
      </c>
      <c r="DM88" s="161">
        <f t="shared" si="52"/>
        <v>0</v>
      </c>
      <c r="DN88" s="161">
        <f t="shared" ref="DN88:EJ88" si="53">IF($AZ88="", "", (BJ88*$CW88)/$CZ88)</f>
        <v>0</v>
      </c>
      <c r="DO88" s="161">
        <f t="shared" si="53"/>
        <v>0</v>
      </c>
      <c r="DP88" s="161">
        <f t="shared" si="53"/>
        <v>0</v>
      </c>
      <c r="DQ88" s="161">
        <f t="shared" si="53"/>
        <v>0</v>
      </c>
      <c r="DR88" s="161">
        <f t="shared" si="53"/>
        <v>0</v>
      </c>
      <c r="DS88" s="161">
        <f t="shared" si="53"/>
        <v>0</v>
      </c>
      <c r="DT88" s="161">
        <f t="shared" si="53"/>
        <v>0</v>
      </c>
      <c r="DU88" s="161">
        <f t="shared" si="53"/>
        <v>0</v>
      </c>
      <c r="DV88" s="161">
        <f t="shared" si="53"/>
        <v>0</v>
      </c>
      <c r="DW88" s="161">
        <f t="shared" si="53"/>
        <v>0</v>
      </c>
      <c r="DX88" s="161">
        <f t="shared" si="53"/>
        <v>0</v>
      </c>
      <c r="DY88" s="161">
        <f t="shared" si="53"/>
        <v>0</v>
      </c>
      <c r="DZ88" s="161">
        <f t="shared" si="53"/>
        <v>0</v>
      </c>
      <c r="EA88" s="161">
        <f t="shared" si="53"/>
        <v>0</v>
      </c>
      <c r="EB88" s="161">
        <f t="shared" si="53"/>
        <v>0</v>
      </c>
      <c r="EC88" s="161">
        <f t="shared" si="53"/>
        <v>0</v>
      </c>
      <c r="ED88" s="161">
        <f t="shared" si="53"/>
        <v>0</v>
      </c>
      <c r="EE88" s="161">
        <f t="shared" si="53"/>
        <v>0</v>
      </c>
      <c r="EF88" s="161">
        <f t="shared" si="53"/>
        <v>0</v>
      </c>
      <c r="EG88" s="161">
        <f t="shared" si="53"/>
        <v>0</v>
      </c>
      <c r="EH88" s="161">
        <f t="shared" si="53"/>
        <v>0</v>
      </c>
      <c r="EI88" s="161">
        <f t="shared" si="53"/>
        <v>0</v>
      </c>
      <c r="EJ88" s="161">
        <f t="shared" si="53"/>
        <v>0</v>
      </c>
      <c r="EK88" s="147">
        <f t="shared" ref="EK88:EK119" si="54">IF(DF88="", "", SUM(DF88:EJ88))</f>
        <v>0</v>
      </c>
      <c r="EL88" s="149"/>
      <c r="EN88" s="146"/>
      <c r="EO88" s="146"/>
      <c r="EP88" s="139">
        <f t="shared" ref="EP88:EP119" si="55">IF(DF88="", "", DF88*G$36)</f>
        <v>0</v>
      </c>
      <c r="EQ88" s="139">
        <f t="shared" ref="EQ88:EQ119" si="56">IF(DG88="", "", DG88*H$36)</f>
        <v>0</v>
      </c>
      <c r="ER88" s="139">
        <f t="shared" ref="ER88:ER119" si="57">IF(DH88="", "", DH88*I$36)</f>
        <v>0</v>
      </c>
      <c r="ES88" s="139">
        <f t="shared" ref="ES88:ES119" si="58">IF(DI88="", "", DI88*J$36)</f>
        <v>0</v>
      </c>
      <c r="ET88" s="139">
        <f t="shared" ref="ET88:ET119" si="59">IF(DJ88="", "", DJ88*K$36)</f>
        <v>0</v>
      </c>
      <c r="EU88" s="139">
        <f t="shared" ref="EU88:EU119" si="60">IF(DK88="", "", DK88*L$36)</f>
        <v>0</v>
      </c>
      <c r="EV88" s="139">
        <f t="shared" ref="EV88:EV119" si="61">IF(DL88="", "", DL88*M$36)</f>
        <v>0</v>
      </c>
      <c r="EW88" s="139">
        <f t="shared" ref="EW88:EW119" si="62">IF(DM88="", "", DM88*N$36)</f>
        <v>0</v>
      </c>
      <c r="EX88" s="139">
        <f t="shared" ref="EX88:EX119" si="63">IF(DN88="", "", DN88*O$36)</f>
        <v>0</v>
      </c>
      <c r="EY88" s="139">
        <f t="shared" ref="EY88:EY119" si="64">IF(DO88="", "", DO88*P$36)</f>
        <v>0</v>
      </c>
      <c r="EZ88" s="139">
        <f t="shared" ref="EZ88:EZ119" si="65">IF(DP88="", "", DP88*Q$36)</f>
        <v>0</v>
      </c>
      <c r="FA88" s="139">
        <f t="shared" ref="FA88:FA119" si="66">IF(DQ88="", "", DQ88*R$36)</f>
        <v>0</v>
      </c>
      <c r="FB88" s="139">
        <f t="shared" ref="FB88:FB119" si="67">IF(DR88="", "", DR88*S$36)</f>
        <v>0</v>
      </c>
      <c r="FC88" s="139">
        <f t="shared" ref="FC88:FC119" si="68">IF(DS88="", "", DS88*T$36)</f>
        <v>0</v>
      </c>
      <c r="FD88" s="139">
        <f t="shared" ref="FD88:FD119" si="69">IF(DT88="", "", DT88*U$36)</f>
        <v>0</v>
      </c>
      <c r="FE88" s="139">
        <f t="shared" ref="FE88:FE119" si="70">IF(DU88="", "", DU88*V$36)</f>
        <v>0</v>
      </c>
      <c r="FF88" s="139">
        <f t="shared" ref="FF88:FF119" si="71">IF(DV88="", "", DV88*W$36)</f>
        <v>0</v>
      </c>
      <c r="FG88" s="139">
        <f t="shared" ref="FG88:FG119" si="72">IF(DW88="", "", DW88*X$36)</f>
        <v>0</v>
      </c>
      <c r="FH88" s="139">
        <f t="shared" ref="FH88:FH119" si="73">IF(DX88="", "", DX88*Y$36)</f>
        <v>0</v>
      </c>
      <c r="FI88" s="139">
        <f t="shared" ref="FI88:FI119" si="74">IF(DY88="", "", DY88*Z$36)</f>
        <v>0</v>
      </c>
      <c r="FJ88" s="139">
        <f t="shared" ref="FJ88:FJ119" si="75">IF(DZ88="", "", DZ88*AA$36)</f>
        <v>0</v>
      </c>
      <c r="FK88" s="139">
        <f t="shared" ref="FK88:FK119" si="76">IF(EA88="", "", EA88*AB$36)</f>
        <v>0</v>
      </c>
      <c r="FL88" s="139">
        <f t="shared" ref="FL88:FL119" si="77">IF(EB88="", "", EB88*AC$36)</f>
        <v>0</v>
      </c>
      <c r="FM88" s="139">
        <f t="shared" ref="FM88:FM119" si="78">IF(EC88="", "", EC88*AD$36)</f>
        <v>0</v>
      </c>
      <c r="FN88" s="139">
        <f t="shared" ref="FN88:FN119" si="79">IF(ED88="", "", ED88*AE$36)</f>
        <v>0</v>
      </c>
      <c r="FO88" s="139">
        <f t="shared" ref="FO88:FO119" si="80">IF(EE88="", "", EE88*AF$36)</f>
        <v>0</v>
      </c>
      <c r="FP88" s="139">
        <f t="shared" ref="FP88:FP119" si="81">IF(EF88="", "", EF88*AG$36)</f>
        <v>0</v>
      </c>
      <c r="FQ88" s="139">
        <f t="shared" ref="FQ88:FQ119" si="82">IF(EG88="", "", EG88*AH$36)</f>
        <v>0</v>
      </c>
      <c r="FR88" s="139">
        <f t="shared" ref="FR88:FR119" si="83">IF(EH88="", "", EH88*AI$36)</f>
        <v>0</v>
      </c>
      <c r="FS88" s="139">
        <f t="shared" ref="FS88:FS119" si="84">IF(EI88="", "", EI88*AJ$36)</f>
        <v>0</v>
      </c>
      <c r="FT88" s="139">
        <f t="shared" ref="FT88:FT119" si="85">IF(EJ88="", "", EJ88*AK$36)</f>
        <v>0</v>
      </c>
      <c r="FU88" s="148">
        <f t="shared" ref="FU88:FU119" si="86">IF(EP88="","",SUM(EP88:FT88))</f>
        <v>0</v>
      </c>
      <c r="FV88" s="149"/>
      <c r="FY88" s="210">
        <v>83</v>
      </c>
      <c r="FZ88" s="205"/>
      <c r="GA88" s="205"/>
      <c r="GB88" s="205"/>
      <c r="GC88" s="205"/>
      <c r="GD88" s="205"/>
      <c r="GE88" s="205"/>
      <c r="GF88" s="205"/>
      <c r="GG88" s="205"/>
      <c r="GH88" s="205"/>
      <c r="GI88" s="205"/>
      <c r="GJ88" s="205"/>
      <c r="GK88" s="205"/>
      <c r="GL88" s="205"/>
      <c r="GM88" s="205"/>
    </row>
    <row r="89" spans="1:195" s="7" customFormat="1">
      <c r="A89" s="115"/>
      <c r="B89" s="76">
        <f t="shared" ca="1" si="49"/>
        <v>0.31433014852629504</v>
      </c>
      <c r="C89">
        <v>6</v>
      </c>
      <c r="D89">
        <v>39646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/>
      <c r="AO89"/>
      <c r="AP89"/>
      <c r="AQ89"/>
      <c r="AR89"/>
      <c r="AS89"/>
      <c r="AT89"/>
      <c r="AU89"/>
      <c r="AV89"/>
      <c r="AW89"/>
      <c r="AX89" s="150"/>
      <c r="AY89" s="76">
        <f t="shared" ref="AY89:AY151" ca="1" si="87">IF(AZ89="", "", RAND())</f>
        <v>0.95791347389922876</v>
      </c>
      <c r="AZ89">
        <v>2</v>
      </c>
      <c r="BA89" s="129">
        <f t="shared" ref="BA89:BA97" si="88">IF(AZ89="", "",$C$4)</f>
        <v>39646</v>
      </c>
      <c r="BB89">
        <v>0</v>
      </c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 s="147"/>
      <c r="CH89" s="176"/>
      <c r="CJ89" s="150"/>
      <c r="CK89" s="76">
        <f t="shared" ref="CK89:CK152" ca="1" si="89">IF(AZ89="", "", RAND())</f>
        <v>0.39796517069912918</v>
      </c>
      <c r="CL89" s="179">
        <f t="shared" ref="CL89:CL152" si="90">IF(AZ89="", "", AZ89)</f>
        <v>2</v>
      </c>
      <c r="CM89" s="180">
        <f t="shared" ref="CM89:CM152" si="91">IF(AZ89="", "", BA89)</f>
        <v>39646</v>
      </c>
      <c r="CN89">
        <v>0</v>
      </c>
      <c r="CO89"/>
      <c r="CP89"/>
      <c r="CQ89"/>
      <c r="CR89"/>
      <c r="CS89"/>
      <c r="CT89"/>
      <c r="CU89"/>
      <c r="CW89">
        <v>1</v>
      </c>
      <c r="CX89">
        <f>2/1</f>
        <v>2</v>
      </c>
      <c r="CY89" s="158"/>
      <c r="CZ89" s="177">
        <f t="shared" ref="CZ89:CZ152" si="92">IF(AZ89="", "", $G$15)</f>
        <v>9.6000000000000002E-2</v>
      </c>
      <c r="DB89" s="150"/>
      <c r="DC89" s="76">
        <f t="shared" ca="1" si="50"/>
        <v>0.22165852334197655</v>
      </c>
      <c r="DD89">
        <f t="shared" ref="DD89:DD152" si="93">IF(AZ89="", "", AZ89)</f>
        <v>2</v>
      </c>
      <c r="DE89" s="129">
        <f t="shared" si="51"/>
        <v>39646</v>
      </c>
      <c r="DF89" s="161">
        <f t="shared" ref="DF89:DF152" si="94">IF($AZ89="", "", ((BB89*$CW89)+(CN89*$CX89))/$CZ89)</f>
        <v>0</v>
      </c>
      <c r="DG89" s="161">
        <f t="shared" ref="DG89:DG152" si="95">IF($AZ89="", "", ((BC89*$CW89)+(CO89*$CX89))/$CZ89)</f>
        <v>0</v>
      </c>
      <c r="DH89" s="161">
        <f t="shared" ref="DH89:DH152" si="96">IF($AZ89="", "", ((BD89*$CW89)+(CP89*$CX89))/$CZ89)</f>
        <v>0</v>
      </c>
      <c r="DI89" s="161">
        <f t="shared" ref="DI89:DI152" si="97">IF($AZ89="", "", ((BE89*$CW89)+(CQ89*$CX89))/$CZ89)</f>
        <v>0</v>
      </c>
      <c r="DJ89" s="161">
        <f t="shared" ref="DJ89:DJ152" si="98">IF($AZ89="", "", ((BF89*$CW89)+(CR89*$CX89))/$CZ89)</f>
        <v>0</v>
      </c>
      <c r="DK89" s="161">
        <f t="shared" ref="DK89:DK152" si="99">IF($AZ89="", "", ((BG89*$CW89)+(CS89*$CX89))/$CZ89)</f>
        <v>0</v>
      </c>
      <c r="DL89" s="161">
        <f t="shared" ref="DL89:DL152" si="100">IF($AZ89="", "", ((BH89*$CW89)+(CT89*$CX89))/$CZ89)</f>
        <v>0</v>
      </c>
      <c r="DM89" s="161">
        <f t="shared" ref="DM89:DM152" si="101">IF($AZ89="", "", ((BI89*$CW89)+(CU89*$CX89))/$CZ89)</f>
        <v>0</v>
      </c>
      <c r="DN89" s="161">
        <f t="shared" ref="DN89:DN152" si="102">IF($AZ89="", "", (BJ89*$CW89)/$CZ89)</f>
        <v>0</v>
      </c>
      <c r="DO89" s="161">
        <f t="shared" ref="DO89:DO152" si="103">IF($AZ89="", "", (BK89*$CW89)/$CZ89)</f>
        <v>0</v>
      </c>
      <c r="DP89" s="161">
        <f t="shared" ref="DP89:DP152" si="104">IF($AZ89="", "", (BL89*$CW89)/$CZ89)</f>
        <v>0</v>
      </c>
      <c r="DQ89" s="161">
        <f t="shared" ref="DQ89:DQ152" si="105">IF($AZ89="", "", (BM89*$CW89)/$CZ89)</f>
        <v>0</v>
      </c>
      <c r="DR89" s="161">
        <f t="shared" ref="DR89:DR152" si="106">IF($AZ89="", "", (BN89*$CW89)/$CZ89)</f>
        <v>0</v>
      </c>
      <c r="DS89" s="161">
        <f t="shared" ref="DS89:DS152" si="107">IF($AZ89="", "", (BO89*$CW89)/$CZ89)</f>
        <v>0</v>
      </c>
      <c r="DT89" s="161">
        <f t="shared" ref="DT89:DT152" si="108">IF($AZ89="", "", (BP89*$CW89)/$CZ89)</f>
        <v>0</v>
      </c>
      <c r="DU89" s="161">
        <f t="shared" ref="DU89:DU152" si="109">IF($AZ89="", "", (BQ89*$CW89)/$CZ89)</f>
        <v>0</v>
      </c>
      <c r="DV89" s="161">
        <f t="shared" ref="DV89:DV152" si="110">IF($AZ89="", "", (BR89*$CW89)/$CZ89)</f>
        <v>0</v>
      </c>
      <c r="DW89" s="161">
        <f t="shared" ref="DW89:DW152" si="111">IF($AZ89="", "", (BS89*$CW89)/$CZ89)</f>
        <v>0</v>
      </c>
      <c r="DX89" s="161">
        <f t="shared" ref="DX89:DX152" si="112">IF($AZ89="", "", (BT89*$CW89)/$CZ89)</f>
        <v>0</v>
      </c>
      <c r="DY89" s="161">
        <f t="shared" ref="DY89:DY152" si="113">IF($AZ89="", "", (BU89*$CW89)/$CZ89)</f>
        <v>0</v>
      </c>
      <c r="DZ89" s="161">
        <f t="shared" ref="DZ89:DZ152" si="114">IF($AZ89="", "", (BV89*$CW89)/$CZ89)</f>
        <v>0</v>
      </c>
      <c r="EA89" s="161">
        <f t="shared" ref="EA89:EA152" si="115">IF($AZ89="", "", (BW89*$CW89)/$CZ89)</f>
        <v>0</v>
      </c>
      <c r="EB89" s="161">
        <f t="shared" ref="EB89:EB152" si="116">IF($AZ89="", "", (BX89*$CW89)/$CZ89)</f>
        <v>0</v>
      </c>
      <c r="EC89" s="161">
        <f t="shared" ref="EC89:EC152" si="117">IF($AZ89="", "", (BY89*$CW89)/$CZ89)</f>
        <v>0</v>
      </c>
      <c r="ED89" s="161">
        <f t="shared" ref="ED89:ED152" si="118">IF($AZ89="", "", (BZ89*$CW89)/$CZ89)</f>
        <v>0</v>
      </c>
      <c r="EE89" s="161">
        <f t="shared" ref="EE89:EE152" si="119">IF($AZ89="", "", (CA89*$CW89)/$CZ89)</f>
        <v>0</v>
      </c>
      <c r="EF89" s="161">
        <f t="shared" ref="EF89:EF152" si="120">IF($AZ89="", "", (CB89*$CW89)/$CZ89)</f>
        <v>0</v>
      </c>
      <c r="EG89" s="161">
        <f t="shared" ref="EG89:EG152" si="121">IF($AZ89="", "", (CC89*$CW89)/$CZ89)</f>
        <v>0</v>
      </c>
      <c r="EH89" s="161">
        <f t="shared" ref="EH89:EH152" si="122">IF($AZ89="", "", (CD89*$CW89)/$CZ89)</f>
        <v>0</v>
      </c>
      <c r="EI89" s="161">
        <f t="shared" ref="EI89:EI152" si="123">IF($AZ89="", "", (CE89*$CW89)/$CZ89)</f>
        <v>0</v>
      </c>
      <c r="EJ89" s="161">
        <f t="shared" ref="EJ89:EJ152" si="124">IF($AZ89="", "", (CF89*$CW89)/$CZ89)</f>
        <v>0</v>
      </c>
      <c r="EK89" s="147">
        <f t="shared" si="54"/>
        <v>0</v>
      </c>
      <c r="EL89" s="149"/>
      <c r="EN89" s="150"/>
      <c r="EO89" s="150"/>
      <c r="EP89" s="139">
        <f t="shared" si="55"/>
        <v>0</v>
      </c>
      <c r="EQ89" s="139">
        <f t="shared" si="56"/>
        <v>0</v>
      </c>
      <c r="ER89" s="139">
        <f t="shared" si="57"/>
        <v>0</v>
      </c>
      <c r="ES89" s="139">
        <f t="shared" si="58"/>
        <v>0</v>
      </c>
      <c r="ET89" s="139">
        <f t="shared" si="59"/>
        <v>0</v>
      </c>
      <c r="EU89" s="139">
        <f t="shared" si="60"/>
        <v>0</v>
      </c>
      <c r="EV89" s="139">
        <f t="shared" si="61"/>
        <v>0</v>
      </c>
      <c r="EW89" s="139">
        <f t="shared" si="62"/>
        <v>0</v>
      </c>
      <c r="EX89" s="139">
        <f t="shared" si="63"/>
        <v>0</v>
      </c>
      <c r="EY89" s="139">
        <f t="shared" si="64"/>
        <v>0</v>
      </c>
      <c r="EZ89" s="139">
        <f t="shared" si="65"/>
        <v>0</v>
      </c>
      <c r="FA89" s="139">
        <f t="shared" si="66"/>
        <v>0</v>
      </c>
      <c r="FB89" s="139">
        <f t="shared" si="67"/>
        <v>0</v>
      </c>
      <c r="FC89" s="139">
        <f t="shared" si="68"/>
        <v>0</v>
      </c>
      <c r="FD89" s="139">
        <f t="shared" si="69"/>
        <v>0</v>
      </c>
      <c r="FE89" s="139">
        <f t="shared" si="70"/>
        <v>0</v>
      </c>
      <c r="FF89" s="139">
        <f t="shared" si="71"/>
        <v>0</v>
      </c>
      <c r="FG89" s="139">
        <f t="shared" si="72"/>
        <v>0</v>
      </c>
      <c r="FH89" s="139">
        <f t="shared" si="73"/>
        <v>0</v>
      </c>
      <c r="FI89" s="139">
        <f t="shared" si="74"/>
        <v>0</v>
      </c>
      <c r="FJ89" s="139">
        <f t="shared" si="75"/>
        <v>0</v>
      </c>
      <c r="FK89" s="139">
        <f t="shared" si="76"/>
        <v>0</v>
      </c>
      <c r="FL89" s="139">
        <f t="shared" si="77"/>
        <v>0</v>
      </c>
      <c r="FM89" s="139">
        <f t="shared" si="78"/>
        <v>0</v>
      </c>
      <c r="FN89" s="139">
        <f t="shared" si="79"/>
        <v>0</v>
      </c>
      <c r="FO89" s="139">
        <f t="shared" si="80"/>
        <v>0</v>
      </c>
      <c r="FP89" s="139">
        <f t="shared" si="81"/>
        <v>0</v>
      </c>
      <c r="FQ89" s="139">
        <f t="shared" si="82"/>
        <v>0</v>
      </c>
      <c r="FR89" s="139">
        <f t="shared" si="83"/>
        <v>0</v>
      </c>
      <c r="FS89" s="139">
        <f t="shared" si="84"/>
        <v>0</v>
      </c>
      <c r="FT89" s="139">
        <f t="shared" si="85"/>
        <v>0</v>
      </c>
      <c r="FU89" s="148">
        <f t="shared" si="86"/>
        <v>0</v>
      </c>
      <c r="FV89" s="149"/>
      <c r="FY89" s="210">
        <v>84</v>
      </c>
      <c r="FZ89" s="205"/>
      <c r="GA89" s="205"/>
      <c r="GB89" s="205"/>
      <c r="GC89" s="205"/>
      <c r="GD89" s="205"/>
      <c r="GE89" s="205"/>
      <c r="GF89" s="205"/>
      <c r="GG89" s="205"/>
      <c r="GH89" s="205"/>
      <c r="GI89" s="205"/>
      <c r="GJ89" s="205"/>
      <c r="GK89" s="205"/>
      <c r="GL89" s="205"/>
      <c r="GM89" s="205"/>
    </row>
    <row r="90" spans="1:195" s="7" customFormat="1">
      <c r="A90" s="115"/>
      <c r="B90" s="76">
        <f t="shared" ca="1" si="49"/>
        <v>0.29252332558269156</v>
      </c>
      <c r="C90">
        <v>8</v>
      </c>
      <c r="D90">
        <v>39646</v>
      </c>
      <c r="E90">
        <v>0</v>
      </c>
      <c r="F90">
        <v>20.833333333333332</v>
      </c>
      <c r="G90">
        <v>83.333333333333329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/>
      <c r="AO90"/>
      <c r="AP90"/>
      <c r="AQ90"/>
      <c r="AR90"/>
      <c r="AS90"/>
      <c r="AT90"/>
      <c r="AU90"/>
      <c r="AV90"/>
      <c r="AW90"/>
      <c r="AX90" s="150"/>
      <c r="AY90" s="76">
        <f t="shared" ca="1" si="87"/>
        <v>0.89115565084627768</v>
      </c>
      <c r="AZ90">
        <v>3</v>
      </c>
      <c r="BA90" s="129">
        <f t="shared" si="88"/>
        <v>39646</v>
      </c>
      <c r="BB90">
        <v>0</v>
      </c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 s="147"/>
      <c r="CH90" s="176"/>
      <c r="CJ90" s="150"/>
      <c r="CK90" s="76">
        <f t="shared" ca="1" si="89"/>
        <v>0.5473362522816938</v>
      </c>
      <c r="CL90" s="179">
        <f t="shared" si="90"/>
        <v>3</v>
      </c>
      <c r="CM90" s="180">
        <f t="shared" si="91"/>
        <v>39646</v>
      </c>
      <c r="CN90">
        <v>0</v>
      </c>
      <c r="CO90"/>
      <c r="CP90"/>
      <c r="CQ90"/>
      <c r="CR90"/>
      <c r="CS90"/>
      <c r="CT90"/>
      <c r="CU90"/>
      <c r="CW90">
        <v>1</v>
      </c>
      <c r="CX90">
        <v>1</v>
      </c>
      <c r="CY90" s="158"/>
      <c r="CZ90" s="177">
        <f t="shared" si="92"/>
        <v>9.6000000000000002E-2</v>
      </c>
      <c r="DB90" s="150"/>
      <c r="DC90" s="76">
        <f t="shared" ca="1" si="50"/>
        <v>0.87638962134987319</v>
      </c>
      <c r="DD90">
        <f t="shared" si="93"/>
        <v>3</v>
      </c>
      <c r="DE90" s="129">
        <f t="shared" si="51"/>
        <v>39646</v>
      </c>
      <c r="DF90" s="161">
        <f t="shared" si="94"/>
        <v>0</v>
      </c>
      <c r="DG90" s="161">
        <f t="shared" si="95"/>
        <v>0</v>
      </c>
      <c r="DH90" s="161">
        <f t="shared" si="96"/>
        <v>0</v>
      </c>
      <c r="DI90" s="161">
        <f t="shared" si="97"/>
        <v>0</v>
      </c>
      <c r="DJ90" s="161">
        <f t="shared" si="98"/>
        <v>0</v>
      </c>
      <c r="DK90" s="161">
        <f t="shared" si="99"/>
        <v>0</v>
      </c>
      <c r="DL90" s="161">
        <f t="shared" si="100"/>
        <v>0</v>
      </c>
      <c r="DM90" s="161">
        <f t="shared" si="101"/>
        <v>0</v>
      </c>
      <c r="DN90" s="161">
        <f t="shared" si="102"/>
        <v>0</v>
      </c>
      <c r="DO90" s="161">
        <f t="shared" si="103"/>
        <v>0</v>
      </c>
      <c r="DP90" s="161">
        <f t="shared" si="104"/>
        <v>0</v>
      </c>
      <c r="DQ90" s="161">
        <f t="shared" si="105"/>
        <v>0</v>
      </c>
      <c r="DR90" s="161">
        <f t="shared" si="106"/>
        <v>0</v>
      </c>
      <c r="DS90" s="161">
        <f t="shared" si="107"/>
        <v>0</v>
      </c>
      <c r="DT90" s="161">
        <f t="shared" si="108"/>
        <v>0</v>
      </c>
      <c r="DU90" s="161">
        <f t="shared" si="109"/>
        <v>0</v>
      </c>
      <c r="DV90" s="161">
        <f t="shared" si="110"/>
        <v>0</v>
      </c>
      <c r="DW90" s="161">
        <f t="shared" si="111"/>
        <v>0</v>
      </c>
      <c r="DX90" s="161">
        <f t="shared" si="112"/>
        <v>0</v>
      </c>
      <c r="DY90" s="161">
        <f t="shared" si="113"/>
        <v>0</v>
      </c>
      <c r="DZ90" s="161">
        <f t="shared" si="114"/>
        <v>0</v>
      </c>
      <c r="EA90" s="161">
        <f t="shared" si="115"/>
        <v>0</v>
      </c>
      <c r="EB90" s="161">
        <f t="shared" si="116"/>
        <v>0</v>
      </c>
      <c r="EC90" s="161">
        <f t="shared" si="117"/>
        <v>0</v>
      </c>
      <c r="ED90" s="161">
        <f t="shared" si="118"/>
        <v>0</v>
      </c>
      <c r="EE90" s="161">
        <f t="shared" si="119"/>
        <v>0</v>
      </c>
      <c r="EF90" s="161">
        <f t="shared" si="120"/>
        <v>0</v>
      </c>
      <c r="EG90" s="161">
        <f t="shared" si="121"/>
        <v>0</v>
      </c>
      <c r="EH90" s="161">
        <f t="shared" si="122"/>
        <v>0</v>
      </c>
      <c r="EI90" s="161">
        <f t="shared" si="123"/>
        <v>0</v>
      </c>
      <c r="EJ90" s="161">
        <f t="shared" si="124"/>
        <v>0</v>
      </c>
      <c r="EK90" s="147">
        <f t="shared" si="54"/>
        <v>0</v>
      </c>
      <c r="EL90" s="149"/>
      <c r="EN90" s="150"/>
      <c r="EO90" s="150"/>
      <c r="EP90" s="139">
        <f t="shared" si="55"/>
        <v>0</v>
      </c>
      <c r="EQ90" s="139">
        <f t="shared" si="56"/>
        <v>0</v>
      </c>
      <c r="ER90" s="139">
        <f t="shared" si="57"/>
        <v>0</v>
      </c>
      <c r="ES90" s="139">
        <f t="shared" si="58"/>
        <v>0</v>
      </c>
      <c r="ET90" s="139">
        <f t="shared" si="59"/>
        <v>0</v>
      </c>
      <c r="EU90" s="139">
        <f t="shared" si="60"/>
        <v>0</v>
      </c>
      <c r="EV90" s="139">
        <f t="shared" si="61"/>
        <v>0</v>
      </c>
      <c r="EW90" s="139">
        <f t="shared" si="62"/>
        <v>0</v>
      </c>
      <c r="EX90" s="139">
        <f t="shared" si="63"/>
        <v>0</v>
      </c>
      <c r="EY90" s="139">
        <f t="shared" si="64"/>
        <v>0</v>
      </c>
      <c r="EZ90" s="139">
        <f t="shared" si="65"/>
        <v>0</v>
      </c>
      <c r="FA90" s="139">
        <f t="shared" si="66"/>
        <v>0</v>
      </c>
      <c r="FB90" s="139">
        <f t="shared" si="67"/>
        <v>0</v>
      </c>
      <c r="FC90" s="139">
        <f t="shared" si="68"/>
        <v>0</v>
      </c>
      <c r="FD90" s="139">
        <f t="shared" si="69"/>
        <v>0</v>
      </c>
      <c r="FE90" s="139">
        <f t="shared" si="70"/>
        <v>0</v>
      </c>
      <c r="FF90" s="139">
        <f t="shared" si="71"/>
        <v>0</v>
      </c>
      <c r="FG90" s="139">
        <f t="shared" si="72"/>
        <v>0</v>
      </c>
      <c r="FH90" s="139">
        <f t="shared" si="73"/>
        <v>0</v>
      </c>
      <c r="FI90" s="139">
        <f t="shared" si="74"/>
        <v>0</v>
      </c>
      <c r="FJ90" s="139">
        <f t="shared" si="75"/>
        <v>0</v>
      </c>
      <c r="FK90" s="139">
        <f t="shared" si="76"/>
        <v>0</v>
      </c>
      <c r="FL90" s="139">
        <f t="shared" si="77"/>
        <v>0</v>
      </c>
      <c r="FM90" s="139">
        <f t="shared" si="78"/>
        <v>0</v>
      </c>
      <c r="FN90" s="139">
        <f t="shared" si="79"/>
        <v>0</v>
      </c>
      <c r="FO90" s="139">
        <f t="shared" si="80"/>
        <v>0</v>
      </c>
      <c r="FP90" s="139">
        <f t="shared" si="81"/>
        <v>0</v>
      </c>
      <c r="FQ90" s="139">
        <f t="shared" si="82"/>
        <v>0</v>
      </c>
      <c r="FR90" s="139">
        <f t="shared" si="83"/>
        <v>0</v>
      </c>
      <c r="FS90" s="139">
        <f t="shared" si="84"/>
        <v>0</v>
      </c>
      <c r="FT90" s="139">
        <f t="shared" si="85"/>
        <v>0</v>
      </c>
      <c r="FU90" s="148">
        <f t="shared" si="86"/>
        <v>0</v>
      </c>
      <c r="FV90" s="149"/>
      <c r="FY90" s="210">
        <v>85</v>
      </c>
      <c r="FZ90" s="205"/>
      <c r="GA90" s="205"/>
      <c r="GB90" s="205"/>
      <c r="GC90" s="205"/>
      <c r="GD90" s="205"/>
      <c r="GE90" s="205"/>
      <c r="GF90" s="205"/>
      <c r="GG90" s="205"/>
      <c r="GH90" s="205"/>
      <c r="GI90" s="205"/>
      <c r="GJ90" s="205"/>
      <c r="GK90" s="205"/>
      <c r="GL90" s="205"/>
      <c r="GM90" s="205"/>
    </row>
    <row r="91" spans="1:195" s="7" customFormat="1">
      <c r="A91" s="77"/>
      <c r="B91" s="76">
        <f t="shared" ca="1" si="49"/>
        <v>0.47695364031562626</v>
      </c>
      <c r="C91">
        <v>3</v>
      </c>
      <c r="D91">
        <v>39646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/>
      <c r="AO91"/>
      <c r="AP91"/>
      <c r="AQ91"/>
      <c r="AR91"/>
      <c r="AS91"/>
      <c r="AT91"/>
      <c r="AU91"/>
      <c r="AV91"/>
      <c r="AW91"/>
      <c r="AX91" s="151"/>
      <c r="AY91" s="76">
        <f t="shared" ca="1" si="87"/>
        <v>0.1568625398979786</v>
      </c>
      <c r="AZ91">
        <v>4</v>
      </c>
      <c r="BA91" s="129">
        <f t="shared" si="88"/>
        <v>39646</v>
      </c>
      <c r="BB91">
        <v>0</v>
      </c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 s="147"/>
      <c r="CH91" s="176"/>
      <c r="CJ91" s="151"/>
      <c r="CK91" s="76">
        <f t="shared" ca="1" si="89"/>
        <v>0.68872274617967255</v>
      </c>
      <c r="CL91" s="179">
        <f t="shared" si="90"/>
        <v>4</v>
      </c>
      <c r="CM91" s="180">
        <f t="shared" si="91"/>
        <v>39646</v>
      </c>
      <c r="CN91">
        <v>0</v>
      </c>
      <c r="CO91"/>
      <c r="CP91"/>
      <c r="CQ91"/>
      <c r="CR91"/>
      <c r="CS91"/>
      <c r="CT91"/>
      <c r="CU91"/>
      <c r="CW91">
        <v>1</v>
      </c>
      <c r="CX91">
        <v>1</v>
      </c>
      <c r="CY91" s="158"/>
      <c r="CZ91" s="177">
        <f t="shared" si="92"/>
        <v>9.6000000000000002E-2</v>
      </c>
      <c r="DB91" s="151"/>
      <c r="DC91" s="76">
        <f t="shared" ca="1" si="50"/>
        <v>0.95874446333995356</v>
      </c>
      <c r="DD91">
        <f t="shared" si="93"/>
        <v>4</v>
      </c>
      <c r="DE91" s="129">
        <f t="shared" si="51"/>
        <v>39646</v>
      </c>
      <c r="DF91" s="161">
        <f t="shared" si="94"/>
        <v>0</v>
      </c>
      <c r="DG91" s="161">
        <f t="shared" si="95"/>
        <v>0</v>
      </c>
      <c r="DH91" s="161">
        <f t="shared" si="96"/>
        <v>0</v>
      </c>
      <c r="DI91" s="161">
        <f t="shared" si="97"/>
        <v>0</v>
      </c>
      <c r="DJ91" s="161">
        <f t="shared" si="98"/>
        <v>0</v>
      </c>
      <c r="DK91" s="161">
        <f t="shared" si="99"/>
        <v>0</v>
      </c>
      <c r="DL91" s="161">
        <f t="shared" si="100"/>
        <v>0</v>
      </c>
      <c r="DM91" s="161">
        <f t="shared" si="101"/>
        <v>0</v>
      </c>
      <c r="DN91" s="161">
        <f t="shared" si="102"/>
        <v>0</v>
      </c>
      <c r="DO91" s="161">
        <f t="shared" si="103"/>
        <v>0</v>
      </c>
      <c r="DP91" s="161">
        <f t="shared" si="104"/>
        <v>0</v>
      </c>
      <c r="DQ91" s="161">
        <f t="shared" si="105"/>
        <v>0</v>
      </c>
      <c r="DR91" s="161">
        <f t="shared" si="106"/>
        <v>0</v>
      </c>
      <c r="DS91" s="161">
        <f t="shared" si="107"/>
        <v>0</v>
      </c>
      <c r="DT91" s="161">
        <f t="shared" si="108"/>
        <v>0</v>
      </c>
      <c r="DU91" s="161">
        <f t="shared" si="109"/>
        <v>0</v>
      </c>
      <c r="DV91" s="161">
        <f t="shared" si="110"/>
        <v>0</v>
      </c>
      <c r="DW91" s="161">
        <f t="shared" si="111"/>
        <v>0</v>
      </c>
      <c r="DX91" s="161">
        <f t="shared" si="112"/>
        <v>0</v>
      </c>
      <c r="DY91" s="161">
        <f t="shared" si="113"/>
        <v>0</v>
      </c>
      <c r="DZ91" s="161">
        <f t="shared" si="114"/>
        <v>0</v>
      </c>
      <c r="EA91" s="161">
        <f t="shared" si="115"/>
        <v>0</v>
      </c>
      <c r="EB91" s="161">
        <f t="shared" si="116"/>
        <v>0</v>
      </c>
      <c r="EC91" s="161">
        <f t="shared" si="117"/>
        <v>0</v>
      </c>
      <c r="ED91" s="161">
        <f t="shared" si="118"/>
        <v>0</v>
      </c>
      <c r="EE91" s="161">
        <f t="shared" si="119"/>
        <v>0</v>
      </c>
      <c r="EF91" s="161">
        <f t="shared" si="120"/>
        <v>0</v>
      </c>
      <c r="EG91" s="161">
        <f t="shared" si="121"/>
        <v>0</v>
      </c>
      <c r="EH91" s="161">
        <f t="shared" si="122"/>
        <v>0</v>
      </c>
      <c r="EI91" s="161">
        <f t="shared" si="123"/>
        <v>0</v>
      </c>
      <c r="EJ91" s="161">
        <f t="shared" si="124"/>
        <v>0</v>
      </c>
      <c r="EK91" s="147">
        <f t="shared" si="54"/>
        <v>0</v>
      </c>
      <c r="EL91" s="149"/>
      <c r="EN91" s="151"/>
      <c r="EO91" s="151"/>
      <c r="EP91" s="139">
        <f t="shared" si="55"/>
        <v>0</v>
      </c>
      <c r="EQ91" s="139">
        <f t="shared" si="56"/>
        <v>0</v>
      </c>
      <c r="ER91" s="139">
        <f t="shared" si="57"/>
        <v>0</v>
      </c>
      <c r="ES91" s="139">
        <f t="shared" si="58"/>
        <v>0</v>
      </c>
      <c r="ET91" s="139">
        <f t="shared" si="59"/>
        <v>0</v>
      </c>
      <c r="EU91" s="139">
        <f t="shared" si="60"/>
        <v>0</v>
      </c>
      <c r="EV91" s="139">
        <f t="shared" si="61"/>
        <v>0</v>
      </c>
      <c r="EW91" s="139">
        <f t="shared" si="62"/>
        <v>0</v>
      </c>
      <c r="EX91" s="139">
        <f t="shared" si="63"/>
        <v>0</v>
      </c>
      <c r="EY91" s="139">
        <f t="shared" si="64"/>
        <v>0</v>
      </c>
      <c r="EZ91" s="139">
        <f t="shared" si="65"/>
        <v>0</v>
      </c>
      <c r="FA91" s="139">
        <f t="shared" si="66"/>
        <v>0</v>
      </c>
      <c r="FB91" s="139">
        <f t="shared" si="67"/>
        <v>0</v>
      </c>
      <c r="FC91" s="139">
        <f t="shared" si="68"/>
        <v>0</v>
      </c>
      <c r="FD91" s="139">
        <f t="shared" si="69"/>
        <v>0</v>
      </c>
      <c r="FE91" s="139">
        <f t="shared" si="70"/>
        <v>0</v>
      </c>
      <c r="FF91" s="139">
        <f t="shared" si="71"/>
        <v>0</v>
      </c>
      <c r="FG91" s="139">
        <f t="shared" si="72"/>
        <v>0</v>
      </c>
      <c r="FH91" s="139">
        <f t="shared" si="73"/>
        <v>0</v>
      </c>
      <c r="FI91" s="139">
        <f t="shared" si="74"/>
        <v>0</v>
      </c>
      <c r="FJ91" s="139">
        <f t="shared" si="75"/>
        <v>0</v>
      </c>
      <c r="FK91" s="139">
        <f t="shared" si="76"/>
        <v>0</v>
      </c>
      <c r="FL91" s="139">
        <f t="shared" si="77"/>
        <v>0</v>
      </c>
      <c r="FM91" s="139">
        <f t="shared" si="78"/>
        <v>0</v>
      </c>
      <c r="FN91" s="139">
        <f t="shared" si="79"/>
        <v>0</v>
      </c>
      <c r="FO91" s="139">
        <f t="shared" si="80"/>
        <v>0</v>
      </c>
      <c r="FP91" s="139">
        <f t="shared" si="81"/>
        <v>0</v>
      </c>
      <c r="FQ91" s="139">
        <f t="shared" si="82"/>
        <v>0</v>
      </c>
      <c r="FR91" s="139">
        <f t="shared" si="83"/>
        <v>0</v>
      </c>
      <c r="FS91" s="139">
        <f t="shared" si="84"/>
        <v>0</v>
      </c>
      <c r="FT91" s="139">
        <f t="shared" si="85"/>
        <v>0</v>
      </c>
      <c r="FU91" s="148">
        <f t="shared" si="86"/>
        <v>0</v>
      </c>
      <c r="FV91" s="149"/>
      <c r="FY91" s="210">
        <v>86</v>
      </c>
      <c r="FZ91" s="205"/>
      <c r="GA91" s="205"/>
      <c r="GB91" s="205"/>
      <c r="GC91" s="205"/>
      <c r="GD91" s="205"/>
      <c r="GE91" s="205"/>
      <c r="GF91" s="205"/>
      <c r="GG91" s="205"/>
      <c r="GH91" s="205"/>
      <c r="GI91" s="205"/>
      <c r="GJ91" s="205"/>
      <c r="GK91" s="205"/>
      <c r="GL91" s="205"/>
      <c r="GM91" s="205"/>
    </row>
    <row r="92" spans="1:195" s="7" customFormat="1">
      <c r="A92" s="77"/>
      <c r="B92" s="76">
        <f t="shared" ca="1" si="49"/>
        <v>0.55167856223320255</v>
      </c>
      <c r="C92">
        <v>9</v>
      </c>
      <c r="D92">
        <v>39646</v>
      </c>
      <c r="E92">
        <v>0</v>
      </c>
      <c r="F92">
        <v>0</v>
      </c>
      <c r="G92">
        <v>52.083333333333336</v>
      </c>
      <c r="H92">
        <v>0</v>
      </c>
      <c r="I92">
        <v>0</v>
      </c>
      <c r="J92">
        <v>0</v>
      </c>
      <c r="K92">
        <v>20.833333333333332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/>
      <c r="AO92"/>
      <c r="AP92"/>
      <c r="AQ92"/>
      <c r="AR92"/>
      <c r="AS92"/>
      <c r="AT92"/>
      <c r="AU92"/>
      <c r="AV92"/>
      <c r="AW92"/>
      <c r="AX92" s="151"/>
      <c r="AY92" s="76">
        <f t="shared" ca="1" si="87"/>
        <v>0.2373171000123584</v>
      </c>
      <c r="AZ92">
        <v>5</v>
      </c>
      <c r="BA92" s="129">
        <f t="shared" si="88"/>
        <v>39646</v>
      </c>
      <c r="BB92" s="215">
        <v>0</v>
      </c>
      <c r="BC92" s="215"/>
      <c r="BD92" s="215"/>
      <c r="BE92" s="215"/>
      <c r="BF92" s="215">
        <v>1</v>
      </c>
      <c r="BG92" s="215"/>
      <c r="BH92" s="215"/>
      <c r="BI92" s="215"/>
      <c r="BJ92" s="215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 s="147"/>
      <c r="CH92" s="176"/>
      <c r="CJ92" s="151"/>
      <c r="CK92" s="76">
        <f t="shared" ca="1" si="89"/>
        <v>0.38825592280974686</v>
      </c>
      <c r="CL92" s="179">
        <f t="shared" si="90"/>
        <v>5</v>
      </c>
      <c r="CM92" s="180">
        <f t="shared" si="91"/>
        <v>39646</v>
      </c>
      <c r="CN92"/>
      <c r="CO92"/>
      <c r="CP92"/>
      <c r="CQ92"/>
      <c r="CR92"/>
      <c r="CS92"/>
      <c r="CT92"/>
      <c r="CU92"/>
      <c r="CW92">
        <v>1</v>
      </c>
      <c r="CX92">
        <v>1</v>
      </c>
      <c r="CY92" s="158"/>
      <c r="CZ92" s="177">
        <f t="shared" si="92"/>
        <v>9.6000000000000002E-2</v>
      </c>
      <c r="DB92" s="151"/>
      <c r="DC92" s="76">
        <f t="shared" ca="1" si="50"/>
        <v>0.69266389851147925</v>
      </c>
      <c r="DD92">
        <f t="shared" si="93"/>
        <v>5</v>
      </c>
      <c r="DE92" s="129">
        <f t="shared" si="51"/>
        <v>39646</v>
      </c>
      <c r="DF92" s="161">
        <f t="shared" si="94"/>
        <v>0</v>
      </c>
      <c r="DG92" s="161">
        <f t="shared" si="95"/>
        <v>0</v>
      </c>
      <c r="DH92" s="161">
        <f t="shared" si="96"/>
        <v>0</v>
      </c>
      <c r="DI92" s="161">
        <f t="shared" si="97"/>
        <v>0</v>
      </c>
      <c r="DJ92" s="161">
        <f t="shared" si="98"/>
        <v>10.416666666666666</v>
      </c>
      <c r="DK92" s="161">
        <f t="shared" si="99"/>
        <v>0</v>
      </c>
      <c r="DL92" s="161">
        <f t="shared" si="100"/>
        <v>0</v>
      </c>
      <c r="DM92" s="161">
        <f t="shared" si="101"/>
        <v>0</v>
      </c>
      <c r="DN92" s="161">
        <f t="shared" si="102"/>
        <v>0</v>
      </c>
      <c r="DO92" s="161">
        <f t="shared" si="103"/>
        <v>0</v>
      </c>
      <c r="DP92" s="161">
        <f t="shared" si="104"/>
        <v>0</v>
      </c>
      <c r="DQ92" s="161">
        <f t="shared" si="105"/>
        <v>0</v>
      </c>
      <c r="DR92" s="161">
        <f t="shared" si="106"/>
        <v>0</v>
      </c>
      <c r="DS92" s="161">
        <f t="shared" si="107"/>
        <v>0</v>
      </c>
      <c r="DT92" s="161">
        <f t="shared" si="108"/>
        <v>0</v>
      </c>
      <c r="DU92" s="161">
        <f t="shared" si="109"/>
        <v>0</v>
      </c>
      <c r="DV92" s="161">
        <f t="shared" si="110"/>
        <v>0</v>
      </c>
      <c r="DW92" s="161">
        <f t="shared" si="111"/>
        <v>0</v>
      </c>
      <c r="DX92" s="161">
        <f t="shared" si="112"/>
        <v>0</v>
      </c>
      <c r="DY92" s="161">
        <f t="shared" si="113"/>
        <v>0</v>
      </c>
      <c r="DZ92" s="161">
        <f t="shared" si="114"/>
        <v>0</v>
      </c>
      <c r="EA92" s="161">
        <f t="shared" si="115"/>
        <v>0</v>
      </c>
      <c r="EB92" s="161">
        <f t="shared" si="116"/>
        <v>0</v>
      </c>
      <c r="EC92" s="161">
        <f t="shared" si="117"/>
        <v>0</v>
      </c>
      <c r="ED92" s="161">
        <f t="shared" si="118"/>
        <v>0</v>
      </c>
      <c r="EE92" s="161">
        <f t="shared" si="119"/>
        <v>0</v>
      </c>
      <c r="EF92" s="161">
        <f t="shared" si="120"/>
        <v>0</v>
      </c>
      <c r="EG92" s="161">
        <f t="shared" si="121"/>
        <v>0</v>
      </c>
      <c r="EH92" s="161">
        <f t="shared" si="122"/>
        <v>0</v>
      </c>
      <c r="EI92" s="161">
        <f t="shared" si="123"/>
        <v>0</v>
      </c>
      <c r="EJ92" s="161">
        <f t="shared" si="124"/>
        <v>0</v>
      </c>
      <c r="EK92" s="147">
        <f t="shared" si="54"/>
        <v>10.416666666666666</v>
      </c>
      <c r="EL92" s="149"/>
      <c r="EN92" s="151"/>
      <c r="EO92" s="151"/>
      <c r="EP92" s="139">
        <f t="shared" si="55"/>
        <v>0</v>
      </c>
      <c r="EQ92" s="139">
        <f t="shared" si="56"/>
        <v>0</v>
      </c>
      <c r="ER92" s="139">
        <f t="shared" si="57"/>
        <v>0</v>
      </c>
      <c r="ES92" s="139">
        <f t="shared" si="58"/>
        <v>0</v>
      </c>
      <c r="ET92" s="139">
        <f t="shared" si="59"/>
        <v>0.1071773462536293</v>
      </c>
      <c r="EU92" s="139">
        <f t="shared" si="60"/>
        <v>0</v>
      </c>
      <c r="EV92" s="139">
        <f t="shared" si="61"/>
        <v>0</v>
      </c>
      <c r="EW92" s="139">
        <f t="shared" si="62"/>
        <v>0</v>
      </c>
      <c r="EX92" s="139">
        <f t="shared" si="63"/>
        <v>0</v>
      </c>
      <c r="EY92" s="139">
        <f t="shared" si="64"/>
        <v>0</v>
      </c>
      <c r="EZ92" s="139">
        <f t="shared" si="65"/>
        <v>0</v>
      </c>
      <c r="FA92" s="139">
        <f t="shared" si="66"/>
        <v>0</v>
      </c>
      <c r="FB92" s="139">
        <f t="shared" si="67"/>
        <v>0</v>
      </c>
      <c r="FC92" s="139">
        <f t="shared" si="68"/>
        <v>0</v>
      </c>
      <c r="FD92" s="139">
        <f t="shared" si="69"/>
        <v>0</v>
      </c>
      <c r="FE92" s="139">
        <f t="shared" si="70"/>
        <v>0</v>
      </c>
      <c r="FF92" s="139">
        <f t="shared" si="71"/>
        <v>0</v>
      </c>
      <c r="FG92" s="139">
        <f t="shared" si="72"/>
        <v>0</v>
      </c>
      <c r="FH92" s="139">
        <f t="shared" si="73"/>
        <v>0</v>
      </c>
      <c r="FI92" s="139">
        <f t="shared" si="74"/>
        <v>0</v>
      </c>
      <c r="FJ92" s="139">
        <f t="shared" si="75"/>
        <v>0</v>
      </c>
      <c r="FK92" s="139">
        <f t="shared" si="76"/>
        <v>0</v>
      </c>
      <c r="FL92" s="139">
        <f t="shared" si="77"/>
        <v>0</v>
      </c>
      <c r="FM92" s="139">
        <f t="shared" si="78"/>
        <v>0</v>
      </c>
      <c r="FN92" s="139">
        <f t="shared" si="79"/>
        <v>0</v>
      </c>
      <c r="FO92" s="139">
        <f t="shared" si="80"/>
        <v>0</v>
      </c>
      <c r="FP92" s="139">
        <f t="shared" si="81"/>
        <v>0</v>
      </c>
      <c r="FQ92" s="139">
        <f t="shared" si="82"/>
        <v>0</v>
      </c>
      <c r="FR92" s="139">
        <f t="shared" si="83"/>
        <v>0</v>
      </c>
      <c r="FS92" s="139">
        <f t="shared" si="84"/>
        <v>0</v>
      </c>
      <c r="FT92" s="139">
        <f t="shared" si="85"/>
        <v>0</v>
      </c>
      <c r="FU92" s="148">
        <f t="shared" si="86"/>
        <v>0.1071773462536293</v>
      </c>
      <c r="FV92" s="149"/>
      <c r="FY92" s="210">
        <v>87</v>
      </c>
      <c r="FZ92" s="205"/>
      <c r="GA92" s="205"/>
      <c r="GB92" s="205"/>
      <c r="GC92" s="205"/>
      <c r="GD92" s="205"/>
      <c r="GE92" s="205"/>
      <c r="GF92" s="205"/>
      <c r="GG92" s="205"/>
      <c r="GH92" s="205"/>
      <c r="GI92" s="205"/>
      <c r="GJ92" s="205"/>
      <c r="GK92" s="205"/>
      <c r="GL92" s="205"/>
      <c r="GM92" s="205"/>
    </row>
    <row r="93" spans="1:195" s="7" customFormat="1">
      <c r="A93" s="77"/>
      <c r="B93" s="76">
        <f t="shared" ca="1" si="49"/>
        <v>0.68134808265568481</v>
      </c>
      <c r="C93">
        <v>5</v>
      </c>
      <c r="D93">
        <v>39646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10.416666666666666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/>
      <c r="AO93"/>
      <c r="AP93"/>
      <c r="AQ93"/>
      <c r="AR93"/>
      <c r="AS93"/>
      <c r="AT93"/>
      <c r="AU93"/>
      <c r="AV93"/>
      <c r="AW93"/>
      <c r="AX93" s="151"/>
      <c r="AY93" s="76">
        <f t="shared" ca="1" si="87"/>
        <v>0.78465954536236548</v>
      </c>
      <c r="AZ93">
        <v>6</v>
      </c>
      <c r="BA93" s="129">
        <f t="shared" si="88"/>
        <v>39646</v>
      </c>
      <c r="BB93">
        <v>0</v>
      </c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 s="147"/>
      <c r="CH93" s="176"/>
      <c r="CJ93" s="151"/>
      <c r="CK93" s="76">
        <f t="shared" ca="1" si="89"/>
        <v>0.22671775825288609</v>
      </c>
      <c r="CL93" s="179">
        <f t="shared" si="90"/>
        <v>6</v>
      </c>
      <c r="CM93" s="180">
        <f t="shared" si="91"/>
        <v>39646</v>
      </c>
      <c r="CN93" s="218">
        <v>0</v>
      </c>
      <c r="CO93" s="218"/>
      <c r="CP93" s="218"/>
      <c r="CQ93" s="218"/>
      <c r="CR93" s="218"/>
      <c r="CS93" s="218"/>
      <c r="CT93"/>
      <c r="CU93"/>
      <c r="CW93">
        <v>1</v>
      </c>
      <c r="CX93">
        <v>2</v>
      </c>
      <c r="CY93" s="159"/>
      <c r="CZ93" s="177">
        <f t="shared" si="92"/>
        <v>9.6000000000000002E-2</v>
      </c>
      <c r="DB93" s="151"/>
      <c r="DC93" s="76">
        <f t="shared" ca="1" si="50"/>
        <v>0.57024856703569426</v>
      </c>
      <c r="DD93">
        <f t="shared" si="93"/>
        <v>6</v>
      </c>
      <c r="DE93" s="129">
        <f t="shared" si="51"/>
        <v>39646</v>
      </c>
      <c r="DF93" s="161">
        <f t="shared" si="94"/>
        <v>0</v>
      </c>
      <c r="DG93" s="161">
        <f t="shared" si="95"/>
        <v>0</v>
      </c>
      <c r="DH93" s="161">
        <f t="shared" si="96"/>
        <v>0</v>
      </c>
      <c r="DI93" s="161">
        <f t="shared" si="97"/>
        <v>0</v>
      </c>
      <c r="DJ93" s="161">
        <f t="shared" si="98"/>
        <v>0</v>
      </c>
      <c r="DK93" s="161">
        <f t="shared" si="99"/>
        <v>0</v>
      </c>
      <c r="DL93" s="161">
        <f t="shared" si="100"/>
        <v>0</v>
      </c>
      <c r="DM93" s="161">
        <f t="shared" si="101"/>
        <v>0</v>
      </c>
      <c r="DN93" s="161">
        <f t="shared" si="102"/>
        <v>0</v>
      </c>
      <c r="DO93" s="161">
        <f t="shared" si="103"/>
        <v>0</v>
      </c>
      <c r="DP93" s="161">
        <f t="shared" si="104"/>
        <v>0</v>
      </c>
      <c r="DQ93" s="161">
        <f t="shared" si="105"/>
        <v>0</v>
      </c>
      <c r="DR93" s="161">
        <f t="shared" si="106"/>
        <v>0</v>
      </c>
      <c r="DS93" s="161">
        <f t="shared" si="107"/>
        <v>0</v>
      </c>
      <c r="DT93" s="161">
        <f t="shared" si="108"/>
        <v>0</v>
      </c>
      <c r="DU93" s="161">
        <f t="shared" si="109"/>
        <v>0</v>
      </c>
      <c r="DV93" s="161">
        <f t="shared" si="110"/>
        <v>0</v>
      </c>
      <c r="DW93" s="161">
        <f t="shared" si="111"/>
        <v>0</v>
      </c>
      <c r="DX93" s="161">
        <f t="shared" si="112"/>
        <v>0</v>
      </c>
      <c r="DY93" s="161">
        <f t="shared" si="113"/>
        <v>0</v>
      </c>
      <c r="DZ93" s="161">
        <f t="shared" si="114"/>
        <v>0</v>
      </c>
      <c r="EA93" s="161">
        <f t="shared" si="115"/>
        <v>0</v>
      </c>
      <c r="EB93" s="161">
        <f t="shared" si="116"/>
        <v>0</v>
      </c>
      <c r="EC93" s="161">
        <f t="shared" si="117"/>
        <v>0</v>
      </c>
      <c r="ED93" s="161">
        <f t="shared" si="118"/>
        <v>0</v>
      </c>
      <c r="EE93" s="161">
        <f t="shared" si="119"/>
        <v>0</v>
      </c>
      <c r="EF93" s="161">
        <f t="shared" si="120"/>
        <v>0</v>
      </c>
      <c r="EG93" s="161">
        <f t="shared" si="121"/>
        <v>0</v>
      </c>
      <c r="EH93" s="161">
        <f t="shared" si="122"/>
        <v>0</v>
      </c>
      <c r="EI93" s="161">
        <f t="shared" si="123"/>
        <v>0</v>
      </c>
      <c r="EJ93" s="161">
        <f t="shared" si="124"/>
        <v>0</v>
      </c>
      <c r="EK93" s="147">
        <f t="shared" si="54"/>
        <v>0</v>
      </c>
      <c r="EL93" s="149"/>
      <c r="EN93" s="151"/>
      <c r="EO93" s="151"/>
      <c r="EP93" s="139">
        <f t="shared" si="55"/>
        <v>0</v>
      </c>
      <c r="EQ93" s="139">
        <f t="shared" si="56"/>
        <v>0</v>
      </c>
      <c r="ER93" s="139">
        <f t="shared" si="57"/>
        <v>0</v>
      </c>
      <c r="ES93" s="139">
        <f t="shared" si="58"/>
        <v>0</v>
      </c>
      <c r="ET93" s="139">
        <f t="shared" si="59"/>
        <v>0</v>
      </c>
      <c r="EU93" s="139">
        <f t="shared" si="60"/>
        <v>0</v>
      </c>
      <c r="EV93" s="139">
        <f t="shared" si="61"/>
        <v>0</v>
      </c>
      <c r="EW93" s="139">
        <f t="shared" si="62"/>
        <v>0</v>
      </c>
      <c r="EX93" s="139">
        <f t="shared" si="63"/>
        <v>0</v>
      </c>
      <c r="EY93" s="139">
        <f t="shared" si="64"/>
        <v>0</v>
      </c>
      <c r="EZ93" s="139">
        <f t="shared" si="65"/>
        <v>0</v>
      </c>
      <c r="FA93" s="139">
        <f t="shared" si="66"/>
        <v>0</v>
      </c>
      <c r="FB93" s="139">
        <f t="shared" si="67"/>
        <v>0</v>
      </c>
      <c r="FC93" s="139">
        <f t="shared" si="68"/>
        <v>0</v>
      </c>
      <c r="FD93" s="139">
        <f t="shared" si="69"/>
        <v>0</v>
      </c>
      <c r="FE93" s="139">
        <f t="shared" si="70"/>
        <v>0</v>
      </c>
      <c r="FF93" s="139">
        <f t="shared" si="71"/>
        <v>0</v>
      </c>
      <c r="FG93" s="139">
        <f t="shared" si="72"/>
        <v>0</v>
      </c>
      <c r="FH93" s="139">
        <f t="shared" si="73"/>
        <v>0</v>
      </c>
      <c r="FI93" s="139">
        <f t="shared" si="74"/>
        <v>0</v>
      </c>
      <c r="FJ93" s="139">
        <f t="shared" si="75"/>
        <v>0</v>
      </c>
      <c r="FK93" s="139">
        <f t="shared" si="76"/>
        <v>0</v>
      </c>
      <c r="FL93" s="139">
        <f t="shared" si="77"/>
        <v>0</v>
      </c>
      <c r="FM93" s="139">
        <f t="shared" si="78"/>
        <v>0</v>
      </c>
      <c r="FN93" s="139">
        <f t="shared" si="79"/>
        <v>0</v>
      </c>
      <c r="FO93" s="139">
        <f t="shared" si="80"/>
        <v>0</v>
      </c>
      <c r="FP93" s="139">
        <f t="shared" si="81"/>
        <v>0</v>
      </c>
      <c r="FQ93" s="139">
        <f t="shared" si="82"/>
        <v>0</v>
      </c>
      <c r="FR93" s="139">
        <f t="shared" si="83"/>
        <v>0</v>
      </c>
      <c r="FS93" s="139">
        <f t="shared" si="84"/>
        <v>0</v>
      </c>
      <c r="FT93" s="139">
        <f t="shared" si="85"/>
        <v>0</v>
      </c>
      <c r="FU93" s="148">
        <f t="shared" si="86"/>
        <v>0</v>
      </c>
      <c r="FV93" s="149"/>
      <c r="FY93" s="210">
        <v>88</v>
      </c>
      <c r="FZ93" s="205"/>
      <c r="GA93" s="205"/>
      <c r="GB93" s="205"/>
      <c r="GC93" s="205"/>
      <c r="GD93" s="205"/>
      <c r="GE93" s="205"/>
      <c r="GF93" s="205"/>
      <c r="GG93" s="205"/>
      <c r="GH93" s="205"/>
      <c r="GI93" s="205"/>
      <c r="GJ93" s="205"/>
      <c r="GK93" s="205"/>
      <c r="GL93" s="205"/>
      <c r="GM93" s="205"/>
    </row>
    <row r="94" spans="1:195" s="7" customFormat="1">
      <c r="A94" s="77"/>
      <c r="B94" s="76">
        <f t="shared" ca="1" si="49"/>
        <v>0.63701076999681217</v>
      </c>
      <c r="C94">
        <v>4</v>
      </c>
      <c r="D94">
        <v>39646</v>
      </c>
      <c r="E94">
        <v>0</v>
      </c>
      <c r="F94">
        <v>0</v>
      </c>
      <c r="G94">
        <v>31.25</v>
      </c>
      <c r="H94">
        <v>0</v>
      </c>
      <c r="I94">
        <v>0</v>
      </c>
      <c r="J94">
        <v>20.833333333333332</v>
      </c>
      <c r="K94">
        <v>20.833333333333332</v>
      </c>
      <c r="L94">
        <v>0</v>
      </c>
      <c r="M94">
        <v>0</v>
      </c>
      <c r="N94">
        <v>0</v>
      </c>
      <c r="O94">
        <v>0</v>
      </c>
      <c r="P94">
        <v>10.416666666666666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/>
      <c r="AO94"/>
      <c r="AP94"/>
      <c r="AQ94"/>
      <c r="AR94"/>
      <c r="AS94"/>
      <c r="AT94"/>
      <c r="AU94"/>
      <c r="AV94"/>
      <c r="AW94"/>
      <c r="AX94" s="151"/>
      <c r="AY94" s="76">
        <f t="shared" ca="1" si="87"/>
        <v>0.21777728120548989</v>
      </c>
      <c r="AZ94">
        <v>7</v>
      </c>
      <c r="BA94" s="129">
        <f t="shared" si="88"/>
        <v>39646</v>
      </c>
      <c r="BB94">
        <v>0</v>
      </c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 s="147"/>
      <c r="CH94" s="176"/>
      <c r="CJ94" s="151"/>
      <c r="CK94" s="76">
        <f t="shared" ca="1" si="89"/>
        <v>0.30898442272726534</v>
      </c>
      <c r="CL94" s="179">
        <f t="shared" si="90"/>
        <v>7</v>
      </c>
      <c r="CM94" s="180">
        <f t="shared" si="91"/>
        <v>39646</v>
      </c>
      <c r="CN94">
        <v>0</v>
      </c>
      <c r="CO94"/>
      <c r="CP94"/>
      <c r="CQ94"/>
      <c r="CR94"/>
      <c r="CS94"/>
      <c r="CT94"/>
      <c r="CU94"/>
      <c r="CV94" s="160"/>
      <c r="CW94">
        <v>1</v>
      </c>
      <c r="CX94">
        <v>2</v>
      </c>
      <c r="CY94" s="164"/>
      <c r="CZ94" s="177">
        <f t="shared" si="92"/>
        <v>9.6000000000000002E-2</v>
      </c>
      <c r="DB94" s="151"/>
      <c r="DC94" s="76">
        <f t="shared" ca="1" si="50"/>
        <v>0.72397661661360768</v>
      </c>
      <c r="DD94">
        <f t="shared" si="93"/>
        <v>7</v>
      </c>
      <c r="DE94" s="129">
        <f t="shared" si="51"/>
        <v>39646</v>
      </c>
      <c r="DF94" s="161">
        <f t="shared" si="94"/>
        <v>0</v>
      </c>
      <c r="DG94" s="161">
        <f t="shared" si="95"/>
        <v>0</v>
      </c>
      <c r="DH94" s="161">
        <f t="shared" si="96"/>
        <v>0</v>
      </c>
      <c r="DI94" s="161">
        <f t="shared" si="97"/>
        <v>0</v>
      </c>
      <c r="DJ94" s="161">
        <f t="shared" si="98"/>
        <v>0</v>
      </c>
      <c r="DK94" s="161">
        <f t="shared" si="99"/>
        <v>0</v>
      </c>
      <c r="DL94" s="161">
        <f t="shared" si="100"/>
        <v>0</v>
      </c>
      <c r="DM94" s="161">
        <f t="shared" si="101"/>
        <v>0</v>
      </c>
      <c r="DN94" s="161">
        <f t="shared" si="102"/>
        <v>0</v>
      </c>
      <c r="DO94" s="161">
        <f t="shared" si="103"/>
        <v>0</v>
      </c>
      <c r="DP94" s="161">
        <f t="shared" si="104"/>
        <v>0</v>
      </c>
      <c r="DQ94" s="161">
        <f t="shared" si="105"/>
        <v>0</v>
      </c>
      <c r="DR94" s="161">
        <f t="shared" si="106"/>
        <v>0</v>
      </c>
      <c r="DS94" s="161">
        <f t="shared" si="107"/>
        <v>0</v>
      </c>
      <c r="DT94" s="161">
        <f t="shared" si="108"/>
        <v>0</v>
      </c>
      <c r="DU94" s="161">
        <f t="shared" si="109"/>
        <v>0</v>
      </c>
      <c r="DV94" s="161">
        <f t="shared" si="110"/>
        <v>0</v>
      </c>
      <c r="DW94" s="161">
        <f t="shared" si="111"/>
        <v>0</v>
      </c>
      <c r="DX94" s="161">
        <f t="shared" si="112"/>
        <v>0</v>
      </c>
      <c r="DY94" s="161">
        <f t="shared" si="113"/>
        <v>0</v>
      </c>
      <c r="DZ94" s="161">
        <f t="shared" si="114"/>
        <v>0</v>
      </c>
      <c r="EA94" s="161">
        <f t="shared" si="115"/>
        <v>0</v>
      </c>
      <c r="EB94" s="161">
        <f t="shared" si="116"/>
        <v>0</v>
      </c>
      <c r="EC94" s="161">
        <f t="shared" si="117"/>
        <v>0</v>
      </c>
      <c r="ED94" s="161">
        <f t="shared" si="118"/>
        <v>0</v>
      </c>
      <c r="EE94" s="161">
        <f t="shared" si="119"/>
        <v>0</v>
      </c>
      <c r="EF94" s="161">
        <f t="shared" si="120"/>
        <v>0</v>
      </c>
      <c r="EG94" s="161">
        <f t="shared" si="121"/>
        <v>0</v>
      </c>
      <c r="EH94" s="161">
        <f t="shared" si="122"/>
        <v>0</v>
      </c>
      <c r="EI94" s="161">
        <f t="shared" si="123"/>
        <v>0</v>
      </c>
      <c r="EJ94" s="161">
        <f t="shared" si="124"/>
        <v>0</v>
      </c>
      <c r="EK94" s="147">
        <f t="shared" si="54"/>
        <v>0</v>
      </c>
      <c r="EL94" s="149"/>
      <c r="EN94" s="151"/>
      <c r="EO94" s="151"/>
      <c r="EP94" s="139">
        <f t="shared" si="55"/>
        <v>0</v>
      </c>
      <c r="EQ94" s="139">
        <f t="shared" si="56"/>
        <v>0</v>
      </c>
      <c r="ER94" s="139">
        <f t="shared" si="57"/>
        <v>0</v>
      </c>
      <c r="ES94" s="139">
        <f t="shared" si="58"/>
        <v>0</v>
      </c>
      <c r="ET94" s="139">
        <f t="shared" si="59"/>
        <v>0</v>
      </c>
      <c r="EU94" s="139">
        <f t="shared" si="60"/>
        <v>0</v>
      </c>
      <c r="EV94" s="139">
        <f t="shared" si="61"/>
        <v>0</v>
      </c>
      <c r="EW94" s="139">
        <f t="shared" si="62"/>
        <v>0</v>
      </c>
      <c r="EX94" s="139">
        <f t="shared" si="63"/>
        <v>0</v>
      </c>
      <c r="EY94" s="139">
        <f t="shared" si="64"/>
        <v>0</v>
      </c>
      <c r="EZ94" s="139">
        <f t="shared" si="65"/>
        <v>0</v>
      </c>
      <c r="FA94" s="139">
        <f t="shared" si="66"/>
        <v>0</v>
      </c>
      <c r="FB94" s="139">
        <f t="shared" si="67"/>
        <v>0</v>
      </c>
      <c r="FC94" s="139">
        <f t="shared" si="68"/>
        <v>0</v>
      </c>
      <c r="FD94" s="139">
        <f t="shared" si="69"/>
        <v>0</v>
      </c>
      <c r="FE94" s="139">
        <f t="shared" si="70"/>
        <v>0</v>
      </c>
      <c r="FF94" s="139">
        <f t="shared" si="71"/>
        <v>0</v>
      </c>
      <c r="FG94" s="139">
        <f t="shared" si="72"/>
        <v>0</v>
      </c>
      <c r="FH94" s="139">
        <f t="shared" si="73"/>
        <v>0</v>
      </c>
      <c r="FI94" s="139">
        <f t="shared" si="74"/>
        <v>0</v>
      </c>
      <c r="FJ94" s="139">
        <f t="shared" si="75"/>
        <v>0</v>
      </c>
      <c r="FK94" s="139">
        <f t="shared" si="76"/>
        <v>0</v>
      </c>
      <c r="FL94" s="139">
        <f t="shared" si="77"/>
        <v>0</v>
      </c>
      <c r="FM94" s="139">
        <f t="shared" si="78"/>
        <v>0</v>
      </c>
      <c r="FN94" s="139">
        <f t="shared" si="79"/>
        <v>0</v>
      </c>
      <c r="FO94" s="139">
        <f t="shared" si="80"/>
        <v>0</v>
      </c>
      <c r="FP94" s="139">
        <f t="shared" si="81"/>
        <v>0</v>
      </c>
      <c r="FQ94" s="139">
        <f t="shared" si="82"/>
        <v>0</v>
      </c>
      <c r="FR94" s="139">
        <f t="shared" si="83"/>
        <v>0</v>
      </c>
      <c r="FS94" s="139">
        <f t="shared" si="84"/>
        <v>0</v>
      </c>
      <c r="FT94" s="139">
        <f t="shared" si="85"/>
        <v>0</v>
      </c>
      <c r="FU94" s="148">
        <f t="shared" si="86"/>
        <v>0</v>
      </c>
      <c r="FV94" s="149"/>
      <c r="FY94" s="210">
        <v>89</v>
      </c>
      <c r="FZ94" s="205"/>
      <c r="GA94" s="205"/>
      <c r="GB94" s="205"/>
      <c r="GC94" s="205"/>
      <c r="GD94" s="205"/>
      <c r="GE94" s="205"/>
      <c r="GF94" s="205"/>
      <c r="GG94" s="205"/>
      <c r="GH94" s="205"/>
      <c r="GI94" s="205"/>
      <c r="GJ94" s="205"/>
      <c r="GK94" s="205"/>
      <c r="GL94" s="205"/>
      <c r="GM94" s="205"/>
    </row>
    <row r="95" spans="1:195" s="7" customFormat="1">
      <c r="A95" s="77"/>
      <c r="B95" s="76">
        <f t="shared" ca="1" si="49"/>
        <v>0.50236893641936997</v>
      </c>
      <c r="C95">
        <v>1</v>
      </c>
      <c r="D95">
        <v>39646</v>
      </c>
      <c r="E95">
        <v>0</v>
      </c>
      <c r="F95">
        <v>0</v>
      </c>
      <c r="G95">
        <v>62.5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/>
      <c r="AO95"/>
      <c r="AP95"/>
      <c r="AQ95"/>
      <c r="AR95"/>
      <c r="AS95"/>
      <c r="AT95"/>
      <c r="AU95"/>
      <c r="AV95"/>
      <c r="AW95"/>
      <c r="AX95" s="151"/>
      <c r="AY95" s="76">
        <f t="shared" ca="1" si="87"/>
        <v>6.1182708250985485E-2</v>
      </c>
      <c r="AZ95">
        <v>8</v>
      </c>
      <c r="BA95" s="129">
        <f t="shared" si="88"/>
        <v>39646</v>
      </c>
      <c r="BB95">
        <v>0</v>
      </c>
      <c r="BC95"/>
      <c r="BD95"/>
      <c r="BE95"/>
      <c r="BF95"/>
      <c r="BG95"/>
      <c r="BH95"/>
      <c r="BI95"/>
      <c r="BJ95"/>
      <c r="BK95"/>
      <c r="BL95"/>
      <c r="BM95">
        <v>1</v>
      </c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 s="147"/>
      <c r="CH95" s="176"/>
      <c r="CJ95" s="151"/>
      <c r="CK95" s="76">
        <f t="shared" ca="1" si="89"/>
        <v>0.41634116475736427</v>
      </c>
      <c r="CL95" s="179">
        <f t="shared" si="90"/>
        <v>8</v>
      </c>
      <c r="CM95" s="180">
        <f t="shared" si="91"/>
        <v>39646</v>
      </c>
      <c r="CN95">
        <v>0</v>
      </c>
      <c r="CO95"/>
      <c r="CP95"/>
      <c r="CQ95"/>
      <c r="CR95"/>
      <c r="CS95"/>
      <c r="CT95"/>
      <c r="CU95"/>
      <c r="CV95" s="160"/>
      <c r="CW95">
        <v>1</v>
      </c>
      <c r="CX95">
        <v>2</v>
      </c>
      <c r="CY95" s="164"/>
      <c r="CZ95" s="177">
        <f t="shared" si="92"/>
        <v>9.6000000000000002E-2</v>
      </c>
      <c r="DB95" s="151"/>
      <c r="DC95" s="76">
        <f t="shared" ca="1" si="50"/>
        <v>3.7486467819154656E-2</v>
      </c>
      <c r="DD95">
        <f t="shared" si="93"/>
        <v>8</v>
      </c>
      <c r="DE95" s="129">
        <f t="shared" si="51"/>
        <v>39646</v>
      </c>
      <c r="DF95" s="161">
        <f t="shared" si="94"/>
        <v>0</v>
      </c>
      <c r="DG95" s="161">
        <f t="shared" si="95"/>
        <v>0</v>
      </c>
      <c r="DH95" s="161">
        <f t="shared" si="96"/>
        <v>0</v>
      </c>
      <c r="DI95" s="161">
        <f t="shared" si="97"/>
        <v>0</v>
      </c>
      <c r="DJ95" s="161">
        <f t="shared" si="98"/>
        <v>0</v>
      </c>
      <c r="DK95" s="161">
        <f t="shared" si="99"/>
        <v>0</v>
      </c>
      <c r="DL95" s="161">
        <f t="shared" si="100"/>
        <v>0</v>
      </c>
      <c r="DM95" s="161">
        <f t="shared" si="101"/>
        <v>0</v>
      </c>
      <c r="DN95" s="161">
        <f t="shared" si="102"/>
        <v>0</v>
      </c>
      <c r="DO95" s="161">
        <f t="shared" si="103"/>
        <v>0</v>
      </c>
      <c r="DP95" s="161">
        <f t="shared" si="104"/>
        <v>0</v>
      </c>
      <c r="DQ95" s="161">
        <f t="shared" si="105"/>
        <v>10.416666666666666</v>
      </c>
      <c r="DR95" s="161">
        <f t="shared" si="106"/>
        <v>0</v>
      </c>
      <c r="DS95" s="161">
        <f t="shared" si="107"/>
        <v>0</v>
      </c>
      <c r="DT95" s="161">
        <f t="shared" si="108"/>
        <v>0</v>
      </c>
      <c r="DU95" s="161">
        <f t="shared" si="109"/>
        <v>0</v>
      </c>
      <c r="DV95" s="161">
        <f t="shared" si="110"/>
        <v>0</v>
      </c>
      <c r="DW95" s="161">
        <f t="shared" si="111"/>
        <v>0</v>
      </c>
      <c r="DX95" s="161">
        <f t="shared" si="112"/>
        <v>0</v>
      </c>
      <c r="DY95" s="161">
        <f t="shared" si="113"/>
        <v>0</v>
      </c>
      <c r="DZ95" s="161">
        <f t="shared" si="114"/>
        <v>0</v>
      </c>
      <c r="EA95" s="161">
        <f t="shared" si="115"/>
        <v>0</v>
      </c>
      <c r="EB95" s="161">
        <f t="shared" si="116"/>
        <v>0</v>
      </c>
      <c r="EC95" s="161">
        <f t="shared" si="117"/>
        <v>0</v>
      </c>
      <c r="ED95" s="161">
        <f t="shared" si="118"/>
        <v>0</v>
      </c>
      <c r="EE95" s="161">
        <f t="shared" si="119"/>
        <v>0</v>
      </c>
      <c r="EF95" s="161">
        <f t="shared" si="120"/>
        <v>0</v>
      </c>
      <c r="EG95" s="161">
        <f t="shared" si="121"/>
        <v>0</v>
      </c>
      <c r="EH95" s="161">
        <f t="shared" si="122"/>
        <v>0</v>
      </c>
      <c r="EI95" s="161">
        <f t="shared" si="123"/>
        <v>0</v>
      </c>
      <c r="EJ95" s="161">
        <f t="shared" si="124"/>
        <v>0</v>
      </c>
      <c r="EK95" s="147">
        <f t="shared" si="54"/>
        <v>10.416666666666666</v>
      </c>
      <c r="EL95" s="149"/>
      <c r="EN95" s="151"/>
      <c r="EO95" s="151"/>
      <c r="EP95" s="139">
        <f t="shared" si="55"/>
        <v>0</v>
      </c>
      <c r="EQ95" s="139">
        <f t="shared" si="56"/>
        <v>0</v>
      </c>
      <c r="ER95" s="139">
        <f t="shared" si="57"/>
        <v>0</v>
      </c>
      <c r="ES95" s="139">
        <f t="shared" si="58"/>
        <v>0</v>
      </c>
      <c r="ET95" s="139">
        <f t="shared" si="59"/>
        <v>0</v>
      </c>
      <c r="EU95" s="139">
        <f t="shared" si="60"/>
        <v>0</v>
      </c>
      <c r="EV95" s="139">
        <f t="shared" si="61"/>
        <v>0</v>
      </c>
      <c r="EW95" s="139">
        <f t="shared" si="62"/>
        <v>0</v>
      </c>
      <c r="EX95" s="139">
        <f t="shared" si="63"/>
        <v>0</v>
      </c>
      <c r="EY95" s="139">
        <f t="shared" si="64"/>
        <v>0</v>
      </c>
      <c r="EZ95" s="139">
        <f t="shared" si="65"/>
        <v>0</v>
      </c>
      <c r="FA95" s="139">
        <f t="shared" si="66"/>
        <v>0.31002900614340417</v>
      </c>
      <c r="FB95" s="139">
        <f t="shared" si="67"/>
        <v>0</v>
      </c>
      <c r="FC95" s="139">
        <f t="shared" si="68"/>
        <v>0</v>
      </c>
      <c r="FD95" s="139">
        <f t="shared" si="69"/>
        <v>0</v>
      </c>
      <c r="FE95" s="139">
        <f t="shared" si="70"/>
        <v>0</v>
      </c>
      <c r="FF95" s="139">
        <f t="shared" si="71"/>
        <v>0</v>
      </c>
      <c r="FG95" s="139">
        <f t="shared" si="72"/>
        <v>0</v>
      </c>
      <c r="FH95" s="139">
        <f t="shared" si="73"/>
        <v>0</v>
      </c>
      <c r="FI95" s="139">
        <f t="shared" si="74"/>
        <v>0</v>
      </c>
      <c r="FJ95" s="139">
        <f t="shared" si="75"/>
        <v>0</v>
      </c>
      <c r="FK95" s="139">
        <f t="shared" si="76"/>
        <v>0</v>
      </c>
      <c r="FL95" s="139">
        <f t="shared" si="77"/>
        <v>0</v>
      </c>
      <c r="FM95" s="139">
        <f t="shared" si="78"/>
        <v>0</v>
      </c>
      <c r="FN95" s="139">
        <f t="shared" si="79"/>
        <v>0</v>
      </c>
      <c r="FO95" s="139">
        <f t="shared" si="80"/>
        <v>0</v>
      </c>
      <c r="FP95" s="139">
        <f t="shared" si="81"/>
        <v>0</v>
      </c>
      <c r="FQ95" s="139">
        <f t="shared" si="82"/>
        <v>0</v>
      </c>
      <c r="FR95" s="139">
        <f t="shared" si="83"/>
        <v>0</v>
      </c>
      <c r="FS95" s="139">
        <f t="shared" si="84"/>
        <v>0</v>
      </c>
      <c r="FT95" s="139">
        <f t="shared" si="85"/>
        <v>0</v>
      </c>
      <c r="FU95" s="148">
        <f t="shared" si="86"/>
        <v>0.31002900614340417</v>
      </c>
      <c r="FV95" s="149"/>
      <c r="FY95" s="210">
        <v>90</v>
      </c>
      <c r="FZ95" s="205"/>
      <c r="GA95" s="205"/>
      <c r="GB95" s="205"/>
      <c r="GC95" s="205"/>
      <c r="GD95" s="205"/>
      <c r="GE95" s="205"/>
      <c r="GF95" s="205"/>
      <c r="GG95" s="205"/>
      <c r="GH95" s="205"/>
      <c r="GI95" s="205"/>
      <c r="GJ95" s="205"/>
      <c r="GK95" s="205"/>
      <c r="GL95" s="205"/>
      <c r="GM95" s="205"/>
    </row>
    <row r="96" spans="1:195" s="7" customFormat="1">
      <c r="A96" s="77"/>
      <c r="B96" s="76">
        <f t="shared" ca="1" si="49"/>
        <v>0.60506735075765627</v>
      </c>
      <c r="C96">
        <v>2</v>
      </c>
      <c r="D96">
        <v>39646</v>
      </c>
      <c r="E96">
        <v>0</v>
      </c>
      <c r="F96">
        <v>20.833333333333332</v>
      </c>
      <c r="G96">
        <v>41.666666666666664</v>
      </c>
      <c r="H96">
        <v>0</v>
      </c>
      <c r="I96">
        <v>0</v>
      </c>
      <c r="J96">
        <v>0</v>
      </c>
      <c r="K96">
        <v>0</v>
      </c>
      <c r="L96">
        <v>10.416666666666666</v>
      </c>
      <c r="M96">
        <v>10.416666666666666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/>
      <c r="AO96"/>
      <c r="AP96"/>
      <c r="AQ96"/>
      <c r="AR96"/>
      <c r="AS96"/>
      <c r="AT96"/>
      <c r="AU96"/>
      <c r="AV96"/>
      <c r="AW96"/>
      <c r="AX96" s="151"/>
      <c r="AY96" s="76">
        <f t="shared" ca="1" si="87"/>
        <v>0.8513791478998789</v>
      </c>
      <c r="AZ96">
        <v>9</v>
      </c>
      <c r="BA96" s="129">
        <f t="shared" si="88"/>
        <v>39646</v>
      </c>
      <c r="BB96">
        <v>0</v>
      </c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 s="147"/>
      <c r="CH96" s="176"/>
      <c r="CJ96" s="151"/>
      <c r="CK96" s="76">
        <f t="shared" ca="1" si="89"/>
        <v>0.3130428178790654</v>
      </c>
      <c r="CL96" s="179">
        <f t="shared" si="90"/>
        <v>9</v>
      </c>
      <c r="CM96" s="180">
        <f t="shared" si="91"/>
        <v>39646</v>
      </c>
      <c r="CN96">
        <v>0</v>
      </c>
      <c r="CO96"/>
      <c r="CP96"/>
      <c r="CQ96"/>
      <c r="CR96"/>
      <c r="CS96"/>
      <c r="CT96"/>
      <c r="CU96"/>
      <c r="CV96" s="160"/>
      <c r="CW96">
        <v>1</v>
      </c>
      <c r="CX96">
        <v>1</v>
      </c>
      <c r="CY96" s="164"/>
      <c r="CZ96" s="177">
        <f t="shared" si="92"/>
        <v>9.6000000000000002E-2</v>
      </c>
      <c r="DB96" s="151"/>
      <c r="DC96" s="76">
        <f t="shared" ca="1" si="50"/>
        <v>0.62718388624392762</v>
      </c>
      <c r="DD96">
        <f t="shared" si="93"/>
        <v>9</v>
      </c>
      <c r="DE96" s="129">
        <f t="shared" si="51"/>
        <v>39646</v>
      </c>
      <c r="DF96" s="161">
        <f t="shared" si="94"/>
        <v>0</v>
      </c>
      <c r="DG96" s="161">
        <f t="shared" si="95"/>
        <v>0</v>
      </c>
      <c r="DH96" s="161">
        <f t="shared" si="96"/>
        <v>0</v>
      </c>
      <c r="DI96" s="161">
        <f t="shared" si="97"/>
        <v>0</v>
      </c>
      <c r="DJ96" s="161">
        <f t="shared" si="98"/>
        <v>0</v>
      </c>
      <c r="DK96" s="161">
        <f t="shared" si="99"/>
        <v>0</v>
      </c>
      <c r="DL96" s="161">
        <f t="shared" si="100"/>
        <v>0</v>
      </c>
      <c r="DM96" s="161">
        <f t="shared" si="101"/>
        <v>0</v>
      </c>
      <c r="DN96" s="161">
        <f t="shared" si="102"/>
        <v>0</v>
      </c>
      <c r="DO96" s="161">
        <f t="shared" si="103"/>
        <v>0</v>
      </c>
      <c r="DP96" s="161">
        <f t="shared" si="104"/>
        <v>0</v>
      </c>
      <c r="DQ96" s="161">
        <f t="shared" si="105"/>
        <v>0</v>
      </c>
      <c r="DR96" s="161">
        <f t="shared" si="106"/>
        <v>0</v>
      </c>
      <c r="DS96" s="161">
        <f t="shared" si="107"/>
        <v>0</v>
      </c>
      <c r="DT96" s="161">
        <f t="shared" si="108"/>
        <v>0</v>
      </c>
      <c r="DU96" s="161">
        <f t="shared" si="109"/>
        <v>0</v>
      </c>
      <c r="DV96" s="161">
        <f t="shared" si="110"/>
        <v>0</v>
      </c>
      <c r="DW96" s="161">
        <f t="shared" si="111"/>
        <v>0</v>
      </c>
      <c r="DX96" s="161">
        <f t="shared" si="112"/>
        <v>0</v>
      </c>
      <c r="DY96" s="161">
        <f t="shared" si="113"/>
        <v>0</v>
      </c>
      <c r="DZ96" s="161">
        <f t="shared" si="114"/>
        <v>0</v>
      </c>
      <c r="EA96" s="161">
        <f t="shared" si="115"/>
        <v>0</v>
      </c>
      <c r="EB96" s="161">
        <f t="shared" si="116"/>
        <v>0</v>
      </c>
      <c r="EC96" s="161">
        <f t="shared" si="117"/>
        <v>0</v>
      </c>
      <c r="ED96" s="161">
        <f t="shared" si="118"/>
        <v>0</v>
      </c>
      <c r="EE96" s="161">
        <f t="shared" si="119"/>
        <v>0</v>
      </c>
      <c r="EF96" s="161">
        <f t="shared" si="120"/>
        <v>0</v>
      </c>
      <c r="EG96" s="161">
        <f t="shared" si="121"/>
        <v>0</v>
      </c>
      <c r="EH96" s="161">
        <f t="shared" si="122"/>
        <v>0</v>
      </c>
      <c r="EI96" s="161">
        <f t="shared" si="123"/>
        <v>0</v>
      </c>
      <c r="EJ96" s="161">
        <f t="shared" si="124"/>
        <v>0</v>
      </c>
      <c r="EK96" s="147">
        <f t="shared" si="54"/>
        <v>0</v>
      </c>
      <c r="EL96" s="149"/>
      <c r="EN96" s="151"/>
      <c r="EO96" s="151"/>
      <c r="EP96" s="139">
        <f t="shared" si="55"/>
        <v>0</v>
      </c>
      <c r="EQ96" s="139">
        <f t="shared" si="56"/>
        <v>0</v>
      </c>
      <c r="ER96" s="139">
        <f t="shared" si="57"/>
        <v>0</v>
      </c>
      <c r="ES96" s="139">
        <f t="shared" si="58"/>
        <v>0</v>
      </c>
      <c r="ET96" s="139">
        <f t="shared" si="59"/>
        <v>0</v>
      </c>
      <c r="EU96" s="139">
        <f t="shared" si="60"/>
        <v>0</v>
      </c>
      <c r="EV96" s="139">
        <f t="shared" si="61"/>
        <v>0</v>
      </c>
      <c r="EW96" s="139">
        <f t="shared" si="62"/>
        <v>0</v>
      </c>
      <c r="EX96" s="139">
        <f t="shared" si="63"/>
        <v>0</v>
      </c>
      <c r="EY96" s="139">
        <f t="shared" si="64"/>
        <v>0</v>
      </c>
      <c r="EZ96" s="139">
        <f t="shared" si="65"/>
        <v>0</v>
      </c>
      <c r="FA96" s="139">
        <f t="shared" si="66"/>
        <v>0</v>
      </c>
      <c r="FB96" s="139">
        <f t="shared" si="67"/>
        <v>0</v>
      </c>
      <c r="FC96" s="139">
        <f t="shared" si="68"/>
        <v>0</v>
      </c>
      <c r="FD96" s="139">
        <f t="shared" si="69"/>
        <v>0</v>
      </c>
      <c r="FE96" s="139">
        <f t="shared" si="70"/>
        <v>0</v>
      </c>
      <c r="FF96" s="139">
        <f t="shared" si="71"/>
        <v>0</v>
      </c>
      <c r="FG96" s="139">
        <f t="shared" si="72"/>
        <v>0</v>
      </c>
      <c r="FH96" s="139">
        <f t="shared" si="73"/>
        <v>0</v>
      </c>
      <c r="FI96" s="139">
        <f t="shared" si="74"/>
        <v>0</v>
      </c>
      <c r="FJ96" s="139">
        <f t="shared" si="75"/>
        <v>0</v>
      </c>
      <c r="FK96" s="139">
        <f t="shared" si="76"/>
        <v>0</v>
      </c>
      <c r="FL96" s="139">
        <f t="shared" si="77"/>
        <v>0</v>
      </c>
      <c r="FM96" s="139">
        <f t="shared" si="78"/>
        <v>0</v>
      </c>
      <c r="FN96" s="139">
        <f t="shared" si="79"/>
        <v>0</v>
      </c>
      <c r="FO96" s="139">
        <f t="shared" si="80"/>
        <v>0</v>
      </c>
      <c r="FP96" s="139">
        <f t="shared" si="81"/>
        <v>0</v>
      </c>
      <c r="FQ96" s="139">
        <f t="shared" si="82"/>
        <v>0</v>
      </c>
      <c r="FR96" s="139">
        <f t="shared" si="83"/>
        <v>0</v>
      </c>
      <c r="FS96" s="139">
        <f t="shared" si="84"/>
        <v>0</v>
      </c>
      <c r="FT96" s="139">
        <f t="shared" si="85"/>
        <v>0</v>
      </c>
      <c r="FU96" s="148">
        <f t="shared" si="86"/>
        <v>0</v>
      </c>
      <c r="FV96" s="149"/>
      <c r="FY96" s="210">
        <v>91</v>
      </c>
      <c r="FZ96" s="205"/>
      <c r="GA96" s="205"/>
      <c r="GB96" s="205"/>
      <c r="GC96" s="205"/>
      <c r="GD96" s="205"/>
      <c r="GE96" s="205"/>
      <c r="GF96" s="205"/>
      <c r="GG96" s="205"/>
      <c r="GH96" s="205"/>
      <c r="GI96" s="205"/>
      <c r="GJ96" s="205"/>
      <c r="GK96" s="205"/>
      <c r="GL96" s="205"/>
      <c r="GM96" s="205"/>
    </row>
    <row r="97" spans="1:195" s="7" customFormat="1">
      <c r="A97" s="77"/>
      <c r="B97" s="76">
        <f t="shared" ca="1" si="49"/>
        <v>0.36889239465059487</v>
      </c>
      <c r="C97">
        <v>7</v>
      </c>
      <c r="D97">
        <v>39646</v>
      </c>
      <c r="E97">
        <v>0</v>
      </c>
      <c r="F97">
        <v>0</v>
      </c>
      <c r="G97">
        <v>125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/>
      <c r="AO97"/>
      <c r="AP97"/>
      <c r="AQ97"/>
      <c r="AR97"/>
      <c r="AS97"/>
      <c r="AT97"/>
      <c r="AU97"/>
      <c r="AV97"/>
      <c r="AW97"/>
      <c r="AX97" s="151"/>
      <c r="AY97" s="76">
        <f t="shared" ca="1" si="87"/>
        <v>0.58718067072815217</v>
      </c>
      <c r="AZ97">
        <v>10</v>
      </c>
      <c r="BA97" s="129">
        <f t="shared" si="88"/>
        <v>39646</v>
      </c>
      <c r="BB97">
        <v>0</v>
      </c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 s="147"/>
      <c r="CH97" s="176"/>
      <c r="CJ97" s="151"/>
      <c r="CK97" s="76">
        <f t="shared" ca="1" si="89"/>
        <v>0.90155841606854814</v>
      </c>
      <c r="CL97" s="179">
        <f t="shared" si="90"/>
        <v>10</v>
      </c>
      <c r="CM97" s="180">
        <f t="shared" si="91"/>
        <v>39646</v>
      </c>
      <c r="CN97">
        <v>0</v>
      </c>
      <c r="CO97"/>
      <c r="CP97"/>
      <c r="CQ97"/>
      <c r="CR97"/>
      <c r="CS97"/>
      <c r="CT97"/>
      <c r="CU97"/>
      <c r="CV97" s="160"/>
      <c r="CW97">
        <v>1</v>
      </c>
      <c r="CX97">
        <v>2</v>
      </c>
      <c r="CY97" s="164"/>
      <c r="CZ97" s="177">
        <f t="shared" si="92"/>
        <v>9.6000000000000002E-2</v>
      </c>
      <c r="DB97" s="151"/>
      <c r="DC97" s="76">
        <f t="shared" ca="1" si="50"/>
        <v>0.32566723876262227</v>
      </c>
      <c r="DD97">
        <f t="shared" si="93"/>
        <v>10</v>
      </c>
      <c r="DE97" s="129">
        <f t="shared" si="51"/>
        <v>39646</v>
      </c>
      <c r="DF97" s="161">
        <f t="shared" si="94"/>
        <v>0</v>
      </c>
      <c r="DG97" s="161">
        <f t="shared" si="95"/>
        <v>0</v>
      </c>
      <c r="DH97" s="161">
        <f t="shared" si="96"/>
        <v>0</v>
      </c>
      <c r="DI97" s="161">
        <f t="shared" si="97"/>
        <v>0</v>
      </c>
      <c r="DJ97" s="161">
        <f t="shared" si="98"/>
        <v>0</v>
      </c>
      <c r="DK97" s="161">
        <f t="shared" si="99"/>
        <v>0</v>
      </c>
      <c r="DL97" s="161">
        <f t="shared" si="100"/>
        <v>0</v>
      </c>
      <c r="DM97" s="161">
        <f t="shared" si="101"/>
        <v>0</v>
      </c>
      <c r="DN97" s="161">
        <f t="shared" si="102"/>
        <v>0</v>
      </c>
      <c r="DO97" s="161">
        <f t="shared" si="103"/>
        <v>0</v>
      </c>
      <c r="DP97" s="161">
        <f t="shared" si="104"/>
        <v>0</v>
      </c>
      <c r="DQ97" s="161">
        <f t="shared" si="105"/>
        <v>0</v>
      </c>
      <c r="DR97" s="161">
        <f t="shared" si="106"/>
        <v>0</v>
      </c>
      <c r="DS97" s="161">
        <f t="shared" si="107"/>
        <v>0</v>
      </c>
      <c r="DT97" s="161">
        <f t="shared" si="108"/>
        <v>0</v>
      </c>
      <c r="DU97" s="161">
        <f t="shared" si="109"/>
        <v>0</v>
      </c>
      <c r="DV97" s="161">
        <f t="shared" si="110"/>
        <v>0</v>
      </c>
      <c r="DW97" s="161">
        <f t="shared" si="111"/>
        <v>0</v>
      </c>
      <c r="DX97" s="161">
        <f t="shared" si="112"/>
        <v>0</v>
      </c>
      <c r="DY97" s="161">
        <f t="shared" si="113"/>
        <v>0</v>
      </c>
      <c r="DZ97" s="161">
        <f t="shared" si="114"/>
        <v>0</v>
      </c>
      <c r="EA97" s="161">
        <f t="shared" si="115"/>
        <v>0</v>
      </c>
      <c r="EB97" s="161">
        <f t="shared" si="116"/>
        <v>0</v>
      </c>
      <c r="EC97" s="161">
        <f t="shared" si="117"/>
        <v>0</v>
      </c>
      <c r="ED97" s="161">
        <f t="shared" si="118"/>
        <v>0</v>
      </c>
      <c r="EE97" s="161">
        <f t="shared" si="119"/>
        <v>0</v>
      </c>
      <c r="EF97" s="161">
        <f t="shared" si="120"/>
        <v>0</v>
      </c>
      <c r="EG97" s="161">
        <f t="shared" si="121"/>
        <v>0</v>
      </c>
      <c r="EH97" s="161">
        <f t="shared" si="122"/>
        <v>0</v>
      </c>
      <c r="EI97" s="161">
        <f t="shared" si="123"/>
        <v>0</v>
      </c>
      <c r="EJ97" s="161">
        <f t="shared" si="124"/>
        <v>0</v>
      </c>
      <c r="EK97" s="147">
        <f t="shared" si="54"/>
        <v>0</v>
      </c>
      <c r="EL97" s="149"/>
      <c r="EN97" s="151"/>
      <c r="EO97" s="151"/>
      <c r="EP97" s="139">
        <f t="shared" si="55"/>
        <v>0</v>
      </c>
      <c r="EQ97" s="139">
        <f t="shared" si="56"/>
        <v>0</v>
      </c>
      <c r="ER97" s="139">
        <f t="shared" si="57"/>
        <v>0</v>
      </c>
      <c r="ES97" s="139">
        <f t="shared" si="58"/>
        <v>0</v>
      </c>
      <c r="ET97" s="139">
        <f t="shared" si="59"/>
        <v>0</v>
      </c>
      <c r="EU97" s="139">
        <f t="shared" si="60"/>
        <v>0</v>
      </c>
      <c r="EV97" s="139">
        <f t="shared" si="61"/>
        <v>0</v>
      </c>
      <c r="EW97" s="139">
        <f t="shared" si="62"/>
        <v>0</v>
      </c>
      <c r="EX97" s="139">
        <f t="shared" si="63"/>
        <v>0</v>
      </c>
      <c r="EY97" s="139">
        <f t="shared" si="64"/>
        <v>0</v>
      </c>
      <c r="EZ97" s="139">
        <f t="shared" si="65"/>
        <v>0</v>
      </c>
      <c r="FA97" s="139">
        <f t="shared" si="66"/>
        <v>0</v>
      </c>
      <c r="FB97" s="139">
        <f t="shared" si="67"/>
        <v>0</v>
      </c>
      <c r="FC97" s="139">
        <f t="shared" si="68"/>
        <v>0</v>
      </c>
      <c r="FD97" s="139">
        <f t="shared" si="69"/>
        <v>0</v>
      </c>
      <c r="FE97" s="139">
        <f t="shared" si="70"/>
        <v>0</v>
      </c>
      <c r="FF97" s="139">
        <f t="shared" si="71"/>
        <v>0</v>
      </c>
      <c r="FG97" s="139">
        <f t="shared" si="72"/>
        <v>0</v>
      </c>
      <c r="FH97" s="139">
        <f t="shared" si="73"/>
        <v>0</v>
      </c>
      <c r="FI97" s="139">
        <f t="shared" si="74"/>
        <v>0</v>
      </c>
      <c r="FJ97" s="139">
        <f t="shared" si="75"/>
        <v>0</v>
      </c>
      <c r="FK97" s="139">
        <f t="shared" si="76"/>
        <v>0</v>
      </c>
      <c r="FL97" s="139">
        <f t="shared" si="77"/>
        <v>0</v>
      </c>
      <c r="FM97" s="139">
        <f t="shared" si="78"/>
        <v>0</v>
      </c>
      <c r="FN97" s="139">
        <f t="shared" si="79"/>
        <v>0</v>
      </c>
      <c r="FO97" s="139">
        <f t="shared" si="80"/>
        <v>0</v>
      </c>
      <c r="FP97" s="139">
        <f t="shared" si="81"/>
        <v>0</v>
      </c>
      <c r="FQ97" s="139">
        <f t="shared" si="82"/>
        <v>0</v>
      </c>
      <c r="FR97" s="139">
        <f t="shared" si="83"/>
        <v>0</v>
      </c>
      <c r="FS97" s="139">
        <f t="shared" si="84"/>
        <v>0</v>
      </c>
      <c r="FT97" s="139">
        <f t="shared" si="85"/>
        <v>0</v>
      </c>
      <c r="FU97" s="148">
        <f t="shared" si="86"/>
        <v>0</v>
      </c>
      <c r="FV97" s="149"/>
      <c r="FY97" s="210">
        <v>92</v>
      </c>
      <c r="FZ97" s="205"/>
      <c r="GA97" s="205"/>
      <c r="GB97" s="205"/>
      <c r="GC97" s="205"/>
      <c r="GD97" s="205"/>
      <c r="GE97" s="205"/>
      <c r="GF97" s="205"/>
      <c r="GG97" s="205"/>
      <c r="GH97" s="205"/>
      <c r="GI97" s="205"/>
      <c r="GJ97" s="205"/>
      <c r="GK97" s="205"/>
      <c r="GL97" s="205"/>
      <c r="GM97" s="205"/>
    </row>
    <row r="98" spans="1:195" s="7" customFormat="1">
      <c r="A98" s="128"/>
      <c r="B98" s="76">
        <f t="shared" ca="1" si="49"/>
        <v>0.3334735674741609</v>
      </c>
      <c r="C98">
        <v>5</v>
      </c>
      <c r="D98">
        <v>39673</v>
      </c>
      <c r="E98">
        <v>0</v>
      </c>
      <c r="F98">
        <v>0</v>
      </c>
      <c r="G98">
        <v>20.833333333333332</v>
      </c>
      <c r="H98">
        <v>41.666666666666664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/>
      <c r="AO98"/>
      <c r="AP98"/>
      <c r="AQ98"/>
      <c r="AR98"/>
      <c r="AS98"/>
      <c r="AT98"/>
      <c r="AU98"/>
      <c r="AV98"/>
      <c r="AW98"/>
      <c r="AX98" s="128"/>
      <c r="AY98" s="76">
        <f t="shared" ca="1" si="87"/>
        <v>0.19905164479373472</v>
      </c>
      <c r="AZ98">
        <v>1</v>
      </c>
      <c r="BA98" s="129">
        <f>IF(AZ98="", "",$C$5)</f>
        <v>39673</v>
      </c>
      <c r="BB98">
        <v>0</v>
      </c>
      <c r="BC98"/>
      <c r="BD98"/>
      <c r="BE98"/>
      <c r="BF98"/>
      <c r="BG98"/>
      <c r="BH98"/>
      <c r="BI98"/>
      <c r="BJ98">
        <v>1</v>
      </c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 s="147"/>
      <c r="CH98" s="176"/>
      <c r="CJ98" s="128"/>
      <c r="CK98" s="76">
        <f t="shared" ca="1" si="89"/>
        <v>4.3861531541622867E-2</v>
      </c>
      <c r="CL98" s="179">
        <f t="shared" si="90"/>
        <v>1</v>
      </c>
      <c r="CM98" s="180">
        <f t="shared" si="91"/>
        <v>39673</v>
      </c>
      <c r="CN98"/>
      <c r="CO98"/>
      <c r="CP98"/>
      <c r="CQ98"/>
      <c r="CR98"/>
      <c r="CS98"/>
      <c r="CT98"/>
      <c r="CU98"/>
      <c r="CW98">
        <v>1</v>
      </c>
      <c r="CX98">
        <v>1</v>
      </c>
      <c r="CY98" s="158"/>
      <c r="CZ98" s="177">
        <f t="shared" si="92"/>
        <v>9.6000000000000002E-2</v>
      </c>
      <c r="DB98" s="128"/>
      <c r="DC98" s="76">
        <f t="shared" ca="1" si="50"/>
        <v>0.91643982758526743</v>
      </c>
      <c r="DD98">
        <f t="shared" si="93"/>
        <v>1</v>
      </c>
      <c r="DE98" s="129">
        <f t="shared" ref="DE98:DE107" si="125">IF((DD98)="", "", $C$5)</f>
        <v>39673</v>
      </c>
      <c r="DF98" s="161">
        <f t="shared" si="94"/>
        <v>0</v>
      </c>
      <c r="DG98" s="161">
        <f t="shared" si="95"/>
        <v>0</v>
      </c>
      <c r="DH98" s="161">
        <f t="shared" si="96"/>
        <v>0</v>
      </c>
      <c r="DI98" s="161">
        <f t="shared" si="97"/>
        <v>0</v>
      </c>
      <c r="DJ98" s="161">
        <f t="shared" si="98"/>
        <v>0</v>
      </c>
      <c r="DK98" s="161">
        <f t="shared" si="99"/>
        <v>0</v>
      </c>
      <c r="DL98" s="161">
        <f t="shared" si="100"/>
        <v>0</v>
      </c>
      <c r="DM98" s="161">
        <f t="shared" si="101"/>
        <v>0</v>
      </c>
      <c r="DN98" s="161">
        <f t="shared" si="102"/>
        <v>10.416666666666666</v>
      </c>
      <c r="DO98" s="161">
        <f t="shared" si="103"/>
        <v>0</v>
      </c>
      <c r="DP98" s="161">
        <f t="shared" si="104"/>
        <v>0</v>
      </c>
      <c r="DQ98" s="161">
        <f t="shared" si="105"/>
        <v>0</v>
      </c>
      <c r="DR98" s="161">
        <f t="shared" si="106"/>
        <v>0</v>
      </c>
      <c r="DS98" s="161">
        <f t="shared" si="107"/>
        <v>0</v>
      </c>
      <c r="DT98" s="161">
        <f t="shared" si="108"/>
        <v>0</v>
      </c>
      <c r="DU98" s="161">
        <f t="shared" si="109"/>
        <v>0</v>
      </c>
      <c r="DV98" s="161">
        <f t="shared" si="110"/>
        <v>0</v>
      </c>
      <c r="DW98" s="161">
        <f t="shared" si="111"/>
        <v>0</v>
      </c>
      <c r="DX98" s="161">
        <f t="shared" si="112"/>
        <v>0</v>
      </c>
      <c r="DY98" s="161">
        <f t="shared" si="113"/>
        <v>0</v>
      </c>
      <c r="DZ98" s="161">
        <f t="shared" si="114"/>
        <v>0</v>
      </c>
      <c r="EA98" s="161">
        <f t="shared" si="115"/>
        <v>0</v>
      </c>
      <c r="EB98" s="161">
        <f t="shared" si="116"/>
        <v>0</v>
      </c>
      <c r="EC98" s="161">
        <f t="shared" si="117"/>
        <v>0</v>
      </c>
      <c r="ED98" s="161">
        <f t="shared" si="118"/>
        <v>0</v>
      </c>
      <c r="EE98" s="161">
        <f t="shared" si="119"/>
        <v>0</v>
      </c>
      <c r="EF98" s="161">
        <f t="shared" si="120"/>
        <v>0</v>
      </c>
      <c r="EG98" s="161">
        <f t="shared" si="121"/>
        <v>0</v>
      </c>
      <c r="EH98" s="161">
        <f t="shared" si="122"/>
        <v>0</v>
      </c>
      <c r="EI98" s="161">
        <f t="shared" si="123"/>
        <v>0</v>
      </c>
      <c r="EJ98" s="161">
        <f t="shared" si="124"/>
        <v>0</v>
      </c>
      <c r="EK98" s="147">
        <f t="shared" si="54"/>
        <v>10.416666666666666</v>
      </c>
      <c r="EL98" s="149"/>
      <c r="EN98" s="146"/>
      <c r="EO98" s="146"/>
      <c r="EP98" s="139">
        <f t="shared" si="55"/>
        <v>0</v>
      </c>
      <c r="EQ98" s="139">
        <f t="shared" si="56"/>
        <v>0</v>
      </c>
      <c r="ER98" s="139">
        <f t="shared" si="57"/>
        <v>0</v>
      </c>
      <c r="ES98" s="139">
        <f t="shared" si="58"/>
        <v>0</v>
      </c>
      <c r="ET98" s="139">
        <f t="shared" si="59"/>
        <v>0</v>
      </c>
      <c r="EU98" s="139">
        <f t="shared" si="60"/>
        <v>0</v>
      </c>
      <c r="EV98" s="139">
        <f t="shared" si="61"/>
        <v>0</v>
      </c>
      <c r="EW98" s="139">
        <f t="shared" si="62"/>
        <v>0</v>
      </c>
      <c r="EX98" s="139">
        <f t="shared" si="63"/>
        <v>0.22191389441356893</v>
      </c>
      <c r="EY98" s="139">
        <f t="shared" si="64"/>
        <v>0</v>
      </c>
      <c r="EZ98" s="139">
        <f t="shared" si="65"/>
        <v>0</v>
      </c>
      <c r="FA98" s="139">
        <f t="shared" si="66"/>
        <v>0</v>
      </c>
      <c r="FB98" s="139">
        <f t="shared" si="67"/>
        <v>0</v>
      </c>
      <c r="FC98" s="139">
        <f t="shared" si="68"/>
        <v>0</v>
      </c>
      <c r="FD98" s="139">
        <f t="shared" si="69"/>
        <v>0</v>
      </c>
      <c r="FE98" s="139">
        <f t="shared" si="70"/>
        <v>0</v>
      </c>
      <c r="FF98" s="139">
        <f t="shared" si="71"/>
        <v>0</v>
      </c>
      <c r="FG98" s="139">
        <f t="shared" si="72"/>
        <v>0</v>
      </c>
      <c r="FH98" s="139">
        <f t="shared" si="73"/>
        <v>0</v>
      </c>
      <c r="FI98" s="139">
        <f t="shared" si="74"/>
        <v>0</v>
      </c>
      <c r="FJ98" s="139">
        <f t="shared" si="75"/>
        <v>0</v>
      </c>
      <c r="FK98" s="139">
        <f t="shared" si="76"/>
        <v>0</v>
      </c>
      <c r="FL98" s="139">
        <f t="shared" si="77"/>
        <v>0</v>
      </c>
      <c r="FM98" s="139">
        <f t="shared" si="78"/>
        <v>0</v>
      </c>
      <c r="FN98" s="139">
        <f t="shared" si="79"/>
        <v>0</v>
      </c>
      <c r="FO98" s="139">
        <f t="shared" si="80"/>
        <v>0</v>
      </c>
      <c r="FP98" s="139">
        <f t="shared" si="81"/>
        <v>0</v>
      </c>
      <c r="FQ98" s="139">
        <f t="shared" si="82"/>
        <v>0</v>
      </c>
      <c r="FR98" s="139">
        <f t="shared" si="83"/>
        <v>0</v>
      </c>
      <c r="FS98" s="139">
        <f t="shared" si="84"/>
        <v>0</v>
      </c>
      <c r="FT98" s="139">
        <f t="shared" si="85"/>
        <v>0</v>
      </c>
      <c r="FU98" s="148">
        <f t="shared" si="86"/>
        <v>0.22191389441356893</v>
      </c>
      <c r="FV98" s="149"/>
      <c r="FY98" s="210">
        <v>93</v>
      </c>
      <c r="FZ98" s="205"/>
      <c r="GA98" s="205"/>
      <c r="GB98" s="205"/>
      <c r="GC98" s="205"/>
      <c r="GD98" s="205"/>
      <c r="GE98" s="205"/>
      <c r="GF98" s="205"/>
      <c r="GG98" s="205"/>
      <c r="GH98" s="205"/>
      <c r="GI98" s="205"/>
      <c r="GJ98" s="205"/>
      <c r="GK98" s="205"/>
      <c r="GL98" s="205"/>
      <c r="GM98" s="205"/>
    </row>
    <row r="99" spans="1:195" s="7" customFormat="1">
      <c r="A99" s="1"/>
      <c r="B99" s="76">
        <f t="shared" ca="1" si="49"/>
        <v>0.65737363833317564</v>
      </c>
      <c r="C99">
        <v>3</v>
      </c>
      <c r="D99">
        <v>39673</v>
      </c>
      <c r="E99">
        <v>0</v>
      </c>
      <c r="F99">
        <v>0</v>
      </c>
      <c r="G99">
        <v>0</v>
      </c>
      <c r="H99">
        <v>71.486928104575156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/>
      <c r="AO99"/>
      <c r="AP99"/>
      <c r="AQ99"/>
      <c r="AR99"/>
      <c r="AS99"/>
      <c r="AT99"/>
      <c r="AU99"/>
      <c r="AV99"/>
      <c r="AW99"/>
      <c r="AX99" s="146"/>
      <c r="AY99" s="76">
        <f t="shared" ca="1" si="87"/>
        <v>0.17607272075986247</v>
      </c>
      <c r="AZ99">
        <v>2</v>
      </c>
      <c r="BA99" s="129">
        <f t="shared" ref="BA99:BA107" si="126">IF(AZ99="", "",$C$5)</f>
        <v>39673</v>
      </c>
      <c r="BB99">
        <v>0</v>
      </c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>
        <v>1</v>
      </c>
      <c r="CB99"/>
      <c r="CC99"/>
      <c r="CD99"/>
      <c r="CE99"/>
      <c r="CF99"/>
      <c r="CG99" s="147"/>
      <c r="CH99" s="176"/>
      <c r="CJ99" s="146"/>
      <c r="CK99" s="76">
        <f t="shared" ca="1" si="89"/>
        <v>0.88134843633242821</v>
      </c>
      <c r="CL99" s="179">
        <f t="shared" si="90"/>
        <v>2</v>
      </c>
      <c r="CM99" s="180">
        <f t="shared" si="91"/>
        <v>39673</v>
      </c>
      <c r="CN99">
        <v>0</v>
      </c>
      <c r="CO99"/>
      <c r="CP99"/>
      <c r="CQ99"/>
      <c r="CR99"/>
      <c r="CS99"/>
      <c r="CT99"/>
      <c r="CU99"/>
      <c r="CW99">
        <v>1</v>
      </c>
      <c r="CX99">
        <v>6</v>
      </c>
      <c r="CY99" s="158"/>
      <c r="CZ99" s="177">
        <f t="shared" si="92"/>
        <v>9.6000000000000002E-2</v>
      </c>
      <c r="DB99" s="146"/>
      <c r="DC99" s="76">
        <f t="shared" ca="1" si="50"/>
        <v>0.36682080093078362</v>
      </c>
      <c r="DD99">
        <f t="shared" si="93"/>
        <v>2</v>
      </c>
      <c r="DE99" s="129">
        <f t="shared" si="125"/>
        <v>39673</v>
      </c>
      <c r="DF99" s="161">
        <f t="shared" si="94"/>
        <v>0</v>
      </c>
      <c r="DG99" s="161">
        <f t="shared" si="95"/>
        <v>0</v>
      </c>
      <c r="DH99" s="161">
        <f t="shared" si="96"/>
        <v>0</v>
      </c>
      <c r="DI99" s="161">
        <f t="shared" si="97"/>
        <v>0</v>
      </c>
      <c r="DJ99" s="161">
        <f t="shared" si="98"/>
        <v>0</v>
      </c>
      <c r="DK99" s="161">
        <f t="shared" si="99"/>
        <v>0</v>
      </c>
      <c r="DL99" s="161">
        <f t="shared" si="100"/>
        <v>0</v>
      </c>
      <c r="DM99" s="161">
        <f t="shared" si="101"/>
        <v>0</v>
      </c>
      <c r="DN99" s="161">
        <f t="shared" si="102"/>
        <v>0</v>
      </c>
      <c r="DO99" s="161">
        <f t="shared" si="103"/>
        <v>0</v>
      </c>
      <c r="DP99" s="161">
        <f t="shared" si="104"/>
        <v>0</v>
      </c>
      <c r="DQ99" s="161">
        <f t="shared" si="105"/>
        <v>0</v>
      </c>
      <c r="DR99" s="161">
        <f t="shared" si="106"/>
        <v>0</v>
      </c>
      <c r="DS99" s="161">
        <f t="shared" si="107"/>
        <v>0</v>
      </c>
      <c r="DT99" s="161">
        <f t="shared" si="108"/>
        <v>0</v>
      </c>
      <c r="DU99" s="161">
        <f t="shared" si="109"/>
        <v>0</v>
      </c>
      <c r="DV99" s="161">
        <f t="shared" si="110"/>
        <v>0</v>
      </c>
      <c r="DW99" s="161">
        <f t="shared" si="111"/>
        <v>0</v>
      </c>
      <c r="DX99" s="161">
        <f t="shared" si="112"/>
        <v>0</v>
      </c>
      <c r="DY99" s="161">
        <f t="shared" si="113"/>
        <v>0</v>
      </c>
      <c r="DZ99" s="161">
        <f t="shared" si="114"/>
        <v>0</v>
      </c>
      <c r="EA99" s="161">
        <f t="shared" si="115"/>
        <v>0</v>
      </c>
      <c r="EB99" s="161">
        <f t="shared" si="116"/>
        <v>0</v>
      </c>
      <c r="EC99" s="161">
        <f t="shared" si="117"/>
        <v>0</v>
      </c>
      <c r="ED99" s="161">
        <f t="shared" si="118"/>
        <v>0</v>
      </c>
      <c r="EE99" s="161">
        <f t="shared" si="119"/>
        <v>10.416666666666666</v>
      </c>
      <c r="EF99" s="161">
        <f t="shared" si="120"/>
        <v>0</v>
      </c>
      <c r="EG99" s="161">
        <f t="shared" si="121"/>
        <v>0</v>
      </c>
      <c r="EH99" s="161">
        <f t="shared" si="122"/>
        <v>0</v>
      </c>
      <c r="EI99" s="161">
        <f t="shared" si="123"/>
        <v>0</v>
      </c>
      <c r="EJ99" s="161">
        <f t="shared" si="124"/>
        <v>0</v>
      </c>
      <c r="EK99" s="147">
        <f t="shared" si="54"/>
        <v>10.416666666666666</v>
      </c>
      <c r="EL99" s="149"/>
      <c r="EN99" s="146"/>
      <c r="EO99" s="146"/>
      <c r="EP99" s="139">
        <f t="shared" si="55"/>
        <v>0</v>
      </c>
      <c r="EQ99" s="139">
        <f t="shared" si="56"/>
        <v>0</v>
      </c>
      <c r="ER99" s="139">
        <f t="shared" si="57"/>
        <v>0</v>
      </c>
      <c r="ES99" s="139">
        <f t="shared" si="58"/>
        <v>0</v>
      </c>
      <c r="ET99" s="139">
        <f t="shared" si="59"/>
        <v>0</v>
      </c>
      <c r="EU99" s="139">
        <f t="shared" si="60"/>
        <v>0</v>
      </c>
      <c r="EV99" s="139">
        <f t="shared" si="61"/>
        <v>0</v>
      </c>
      <c r="EW99" s="139">
        <f t="shared" si="62"/>
        <v>0</v>
      </c>
      <c r="EX99" s="139">
        <f t="shared" si="63"/>
        <v>0</v>
      </c>
      <c r="EY99" s="139">
        <f t="shared" si="64"/>
        <v>0</v>
      </c>
      <c r="EZ99" s="139">
        <f t="shared" si="65"/>
        <v>0</v>
      </c>
      <c r="FA99" s="139">
        <f t="shared" si="66"/>
        <v>0</v>
      </c>
      <c r="FB99" s="139">
        <f t="shared" si="67"/>
        <v>0</v>
      </c>
      <c r="FC99" s="139">
        <f t="shared" si="68"/>
        <v>0</v>
      </c>
      <c r="FD99" s="139">
        <f t="shared" si="69"/>
        <v>0</v>
      </c>
      <c r="FE99" s="139">
        <f t="shared" si="70"/>
        <v>0</v>
      </c>
      <c r="FF99" s="139">
        <f t="shared" si="71"/>
        <v>0</v>
      </c>
      <c r="FG99" s="139">
        <f t="shared" si="72"/>
        <v>0</v>
      </c>
      <c r="FH99" s="139">
        <f t="shared" si="73"/>
        <v>0</v>
      </c>
      <c r="FI99" s="139">
        <f t="shared" si="74"/>
        <v>0</v>
      </c>
      <c r="FJ99" s="139">
        <f t="shared" si="75"/>
        <v>0</v>
      </c>
      <c r="FK99" s="139">
        <f t="shared" si="76"/>
        <v>0</v>
      </c>
      <c r="FL99" s="139">
        <f t="shared" si="77"/>
        <v>0</v>
      </c>
      <c r="FM99" s="139">
        <f t="shared" si="78"/>
        <v>0</v>
      </c>
      <c r="FN99" s="139">
        <f t="shared" si="79"/>
        <v>0</v>
      </c>
      <c r="FO99" s="139">
        <f t="shared" si="80"/>
        <v>0.73413683943001162</v>
      </c>
      <c r="FP99" s="139">
        <f t="shared" si="81"/>
        <v>0</v>
      </c>
      <c r="FQ99" s="139">
        <f t="shared" si="82"/>
        <v>0</v>
      </c>
      <c r="FR99" s="139">
        <f t="shared" si="83"/>
        <v>0</v>
      </c>
      <c r="FS99" s="139">
        <f t="shared" si="84"/>
        <v>0</v>
      </c>
      <c r="FT99" s="139">
        <f t="shared" si="85"/>
        <v>0</v>
      </c>
      <c r="FU99" s="148">
        <f t="shared" si="86"/>
        <v>0.73413683943001162</v>
      </c>
      <c r="FV99" s="149"/>
      <c r="FY99" s="210">
        <v>94</v>
      </c>
      <c r="FZ99" s="205"/>
      <c r="GA99" s="205"/>
      <c r="GB99" s="205"/>
      <c r="GC99" s="205"/>
      <c r="GD99" s="205"/>
      <c r="GE99" s="205"/>
      <c r="GF99" s="205"/>
      <c r="GG99" s="205"/>
      <c r="GH99" s="205"/>
      <c r="GI99" s="205"/>
      <c r="GJ99" s="205"/>
      <c r="GK99" s="205"/>
      <c r="GL99" s="205"/>
      <c r="GM99" s="205"/>
    </row>
    <row r="100" spans="1:195" s="7" customFormat="1">
      <c r="A100" s="1"/>
      <c r="B100" s="76">
        <f t="shared" ca="1" si="49"/>
        <v>0.44343823613148814</v>
      </c>
      <c r="C100">
        <v>6</v>
      </c>
      <c r="D100">
        <v>39673</v>
      </c>
      <c r="E100">
        <v>0</v>
      </c>
      <c r="F100">
        <v>0</v>
      </c>
      <c r="G100">
        <v>83.333333333333329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10.416666666666666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/>
      <c r="AO100"/>
      <c r="AP100"/>
      <c r="AQ100"/>
      <c r="AR100"/>
      <c r="AS100"/>
      <c r="AT100"/>
      <c r="AU100"/>
      <c r="AV100"/>
      <c r="AW100"/>
      <c r="AX100" s="146"/>
      <c r="AY100" s="76">
        <f t="shared" ca="1" si="87"/>
        <v>8.0094256908822548E-3</v>
      </c>
      <c r="AZ100">
        <v>3</v>
      </c>
      <c r="BA100" s="129">
        <f t="shared" si="126"/>
        <v>39673</v>
      </c>
      <c r="BB100">
        <v>0</v>
      </c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 s="147"/>
      <c r="CH100" s="176"/>
      <c r="CJ100" s="146"/>
      <c r="CK100" s="76">
        <f t="shared" ca="1" si="89"/>
        <v>0.55188174082272301</v>
      </c>
      <c r="CL100" s="179">
        <f t="shared" si="90"/>
        <v>3</v>
      </c>
      <c r="CM100" s="180">
        <f t="shared" si="91"/>
        <v>39673</v>
      </c>
      <c r="CN100">
        <v>0</v>
      </c>
      <c r="CO100"/>
      <c r="CP100"/>
      <c r="CQ100"/>
      <c r="CR100"/>
      <c r="CS100"/>
      <c r="CT100"/>
      <c r="CU100"/>
      <c r="CW100">
        <v>1</v>
      </c>
      <c r="CX100">
        <f>350/51</f>
        <v>6.8627450980392153</v>
      </c>
      <c r="CY100" s="158"/>
      <c r="CZ100" s="177">
        <f t="shared" si="92"/>
        <v>9.6000000000000002E-2</v>
      </c>
      <c r="DB100" s="146"/>
      <c r="DC100" s="76">
        <f t="shared" ca="1" si="50"/>
        <v>0.20538255304558106</v>
      </c>
      <c r="DD100">
        <f t="shared" si="93"/>
        <v>3</v>
      </c>
      <c r="DE100" s="129">
        <f t="shared" si="125"/>
        <v>39673</v>
      </c>
      <c r="DF100" s="161">
        <f t="shared" si="94"/>
        <v>0</v>
      </c>
      <c r="DG100" s="161">
        <f t="shared" si="95"/>
        <v>0</v>
      </c>
      <c r="DH100" s="161">
        <f t="shared" si="96"/>
        <v>0</v>
      </c>
      <c r="DI100" s="161">
        <f t="shared" si="97"/>
        <v>0</v>
      </c>
      <c r="DJ100" s="161">
        <f t="shared" si="98"/>
        <v>0</v>
      </c>
      <c r="DK100" s="161">
        <f t="shared" si="99"/>
        <v>0</v>
      </c>
      <c r="DL100" s="161">
        <f t="shared" si="100"/>
        <v>0</v>
      </c>
      <c r="DM100" s="161">
        <f t="shared" si="101"/>
        <v>0</v>
      </c>
      <c r="DN100" s="161">
        <f t="shared" si="102"/>
        <v>0</v>
      </c>
      <c r="DO100" s="161">
        <f t="shared" si="103"/>
        <v>0</v>
      </c>
      <c r="DP100" s="161">
        <f t="shared" si="104"/>
        <v>0</v>
      </c>
      <c r="DQ100" s="161">
        <f t="shared" si="105"/>
        <v>0</v>
      </c>
      <c r="DR100" s="161">
        <f t="shared" si="106"/>
        <v>0</v>
      </c>
      <c r="DS100" s="161">
        <f t="shared" si="107"/>
        <v>0</v>
      </c>
      <c r="DT100" s="161">
        <f t="shared" si="108"/>
        <v>0</v>
      </c>
      <c r="DU100" s="161">
        <f t="shared" si="109"/>
        <v>0</v>
      </c>
      <c r="DV100" s="161">
        <f t="shared" si="110"/>
        <v>0</v>
      </c>
      <c r="DW100" s="161">
        <f t="shared" si="111"/>
        <v>0</v>
      </c>
      <c r="DX100" s="161">
        <f t="shared" si="112"/>
        <v>0</v>
      </c>
      <c r="DY100" s="161">
        <f t="shared" si="113"/>
        <v>0</v>
      </c>
      <c r="DZ100" s="161">
        <f t="shared" si="114"/>
        <v>0</v>
      </c>
      <c r="EA100" s="161">
        <f t="shared" si="115"/>
        <v>0</v>
      </c>
      <c r="EB100" s="161">
        <f t="shared" si="116"/>
        <v>0</v>
      </c>
      <c r="EC100" s="161">
        <f t="shared" si="117"/>
        <v>0</v>
      </c>
      <c r="ED100" s="161">
        <f t="shared" si="118"/>
        <v>0</v>
      </c>
      <c r="EE100" s="161">
        <f t="shared" si="119"/>
        <v>0</v>
      </c>
      <c r="EF100" s="161">
        <f t="shared" si="120"/>
        <v>0</v>
      </c>
      <c r="EG100" s="161">
        <f t="shared" si="121"/>
        <v>0</v>
      </c>
      <c r="EH100" s="161">
        <f t="shared" si="122"/>
        <v>0</v>
      </c>
      <c r="EI100" s="161">
        <f t="shared" si="123"/>
        <v>0</v>
      </c>
      <c r="EJ100" s="161">
        <f t="shared" si="124"/>
        <v>0</v>
      </c>
      <c r="EK100" s="147">
        <f t="shared" si="54"/>
        <v>0</v>
      </c>
      <c r="EL100" s="149"/>
      <c r="EN100" s="146"/>
      <c r="EO100" s="146"/>
      <c r="EP100" s="139">
        <f t="shared" si="55"/>
        <v>0</v>
      </c>
      <c r="EQ100" s="139">
        <f t="shared" si="56"/>
        <v>0</v>
      </c>
      <c r="ER100" s="139">
        <f t="shared" si="57"/>
        <v>0</v>
      </c>
      <c r="ES100" s="139">
        <f t="shared" si="58"/>
        <v>0</v>
      </c>
      <c r="ET100" s="139">
        <f t="shared" si="59"/>
        <v>0</v>
      </c>
      <c r="EU100" s="139">
        <f t="shared" si="60"/>
        <v>0</v>
      </c>
      <c r="EV100" s="139">
        <f t="shared" si="61"/>
        <v>0</v>
      </c>
      <c r="EW100" s="139">
        <f t="shared" si="62"/>
        <v>0</v>
      </c>
      <c r="EX100" s="139">
        <f t="shared" si="63"/>
        <v>0</v>
      </c>
      <c r="EY100" s="139">
        <f t="shared" si="64"/>
        <v>0</v>
      </c>
      <c r="EZ100" s="139">
        <f t="shared" si="65"/>
        <v>0</v>
      </c>
      <c r="FA100" s="139">
        <f t="shared" si="66"/>
        <v>0</v>
      </c>
      <c r="FB100" s="139">
        <f t="shared" si="67"/>
        <v>0</v>
      </c>
      <c r="FC100" s="139">
        <f t="shared" si="68"/>
        <v>0</v>
      </c>
      <c r="FD100" s="139">
        <f t="shared" si="69"/>
        <v>0</v>
      </c>
      <c r="FE100" s="139">
        <f t="shared" si="70"/>
        <v>0</v>
      </c>
      <c r="FF100" s="139">
        <f t="shared" si="71"/>
        <v>0</v>
      </c>
      <c r="FG100" s="139">
        <f t="shared" si="72"/>
        <v>0</v>
      </c>
      <c r="FH100" s="139">
        <f t="shared" si="73"/>
        <v>0</v>
      </c>
      <c r="FI100" s="139">
        <f t="shared" si="74"/>
        <v>0</v>
      </c>
      <c r="FJ100" s="139">
        <f t="shared" si="75"/>
        <v>0</v>
      </c>
      <c r="FK100" s="139">
        <f t="shared" si="76"/>
        <v>0</v>
      </c>
      <c r="FL100" s="139">
        <f t="shared" si="77"/>
        <v>0</v>
      </c>
      <c r="FM100" s="139">
        <f t="shared" si="78"/>
        <v>0</v>
      </c>
      <c r="FN100" s="139">
        <f t="shared" si="79"/>
        <v>0</v>
      </c>
      <c r="FO100" s="139">
        <f t="shared" si="80"/>
        <v>0</v>
      </c>
      <c r="FP100" s="139">
        <f t="shared" si="81"/>
        <v>0</v>
      </c>
      <c r="FQ100" s="139">
        <f t="shared" si="82"/>
        <v>0</v>
      </c>
      <c r="FR100" s="139">
        <f t="shared" si="83"/>
        <v>0</v>
      </c>
      <c r="FS100" s="139">
        <f t="shared" si="84"/>
        <v>0</v>
      </c>
      <c r="FT100" s="139">
        <f t="shared" si="85"/>
        <v>0</v>
      </c>
      <c r="FU100" s="148">
        <f t="shared" si="86"/>
        <v>0</v>
      </c>
      <c r="FV100" s="149"/>
      <c r="FY100" s="210">
        <v>95</v>
      </c>
      <c r="FZ100" s="205"/>
      <c r="GA100" s="205"/>
      <c r="GB100" s="205"/>
      <c r="GC100" s="205"/>
      <c r="GD100" s="205"/>
      <c r="GE100" s="205"/>
      <c r="GF100" s="205"/>
      <c r="GG100" s="205"/>
      <c r="GH100" s="205"/>
      <c r="GI100" s="205"/>
      <c r="GJ100" s="205"/>
      <c r="GK100" s="205"/>
      <c r="GL100" s="205"/>
      <c r="GM100" s="205"/>
    </row>
    <row r="101" spans="1:195" s="7" customFormat="1">
      <c r="A101" s="1"/>
      <c r="B101" s="76">
        <f t="shared" ca="1" si="49"/>
        <v>0.29038219387906139</v>
      </c>
      <c r="C101">
        <v>10</v>
      </c>
      <c r="D101">
        <v>39673</v>
      </c>
      <c r="E101">
        <v>0</v>
      </c>
      <c r="F101">
        <v>0</v>
      </c>
      <c r="G101">
        <v>0</v>
      </c>
      <c r="H101">
        <v>18.75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/>
      <c r="AO101"/>
      <c r="AP101"/>
      <c r="AQ101"/>
      <c r="AR101"/>
      <c r="AS101"/>
      <c r="AT101"/>
      <c r="AU101"/>
      <c r="AV101"/>
      <c r="AW101"/>
      <c r="AX101" s="146"/>
      <c r="AY101" s="76">
        <f t="shared" ca="1" si="87"/>
        <v>0.61199890618230501</v>
      </c>
      <c r="AZ101">
        <v>4</v>
      </c>
      <c r="BA101" s="129">
        <f t="shared" si="126"/>
        <v>39673</v>
      </c>
      <c r="BB101">
        <v>0</v>
      </c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 s="147"/>
      <c r="CH101" s="176"/>
      <c r="CJ101" s="146"/>
      <c r="CK101" s="76">
        <f t="shared" ca="1" si="89"/>
        <v>0.88069951353481457</v>
      </c>
      <c r="CL101" s="179">
        <f t="shared" si="90"/>
        <v>4</v>
      </c>
      <c r="CM101" s="180">
        <f t="shared" si="91"/>
        <v>39673</v>
      </c>
      <c r="CN101">
        <v>0</v>
      </c>
      <c r="CO101"/>
      <c r="CP101"/>
      <c r="CQ101"/>
      <c r="CR101"/>
      <c r="CS101"/>
      <c r="CT101"/>
      <c r="CU101"/>
      <c r="CW101">
        <v>1</v>
      </c>
      <c r="CX101">
        <f>355/50</f>
        <v>7.1</v>
      </c>
      <c r="CY101" s="158"/>
      <c r="CZ101" s="177">
        <f t="shared" si="92"/>
        <v>9.6000000000000002E-2</v>
      </c>
      <c r="DB101" s="146"/>
      <c r="DC101" s="76">
        <f t="shared" ca="1" si="50"/>
        <v>0.5923587333605207</v>
      </c>
      <c r="DD101">
        <f t="shared" si="93"/>
        <v>4</v>
      </c>
      <c r="DE101" s="129">
        <f t="shared" si="125"/>
        <v>39673</v>
      </c>
      <c r="DF101" s="161">
        <f t="shared" si="94"/>
        <v>0</v>
      </c>
      <c r="DG101" s="161">
        <f t="shared" si="95"/>
        <v>0</v>
      </c>
      <c r="DH101" s="161">
        <f t="shared" si="96"/>
        <v>0</v>
      </c>
      <c r="DI101" s="161">
        <f t="shared" si="97"/>
        <v>0</v>
      </c>
      <c r="DJ101" s="161">
        <f t="shared" si="98"/>
        <v>0</v>
      </c>
      <c r="DK101" s="161">
        <f t="shared" si="99"/>
        <v>0</v>
      </c>
      <c r="DL101" s="161">
        <f t="shared" si="100"/>
        <v>0</v>
      </c>
      <c r="DM101" s="161">
        <f t="shared" si="101"/>
        <v>0</v>
      </c>
      <c r="DN101" s="161">
        <f t="shared" si="102"/>
        <v>0</v>
      </c>
      <c r="DO101" s="161">
        <f t="shared" si="103"/>
        <v>0</v>
      </c>
      <c r="DP101" s="161">
        <f t="shared" si="104"/>
        <v>0</v>
      </c>
      <c r="DQ101" s="161">
        <f t="shared" si="105"/>
        <v>0</v>
      </c>
      <c r="DR101" s="161">
        <f t="shared" si="106"/>
        <v>0</v>
      </c>
      <c r="DS101" s="161">
        <f t="shared" si="107"/>
        <v>0</v>
      </c>
      <c r="DT101" s="161">
        <f t="shared" si="108"/>
        <v>0</v>
      </c>
      <c r="DU101" s="161">
        <f t="shared" si="109"/>
        <v>0</v>
      </c>
      <c r="DV101" s="161">
        <f t="shared" si="110"/>
        <v>0</v>
      </c>
      <c r="DW101" s="161">
        <f t="shared" si="111"/>
        <v>0</v>
      </c>
      <c r="DX101" s="161">
        <f t="shared" si="112"/>
        <v>0</v>
      </c>
      <c r="DY101" s="161">
        <f t="shared" si="113"/>
        <v>0</v>
      </c>
      <c r="DZ101" s="161">
        <f t="shared" si="114"/>
        <v>0</v>
      </c>
      <c r="EA101" s="161">
        <f t="shared" si="115"/>
        <v>0</v>
      </c>
      <c r="EB101" s="161">
        <f t="shared" si="116"/>
        <v>0</v>
      </c>
      <c r="EC101" s="161">
        <f t="shared" si="117"/>
        <v>0</v>
      </c>
      <c r="ED101" s="161">
        <f t="shared" si="118"/>
        <v>0</v>
      </c>
      <c r="EE101" s="161">
        <f t="shared" si="119"/>
        <v>0</v>
      </c>
      <c r="EF101" s="161">
        <f t="shared" si="120"/>
        <v>0</v>
      </c>
      <c r="EG101" s="161">
        <f t="shared" si="121"/>
        <v>0</v>
      </c>
      <c r="EH101" s="161">
        <f t="shared" si="122"/>
        <v>0</v>
      </c>
      <c r="EI101" s="161">
        <f t="shared" si="123"/>
        <v>0</v>
      </c>
      <c r="EJ101" s="161">
        <f t="shared" si="124"/>
        <v>0</v>
      </c>
      <c r="EK101" s="147">
        <f t="shared" si="54"/>
        <v>0</v>
      </c>
      <c r="EL101" s="149"/>
      <c r="EN101" s="146"/>
      <c r="EO101" s="146"/>
      <c r="EP101" s="139">
        <f t="shared" si="55"/>
        <v>0</v>
      </c>
      <c r="EQ101" s="139">
        <f t="shared" si="56"/>
        <v>0</v>
      </c>
      <c r="ER101" s="139">
        <f t="shared" si="57"/>
        <v>0</v>
      </c>
      <c r="ES101" s="139">
        <f t="shared" si="58"/>
        <v>0</v>
      </c>
      <c r="ET101" s="139">
        <f t="shared" si="59"/>
        <v>0</v>
      </c>
      <c r="EU101" s="139">
        <f t="shared" si="60"/>
        <v>0</v>
      </c>
      <c r="EV101" s="139">
        <f t="shared" si="61"/>
        <v>0</v>
      </c>
      <c r="EW101" s="139">
        <f t="shared" si="62"/>
        <v>0</v>
      </c>
      <c r="EX101" s="139">
        <f t="shared" si="63"/>
        <v>0</v>
      </c>
      <c r="EY101" s="139">
        <f t="shared" si="64"/>
        <v>0</v>
      </c>
      <c r="EZ101" s="139">
        <f t="shared" si="65"/>
        <v>0</v>
      </c>
      <c r="FA101" s="139">
        <f t="shared" si="66"/>
        <v>0</v>
      </c>
      <c r="FB101" s="139">
        <f t="shared" si="67"/>
        <v>0</v>
      </c>
      <c r="FC101" s="139">
        <f t="shared" si="68"/>
        <v>0</v>
      </c>
      <c r="FD101" s="139">
        <f t="shared" si="69"/>
        <v>0</v>
      </c>
      <c r="FE101" s="139">
        <f t="shared" si="70"/>
        <v>0</v>
      </c>
      <c r="FF101" s="139">
        <f t="shared" si="71"/>
        <v>0</v>
      </c>
      <c r="FG101" s="139">
        <f t="shared" si="72"/>
        <v>0</v>
      </c>
      <c r="FH101" s="139">
        <f t="shared" si="73"/>
        <v>0</v>
      </c>
      <c r="FI101" s="139">
        <f t="shared" si="74"/>
        <v>0</v>
      </c>
      <c r="FJ101" s="139">
        <f t="shared" si="75"/>
        <v>0</v>
      </c>
      <c r="FK101" s="139">
        <f t="shared" si="76"/>
        <v>0</v>
      </c>
      <c r="FL101" s="139">
        <f t="shared" si="77"/>
        <v>0</v>
      </c>
      <c r="FM101" s="139">
        <f t="shared" si="78"/>
        <v>0</v>
      </c>
      <c r="FN101" s="139">
        <f t="shared" si="79"/>
        <v>0</v>
      </c>
      <c r="FO101" s="139">
        <f t="shared" si="80"/>
        <v>0</v>
      </c>
      <c r="FP101" s="139">
        <f t="shared" si="81"/>
        <v>0</v>
      </c>
      <c r="FQ101" s="139">
        <f t="shared" si="82"/>
        <v>0</v>
      </c>
      <c r="FR101" s="139">
        <f t="shared" si="83"/>
        <v>0</v>
      </c>
      <c r="FS101" s="139">
        <f t="shared" si="84"/>
        <v>0</v>
      </c>
      <c r="FT101" s="139">
        <f t="shared" si="85"/>
        <v>0</v>
      </c>
      <c r="FU101" s="148">
        <f t="shared" si="86"/>
        <v>0</v>
      </c>
      <c r="FV101" s="149"/>
      <c r="FY101" s="210">
        <v>96</v>
      </c>
      <c r="FZ101" s="205"/>
      <c r="GA101" s="205"/>
      <c r="GB101" s="205"/>
      <c r="GC101" s="205"/>
      <c r="GD101" s="205"/>
      <c r="GE101" s="205"/>
      <c r="GF101" s="205"/>
      <c r="GG101" s="205"/>
      <c r="GH101" s="205"/>
      <c r="GI101" s="205"/>
      <c r="GJ101" s="205"/>
      <c r="GK101" s="205"/>
      <c r="GL101" s="205"/>
      <c r="GM101" s="205"/>
    </row>
    <row r="102" spans="1:195" s="7" customFormat="1">
      <c r="A102" s="1"/>
      <c r="B102" s="76">
        <f t="shared" ca="1" si="49"/>
        <v>0.89210899232575458</v>
      </c>
      <c r="C102">
        <v>9</v>
      </c>
      <c r="D102">
        <v>39673</v>
      </c>
      <c r="E102">
        <v>0</v>
      </c>
      <c r="F102">
        <v>10.416666666666666</v>
      </c>
      <c r="G102">
        <v>62.5</v>
      </c>
      <c r="H102">
        <v>41.666666666666664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/>
      <c r="AO102"/>
      <c r="AP102"/>
      <c r="AQ102"/>
      <c r="AR102"/>
      <c r="AS102"/>
      <c r="AT102"/>
      <c r="AU102"/>
      <c r="AV102"/>
      <c r="AW102"/>
      <c r="AX102" s="146"/>
      <c r="AY102" s="76">
        <f t="shared" ca="1" si="87"/>
        <v>0.15396054508969348</v>
      </c>
      <c r="AZ102">
        <v>5</v>
      </c>
      <c r="BA102" s="129">
        <f t="shared" si="126"/>
        <v>39673</v>
      </c>
      <c r="BB102">
        <v>0</v>
      </c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 s="147"/>
      <c r="CH102" s="176"/>
      <c r="CJ102" s="146"/>
      <c r="CK102" s="76">
        <f t="shared" ca="1" si="89"/>
        <v>8.4114970173770232E-2</v>
      </c>
      <c r="CL102" s="179">
        <f t="shared" si="90"/>
        <v>5</v>
      </c>
      <c r="CM102" s="180">
        <f t="shared" si="91"/>
        <v>39673</v>
      </c>
      <c r="CN102"/>
      <c r="CO102"/>
      <c r="CP102"/>
      <c r="CQ102"/>
      <c r="CR102"/>
      <c r="CS102"/>
      <c r="CT102"/>
      <c r="CU102"/>
      <c r="CW102">
        <v>1</v>
      </c>
      <c r="CX102">
        <v>1</v>
      </c>
      <c r="CY102" s="164"/>
      <c r="CZ102" s="177">
        <f t="shared" si="92"/>
        <v>9.6000000000000002E-2</v>
      </c>
      <c r="DB102" s="146"/>
      <c r="DC102" s="76">
        <f t="shared" ca="1" si="50"/>
        <v>0.49947706706315476</v>
      </c>
      <c r="DD102">
        <f t="shared" si="93"/>
        <v>5</v>
      </c>
      <c r="DE102" s="129">
        <f t="shared" si="125"/>
        <v>39673</v>
      </c>
      <c r="DF102" s="161">
        <f t="shared" si="94"/>
        <v>0</v>
      </c>
      <c r="DG102" s="161">
        <f t="shared" si="95"/>
        <v>0</v>
      </c>
      <c r="DH102" s="161">
        <f t="shared" si="96"/>
        <v>0</v>
      </c>
      <c r="DI102" s="161">
        <f t="shared" si="97"/>
        <v>0</v>
      </c>
      <c r="DJ102" s="161">
        <f t="shared" si="98"/>
        <v>0</v>
      </c>
      <c r="DK102" s="161">
        <f t="shared" si="99"/>
        <v>0</v>
      </c>
      <c r="DL102" s="161">
        <f t="shared" si="100"/>
        <v>0</v>
      </c>
      <c r="DM102" s="161">
        <f t="shared" si="101"/>
        <v>0</v>
      </c>
      <c r="DN102" s="161">
        <f t="shared" si="102"/>
        <v>0</v>
      </c>
      <c r="DO102" s="161">
        <f t="shared" si="103"/>
        <v>0</v>
      </c>
      <c r="DP102" s="161">
        <f t="shared" si="104"/>
        <v>0</v>
      </c>
      <c r="DQ102" s="161">
        <f t="shared" si="105"/>
        <v>0</v>
      </c>
      <c r="DR102" s="161">
        <f t="shared" si="106"/>
        <v>0</v>
      </c>
      <c r="DS102" s="161">
        <f t="shared" si="107"/>
        <v>0</v>
      </c>
      <c r="DT102" s="161">
        <f t="shared" si="108"/>
        <v>0</v>
      </c>
      <c r="DU102" s="161">
        <f t="shared" si="109"/>
        <v>0</v>
      </c>
      <c r="DV102" s="161">
        <f t="shared" si="110"/>
        <v>0</v>
      </c>
      <c r="DW102" s="161">
        <f t="shared" si="111"/>
        <v>0</v>
      </c>
      <c r="DX102" s="161">
        <f t="shared" si="112"/>
        <v>0</v>
      </c>
      <c r="DY102" s="161">
        <f t="shared" si="113"/>
        <v>0</v>
      </c>
      <c r="DZ102" s="161">
        <f t="shared" si="114"/>
        <v>0</v>
      </c>
      <c r="EA102" s="161">
        <f t="shared" si="115"/>
        <v>0</v>
      </c>
      <c r="EB102" s="161">
        <f t="shared" si="116"/>
        <v>0</v>
      </c>
      <c r="EC102" s="161">
        <f t="shared" si="117"/>
        <v>0</v>
      </c>
      <c r="ED102" s="161">
        <f t="shared" si="118"/>
        <v>0</v>
      </c>
      <c r="EE102" s="161">
        <f t="shared" si="119"/>
        <v>0</v>
      </c>
      <c r="EF102" s="161">
        <f t="shared" si="120"/>
        <v>0</v>
      </c>
      <c r="EG102" s="161">
        <f t="shared" si="121"/>
        <v>0</v>
      </c>
      <c r="EH102" s="161">
        <f t="shared" si="122"/>
        <v>0</v>
      </c>
      <c r="EI102" s="161">
        <f t="shared" si="123"/>
        <v>0</v>
      </c>
      <c r="EJ102" s="161">
        <f t="shared" si="124"/>
        <v>0</v>
      </c>
      <c r="EK102" s="147">
        <f t="shared" si="54"/>
        <v>0</v>
      </c>
      <c r="EL102" s="149"/>
      <c r="EN102" s="146"/>
      <c r="EO102" s="146"/>
      <c r="EP102" s="139">
        <f t="shared" si="55"/>
        <v>0</v>
      </c>
      <c r="EQ102" s="139">
        <f t="shared" si="56"/>
        <v>0</v>
      </c>
      <c r="ER102" s="139">
        <f t="shared" si="57"/>
        <v>0</v>
      </c>
      <c r="ES102" s="139">
        <f t="shared" si="58"/>
        <v>0</v>
      </c>
      <c r="ET102" s="139">
        <f t="shared" si="59"/>
        <v>0</v>
      </c>
      <c r="EU102" s="139">
        <f t="shared" si="60"/>
        <v>0</v>
      </c>
      <c r="EV102" s="139">
        <f t="shared" si="61"/>
        <v>0</v>
      </c>
      <c r="EW102" s="139">
        <f t="shared" si="62"/>
        <v>0</v>
      </c>
      <c r="EX102" s="139">
        <f t="shared" si="63"/>
        <v>0</v>
      </c>
      <c r="EY102" s="139">
        <f t="shared" si="64"/>
        <v>0</v>
      </c>
      <c r="EZ102" s="139">
        <f t="shared" si="65"/>
        <v>0</v>
      </c>
      <c r="FA102" s="139">
        <f t="shared" si="66"/>
        <v>0</v>
      </c>
      <c r="FB102" s="139">
        <f t="shared" si="67"/>
        <v>0</v>
      </c>
      <c r="FC102" s="139">
        <f t="shared" si="68"/>
        <v>0</v>
      </c>
      <c r="FD102" s="139">
        <f t="shared" si="69"/>
        <v>0</v>
      </c>
      <c r="FE102" s="139">
        <f t="shared" si="70"/>
        <v>0</v>
      </c>
      <c r="FF102" s="139">
        <f t="shared" si="71"/>
        <v>0</v>
      </c>
      <c r="FG102" s="139">
        <f t="shared" si="72"/>
        <v>0</v>
      </c>
      <c r="FH102" s="139">
        <f t="shared" si="73"/>
        <v>0</v>
      </c>
      <c r="FI102" s="139">
        <f t="shared" si="74"/>
        <v>0</v>
      </c>
      <c r="FJ102" s="139">
        <f t="shared" si="75"/>
        <v>0</v>
      </c>
      <c r="FK102" s="139">
        <f t="shared" si="76"/>
        <v>0</v>
      </c>
      <c r="FL102" s="139">
        <f t="shared" si="77"/>
        <v>0</v>
      </c>
      <c r="FM102" s="139">
        <f t="shared" si="78"/>
        <v>0</v>
      </c>
      <c r="FN102" s="139">
        <f t="shared" si="79"/>
        <v>0</v>
      </c>
      <c r="FO102" s="139">
        <f t="shared" si="80"/>
        <v>0</v>
      </c>
      <c r="FP102" s="139">
        <f t="shared" si="81"/>
        <v>0</v>
      </c>
      <c r="FQ102" s="139">
        <f t="shared" si="82"/>
        <v>0</v>
      </c>
      <c r="FR102" s="139">
        <f t="shared" si="83"/>
        <v>0</v>
      </c>
      <c r="FS102" s="139">
        <f t="shared" si="84"/>
        <v>0</v>
      </c>
      <c r="FT102" s="139">
        <f t="shared" si="85"/>
        <v>0</v>
      </c>
      <c r="FU102" s="148">
        <f t="shared" si="86"/>
        <v>0</v>
      </c>
      <c r="FV102" s="149"/>
      <c r="FY102" s="210">
        <v>97</v>
      </c>
      <c r="FZ102" s="205"/>
      <c r="GA102" s="205"/>
      <c r="GB102" s="205"/>
      <c r="GC102" s="205"/>
      <c r="GD102" s="205"/>
      <c r="GE102" s="205"/>
      <c r="GF102" s="205"/>
      <c r="GG102" s="205"/>
      <c r="GH102" s="205"/>
      <c r="GI102" s="205"/>
      <c r="GJ102" s="205"/>
      <c r="GK102" s="205"/>
      <c r="GL102" s="205"/>
      <c r="GM102" s="205"/>
    </row>
    <row r="103" spans="1:195" s="7" customFormat="1">
      <c r="A103" s="1"/>
      <c r="B103" s="76">
        <f t="shared" ca="1" si="49"/>
        <v>0.31607689993021015</v>
      </c>
      <c r="C103">
        <v>8</v>
      </c>
      <c r="D103">
        <v>39673</v>
      </c>
      <c r="E103">
        <v>0</v>
      </c>
      <c r="F103">
        <v>0</v>
      </c>
      <c r="G103">
        <v>125</v>
      </c>
      <c r="H103">
        <v>166.66666666666666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10.416666666666666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/>
      <c r="AO103"/>
      <c r="AP103"/>
      <c r="AQ103"/>
      <c r="AR103"/>
      <c r="AS103"/>
      <c r="AT103"/>
      <c r="AU103"/>
      <c r="AV103"/>
      <c r="AW103"/>
      <c r="AX103" s="146"/>
      <c r="AY103" s="76">
        <f ca="1">IF(AZ103="", "", RAND())</f>
        <v>0.1058061668615613</v>
      </c>
      <c r="AZ103">
        <v>6</v>
      </c>
      <c r="BA103" s="129">
        <f t="shared" si="126"/>
        <v>39673</v>
      </c>
      <c r="BB103">
        <v>0</v>
      </c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 s="147"/>
      <c r="CH103" s="176"/>
      <c r="CJ103" s="146"/>
      <c r="CK103" s="76">
        <f t="shared" ca="1" si="89"/>
        <v>0.63113114397942383</v>
      </c>
      <c r="CL103" s="179">
        <f t="shared" si="90"/>
        <v>6</v>
      </c>
      <c r="CM103" s="180">
        <f t="shared" si="91"/>
        <v>39673</v>
      </c>
      <c r="CN103">
        <v>0</v>
      </c>
      <c r="CO103"/>
      <c r="CP103"/>
      <c r="CQ103"/>
      <c r="CR103"/>
      <c r="CS103"/>
      <c r="CT103"/>
      <c r="CU103"/>
      <c r="CV103" s="160"/>
      <c r="CW103">
        <v>1</v>
      </c>
      <c r="CX103">
        <v>1</v>
      </c>
      <c r="CY103" s="164"/>
      <c r="CZ103" s="177">
        <f t="shared" si="92"/>
        <v>9.6000000000000002E-2</v>
      </c>
      <c r="DB103" s="146"/>
      <c r="DC103" s="76">
        <f t="shared" ca="1" si="50"/>
        <v>0.5551887113047691</v>
      </c>
      <c r="DD103">
        <f>IF(AZ103="", "", AZ103)</f>
        <v>6</v>
      </c>
      <c r="DE103" s="129">
        <f t="shared" si="125"/>
        <v>39673</v>
      </c>
      <c r="DF103" s="161">
        <f t="shared" si="94"/>
        <v>0</v>
      </c>
      <c r="DG103" s="161">
        <f t="shared" si="95"/>
        <v>0</v>
      </c>
      <c r="DH103" s="161">
        <f t="shared" si="96"/>
        <v>0</v>
      </c>
      <c r="DI103" s="161">
        <f t="shared" si="97"/>
        <v>0</v>
      </c>
      <c r="DJ103" s="161">
        <f t="shared" si="98"/>
        <v>0</v>
      </c>
      <c r="DK103" s="161">
        <f t="shared" si="99"/>
        <v>0</v>
      </c>
      <c r="DL103" s="161">
        <f t="shared" si="100"/>
        <v>0</v>
      </c>
      <c r="DM103" s="161">
        <f t="shared" si="101"/>
        <v>0</v>
      </c>
      <c r="DN103" s="161">
        <f t="shared" si="102"/>
        <v>0</v>
      </c>
      <c r="DO103" s="161">
        <f t="shared" si="103"/>
        <v>0</v>
      </c>
      <c r="DP103" s="161">
        <f t="shared" si="104"/>
        <v>0</v>
      </c>
      <c r="DQ103" s="161">
        <f t="shared" si="105"/>
        <v>0</v>
      </c>
      <c r="DR103" s="161">
        <f t="shared" si="106"/>
        <v>0</v>
      </c>
      <c r="DS103" s="161">
        <f t="shared" si="107"/>
        <v>0</v>
      </c>
      <c r="DT103" s="161">
        <f t="shared" si="108"/>
        <v>0</v>
      </c>
      <c r="DU103" s="161">
        <f t="shared" si="109"/>
        <v>0</v>
      </c>
      <c r="DV103" s="161">
        <f t="shared" si="110"/>
        <v>0</v>
      </c>
      <c r="DW103" s="161">
        <f t="shared" si="111"/>
        <v>0</v>
      </c>
      <c r="DX103" s="161">
        <f t="shared" si="112"/>
        <v>0</v>
      </c>
      <c r="DY103" s="161">
        <f t="shared" si="113"/>
        <v>0</v>
      </c>
      <c r="DZ103" s="161">
        <f t="shared" si="114"/>
        <v>0</v>
      </c>
      <c r="EA103" s="161">
        <f t="shared" si="115"/>
        <v>0</v>
      </c>
      <c r="EB103" s="161">
        <f t="shared" si="116"/>
        <v>0</v>
      </c>
      <c r="EC103" s="161">
        <f t="shared" si="117"/>
        <v>0</v>
      </c>
      <c r="ED103" s="161">
        <f t="shared" si="118"/>
        <v>0</v>
      </c>
      <c r="EE103" s="161">
        <f t="shared" si="119"/>
        <v>0</v>
      </c>
      <c r="EF103" s="161">
        <f t="shared" si="120"/>
        <v>0</v>
      </c>
      <c r="EG103" s="161">
        <f t="shared" si="121"/>
        <v>0</v>
      </c>
      <c r="EH103" s="161">
        <f t="shared" si="122"/>
        <v>0</v>
      </c>
      <c r="EI103" s="161">
        <f t="shared" si="123"/>
        <v>0</v>
      </c>
      <c r="EJ103" s="161">
        <f t="shared" si="124"/>
        <v>0</v>
      </c>
      <c r="EK103" s="147">
        <f t="shared" si="54"/>
        <v>0</v>
      </c>
      <c r="EL103" s="149"/>
      <c r="EN103" s="146"/>
      <c r="EO103" s="146"/>
      <c r="EP103" s="139">
        <f t="shared" si="55"/>
        <v>0</v>
      </c>
      <c r="EQ103" s="139">
        <f t="shared" si="56"/>
        <v>0</v>
      </c>
      <c r="ER103" s="139">
        <f t="shared" si="57"/>
        <v>0</v>
      </c>
      <c r="ES103" s="139">
        <f t="shared" si="58"/>
        <v>0</v>
      </c>
      <c r="ET103" s="139">
        <f t="shared" si="59"/>
        <v>0</v>
      </c>
      <c r="EU103" s="139">
        <f t="shared" si="60"/>
        <v>0</v>
      </c>
      <c r="EV103" s="139">
        <f t="shared" si="61"/>
        <v>0</v>
      </c>
      <c r="EW103" s="139">
        <f t="shared" si="62"/>
        <v>0</v>
      </c>
      <c r="EX103" s="139">
        <f t="shared" si="63"/>
        <v>0</v>
      </c>
      <c r="EY103" s="139">
        <f t="shared" si="64"/>
        <v>0</v>
      </c>
      <c r="EZ103" s="139">
        <f t="shared" si="65"/>
        <v>0</v>
      </c>
      <c r="FA103" s="139">
        <f t="shared" si="66"/>
        <v>0</v>
      </c>
      <c r="FB103" s="139">
        <f t="shared" si="67"/>
        <v>0</v>
      </c>
      <c r="FC103" s="139">
        <f t="shared" si="68"/>
        <v>0</v>
      </c>
      <c r="FD103" s="139">
        <f t="shared" si="69"/>
        <v>0</v>
      </c>
      <c r="FE103" s="139">
        <f t="shared" si="70"/>
        <v>0</v>
      </c>
      <c r="FF103" s="139">
        <f t="shared" si="71"/>
        <v>0</v>
      </c>
      <c r="FG103" s="139">
        <f t="shared" si="72"/>
        <v>0</v>
      </c>
      <c r="FH103" s="139">
        <f t="shared" si="73"/>
        <v>0</v>
      </c>
      <c r="FI103" s="139">
        <f t="shared" si="74"/>
        <v>0</v>
      </c>
      <c r="FJ103" s="139">
        <f t="shared" si="75"/>
        <v>0</v>
      </c>
      <c r="FK103" s="139">
        <f t="shared" si="76"/>
        <v>0</v>
      </c>
      <c r="FL103" s="139">
        <f t="shared" si="77"/>
        <v>0</v>
      </c>
      <c r="FM103" s="139">
        <f t="shared" si="78"/>
        <v>0</v>
      </c>
      <c r="FN103" s="139">
        <f t="shared" si="79"/>
        <v>0</v>
      </c>
      <c r="FO103" s="139">
        <f t="shared" si="80"/>
        <v>0</v>
      </c>
      <c r="FP103" s="139">
        <f t="shared" si="81"/>
        <v>0</v>
      </c>
      <c r="FQ103" s="139">
        <f t="shared" si="82"/>
        <v>0</v>
      </c>
      <c r="FR103" s="139">
        <f t="shared" si="83"/>
        <v>0</v>
      </c>
      <c r="FS103" s="139">
        <f t="shared" si="84"/>
        <v>0</v>
      </c>
      <c r="FT103" s="139">
        <f t="shared" si="85"/>
        <v>0</v>
      </c>
      <c r="FU103" s="148">
        <f t="shared" si="86"/>
        <v>0</v>
      </c>
      <c r="FV103" s="149"/>
      <c r="FY103" s="210">
        <v>98</v>
      </c>
      <c r="FZ103" s="205"/>
      <c r="GA103" s="205"/>
      <c r="GB103" s="205"/>
      <c r="GC103" s="205"/>
      <c r="GD103" s="205"/>
      <c r="GE103" s="205"/>
      <c r="GF103" s="205"/>
      <c r="GG103" s="205"/>
      <c r="GH103" s="205"/>
      <c r="GI103" s="205"/>
      <c r="GJ103" s="205"/>
      <c r="GK103" s="205"/>
      <c r="GL103" s="205"/>
      <c r="GM103" s="205"/>
    </row>
    <row r="104" spans="1:195" s="7" customFormat="1">
      <c r="A104" s="1"/>
      <c r="B104" s="76">
        <f t="shared" ca="1" si="49"/>
        <v>0.16106035352020864</v>
      </c>
      <c r="C104">
        <v>7</v>
      </c>
      <c r="D104">
        <v>39673</v>
      </c>
      <c r="E104">
        <v>0</v>
      </c>
      <c r="F104">
        <v>0</v>
      </c>
      <c r="G104">
        <v>31.25</v>
      </c>
      <c r="H104">
        <v>20.833333333333332</v>
      </c>
      <c r="I104">
        <v>10.416666666666666</v>
      </c>
      <c r="J104">
        <v>0</v>
      </c>
      <c r="K104">
        <v>0</v>
      </c>
      <c r="L104">
        <v>0</v>
      </c>
      <c r="M104">
        <v>0</v>
      </c>
      <c r="N104">
        <v>10.416666666666666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/>
      <c r="AO104"/>
      <c r="AP104"/>
      <c r="AQ104"/>
      <c r="AR104"/>
      <c r="AS104"/>
      <c r="AT104"/>
      <c r="AU104"/>
      <c r="AV104"/>
      <c r="AW104"/>
      <c r="AX104" s="146"/>
      <c r="AY104" s="76">
        <f ca="1">IF(AZ104="", "", RAND())</f>
        <v>0.81048173864062267</v>
      </c>
      <c r="AZ104">
        <v>7</v>
      </c>
      <c r="BA104" s="129">
        <f t="shared" si="126"/>
        <v>39673</v>
      </c>
      <c r="BB104" s="225">
        <v>0</v>
      </c>
      <c r="BC104" s="225"/>
      <c r="BD104" s="225"/>
      <c r="BE104" s="225"/>
      <c r="BF104" s="225"/>
      <c r="BG104" s="225"/>
      <c r="BH104" s="225"/>
      <c r="BI104" s="225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 s="147"/>
      <c r="CH104" s="176"/>
      <c r="CJ104" s="146"/>
      <c r="CK104" s="76">
        <f t="shared" ca="1" si="89"/>
        <v>0.52596394734092033</v>
      </c>
      <c r="CL104" s="179">
        <f t="shared" si="90"/>
        <v>7</v>
      </c>
      <c r="CM104" s="180">
        <f t="shared" si="91"/>
        <v>39673</v>
      </c>
      <c r="CN104"/>
      <c r="CO104"/>
      <c r="CP104"/>
      <c r="CQ104"/>
      <c r="CR104"/>
      <c r="CS104"/>
      <c r="CT104"/>
      <c r="CU104"/>
      <c r="CV104" s="160"/>
      <c r="CW104">
        <v>1</v>
      </c>
      <c r="CX104">
        <v>1</v>
      </c>
      <c r="CY104" s="164"/>
      <c r="CZ104" s="177">
        <f t="shared" si="92"/>
        <v>9.6000000000000002E-2</v>
      </c>
      <c r="DB104" s="146"/>
      <c r="DC104" s="76">
        <f t="shared" ca="1" si="50"/>
        <v>0.19509388350231238</v>
      </c>
      <c r="DD104">
        <f>IF(AZ104="", "", AZ104)</f>
        <v>7</v>
      </c>
      <c r="DE104" s="129">
        <f t="shared" si="125"/>
        <v>39673</v>
      </c>
      <c r="DF104" s="161">
        <f t="shared" si="94"/>
        <v>0</v>
      </c>
      <c r="DG104" s="161">
        <f t="shared" si="95"/>
        <v>0</v>
      </c>
      <c r="DH104" s="161">
        <f t="shared" si="96"/>
        <v>0</v>
      </c>
      <c r="DI104" s="161">
        <f t="shared" si="97"/>
        <v>0</v>
      </c>
      <c r="DJ104" s="161">
        <f t="shared" si="98"/>
        <v>0</v>
      </c>
      <c r="DK104" s="161">
        <f t="shared" si="99"/>
        <v>0</v>
      </c>
      <c r="DL104" s="161">
        <f t="shared" si="100"/>
        <v>0</v>
      </c>
      <c r="DM104" s="161">
        <f t="shared" si="101"/>
        <v>0</v>
      </c>
      <c r="DN104" s="161">
        <f t="shared" si="102"/>
        <v>0</v>
      </c>
      <c r="DO104" s="161">
        <f t="shared" si="103"/>
        <v>0</v>
      </c>
      <c r="DP104" s="161">
        <f t="shared" si="104"/>
        <v>0</v>
      </c>
      <c r="DQ104" s="161">
        <f t="shared" si="105"/>
        <v>0</v>
      </c>
      <c r="DR104" s="161">
        <f t="shared" si="106"/>
        <v>0</v>
      </c>
      <c r="DS104" s="161">
        <f t="shared" si="107"/>
        <v>0</v>
      </c>
      <c r="DT104" s="161">
        <f t="shared" si="108"/>
        <v>0</v>
      </c>
      <c r="DU104" s="161">
        <f t="shared" si="109"/>
        <v>0</v>
      </c>
      <c r="DV104" s="161">
        <f t="shared" si="110"/>
        <v>0</v>
      </c>
      <c r="DW104" s="161">
        <f t="shared" si="111"/>
        <v>0</v>
      </c>
      <c r="DX104" s="161">
        <f t="shared" si="112"/>
        <v>0</v>
      </c>
      <c r="DY104" s="161">
        <f t="shared" si="113"/>
        <v>0</v>
      </c>
      <c r="DZ104" s="161">
        <f t="shared" si="114"/>
        <v>0</v>
      </c>
      <c r="EA104" s="161">
        <f t="shared" si="115"/>
        <v>0</v>
      </c>
      <c r="EB104" s="161">
        <f t="shared" si="116"/>
        <v>0</v>
      </c>
      <c r="EC104" s="161">
        <f t="shared" si="117"/>
        <v>0</v>
      </c>
      <c r="ED104" s="161">
        <f t="shared" si="118"/>
        <v>0</v>
      </c>
      <c r="EE104" s="161">
        <f t="shared" si="119"/>
        <v>0</v>
      </c>
      <c r="EF104" s="161">
        <f t="shared" si="120"/>
        <v>0</v>
      </c>
      <c r="EG104" s="161">
        <f t="shared" si="121"/>
        <v>0</v>
      </c>
      <c r="EH104" s="161">
        <f t="shared" si="122"/>
        <v>0</v>
      </c>
      <c r="EI104" s="161">
        <f t="shared" si="123"/>
        <v>0</v>
      </c>
      <c r="EJ104" s="161">
        <f t="shared" si="124"/>
        <v>0</v>
      </c>
      <c r="EK104" s="147">
        <f t="shared" si="54"/>
        <v>0</v>
      </c>
      <c r="EL104" s="149"/>
      <c r="EN104" s="146"/>
      <c r="EO104" s="146"/>
      <c r="EP104" s="139">
        <f t="shared" si="55"/>
        <v>0</v>
      </c>
      <c r="EQ104" s="139">
        <f t="shared" si="56"/>
        <v>0</v>
      </c>
      <c r="ER104" s="139">
        <f t="shared" si="57"/>
        <v>0</v>
      </c>
      <c r="ES104" s="139">
        <f t="shared" si="58"/>
        <v>0</v>
      </c>
      <c r="ET104" s="139">
        <f t="shared" si="59"/>
        <v>0</v>
      </c>
      <c r="EU104" s="139">
        <f t="shared" si="60"/>
        <v>0</v>
      </c>
      <c r="EV104" s="139">
        <f t="shared" si="61"/>
        <v>0</v>
      </c>
      <c r="EW104" s="139">
        <f t="shared" si="62"/>
        <v>0</v>
      </c>
      <c r="EX104" s="139">
        <f t="shared" si="63"/>
        <v>0</v>
      </c>
      <c r="EY104" s="139">
        <f t="shared" si="64"/>
        <v>0</v>
      </c>
      <c r="EZ104" s="139">
        <f t="shared" si="65"/>
        <v>0</v>
      </c>
      <c r="FA104" s="139">
        <f t="shared" si="66"/>
        <v>0</v>
      </c>
      <c r="FB104" s="139">
        <f t="shared" si="67"/>
        <v>0</v>
      </c>
      <c r="FC104" s="139">
        <f t="shared" si="68"/>
        <v>0</v>
      </c>
      <c r="FD104" s="139">
        <f t="shared" si="69"/>
        <v>0</v>
      </c>
      <c r="FE104" s="139">
        <f t="shared" si="70"/>
        <v>0</v>
      </c>
      <c r="FF104" s="139">
        <f t="shared" si="71"/>
        <v>0</v>
      </c>
      <c r="FG104" s="139">
        <f t="shared" si="72"/>
        <v>0</v>
      </c>
      <c r="FH104" s="139">
        <f t="shared" si="73"/>
        <v>0</v>
      </c>
      <c r="FI104" s="139">
        <f t="shared" si="74"/>
        <v>0</v>
      </c>
      <c r="FJ104" s="139">
        <f t="shared" si="75"/>
        <v>0</v>
      </c>
      <c r="FK104" s="139">
        <f t="shared" si="76"/>
        <v>0</v>
      </c>
      <c r="FL104" s="139">
        <f t="shared" si="77"/>
        <v>0</v>
      </c>
      <c r="FM104" s="139">
        <f t="shared" si="78"/>
        <v>0</v>
      </c>
      <c r="FN104" s="139">
        <f t="shared" si="79"/>
        <v>0</v>
      </c>
      <c r="FO104" s="139">
        <f t="shared" si="80"/>
        <v>0</v>
      </c>
      <c r="FP104" s="139">
        <f t="shared" si="81"/>
        <v>0</v>
      </c>
      <c r="FQ104" s="139">
        <f t="shared" si="82"/>
        <v>0</v>
      </c>
      <c r="FR104" s="139">
        <f t="shared" si="83"/>
        <v>0</v>
      </c>
      <c r="FS104" s="139">
        <f t="shared" si="84"/>
        <v>0</v>
      </c>
      <c r="FT104" s="139">
        <f t="shared" si="85"/>
        <v>0</v>
      </c>
      <c r="FU104" s="148">
        <f t="shared" si="86"/>
        <v>0</v>
      </c>
      <c r="FV104" s="149"/>
      <c r="FY104" s="210">
        <v>99</v>
      </c>
      <c r="FZ104" s="205"/>
      <c r="GA104" s="205"/>
      <c r="GB104" s="205"/>
      <c r="GC104" s="205"/>
      <c r="GD104" s="205"/>
      <c r="GE104" s="205"/>
      <c r="GF104" s="205"/>
      <c r="GG104" s="205"/>
      <c r="GH104" s="205"/>
      <c r="GI104" s="205"/>
      <c r="GJ104" s="205"/>
      <c r="GK104" s="205"/>
      <c r="GL104" s="205"/>
      <c r="GM104" s="205"/>
    </row>
    <row r="105" spans="1:195" s="7" customFormat="1">
      <c r="A105" s="1"/>
      <c r="B105" s="76">
        <f t="shared" ca="1" si="49"/>
        <v>0.41857128147889444</v>
      </c>
      <c r="C105">
        <v>4</v>
      </c>
      <c r="D105">
        <v>39673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/>
      <c r="AO105"/>
      <c r="AP105"/>
      <c r="AQ105"/>
      <c r="AR105"/>
      <c r="AS105"/>
      <c r="AT105"/>
      <c r="AU105"/>
      <c r="AV105"/>
      <c r="AW105"/>
      <c r="AX105" s="146"/>
      <c r="AY105" s="76">
        <f ca="1">IF(AZ105="", "", RAND())</f>
        <v>0.70124219282842581</v>
      </c>
      <c r="AZ105">
        <v>8</v>
      </c>
      <c r="BA105" s="129">
        <f t="shared" si="126"/>
        <v>39673</v>
      </c>
      <c r="BB105" s="226">
        <v>0</v>
      </c>
      <c r="BC105" s="226"/>
      <c r="BD105" s="226"/>
      <c r="BE105" s="226"/>
      <c r="BF105" s="226"/>
      <c r="BG105" s="226"/>
      <c r="BH105" s="226"/>
      <c r="BI105" s="226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 s="147"/>
      <c r="CH105" s="176"/>
      <c r="CJ105" s="146"/>
      <c r="CK105" s="76">
        <f t="shared" ca="1" si="89"/>
        <v>0.65931000068562007</v>
      </c>
      <c r="CL105" s="179">
        <f t="shared" si="90"/>
        <v>8</v>
      </c>
      <c r="CM105" s="180">
        <f t="shared" si="91"/>
        <v>39673</v>
      </c>
      <c r="CN105" s="222">
        <v>0</v>
      </c>
      <c r="CO105" s="222"/>
      <c r="CP105" s="222"/>
      <c r="CQ105" s="222"/>
      <c r="CR105" s="222"/>
      <c r="CS105" s="222"/>
      <c r="CT105"/>
      <c r="CU105"/>
      <c r="CV105" s="160"/>
      <c r="CW105">
        <v>1</v>
      </c>
      <c r="CX105">
        <v>2</v>
      </c>
      <c r="CY105" s="164"/>
      <c r="CZ105" s="177">
        <f t="shared" si="92"/>
        <v>9.6000000000000002E-2</v>
      </c>
      <c r="DB105" s="146"/>
      <c r="DC105" s="76">
        <f t="shared" ca="1" si="50"/>
        <v>0.1643910378494553</v>
      </c>
      <c r="DD105">
        <f>IF(AZ105="", "", AZ105)</f>
        <v>8</v>
      </c>
      <c r="DE105" s="129">
        <f t="shared" si="125"/>
        <v>39673</v>
      </c>
      <c r="DF105" s="161">
        <f t="shared" si="94"/>
        <v>0</v>
      </c>
      <c r="DG105" s="161">
        <f t="shared" si="95"/>
        <v>0</v>
      </c>
      <c r="DH105" s="161">
        <f t="shared" si="96"/>
        <v>0</v>
      </c>
      <c r="DI105" s="161">
        <f t="shared" si="97"/>
        <v>0</v>
      </c>
      <c r="DJ105" s="161">
        <f t="shared" si="98"/>
        <v>0</v>
      </c>
      <c r="DK105" s="161">
        <f t="shared" si="99"/>
        <v>0</v>
      </c>
      <c r="DL105" s="161">
        <f t="shared" si="100"/>
        <v>0</v>
      </c>
      <c r="DM105" s="161">
        <f t="shared" si="101"/>
        <v>0</v>
      </c>
      <c r="DN105" s="161">
        <f t="shared" si="102"/>
        <v>0</v>
      </c>
      <c r="DO105" s="161">
        <f t="shared" si="103"/>
        <v>0</v>
      </c>
      <c r="DP105" s="161">
        <f t="shared" si="104"/>
        <v>0</v>
      </c>
      <c r="DQ105" s="161">
        <f t="shared" si="105"/>
        <v>0</v>
      </c>
      <c r="DR105" s="161">
        <f t="shared" si="106"/>
        <v>0</v>
      </c>
      <c r="DS105" s="161">
        <f t="shared" si="107"/>
        <v>0</v>
      </c>
      <c r="DT105" s="161">
        <f t="shared" si="108"/>
        <v>0</v>
      </c>
      <c r="DU105" s="161">
        <f t="shared" si="109"/>
        <v>0</v>
      </c>
      <c r="DV105" s="161">
        <f t="shared" si="110"/>
        <v>0</v>
      </c>
      <c r="DW105" s="161">
        <f t="shared" si="111"/>
        <v>0</v>
      </c>
      <c r="DX105" s="161">
        <f t="shared" si="112"/>
        <v>0</v>
      </c>
      <c r="DY105" s="161">
        <f t="shared" si="113"/>
        <v>0</v>
      </c>
      <c r="DZ105" s="161">
        <f t="shared" si="114"/>
        <v>0</v>
      </c>
      <c r="EA105" s="161">
        <f t="shared" si="115"/>
        <v>0</v>
      </c>
      <c r="EB105" s="161">
        <f t="shared" si="116"/>
        <v>0</v>
      </c>
      <c r="EC105" s="161">
        <f t="shared" si="117"/>
        <v>0</v>
      </c>
      <c r="ED105" s="161">
        <f t="shared" si="118"/>
        <v>0</v>
      </c>
      <c r="EE105" s="161">
        <f t="shared" si="119"/>
        <v>0</v>
      </c>
      <c r="EF105" s="161">
        <f t="shared" si="120"/>
        <v>0</v>
      </c>
      <c r="EG105" s="161">
        <f t="shared" si="121"/>
        <v>0</v>
      </c>
      <c r="EH105" s="161">
        <f t="shared" si="122"/>
        <v>0</v>
      </c>
      <c r="EI105" s="161">
        <f t="shared" si="123"/>
        <v>0</v>
      </c>
      <c r="EJ105" s="161">
        <f t="shared" si="124"/>
        <v>0</v>
      </c>
      <c r="EK105" s="147">
        <f t="shared" si="54"/>
        <v>0</v>
      </c>
      <c r="EL105" s="149"/>
      <c r="EN105" s="146"/>
      <c r="EO105" s="146"/>
      <c r="EP105" s="139">
        <f t="shared" si="55"/>
        <v>0</v>
      </c>
      <c r="EQ105" s="139">
        <f t="shared" si="56"/>
        <v>0</v>
      </c>
      <c r="ER105" s="139">
        <f t="shared" si="57"/>
        <v>0</v>
      </c>
      <c r="ES105" s="139">
        <f t="shared" si="58"/>
        <v>0</v>
      </c>
      <c r="ET105" s="139">
        <f t="shared" si="59"/>
        <v>0</v>
      </c>
      <c r="EU105" s="139">
        <f t="shared" si="60"/>
        <v>0</v>
      </c>
      <c r="EV105" s="139">
        <f t="shared" si="61"/>
        <v>0</v>
      </c>
      <c r="EW105" s="139">
        <f t="shared" si="62"/>
        <v>0</v>
      </c>
      <c r="EX105" s="139">
        <f t="shared" si="63"/>
        <v>0</v>
      </c>
      <c r="EY105" s="139">
        <f t="shared" si="64"/>
        <v>0</v>
      </c>
      <c r="EZ105" s="139">
        <f t="shared" si="65"/>
        <v>0</v>
      </c>
      <c r="FA105" s="139">
        <f t="shared" si="66"/>
        <v>0</v>
      </c>
      <c r="FB105" s="139">
        <f t="shared" si="67"/>
        <v>0</v>
      </c>
      <c r="FC105" s="139">
        <f t="shared" si="68"/>
        <v>0</v>
      </c>
      <c r="FD105" s="139">
        <f t="shared" si="69"/>
        <v>0</v>
      </c>
      <c r="FE105" s="139">
        <f t="shared" si="70"/>
        <v>0</v>
      </c>
      <c r="FF105" s="139">
        <f t="shared" si="71"/>
        <v>0</v>
      </c>
      <c r="FG105" s="139">
        <f t="shared" si="72"/>
        <v>0</v>
      </c>
      <c r="FH105" s="139">
        <f t="shared" si="73"/>
        <v>0</v>
      </c>
      <c r="FI105" s="139">
        <f t="shared" si="74"/>
        <v>0</v>
      </c>
      <c r="FJ105" s="139">
        <f t="shared" si="75"/>
        <v>0</v>
      </c>
      <c r="FK105" s="139">
        <f t="shared" si="76"/>
        <v>0</v>
      </c>
      <c r="FL105" s="139">
        <f t="shared" si="77"/>
        <v>0</v>
      </c>
      <c r="FM105" s="139">
        <f t="shared" si="78"/>
        <v>0</v>
      </c>
      <c r="FN105" s="139">
        <f t="shared" si="79"/>
        <v>0</v>
      </c>
      <c r="FO105" s="139">
        <f t="shared" si="80"/>
        <v>0</v>
      </c>
      <c r="FP105" s="139">
        <f t="shared" si="81"/>
        <v>0</v>
      </c>
      <c r="FQ105" s="139">
        <f t="shared" si="82"/>
        <v>0</v>
      </c>
      <c r="FR105" s="139">
        <f t="shared" si="83"/>
        <v>0</v>
      </c>
      <c r="FS105" s="139">
        <f t="shared" si="84"/>
        <v>0</v>
      </c>
      <c r="FT105" s="139">
        <f t="shared" si="85"/>
        <v>0</v>
      </c>
      <c r="FU105" s="148">
        <f t="shared" si="86"/>
        <v>0</v>
      </c>
      <c r="FV105" s="149"/>
      <c r="FY105" s="210">
        <v>100</v>
      </c>
      <c r="FZ105" s="205"/>
      <c r="GA105" s="205"/>
      <c r="GB105" s="205"/>
      <c r="GC105" s="205"/>
      <c r="GD105" s="205"/>
      <c r="GE105" s="205"/>
      <c r="GF105" s="205"/>
      <c r="GG105" s="205"/>
      <c r="GH105" s="205"/>
      <c r="GI105" s="205"/>
      <c r="GJ105" s="205"/>
      <c r="GK105" s="205"/>
      <c r="GL105" s="205"/>
      <c r="GM105" s="205"/>
    </row>
    <row r="106" spans="1:195" s="7" customFormat="1">
      <c r="A106" s="1"/>
      <c r="B106" s="76">
        <f t="shared" ca="1" si="49"/>
        <v>0.68888736227051606</v>
      </c>
      <c r="C106">
        <v>1</v>
      </c>
      <c r="D106">
        <v>39673</v>
      </c>
      <c r="E106">
        <v>0</v>
      </c>
      <c r="F106">
        <v>0</v>
      </c>
      <c r="G106">
        <v>83.333333333333329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/>
      <c r="AO106"/>
      <c r="AP106"/>
      <c r="AQ106"/>
      <c r="AR106"/>
      <c r="AS106"/>
      <c r="AT106"/>
      <c r="AU106"/>
      <c r="AV106"/>
      <c r="AW106"/>
      <c r="AX106" s="146"/>
      <c r="AY106" s="76">
        <f t="shared" ca="1" si="87"/>
        <v>0.39060346252654954</v>
      </c>
      <c r="AZ106">
        <v>9</v>
      </c>
      <c r="BA106" s="129">
        <f t="shared" si="126"/>
        <v>39673</v>
      </c>
      <c r="BB106">
        <v>0</v>
      </c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 s="147"/>
      <c r="CH106" s="176"/>
      <c r="CJ106" s="146"/>
      <c r="CK106" s="76">
        <f t="shared" ca="1" si="89"/>
        <v>0.85391675754142682</v>
      </c>
      <c r="CL106" s="179">
        <f t="shared" si="90"/>
        <v>9</v>
      </c>
      <c r="CM106" s="180">
        <f t="shared" si="91"/>
        <v>39673</v>
      </c>
      <c r="CN106">
        <v>0</v>
      </c>
      <c r="CO106"/>
      <c r="CP106"/>
      <c r="CQ106"/>
      <c r="CR106"/>
      <c r="CS106"/>
      <c r="CT106"/>
      <c r="CU106"/>
      <c r="CV106" s="160"/>
      <c r="CW106">
        <v>1</v>
      </c>
      <c r="CX106">
        <v>1</v>
      </c>
      <c r="CY106" s="164"/>
      <c r="CZ106" s="177">
        <f t="shared" si="92"/>
        <v>9.6000000000000002E-2</v>
      </c>
      <c r="DB106" s="146"/>
      <c r="DC106" s="76">
        <f t="shared" ca="1" si="50"/>
        <v>0.37703760738950542</v>
      </c>
      <c r="DD106">
        <f t="shared" si="93"/>
        <v>9</v>
      </c>
      <c r="DE106" s="129">
        <f t="shared" si="125"/>
        <v>39673</v>
      </c>
      <c r="DF106" s="161">
        <f t="shared" si="94"/>
        <v>0</v>
      </c>
      <c r="DG106" s="161">
        <f t="shared" si="95"/>
        <v>0</v>
      </c>
      <c r="DH106" s="161">
        <f t="shared" si="96"/>
        <v>0</v>
      </c>
      <c r="DI106" s="161">
        <f t="shared" si="97"/>
        <v>0</v>
      </c>
      <c r="DJ106" s="161">
        <f t="shared" si="98"/>
        <v>0</v>
      </c>
      <c r="DK106" s="161">
        <f t="shared" si="99"/>
        <v>0</v>
      </c>
      <c r="DL106" s="161">
        <f t="shared" si="100"/>
        <v>0</v>
      </c>
      <c r="DM106" s="161">
        <f t="shared" si="101"/>
        <v>0</v>
      </c>
      <c r="DN106" s="161">
        <f t="shared" si="102"/>
        <v>0</v>
      </c>
      <c r="DO106" s="161">
        <f t="shared" si="103"/>
        <v>0</v>
      </c>
      <c r="DP106" s="161">
        <f t="shared" si="104"/>
        <v>0</v>
      </c>
      <c r="DQ106" s="161">
        <f t="shared" si="105"/>
        <v>0</v>
      </c>
      <c r="DR106" s="161">
        <f t="shared" si="106"/>
        <v>0</v>
      </c>
      <c r="DS106" s="161">
        <f t="shared" si="107"/>
        <v>0</v>
      </c>
      <c r="DT106" s="161">
        <f t="shared" si="108"/>
        <v>0</v>
      </c>
      <c r="DU106" s="161">
        <f t="shared" si="109"/>
        <v>0</v>
      </c>
      <c r="DV106" s="161">
        <f t="shared" si="110"/>
        <v>0</v>
      </c>
      <c r="DW106" s="161">
        <f t="shared" si="111"/>
        <v>0</v>
      </c>
      <c r="DX106" s="161">
        <f t="shared" si="112"/>
        <v>0</v>
      </c>
      <c r="DY106" s="161">
        <f t="shared" si="113"/>
        <v>0</v>
      </c>
      <c r="DZ106" s="161">
        <f t="shared" si="114"/>
        <v>0</v>
      </c>
      <c r="EA106" s="161">
        <f t="shared" si="115"/>
        <v>0</v>
      </c>
      <c r="EB106" s="161">
        <f t="shared" si="116"/>
        <v>0</v>
      </c>
      <c r="EC106" s="161">
        <f t="shared" si="117"/>
        <v>0</v>
      </c>
      <c r="ED106" s="161">
        <f t="shared" si="118"/>
        <v>0</v>
      </c>
      <c r="EE106" s="161">
        <f t="shared" si="119"/>
        <v>0</v>
      </c>
      <c r="EF106" s="161">
        <f t="shared" si="120"/>
        <v>0</v>
      </c>
      <c r="EG106" s="161">
        <f t="shared" si="121"/>
        <v>0</v>
      </c>
      <c r="EH106" s="161">
        <f t="shared" si="122"/>
        <v>0</v>
      </c>
      <c r="EI106" s="161">
        <f t="shared" si="123"/>
        <v>0</v>
      </c>
      <c r="EJ106" s="161">
        <f t="shared" si="124"/>
        <v>0</v>
      </c>
      <c r="EK106" s="147">
        <f t="shared" si="54"/>
        <v>0</v>
      </c>
      <c r="EL106" s="149"/>
      <c r="EN106" s="146"/>
      <c r="EO106" s="146"/>
      <c r="EP106" s="139">
        <f t="shared" si="55"/>
        <v>0</v>
      </c>
      <c r="EQ106" s="139">
        <f t="shared" si="56"/>
        <v>0</v>
      </c>
      <c r="ER106" s="139">
        <f t="shared" si="57"/>
        <v>0</v>
      </c>
      <c r="ES106" s="139">
        <f t="shared" si="58"/>
        <v>0</v>
      </c>
      <c r="ET106" s="139">
        <f t="shared" si="59"/>
        <v>0</v>
      </c>
      <c r="EU106" s="139">
        <f t="shared" si="60"/>
        <v>0</v>
      </c>
      <c r="EV106" s="139">
        <f t="shared" si="61"/>
        <v>0</v>
      </c>
      <c r="EW106" s="139">
        <f t="shared" si="62"/>
        <v>0</v>
      </c>
      <c r="EX106" s="139">
        <f t="shared" si="63"/>
        <v>0</v>
      </c>
      <c r="EY106" s="139">
        <f t="shared" si="64"/>
        <v>0</v>
      </c>
      <c r="EZ106" s="139">
        <f t="shared" si="65"/>
        <v>0</v>
      </c>
      <c r="FA106" s="139">
        <f t="shared" si="66"/>
        <v>0</v>
      </c>
      <c r="FB106" s="139">
        <f t="shared" si="67"/>
        <v>0</v>
      </c>
      <c r="FC106" s="139">
        <f t="shared" si="68"/>
        <v>0</v>
      </c>
      <c r="FD106" s="139">
        <f t="shared" si="69"/>
        <v>0</v>
      </c>
      <c r="FE106" s="139">
        <f t="shared" si="70"/>
        <v>0</v>
      </c>
      <c r="FF106" s="139">
        <f t="shared" si="71"/>
        <v>0</v>
      </c>
      <c r="FG106" s="139">
        <f t="shared" si="72"/>
        <v>0</v>
      </c>
      <c r="FH106" s="139">
        <f t="shared" si="73"/>
        <v>0</v>
      </c>
      <c r="FI106" s="139">
        <f t="shared" si="74"/>
        <v>0</v>
      </c>
      <c r="FJ106" s="139">
        <f t="shared" si="75"/>
        <v>0</v>
      </c>
      <c r="FK106" s="139">
        <f t="shared" si="76"/>
        <v>0</v>
      </c>
      <c r="FL106" s="139">
        <f t="shared" si="77"/>
        <v>0</v>
      </c>
      <c r="FM106" s="139">
        <f t="shared" si="78"/>
        <v>0</v>
      </c>
      <c r="FN106" s="139">
        <f t="shared" si="79"/>
        <v>0</v>
      </c>
      <c r="FO106" s="139">
        <f t="shared" si="80"/>
        <v>0</v>
      </c>
      <c r="FP106" s="139">
        <f t="shared" si="81"/>
        <v>0</v>
      </c>
      <c r="FQ106" s="139">
        <f t="shared" si="82"/>
        <v>0</v>
      </c>
      <c r="FR106" s="139">
        <f t="shared" si="83"/>
        <v>0</v>
      </c>
      <c r="FS106" s="139">
        <f t="shared" si="84"/>
        <v>0</v>
      </c>
      <c r="FT106" s="139">
        <f t="shared" si="85"/>
        <v>0</v>
      </c>
      <c r="FU106" s="148">
        <f t="shared" si="86"/>
        <v>0</v>
      </c>
      <c r="FV106" s="149"/>
      <c r="FY106" s="210">
        <v>101</v>
      </c>
      <c r="FZ106" s="205"/>
      <c r="GA106" s="205"/>
      <c r="GB106" s="205"/>
      <c r="GC106" s="205"/>
      <c r="GD106" s="205"/>
      <c r="GE106" s="205"/>
      <c r="GF106" s="205"/>
      <c r="GG106" s="205"/>
      <c r="GH106" s="205"/>
      <c r="GI106" s="205"/>
      <c r="GJ106" s="205"/>
      <c r="GK106" s="205"/>
      <c r="GL106" s="205"/>
      <c r="GM106" s="205"/>
    </row>
    <row r="107" spans="1:195" s="7" customFormat="1">
      <c r="A107" s="1"/>
      <c r="B107" s="76">
        <f t="shared" ca="1" si="49"/>
        <v>0.75343280976335336</v>
      </c>
      <c r="C107">
        <v>2</v>
      </c>
      <c r="D107">
        <v>39673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/>
      <c r="AO107"/>
      <c r="AP107"/>
      <c r="AQ107"/>
      <c r="AR107"/>
      <c r="AS107"/>
      <c r="AT107"/>
      <c r="AU107"/>
      <c r="AV107"/>
      <c r="AW107"/>
      <c r="AX107" s="146"/>
      <c r="AY107" s="76">
        <f t="shared" ca="1" si="87"/>
        <v>0.83572948543346204</v>
      </c>
      <c r="AZ107">
        <v>10</v>
      </c>
      <c r="BA107" s="129">
        <f t="shared" si="126"/>
        <v>39673</v>
      </c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 s="147"/>
      <c r="CH107" s="176"/>
      <c r="CJ107" s="146"/>
      <c r="CK107" s="76">
        <f t="shared" ca="1" si="89"/>
        <v>0.42174586764867228</v>
      </c>
      <c r="CL107" s="179">
        <f t="shared" si="90"/>
        <v>10</v>
      </c>
      <c r="CM107" s="180">
        <f t="shared" si="91"/>
        <v>39673</v>
      </c>
      <c r="CN107">
        <v>0</v>
      </c>
      <c r="CO107"/>
      <c r="CP107"/>
      <c r="CQ107"/>
      <c r="CR107"/>
      <c r="CS107"/>
      <c r="CT107"/>
      <c r="CU107"/>
      <c r="CV107" s="160"/>
      <c r="CW107">
        <f>18/10</f>
        <v>1.8</v>
      </c>
      <c r="CX107">
        <f>100/7</f>
        <v>14.285714285714286</v>
      </c>
      <c r="CY107" s="164"/>
      <c r="CZ107" s="177">
        <f t="shared" si="92"/>
        <v>9.6000000000000002E-2</v>
      </c>
      <c r="DB107" s="146"/>
      <c r="DC107" s="76">
        <f t="shared" ca="1" si="50"/>
        <v>0.42712377228633236</v>
      </c>
      <c r="DD107">
        <f t="shared" si="93"/>
        <v>10</v>
      </c>
      <c r="DE107" s="129">
        <f t="shared" si="125"/>
        <v>39673</v>
      </c>
      <c r="DF107" s="161">
        <f t="shared" si="94"/>
        <v>0</v>
      </c>
      <c r="DG107" s="161">
        <f t="shared" si="95"/>
        <v>0</v>
      </c>
      <c r="DH107" s="161">
        <f t="shared" si="96"/>
        <v>0</v>
      </c>
      <c r="DI107" s="161">
        <f t="shared" si="97"/>
        <v>0</v>
      </c>
      <c r="DJ107" s="161">
        <f t="shared" si="98"/>
        <v>0</v>
      </c>
      <c r="DK107" s="161">
        <f t="shared" si="99"/>
        <v>0</v>
      </c>
      <c r="DL107" s="161">
        <f t="shared" si="100"/>
        <v>0</v>
      </c>
      <c r="DM107" s="161">
        <f t="shared" si="101"/>
        <v>0</v>
      </c>
      <c r="DN107" s="161">
        <f t="shared" si="102"/>
        <v>0</v>
      </c>
      <c r="DO107" s="161">
        <f t="shared" si="103"/>
        <v>0</v>
      </c>
      <c r="DP107" s="161">
        <f t="shared" si="104"/>
        <v>0</v>
      </c>
      <c r="DQ107" s="161">
        <f t="shared" si="105"/>
        <v>0</v>
      </c>
      <c r="DR107" s="161">
        <f t="shared" si="106"/>
        <v>0</v>
      </c>
      <c r="DS107" s="161">
        <f t="shared" si="107"/>
        <v>0</v>
      </c>
      <c r="DT107" s="161">
        <f t="shared" si="108"/>
        <v>0</v>
      </c>
      <c r="DU107" s="161">
        <f t="shared" si="109"/>
        <v>0</v>
      </c>
      <c r="DV107" s="161">
        <f t="shared" si="110"/>
        <v>0</v>
      </c>
      <c r="DW107" s="161">
        <f t="shared" si="111"/>
        <v>0</v>
      </c>
      <c r="DX107" s="161">
        <f t="shared" si="112"/>
        <v>0</v>
      </c>
      <c r="DY107" s="161">
        <f t="shared" si="113"/>
        <v>0</v>
      </c>
      <c r="DZ107" s="161">
        <f t="shared" si="114"/>
        <v>0</v>
      </c>
      <c r="EA107" s="161">
        <f t="shared" si="115"/>
        <v>0</v>
      </c>
      <c r="EB107" s="161">
        <f t="shared" si="116"/>
        <v>0</v>
      </c>
      <c r="EC107" s="161">
        <f t="shared" si="117"/>
        <v>0</v>
      </c>
      <c r="ED107" s="161">
        <f t="shared" si="118"/>
        <v>0</v>
      </c>
      <c r="EE107" s="161">
        <f t="shared" si="119"/>
        <v>0</v>
      </c>
      <c r="EF107" s="161">
        <f t="shared" si="120"/>
        <v>0</v>
      </c>
      <c r="EG107" s="161">
        <f t="shared" si="121"/>
        <v>0</v>
      </c>
      <c r="EH107" s="161">
        <f t="shared" si="122"/>
        <v>0</v>
      </c>
      <c r="EI107" s="161">
        <f t="shared" si="123"/>
        <v>0</v>
      </c>
      <c r="EJ107" s="161">
        <f t="shared" si="124"/>
        <v>0</v>
      </c>
      <c r="EK107" s="147">
        <f t="shared" si="54"/>
        <v>0</v>
      </c>
      <c r="EL107" s="149"/>
      <c r="EN107" s="146"/>
      <c r="EO107" s="146"/>
      <c r="EP107" s="139">
        <f t="shared" si="55"/>
        <v>0</v>
      </c>
      <c r="EQ107" s="139">
        <f t="shared" si="56"/>
        <v>0</v>
      </c>
      <c r="ER107" s="139">
        <f t="shared" si="57"/>
        <v>0</v>
      </c>
      <c r="ES107" s="139">
        <f t="shared" si="58"/>
        <v>0</v>
      </c>
      <c r="ET107" s="139">
        <f t="shared" si="59"/>
        <v>0</v>
      </c>
      <c r="EU107" s="139">
        <f t="shared" si="60"/>
        <v>0</v>
      </c>
      <c r="EV107" s="139">
        <f t="shared" si="61"/>
        <v>0</v>
      </c>
      <c r="EW107" s="139">
        <f t="shared" si="62"/>
        <v>0</v>
      </c>
      <c r="EX107" s="139">
        <f t="shared" si="63"/>
        <v>0</v>
      </c>
      <c r="EY107" s="139">
        <f t="shared" si="64"/>
        <v>0</v>
      </c>
      <c r="EZ107" s="139">
        <f t="shared" si="65"/>
        <v>0</v>
      </c>
      <c r="FA107" s="139">
        <f t="shared" si="66"/>
        <v>0</v>
      </c>
      <c r="FB107" s="139">
        <f t="shared" si="67"/>
        <v>0</v>
      </c>
      <c r="FC107" s="139">
        <f t="shared" si="68"/>
        <v>0</v>
      </c>
      <c r="FD107" s="139">
        <f t="shared" si="69"/>
        <v>0</v>
      </c>
      <c r="FE107" s="139">
        <f t="shared" si="70"/>
        <v>0</v>
      </c>
      <c r="FF107" s="139">
        <f t="shared" si="71"/>
        <v>0</v>
      </c>
      <c r="FG107" s="139">
        <f t="shared" si="72"/>
        <v>0</v>
      </c>
      <c r="FH107" s="139">
        <f t="shared" si="73"/>
        <v>0</v>
      </c>
      <c r="FI107" s="139">
        <f t="shared" si="74"/>
        <v>0</v>
      </c>
      <c r="FJ107" s="139">
        <f t="shared" si="75"/>
        <v>0</v>
      </c>
      <c r="FK107" s="139">
        <f t="shared" si="76"/>
        <v>0</v>
      </c>
      <c r="FL107" s="139">
        <f t="shared" si="77"/>
        <v>0</v>
      </c>
      <c r="FM107" s="139">
        <f t="shared" si="78"/>
        <v>0</v>
      </c>
      <c r="FN107" s="139">
        <f t="shared" si="79"/>
        <v>0</v>
      </c>
      <c r="FO107" s="139">
        <f t="shared" si="80"/>
        <v>0</v>
      </c>
      <c r="FP107" s="139">
        <f t="shared" si="81"/>
        <v>0</v>
      </c>
      <c r="FQ107" s="139">
        <f t="shared" si="82"/>
        <v>0</v>
      </c>
      <c r="FR107" s="139">
        <f t="shared" si="83"/>
        <v>0</v>
      </c>
      <c r="FS107" s="139">
        <f t="shared" si="84"/>
        <v>0</v>
      </c>
      <c r="FT107" s="139">
        <f t="shared" si="85"/>
        <v>0</v>
      </c>
      <c r="FU107" s="148">
        <f t="shared" si="86"/>
        <v>0</v>
      </c>
      <c r="FV107" s="149"/>
      <c r="FY107" s="210">
        <v>102</v>
      </c>
      <c r="FZ107" s="205"/>
      <c r="GA107" s="205"/>
      <c r="GB107" s="205"/>
      <c r="GC107" s="205"/>
      <c r="GD107" s="205"/>
      <c r="GE107" s="205"/>
      <c r="GF107" s="205"/>
      <c r="GG107" s="205"/>
      <c r="GH107" s="205"/>
      <c r="GI107" s="205"/>
      <c r="GJ107" s="205"/>
      <c r="GK107" s="205"/>
      <c r="GL107" s="205"/>
      <c r="GM107" s="205"/>
    </row>
    <row r="108" spans="1:195" s="7" customFormat="1">
      <c r="A108" s="128"/>
      <c r="B108" s="76">
        <f t="shared" ca="1" si="49"/>
        <v>0.54811741398911651</v>
      </c>
      <c r="C108">
        <v>1</v>
      </c>
      <c r="D108">
        <v>39714</v>
      </c>
      <c r="E108">
        <v>0</v>
      </c>
      <c r="F108">
        <v>0</v>
      </c>
      <c r="G108">
        <v>0</v>
      </c>
      <c r="H108">
        <v>0</v>
      </c>
      <c r="I108">
        <v>10.416666666666666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/>
      <c r="AO108"/>
      <c r="AP108"/>
      <c r="AQ108"/>
      <c r="AR108"/>
      <c r="AS108"/>
      <c r="AT108"/>
      <c r="AU108"/>
      <c r="AV108"/>
      <c r="AW108"/>
      <c r="AX108" s="128"/>
      <c r="AY108" s="76">
        <f t="shared" ca="1" si="87"/>
        <v>0.74916423694160583</v>
      </c>
      <c r="AZ108">
        <v>1</v>
      </c>
      <c r="BA108" s="129">
        <f>IF(AZ108="", "",$C$6)</f>
        <v>39714</v>
      </c>
      <c r="BB108">
        <v>0</v>
      </c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 s="147"/>
      <c r="CH108" s="176"/>
      <c r="CJ108" s="128"/>
      <c r="CK108" s="76">
        <f t="shared" ca="1" si="89"/>
        <v>0.85738190186062102</v>
      </c>
      <c r="CL108" s="179">
        <f t="shared" si="90"/>
        <v>1</v>
      </c>
      <c r="CM108" s="180">
        <f t="shared" si="91"/>
        <v>39714</v>
      </c>
      <c r="CN108">
        <v>0</v>
      </c>
      <c r="CO108"/>
      <c r="CP108"/>
      <c r="CQ108">
        <v>1</v>
      </c>
      <c r="CR108"/>
      <c r="CS108"/>
      <c r="CT108"/>
      <c r="CU108"/>
      <c r="CW108">
        <v>1</v>
      </c>
      <c r="CX108">
        <f>300/48</f>
        <v>6.25</v>
      </c>
      <c r="CY108" s="158"/>
      <c r="CZ108" s="177">
        <f t="shared" si="92"/>
        <v>9.6000000000000002E-2</v>
      </c>
      <c r="DB108" s="128"/>
      <c r="DC108" s="76">
        <f t="shared" ca="1" si="50"/>
        <v>0.26457596928612226</v>
      </c>
      <c r="DD108">
        <f t="shared" si="93"/>
        <v>1</v>
      </c>
      <c r="DE108" s="129">
        <f t="shared" ref="DE108:DE117" si="127">IF((DD108)="", "", $C$6)</f>
        <v>39714</v>
      </c>
      <c r="DF108" s="161">
        <f t="shared" si="94"/>
        <v>0</v>
      </c>
      <c r="DG108" s="161">
        <f t="shared" si="95"/>
        <v>0</v>
      </c>
      <c r="DH108" s="161">
        <f t="shared" si="96"/>
        <v>0</v>
      </c>
      <c r="DI108" s="161">
        <f t="shared" si="97"/>
        <v>65.104166666666671</v>
      </c>
      <c r="DJ108" s="161">
        <f t="shared" si="98"/>
        <v>0</v>
      </c>
      <c r="DK108" s="161">
        <f t="shared" si="99"/>
        <v>0</v>
      </c>
      <c r="DL108" s="161">
        <f t="shared" si="100"/>
        <v>0</v>
      </c>
      <c r="DM108" s="161">
        <f t="shared" si="101"/>
        <v>0</v>
      </c>
      <c r="DN108" s="161">
        <f t="shared" si="102"/>
        <v>0</v>
      </c>
      <c r="DO108" s="161">
        <f t="shared" si="103"/>
        <v>0</v>
      </c>
      <c r="DP108" s="161">
        <f t="shared" si="104"/>
        <v>0</v>
      </c>
      <c r="DQ108" s="161">
        <f t="shared" si="105"/>
        <v>0</v>
      </c>
      <c r="DR108" s="161">
        <f t="shared" si="106"/>
        <v>0</v>
      </c>
      <c r="DS108" s="161">
        <f t="shared" si="107"/>
        <v>0</v>
      </c>
      <c r="DT108" s="161">
        <f t="shared" si="108"/>
        <v>0</v>
      </c>
      <c r="DU108" s="161">
        <f t="shared" si="109"/>
        <v>0</v>
      </c>
      <c r="DV108" s="161">
        <f t="shared" si="110"/>
        <v>0</v>
      </c>
      <c r="DW108" s="161">
        <f t="shared" si="111"/>
        <v>0</v>
      </c>
      <c r="DX108" s="161">
        <f t="shared" si="112"/>
        <v>0</v>
      </c>
      <c r="DY108" s="161">
        <f t="shared" si="113"/>
        <v>0</v>
      </c>
      <c r="DZ108" s="161">
        <f t="shared" si="114"/>
        <v>0</v>
      </c>
      <c r="EA108" s="161">
        <f t="shared" si="115"/>
        <v>0</v>
      </c>
      <c r="EB108" s="161">
        <f t="shared" si="116"/>
        <v>0</v>
      </c>
      <c r="EC108" s="161">
        <f t="shared" si="117"/>
        <v>0</v>
      </c>
      <c r="ED108" s="161">
        <f t="shared" si="118"/>
        <v>0</v>
      </c>
      <c r="EE108" s="161">
        <f t="shared" si="119"/>
        <v>0</v>
      </c>
      <c r="EF108" s="161">
        <f t="shared" si="120"/>
        <v>0</v>
      </c>
      <c r="EG108" s="161">
        <f t="shared" si="121"/>
        <v>0</v>
      </c>
      <c r="EH108" s="161">
        <f t="shared" si="122"/>
        <v>0</v>
      </c>
      <c r="EI108" s="161">
        <f t="shared" si="123"/>
        <v>0</v>
      </c>
      <c r="EJ108" s="161">
        <f t="shared" si="124"/>
        <v>0</v>
      </c>
      <c r="EK108" s="147">
        <f t="shared" si="54"/>
        <v>65.104166666666671</v>
      </c>
      <c r="EL108" s="149"/>
      <c r="EN108" s="146"/>
      <c r="EO108" s="146"/>
      <c r="EP108" s="139">
        <f t="shared" si="55"/>
        <v>0</v>
      </c>
      <c r="EQ108" s="139">
        <f t="shared" si="56"/>
        <v>0</v>
      </c>
      <c r="ER108" s="139">
        <f t="shared" si="57"/>
        <v>0</v>
      </c>
      <c r="ES108" s="139">
        <f t="shared" si="58"/>
        <v>0.49521905088259599</v>
      </c>
      <c r="ET108" s="139">
        <f t="shared" si="59"/>
        <v>0</v>
      </c>
      <c r="EU108" s="139">
        <f t="shared" si="60"/>
        <v>0</v>
      </c>
      <c r="EV108" s="139">
        <f t="shared" si="61"/>
        <v>0</v>
      </c>
      <c r="EW108" s="139">
        <f t="shared" si="62"/>
        <v>0</v>
      </c>
      <c r="EX108" s="139">
        <f t="shared" si="63"/>
        <v>0</v>
      </c>
      <c r="EY108" s="139">
        <f t="shared" si="64"/>
        <v>0</v>
      </c>
      <c r="EZ108" s="139">
        <f t="shared" si="65"/>
        <v>0</v>
      </c>
      <c r="FA108" s="139">
        <f t="shared" si="66"/>
        <v>0</v>
      </c>
      <c r="FB108" s="139">
        <f t="shared" si="67"/>
        <v>0</v>
      </c>
      <c r="FC108" s="139">
        <f t="shared" si="68"/>
        <v>0</v>
      </c>
      <c r="FD108" s="139">
        <f t="shared" si="69"/>
        <v>0</v>
      </c>
      <c r="FE108" s="139">
        <f t="shared" si="70"/>
        <v>0</v>
      </c>
      <c r="FF108" s="139">
        <f t="shared" si="71"/>
        <v>0</v>
      </c>
      <c r="FG108" s="139">
        <f t="shared" si="72"/>
        <v>0</v>
      </c>
      <c r="FH108" s="139">
        <f t="shared" si="73"/>
        <v>0</v>
      </c>
      <c r="FI108" s="139">
        <f t="shared" si="74"/>
        <v>0</v>
      </c>
      <c r="FJ108" s="139">
        <f t="shared" si="75"/>
        <v>0</v>
      </c>
      <c r="FK108" s="139">
        <f t="shared" si="76"/>
        <v>0</v>
      </c>
      <c r="FL108" s="139">
        <f t="shared" si="77"/>
        <v>0</v>
      </c>
      <c r="FM108" s="139">
        <f t="shared" si="78"/>
        <v>0</v>
      </c>
      <c r="FN108" s="139">
        <f t="shared" si="79"/>
        <v>0</v>
      </c>
      <c r="FO108" s="139">
        <f t="shared" si="80"/>
        <v>0</v>
      </c>
      <c r="FP108" s="139">
        <f t="shared" si="81"/>
        <v>0</v>
      </c>
      <c r="FQ108" s="139">
        <f t="shared" si="82"/>
        <v>0</v>
      </c>
      <c r="FR108" s="139">
        <f t="shared" si="83"/>
        <v>0</v>
      </c>
      <c r="FS108" s="139">
        <f t="shared" si="84"/>
        <v>0</v>
      </c>
      <c r="FT108" s="139">
        <f t="shared" si="85"/>
        <v>0</v>
      </c>
      <c r="FU108" s="148">
        <f t="shared" si="86"/>
        <v>0.49521905088259599</v>
      </c>
      <c r="FV108" s="149"/>
      <c r="FY108" s="210">
        <v>103</v>
      </c>
      <c r="FZ108" s="205"/>
      <c r="GA108" s="205"/>
      <c r="GB108" s="205"/>
      <c r="GC108" s="205"/>
      <c r="GD108" s="205"/>
      <c r="GE108" s="205"/>
      <c r="GF108" s="205"/>
      <c r="GG108" s="205"/>
      <c r="GH108" s="205"/>
      <c r="GI108" s="205"/>
      <c r="GJ108" s="205"/>
      <c r="GK108" s="205"/>
      <c r="GL108" s="205"/>
      <c r="GM108" s="205"/>
    </row>
    <row r="109" spans="1:195" s="7" customFormat="1">
      <c r="A109" s="1"/>
      <c r="B109" s="76">
        <f t="shared" ca="1" si="49"/>
        <v>0.7314284494256782</v>
      </c>
      <c r="C109">
        <v>9</v>
      </c>
      <c r="D109">
        <v>39714</v>
      </c>
      <c r="E109">
        <v>0</v>
      </c>
      <c r="F109">
        <v>0</v>
      </c>
      <c r="G109">
        <v>0</v>
      </c>
      <c r="H109">
        <v>0</v>
      </c>
      <c r="I109">
        <v>156.25</v>
      </c>
      <c r="J109">
        <v>10.416666666666666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/>
      <c r="AO109"/>
      <c r="AP109"/>
      <c r="AQ109"/>
      <c r="AR109"/>
      <c r="AS109"/>
      <c r="AT109"/>
      <c r="AU109"/>
      <c r="AV109"/>
      <c r="AW109"/>
      <c r="AX109" s="146"/>
      <c r="AY109" s="76">
        <f t="shared" ca="1" si="87"/>
        <v>0.96369368947981404</v>
      </c>
      <c r="AZ109">
        <v>2</v>
      </c>
      <c r="BA109" s="129">
        <f t="shared" ref="BA109:BA117" si="128">IF(AZ109="", "",$C$6)</f>
        <v>39714</v>
      </c>
      <c r="BB109">
        <v>0</v>
      </c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 s="147"/>
      <c r="CH109" s="176"/>
      <c r="CJ109" s="146"/>
      <c r="CK109" s="76">
        <f t="shared" ca="1" si="89"/>
        <v>0.42439296366993084</v>
      </c>
      <c r="CL109" s="179">
        <f t="shared" si="90"/>
        <v>2</v>
      </c>
      <c r="CM109" s="180">
        <f t="shared" si="91"/>
        <v>39714</v>
      </c>
      <c r="CN109"/>
      <c r="CO109"/>
      <c r="CP109"/>
      <c r="CQ109"/>
      <c r="CR109"/>
      <c r="CS109"/>
      <c r="CT109"/>
      <c r="CU109"/>
      <c r="CW109">
        <v>1</v>
      </c>
      <c r="CX109">
        <v>1</v>
      </c>
      <c r="CY109" s="158"/>
      <c r="CZ109" s="177">
        <f t="shared" si="92"/>
        <v>9.6000000000000002E-2</v>
      </c>
      <c r="DB109" s="146"/>
      <c r="DC109" s="76">
        <f t="shared" ca="1" si="50"/>
        <v>0.93715308063057101</v>
      </c>
      <c r="DD109">
        <f t="shared" si="93"/>
        <v>2</v>
      </c>
      <c r="DE109" s="129">
        <f t="shared" si="127"/>
        <v>39714</v>
      </c>
      <c r="DF109" s="161">
        <f t="shared" si="94"/>
        <v>0</v>
      </c>
      <c r="DG109" s="161">
        <f t="shared" si="95"/>
        <v>0</v>
      </c>
      <c r="DH109" s="161">
        <f t="shared" si="96"/>
        <v>0</v>
      </c>
      <c r="DI109" s="161">
        <f t="shared" si="97"/>
        <v>0</v>
      </c>
      <c r="DJ109" s="161">
        <f t="shared" si="98"/>
        <v>0</v>
      </c>
      <c r="DK109" s="161">
        <f t="shared" si="99"/>
        <v>0</v>
      </c>
      <c r="DL109" s="161">
        <f t="shared" si="100"/>
        <v>0</v>
      </c>
      <c r="DM109" s="161">
        <f t="shared" si="101"/>
        <v>0</v>
      </c>
      <c r="DN109" s="161">
        <f t="shared" si="102"/>
        <v>0</v>
      </c>
      <c r="DO109" s="161">
        <f t="shared" si="103"/>
        <v>0</v>
      </c>
      <c r="DP109" s="161">
        <f t="shared" si="104"/>
        <v>0</v>
      </c>
      <c r="DQ109" s="161">
        <f t="shared" si="105"/>
        <v>0</v>
      </c>
      <c r="DR109" s="161">
        <f t="shared" si="106"/>
        <v>0</v>
      </c>
      <c r="DS109" s="161">
        <f t="shared" si="107"/>
        <v>0</v>
      </c>
      <c r="DT109" s="161">
        <f t="shared" si="108"/>
        <v>0</v>
      </c>
      <c r="DU109" s="161">
        <f t="shared" si="109"/>
        <v>0</v>
      </c>
      <c r="DV109" s="161">
        <f t="shared" si="110"/>
        <v>0</v>
      </c>
      <c r="DW109" s="161">
        <f t="shared" si="111"/>
        <v>0</v>
      </c>
      <c r="DX109" s="161">
        <f t="shared" si="112"/>
        <v>0</v>
      </c>
      <c r="DY109" s="161">
        <f t="shared" si="113"/>
        <v>0</v>
      </c>
      <c r="DZ109" s="161">
        <f t="shared" si="114"/>
        <v>0</v>
      </c>
      <c r="EA109" s="161">
        <f t="shared" si="115"/>
        <v>0</v>
      </c>
      <c r="EB109" s="161">
        <f t="shared" si="116"/>
        <v>0</v>
      </c>
      <c r="EC109" s="161">
        <f t="shared" si="117"/>
        <v>0</v>
      </c>
      <c r="ED109" s="161">
        <f t="shared" si="118"/>
        <v>0</v>
      </c>
      <c r="EE109" s="161">
        <f t="shared" si="119"/>
        <v>0</v>
      </c>
      <c r="EF109" s="161">
        <f t="shared" si="120"/>
        <v>0</v>
      </c>
      <c r="EG109" s="161">
        <f t="shared" si="121"/>
        <v>0</v>
      </c>
      <c r="EH109" s="161">
        <f t="shared" si="122"/>
        <v>0</v>
      </c>
      <c r="EI109" s="161">
        <f t="shared" si="123"/>
        <v>0</v>
      </c>
      <c r="EJ109" s="161">
        <f t="shared" si="124"/>
        <v>0</v>
      </c>
      <c r="EK109" s="147">
        <f t="shared" si="54"/>
        <v>0</v>
      </c>
      <c r="EL109" s="149"/>
      <c r="EN109" s="146"/>
      <c r="EO109" s="146"/>
      <c r="EP109" s="139">
        <f t="shared" si="55"/>
        <v>0</v>
      </c>
      <c r="EQ109" s="139">
        <f t="shared" si="56"/>
        <v>0</v>
      </c>
      <c r="ER109" s="139">
        <f t="shared" si="57"/>
        <v>0</v>
      </c>
      <c r="ES109" s="139">
        <f t="shared" si="58"/>
        <v>0</v>
      </c>
      <c r="ET109" s="139">
        <f t="shared" si="59"/>
        <v>0</v>
      </c>
      <c r="EU109" s="139">
        <f t="shared" si="60"/>
        <v>0</v>
      </c>
      <c r="EV109" s="139">
        <f t="shared" si="61"/>
        <v>0</v>
      </c>
      <c r="EW109" s="139">
        <f t="shared" si="62"/>
        <v>0</v>
      </c>
      <c r="EX109" s="139">
        <f t="shared" si="63"/>
        <v>0</v>
      </c>
      <c r="EY109" s="139">
        <f t="shared" si="64"/>
        <v>0</v>
      </c>
      <c r="EZ109" s="139">
        <f t="shared" si="65"/>
        <v>0</v>
      </c>
      <c r="FA109" s="139">
        <f t="shared" si="66"/>
        <v>0</v>
      </c>
      <c r="FB109" s="139">
        <f t="shared" si="67"/>
        <v>0</v>
      </c>
      <c r="FC109" s="139">
        <f t="shared" si="68"/>
        <v>0</v>
      </c>
      <c r="FD109" s="139">
        <f t="shared" si="69"/>
        <v>0</v>
      </c>
      <c r="FE109" s="139">
        <f t="shared" si="70"/>
        <v>0</v>
      </c>
      <c r="FF109" s="139">
        <f t="shared" si="71"/>
        <v>0</v>
      </c>
      <c r="FG109" s="139">
        <f t="shared" si="72"/>
        <v>0</v>
      </c>
      <c r="FH109" s="139">
        <f t="shared" si="73"/>
        <v>0</v>
      </c>
      <c r="FI109" s="139">
        <f t="shared" si="74"/>
        <v>0</v>
      </c>
      <c r="FJ109" s="139">
        <f t="shared" si="75"/>
        <v>0</v>
      </c>
      <c r="FK109" s="139">
        <f t="shared" si="76"/>
        <v>0</v>
      </c>
      <c r="FL109" s="139">
        <f t="shared" si="77"/>
        <v>0</v>
      </c>
      <c r="FM109" s="139">
        <f t="shared" si="78"/>
        <v>0</v>
      </c>
      <c r="FN109" s="139">
        <f t="shared" si="79"/>
        <v>0</v>
      </c>
      <c r="FO109" s="139">
        <f t="shared" si="80"/>
        <v>0</v>
      </c>
      <c r="FP109" s="139">
        <f t="shared" si="81"/>
        <v>0</v>
      </c>
      <c r="FQ109" s="139">
        <f t="shared" si="82"/>
        <v>0</v>
      </c>
      <c r="FR109" s="139">
        <f t="shared" si="83"/>
        <v>0</v>
      </c>
      <c r="FS109" s="139">
        <f t="shared" si="84"/>
        <v>0</v>
      </c>
      <c r="FT109" s="139">
        <f t="shared" si="85"/>
        <v>0</v>
      </c>
      <c r="FU109" s="148">
        <f t="shared" si="86"/>
        <v>0</v>
      </c>
      <c r="FV109" s="149"/>
      <c r="FY109" s="210">
        <v>104</v>
      </c>
      <c r="FZ109" s="205"/>
      <c r="GA109" s="205"/>
      <c r="GB109" s="205"/>
      <c r="GC109" s="205"/>
      <c r="GD109" s="205"/>
      <c r="GE109" s="205"/>
      <c r="GF109" s="205"/>
      <c r="GG109" s="205"/>
      <c r="GH109" s="205"/>
      <c r="GI109" s="205"/>
      <c r="GJ109" s="205"/>
      <c r="GK109" s="205"/>
      <c r="GL109" s="205"/>
      <c r="GM109" s="205"/>
    </row>
    <row r="110" spans="1:195" s="7" customFormat="1">
      <c r="A110" s="1"/>
      <c r="B110" s="76">
        <f t="shared" ca="1" si="49"/>
        <v>0.39697801754203876</v>
      </c>
      <c r="C110">
        <v>3</v>
      </c>
      <c r="D110">
        <v>39714</v>
      </c>
      <c r="E110">
        <v>0</v>
      </c>
      <c r="F110">
        <v>0</v>
      </c>
      <c r="G110">
        <v>0</v>
      </c>
      <c r="H110">
        <v>62.5</v>
      </c>
      <c r="I110">
        <v>145.83333333333334</v>
      </c>
      <c r="J110">
        <v>10.416666666666666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/>
      <c r="AO110"/>
      <c r="AP110"/>
      <c r="AQ110"/>
      <c r="AR110"/>
      <c r="AS110"/>
      <c r="AT110"/>
      <c r="AU110"/>
      <c r="AV110"/>
      <c r="AW110"/>
      <c r="AX110" s="146"/>
      <c r="AY110" s="76">
        <f t="shared" ca="1" si="87"/>
        <v>0.53706073596480142</v>
      </c>
      <c r="AZ110">
        <v>3</v>
      </c>
      <c r="BA110" s="129">
        <f t="shared" si="128"/>
        <v>39714</v>
      </c>
      <c r="BB110">
        <v>0</v>
      </c>
      <c r="BC110"/>
      <c r="BD110"/>
      <c r="BE110">
        <v>1</v>
      </c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 s="147"/>
      <c r="CH110" s="176"/>
      <c r="CJ110" s="146"/>
      <c r="CK110" s="76">
        <f t="shared" ca="1" si="89"/>
        <v>0.20998842976000742</v>
      </c>
      <c r="CL110" s="179">
        <f t="shared" si="90"/>
        <v>3</v>
      </c>
      <c r="CM110" s="180">
        <f t="shared" si="91"/>
        <v>39714</v>
      </c>
      <c r="CN110">
        <v>0</v>
      </c>
      <c r="CO110">
        <v>6</v>
      </c>
      <c r="CP110">
        <v>2</v>
      </c>
      <c r="CQ110">
        <v>1</v>
      </c>
      <c r="CR110"/>
      <c r="CS110"/>
      <c r="CT110"/>
      <c r="CU110"/>
      <c r="CW110">
        <v>1</v>
      </c>
      <c r="CX110">
        <f>300/32</f>
        <v>9.375</v>
      </c>
      <c r="CY110" s="158"/>
      <c r="CZ110" s="177">
        <f t="shared" si="92"/>
        <v>9.6000000000000002E-2</v>
      </c>
      <c r="DB110" s="146"/>
      <c r="DC110" s="76">
        <f t="shared" ca="1" si="50"/>
        <v>0.60598384918667669</v>
      </c>
      <c r="DD110">
        <f t="shared" si="93"/>
        <v>3</v>
      </c>
      <c r="DE110" s="129">
        <f t="shared" si="127"/>
        <v>39714</v>
      </c>
      <c r="DF110" s="161">
        <f t="shared" si="94"/>
        <v>0</v>
      </c>
      <c r="DG110" s="161">
        <f t="shared" si="95"/>
        <v>585.9375</v>
      </c>
      <c r="DH110" s="161">
        <f t="shared" si="96"/>
        <v>195.3125</v>
      </c>
      <c r="DI110" s="161">
        <f t="shared" si="97"/>
        <v>108.07291666666667</v>
      </c>
      <c r="DJ110" s="161">
        <f t="shared" si="98"/>
        <v>0</v>
      </c>
      <c r="DK110" s="161">
        <f t="shared" si="99"/>
        <v>0</v>
      </c>
      <c r="DL110" s="161">
        <f t="shared" si="100"/>
        <v>0</v>
      </c>
      <c r="DM110" s="161">
        <f t="shared" si="101"/>
        <v>0</v>
      </c>
      <c r="DN110" s="161">
        <f t="shared" si="102"/>
        <v>0</v>
      </c>
      <c r="DO110" s="161">
        <f t="shared" si="103"/>
        <v>0</v>
      </c>
      <c r="DP110" s="161">
        <f t="shared" si="104"/>
        <v>0</v>
      </c>
      <c r="DQ110" s="161">
        <f t="shared" si="105"/>
        <v>0</v>
      </c>
      <c r="DR110" s="161">
        <f t="shared" si="106"/>
        <v>0</v>
      </c>
      <c r="DS110" s="161">
        <f t="shared" si="107"/>
        <v>0</v>
      </c>
      <c r="DT110" s="161">
        <f t="shared" si="108"/>
        <v>0</v>
      </c>
      <c r="DU110" s="161">
        <f t="shared" si="109"/>
        <v>0</v>
      </c>
      <c r="DV110" s="161">
        <f t="shared" si="110"/>
        <v>0</v>
      </c>
      <c r="DW110" s="161">
        <f t="shared" si="111"/>
        <v>0</v>
      </c>
      <c r="DX110" s="161">
        <f t="shared" si="112"/>
        <v>0</v>
      </c>
      <c r="DY110" s="161">
        <f t="shared" si="113"/>
        <v>0</v>
      </c>
      <c r="DZ110" s="161">
        <f t="shared" si="114"/>
        <v>0</v>
      </c>
      <c r="EA110" s="161">
        <f t="shared" si="115"/>
        <v>0</v>
      </c>
      <c r="EB110" s="161">
        <f t="shared" si="116"/>
        <v>0</v>
      </c>
      <c r="EC110" s="161">
        <f t="shared" si="117"/>
        <v>0</v>
      </c>
      <c r="ED110" s="161">
        <f t="shared" si="118"/>
        <v>0</v>
      </c>
      <c r="EE110" s="161">
        <f t="shared" si="119"/>
        <v>0</v>
      </c>
      <c r="EF110" s="161">
        <f t="shared" si="120"/>
        <v>0</v>
      </c>
      <c r="EG110" s="161">
        <f t="shared" si="121"/>
        <v>0</v>
      </c>
      <c r="EH110" s="161">
        <f t="shared" si="122"/>
        <v>0</v>
      </c>
      <c r="EI110" s="161">
        <f t="shared" si="123"/>
        <v>0</v>
      </c>
      <c r="EJ110" s="161">
        <f t="shared" si="124"/>
        <v>0</v>
      </c>
      <c r="EK110" s="147">
        <f t="shared" si="54"/>
        <v>889.32291666666663</v>
      </c>
      <c r="EL110" s="149"/>
      <c r="EN110" s="146"/>
      <c r="EO110" s="146"/>
      <c r="EP110" s="139">
        <f t="shared" si="55"/>
        <v>0</v>
      </c>
      <c r="EQ110" s="139">
        <f t="shared" si="56"/>
        <v>1.4062499999999998</v>
      </c>
      <c r="ER110" s="139">
        <f t="shared" si="57"/>
        <v>0.97056086610129133</v>
      </c>
      <c r="ES110" s="139">
        <f t="shared" si="58"/>
        <v>0.82206362446510928</v>
      </c>
      <c r="ET110" s="139">
        <f t="shared" si="59"/>
        <v>0</v>
      </c>
      <c r="EU110" s="139">
        <f t="shared" si="60"/>
        <v>0</v>
      </c>
      <c r="EV110" s="139">
        <f t="shared" si="61"/>
        <v>0</v>
      </c>
      <c r="EW110" s="139">
        <f t="shared" si="62"/>
        <v>0</v>
      </c>
      <c r="EX110" s="139">
        <f t="shared" si="63"/>
        <v>0</v>
      </c>
      <c r="EY110" s="139">
        <f t="shared" si="64"/>
        <v>0</v>
      </c>
      <c r="EZ110" s="139">
        <f t="shared" si="65"/>
        <v>0</v>
      </c>
      <c r="FA110" s="139">
        <f t="shared" si="66"/>
        <v>0</v>
      </c>
      <c r="FB110" s="139">
        <f t="shared" si="67"/>
        <v>0</v>
      </c>
      <c r="FC110" s="139">
        <f t="shared" si="68"/>
        <v>0</v>
      </c>
      <c r="FD110" s="139">
        <f t="shared" si="69"/>
        <v>0</v>
      </c>
      <c r="FE110" s="139">
        <f t="shared" si="70"/>
        <v>0</v>
      </c>
      <c r="FF110" s="139">
        <f t="shared" si="71"/>
        <v>0</v>
      </c>
      <c r="FG110" s="139">
        <f t="shared" si="72"/>
        <v>0</v>
      </c>
      <c r="FH110" s="139">
        <f t="shared" si="73"/>
        <v>0</v>
      </c>
      <c r="FI110" s="139">
        <f t="shared" si="74"/>
        <v>0</v>
      </c>
      <c r="FJ110" s="139">
        <f t="shared" si="75"/>
        <v>0</v>
      </c>
      <c r="FK110" s="139">
        <f t="shared" si="76"/>
        <v>0</v>
      </c>
      <c r="FL110" s="139">
        <f t="shared" si="77"/>
        <v>0</v>
      </c>
      <c r="FM110" s="139">
        <f t="shared" si="78"/>
        <v>0</v>
      </c>
      <c r="FN110" s="139">
        <f t="shared" si="79"/>
        <v>0</v>
      </c>
      <c r="FO110" s="139">
        <f t="shared" si="80"/>
        <v>0</v>
      </c>
      <c r="FP110" s="139">
        <f t="shared" si="81"/>
        <v>0</v>
      </c>
      <c r="FQ110" s="139">
        <f t="shared" si="82"/>
        <v>0</v>
      </c>
      <c r="FR110" s="139">
        <f t="shared" si="83"/>
        <v>0</v>
      </c>
      <c r="FS110" s="139">
        <f t="shared" si="84"/>
        <v>0</v>
      </c>
      <c r="FT110" s="139">
        <f t="shared" si="85"/>
        <v>0</v>
      </c>
      <c r="FU110" s="148">
        <f t="shared" si="86"/>
        <v>3.1988744905664004</v>
      </c>
      <c r="FV110" s="149"/>
      <c r="FY110" s="210">
        <v>105</v>
      </c>
      <c r="FZ110" s="205"/>
      <c r="GA110" s="205"/>
      <c r="GB110" s="205"/>
      <c r="GC110" s="205"/>
      <c r="GD110" s="205"/>
      <c r="GE110" s="205"/>
      <c r="GF110" s="205"/>
      <c r="GG110" s="205"/>
      <c r="GH110" s="205"/>
      <c r="GI110" s="205"/>
      <c r="GJ110" s="205"/>
      <c r="GK110" s="205"/>
      <c r="GL110" s="205"/>
      <c r="GM110" s="205"/>
    </row>
    <row r="111" spans="1:195" s="7" customFormat="1">
      <c r="A111" s="1"/>
      <c r="B111" s="76">
        <f t="shared" ca="1" si="49"/>
        <v>0.95786790007934108</v>
      </c>
      <c r="C111">
        <v>10</v>
      </c>
      <c r="D111">
        <v>39714</v>
      </c>
      <c r="E111">
        <v>0</v>
      </c>
      <c r="F111">
        <v>0</v>
      </c>
      <c r="G111">
        <v>0</v>
      </c>
      <c r="H111">
        <v>41.666666666666664</v>
      </c>
      <c r="I111">
        <v>156.25</v>
      </c>
      <c r="J111">
        <v>10.416666666666666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/>
      <c r="AO111"/>
      <c r="AP111"/>
      <c r="AQ111"/>
      <c r="AR111"/>
      <c r="AS111"/>
      <c r="AT111"/>
      <c r="AU111"/>
      <c r="AV111"/>
      <c r="AW111"/>
      <c r="AX111" s="146"/>
      <c r="AY111" s="76">
        <f t="shared" ca="1" si="87"/>
        <v>0.47997258890348782</v>
      </c>
      <c r="AZ111">
        <v>4</v>
      </c>
      <c r="BA111" s="129">
        <f t="shared" si="128"/>
        <v>39714</v>
      </c>
      <c r="BB111">
        <v>0</v>
      </c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 s="147"/>
      <c r="CH111" s="176"/>
      <c r="CJ111" s="146"/>
      <c r="CK111" s="76">
        <f t="shared" ca="1" si="89"/>
        <v>0.42955396439318494</v>
      </c>
      <c r="CL111" s="179">
        <f t="shared" si="90"/>
        <v>4</v>
      </c>
      <c r="CM111" s="180">
        <f t="shared" si="91"/>
        <v>39714</v>
      </c>
      <c r="CN111"/>
      <c r="CO111"/>
      <c r="CP111"/>
      <c r="CQ111"/>
      <c r="CR111"/>
      <c r="CS111"/>
      <c r="CT111"/>
      <c r="CU111"/>
      <c r="CW111">
        <v>1</v>
      </c>
      <c r="CX111">
        <v>1</v>
      </c>
      <c r="CY111" s="158"/>
      <c r="CZ111" s="177">
        <f t="shared" si="92"/>
        <v>9.6000000000000002E-2</v>
      </c>
      <c r="DB111" s="146"/>
      <c r="DC111" s="76">
        <f t="shared" ca="1" si="50"/>
        <v>0.33139774749108408</v>
      </c>
      <c r="DD111">
        <f t="shared" si="93"/>
        <v>4</v>
      </c>
      <c r="DE111" s="129">
        <f t="shared" si="127"/>
        <v>39714</v>
      </c>
      <c r="DF111" s="161">
        <f t="shared" si="94"/>
        <v>0</v>
      </c>
      <c r="DG111" s="161">
        <f t="shared" si="95"/>
        <v>0</v>
      </c>
      <c r="DH111" s="161">
        <f t="shared" si="96"/>
        <v>0</v>
      </c>
      <c r="DI111" s="161">
        <f t="shared" si="97"/>
        <v>0</v>
      </c>
      <c r="DJ111" s="161">
        <f t="shared" si="98"/>
        <v>0</v>
      </c>
      <c r="DK111" s="161">
        <f t="shared" si="99"/>
        <v>0</v>
      </c>
      <c r="DL111" s="161">
        <f t="shared" si="100"/>
        <v>0</v>
      </c>
      <c r="DM111" s="161">
        <f t="shared" si="101"/>
        <v>0</v>
      </c>
      <c r="DN111" s="161">
        <f t="shared" si="102"/>
        <v>0</v>
      </c>
      <c r="DO111" s="161">
        <f t="shared" si="103"/>
        <v>0</v>
      </c>
      <c r="DP111" s="161">
        <f t="shared" si="104"/>
        <v>0</v>
      </c>
      <c r="DQ111" s="161">
        <f t="shared" si="105"/>
        <v>0</v>
      </c>
      <c r="DR111" s="161">
        <f t="shared" si="106"/>
        <v>0</v>
      </c>
      <c r="DS111" s="161">
        <f t="shared" si="107"/>
        <v>0</v>
      </c>
      <c r="DT111" s="161">
        <f t="shared" si="108"/>
        <v>0</v>
      </c>
      <c r="DU111" s="161">
        <f t="shared" si="109"/>
        <v>0</v>
      </c>
      <c r="DV111" s="161">
        <f t="shared" si="110"/>
        <v>0</v>
      </c>
      <c r="DW111" s="161">
        <f t="shared" si="111"/>
        <v>0</v>
      </c>
      <c r="DX111" s="161">
        <f t="shared" si="112"/>
        <v>0</v>
      </c>
      <c r="DY111" s="161">
        <f t="shared" si="113"/>
        <v>0</v>
      </c>
      <c r="DZ111" s="161">
        <f t="shared" si="114"/>
        <v>0</v>
      </c>
      <c r="EA111" s="161">
        <f t="shared" si="115"/>
        <v>0</v>
      </c>
      <c r="EB111" s="161">
        <f t="shared" si="116"/>
        <v>0</v>
      </c>
      <c r="EC111" s="161">
        <f t="shared" si="117"/>
        <v>0</v>
      </c>
      <c r="ED111" s="161">
        <f t="shared" si="118"/>
        <v>0</v>
      </c>
      <c r="EE111" s="161">
        <f t="shared" si="119"/>
        <v>0</v>
      </c>
      <c r="EF111" s="161">
        <f t="shared" si="120"/>
        <v>0</v>
      </c>
      <c r="EG111" s="161">
        <f t="shared" si="121"/>
        <v>0</v>
      </c>
      <c r="EH111" s="161">
        <f t="shared" si="122"/>
        <v>0</v>
      </c>
      <c r="EI111" s="161">
        <f t="shared" si="123"/>
        <v>0</v>
      </c>
      <c r="EJ111" s="161">
        <f t="shared" si="124"/>
        <v>0</v>
      </c>
      <c r="EK111" s="147">
        <f t="shared" si="54"/>
        <v>0</v>
      </c>
      <c r="EL111" s="149"/>
      <c r="EN111" s="146"/>
      <c r="EO111" s="146"/>
      <c r="EP111" s="139">
        <f t="shared" si="55"/>
        <v>0</v>
      </c>
      <c r="EQ111" s="139">
        <f t="shared" si="56"/>
        <v>0</v>
      </c>
      <c r="ER111" s="139">
        <f t="shared" si="57"/>
        <v>0</v>
      </c>
      <c r="ES111" s="139">
        <f t="shared" si="58"/>
        <v>0</v>
      </c>
      <c r="ET111" s="139">
        <f t="shared" si="59"/>
        <v>0</v>
      </c>
      <c r="EU111" s="139">
        <f t="shared" si="60"/>
        <v>0</v>
      </c>
      <c r="EV111" s="139">
        <f t="shared" si="61"/>
        <v>0</v>
      </c>
      <c r="EW111" s="139">
        <f t="shared" si="62"/>
        <v>0</v>
      </c>
      <c r="EX111" s="139">
        <f t="shared" si="63"/>
        <v>0</v>
      </c>
      <c r="EY111" s="139">
        <f t="shared" si="64"/>
        <v>0</v>
      </c>
      <c r="EZ111" s="139">
        <f t="shared" si="65"/>
        <v>0</v>
      </c>
      <c r="FA111" s="139">
        <f t="shared" si="66"/>
        <v>0</v>
      </c>
      <c r="FB111" s="139">
        <f t="shared" si="67"/>
        <v>0</v>
      </c>
      <c r="FC111" s="139">
        <f t="shared" si="68"/>
        <v>0</v>
      </c>
      <c r="FD111" s="139">
        <f t="shared" si="69"/>
        <v>0</v>
      </c>
      <c r="FE111" s="139">
        <f t="shared" si="70"/>
        <v>0</v>
      </c>
      <c r="FF111" s="139">
        <f t="shared" si="71"/>
        <v>0</v>
      </c>
      <c r="FG111" s="139">
        <f t="shared" si="72"/>
        <v>0</v>
      </c>
      <c r="FH111" s="139">
        <f t="shared" si="73"/>
        <v>0</v>
      </c>
      <c r="FI111" s="139">
        <f t="shared" si="74"/>
        <v>0</v>
      </c>
      <c r="FJ111" s="139">
        <f t="shared" si="75"/>
        <v>0</v>
      </c>
      <c r="FK111" s="139">
        <f t="shared" si="76"/>
        <v>0</v>
      </c>
      <c r="FL111" s="139">
        <f t="shared" si="77"/>
        <v>0</v>
      </c>
      <c r="FM111" s="139">
        <f t="shared" si="78"/>
        <v>0</v>
      </c>
      <c r="FN111" s="139">
        <f t="shared" si="79"/>
        <v>0</v>
      </c>
      <c r="FO111" s="139">
        <f t="shared" si="80"/>
        <v>0</v>
      </c>
      <c r="FP111" s="139">
        <f t="shared" si="81"/>
        <v>0</v>
      </c>
      <c r="FQ111" s="139">
        <f t="shared" si="82"/>
        <v>0</v>
      </c>
      <c r="FR111" s="139">
        <f t="shared" si="83"/>
        <v>0</v>
      </c>
      <c r="FS111" s="139">
        <f t="shared" si="84"/>
        <v>0</v>
      </c>
      <c r="FT111" s="139">
        <f t="shared" si="85"/>
        <v>0</v>
      </c>
      <c r="FU111" s="148">
        <f t="shared" si="86"/>
        <v>0</v>
      </c>
      <c r="FV111" s="149"/>
      <c r="FY111" s="210">
        <v>106</v>
      </c>
      <c r="FZ111" s="205"/>
      <c r="GA111" s="205"/>
      <c r="GB111" s="205"/>
      <c r="GC111" s="205"/>
      <c r="GD111" s="205"/>
      <c r="GE111" s="205"/>
      <c r="GF111" s="205"/>
      <c r="GG111" s="205"/>
      <c r="GH111" s="205"/>
      <c r="GI111" s="205"/>
      <c r="GJ111" s="205"/>
      <c r="GK111" s="205"/>
      <c r="GL111" s="205"/>
      <c r="GM111" s="205"/>
    </row>
    <row r="112" spans="1:195" s="7" customFormat="1">
      <c r="A112" s="1"/>
      <c r="B112" s="76">
        <f t="shared" ca="1" si="49"/>
        <v>0.13023712419101585</v>
      </c>
      <c r="C112">
        <v>4</v>
      </c>
      <c r="D112">
        <v>39714</v>
      </c>
      <c r="E112">
        <v>0</v>
      </c>
      <c r="F112">
        <v>0</v>
      </c>
      <c r="G112">
        <v>0</v>
      </c>
      <c r="H112">
        <v>52.083333333333336</v>
      </c>
      <c r="I112">
        <v>83.333333333333329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/>
      <c r="AO112"/>
      <c r="AP112"/>
      <c r="AQ112"/>
      <c r="AR112"/>
      <c r="AS112"/>
      <c r="AT112"/>
      <c r="AU112"/>
      <c r="AV112"/>
      <c r="AW112"/>
      <c r="AX112" s="146"/>
      <c r="AY112" s="76">
        <f t="shared" ca="1" si="87"/>
        <v>0.15771025386835902</v>
      </c>
      <c r="AZ112">
        <v>5</v>
      </c>
      <c r="BA112" s="129">
        <f t="shared" si="128"/>
        <v>39714</v>
      </c>
      <c r="BB112">
        <v>0</v>
      </c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 s="147"/>
      <c r="CH112" s="176"/>
      <c r="CJ112" s="146"/>
      <c r="CK112" s="76">
        <f t="shared" ca="1" si="89"/>
        <v>0.49606025209507143</v>
      </c>
      <c r="CL112" s="179">
        <f t="shared" si="90"/>
        <v>5</v>
      </c>
      <c r="CM112" s="180">
        <f t="shared" si="91"/>
        <v>39714</v>
      </c>
      <c r="CN112"/>
      <c r="CO112"/>
      <c r="CP112"/>
      <c r="CQ112"/>
      <c r="CR112"/>
      <c r="CS112"/>
      <c r="CT112"/>
      <c r="CU112"/>
      <c r="CW112">
        <v>1</v>
      </c>
      <c r="CX112">
        <v>1</v>
      </c>
      <c r="CY112" s="158"/>
      <c r="CZ112" s="177">
        <f t="shared" si="92"/>
        <v>9.6000000000000002E-2</v>
      </c>
      <c r="DB112" s="146"/>
      <c r="DC112" s="76">
        <f t="shared" ca="1" si="50"/>
        <v>6.0451520727413444E-2</v>
      </c>
      <c r="DD112">
        <f t="shared" si="93"/>
        <v>5</v>
      </c>
      <c r="DE112" s="129">
        <f t="shared" si="127"/>
        <v>39714</v>
      </c>
      <c r="DF112" s="161">
        <f t="shared" si="94"/>
        <v>0</v>
      </c>
      <c r="DG112" s="161">
        <f t="shared" si="95"/>
        <v>0</v>
      </c>
      <c r="DH112" s="161">
        <f t="shared" si="96"/>
        <v>0</v>
      </c>
      <c r="DI112" s="161">
        <f t="shared" si="97"/>
        <v>0</v>
      </c>
      <c r="DJ112" s="161">
        <f t="shared" si="98"/>
        <v>0</v>
      </c>
      <c r="DK112" s="161">
        <f t="shared" si="99"/>
        <v>0</v>
      </c>
      <c r="DL112" s="161">
        <f t="shared" si="100"/>
        <v>0</v>
      </c>
      <c r="DM112" s="161">
        <f t="shared" si="101"/>
        <v>0</v>
      </c>
      <c r="DN112" s="161">
        <f t="shared" si="102"/>
        <v>0</v>
      </c>
      <c r="DO112" s="161">
        <f t="shared" si="103"/>
        <v>0</v>
      </c>
      <c r="DP112" s="161">
        <f t="shared" si="104"/>
        <v>0</v>
      </c>
      <c r="DQ112" s="161">
        <f t="shared" si="105"/>
        <v>0</v>
      </c>
      <c r="DR112" s="161">
        <f t="shared" si="106"/>
        <v>0</v>
      </c>
      <c r="DS112" s="161">
        <f t="shared" si="107"/>
        <v>0</v>
      </c>
      <c r="DT112" s="161">
        <f t="shared" si="108"/>
        <v>0</v>
      </c>
      <c r="DU112" s="161">
        <f t="shared" si="109"/>
        <v>0</v>
      </c>
      <c r="DV112" s="161">
        <f t="shared" si="110"/>
        <v>0</v>
      </c>
      <c r="DW112" s="161">
        <f t="shared" si="111"/>
        <v>0</v>
      </c>
      <c r="DX112" s="161">
        <f t="shared" si="112"/>
        <v>0</v>
      </c>
      <c r="DY112" s="161">
        <f t="shared" si="113"/>
        <v>0</v>
      </c>
      <c r="DZ112" s="161">
        <f t="shared" si="114"/>
        <v>0</v>
      </c>
      <c r="EA112" s="161">
        <f t="shared" si="115"/>
        <v>0</v>
      </c>
      <c r="EB112" s="161">
        <f t="shared" si="116"/>
        <v>0</v>
      </c>
      <c r="EC112" s="161">
        <f t="shared" si="117"/>
        <v>0</v>
      </c>
      <c r="ED112" s="161">
        <f t="shared" si="118"/>
        <v>0</v>
      </c>
      <c r="EE112" s="161">
        <f t="shared" si="119"/>
        <v>0</v>
      </c>
      <c r="EF112" s="161">
        <f t="shared" si="120"/>
        <v>0</v>
      </c>
      <c r="EG112" s="161">
        <f t="shared" si="121"/>
        <v>0</v>
      </c>
      <c r="EH112" s="161">
        <f t="shared" si="122"/>
        <v>0</v>
      </c>
      <c r="EI112" s="161">
        <f t="shared" si="123"/>
        <v>0</v>
      </c>
      <c r="EJ112" s="161">
        <f t="shared" si="124"/>
        <v>0</v>
      </c>
      <c r="EK112" s="147">
        <f t="shared" si="54"/>
        <v>0</v>
      </c>
      <c r="EL112" s="149"/>
      <c r="EN112" s="146"/>
      <c r="EO112" s="146"/>
      <c r="EP112" s="139">
        <f t="shared" si="55"/>
        <v>0</v>
      </c>
      <c r="EQ112" s="139">
        <f t="shared" si="56"/>
        <v>0</v>
      </c>
      <c r="ER112" s="139">
        <f t="shared" si="57"/>
        <v>0</v>
      </c>
      <c r="ES112" s="139">
        <f t="shared" si="58"/>
        <v>0</v>
      </c>
      <c r="ET112" s="139">
        <f t="shared" si="59"/>
        <v>0</v>
      </c>
      <c r="EU112" s="139">
        <f t="shared" si="60"/>
        <v>0</v>
      </c>
      <c r="EV112" s="139">
        <f t="shared" si="61"/>
        <v>0</v>
      </c>
      <c r="EW112" s="139">
        <f t="shared" si="62"/>
        <v>0</v>
      </c>
      <c r="EX112" s="139">
        <f t="shared" si="63"/>
        <v>0</v>
      </c>
      <c r="EY112" s="139">
        <f t="shared" si="64"/>
        <v>0</v>
      </c>
      <c r="EZ112" s="139">
        <f t="shared" si="65"/>
        <v>0</v>
      </c>
      <c r="FA112" s="139">
        <f t="shared" si="66"/>
        <v>0</v>
      </c>
      <c r="FB112" s="139">
        <f t="shared" si="67"/>
        <v>0</v>
      </c>
      <c r="FC112" s="139">
        <f t="shared" si="68"/>
        <v>0</v>
      </c>
      <c r="FD112" s="139">
        <f t="shared" si="69"/>
        <v>0</v>
      </c>
      <c r="FE112" s="139">
        <f t="shared" si="70"/>
        <v>0</v>
      </c>
      <c r="FF112" s="139">
        <f t="shared" si="71"/>
        <v>0</v>
      </c>
      <c r="FG112" s="139">
        <f t="shared" si="72"/>
        <v>0</v>
      </c>
      <c r="FH112" s="139">
        <f t="shared" si="73"/>
        <v>0</v>
      </c>
      <c r="FI112" s="139">
        <f t="shared" si="74"/>
        <v>0</v>
      </c>
      <c r="FJ112" s="139">
        <f t="shared" si="75"/>
        <v>0</v>
      </c>
      <c r="FK112" s="139">
        <f t="shared" si="76"/>
        <v>0</v>
      </c>
      <c r="FL112" s="139">
        <f t="shared" si="77"/>
        <v>0</v>
      </c>
      <c r="FM112" s="139">
        <f t="shared" si="78"/>
        <v>0</v>
      </c>
      <c r="FN112" s="139">
        <f t="shared" si="79"/>
        <v>0</v>
      </c>
      <c r="FO112" s="139">
        <f t="shared" si="80"/>
        <v>0</v>
      </c>
      <c r="FP112" s="139">
        <f t="shared" si="81"/>
        <v>0</v>
      </c>
      <c r="FQ112" s="139">
        <f t="shared" si="82"/>
        <v>0</v>
      </c>
      <c r="FR112" s="139">
        <f t="shared" si="83"/>
        <v>0</v>
      </c>
      <c r="FS112" s="139">
        <f t="shared" si="84"/>
        <v>0</v>
      </c>
      <c r="FT112" s="139">
        <f t="shared" si="85"/>
        <v>0</v>
      </c>
      <c r="FU112" s="148">
        <f t="shared" si="86"/>
        <v>0</v>
      </c>
      <c r="FV112" s="149"/>
      <c r="FY112" s="210">
        <v>107</v>
      </c>
      <c r="FZ112" s="205"/>
      <c r="GA112" s="205"/>
      <c r="GB112" s="205"/>
      <c r="GC112" s="205"/>
      <c r="GD112" s="205"/>
      <c r="GE112" s="205"/>
      <c r="GF112" s="205"/>
      <c r="GG112" s="205"/>
      <c r="GH112" s="205"/>
      <c r="GI112" s="205"/>
      <c r="GJ112" s="205"/>
      <c r="GK112" s="205"/>
      <c r="GL112" s="205"/>
      <c r="GM112" s="205"/>
    </row>
    <row r="113" spans="1:195" s="7" customFormat="1">
      <c r="A113" s="1"/>
      <c r="B113" s="76">
        <f t="shared" ca="1" si="49"/>
        <v>0.47596297552151956</v>
      </c>
      <c r="C113">
        <v>2</v>
      </c>
      <c r="D113">
        <v>39714</v>
      </c>
      <c r="E113">
        <v>0</v>
      </c>
      <c r="F113">
        <v>0</v>
      </c>
      <c r="G113">
        <v>0</v>
      </c>
      <c r="H113">
        <v>10.416666666666666</v>
      </c>
      <c r="I113">
        <v>41.666666666666664</v>
      </c>
      <c r="J113">
        <v>10.416666666666666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/>
      <c r="AO113"/>
      <c r="AP113"/>
      <c r="AQ113"/>
      <c r="AR113"/>
      <c r="AS113"/>
      <c r="AT113"/>
      <c r="AU113"/>
      <c r="AV113"/>
      <c r="AW113"/>
      <c r="AX113" s="146"/>
      <c r="AY113" s="76">
        <f t="shared" ca="1" si="87"/>
        <v>0.7630035183166497</v>
      </c>
      <c r="AZ113">
        <v>6</v>
      </c>
      <c r="BA113" s="129">
        <f t="shared" si="128"/>
        <v>39714</v>
      </c>
      <c r="BB113">
        <v>0</v>
      </c>
      <c r="BC113"/>
      <c r="BD113"/>
      <c r="BE113">
        <v>1</v>
      </c>
      <c r="BF113"/>
      <c r="BG113"/>
      <c r="BH113">
        <v>1</v>
      </c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 s="147"/>
      <c r="CH113" s="176"/>
      <c r="CJ113" s="146"/>
      <c r="CK113" s="76">
        <f t="shared" ca="1" si="89"/>
        <v>0.61451460578592365</v>
      </c>
      <c r="CL113" s="179">
        <f t="shared" si="90"/>
        <v>6</v>
      </c>
      <c r="CM113" s="180">
        <f t="shared" si="91"/>
        <v>39714</v>
      </c>
      <c r="CN113"/>
      <c r="CO113"/>
      <c r="CP113"/>
      <c r="CQ113"/>
      <c r="CR113"/>
      <c r="CS113"/>
      <c r="CT113"/>
      <c r="CU113"/>
      <c r="CV113" s="160"/>
      <c r="CW113">
        <v>1</v>
      </c>
      <c r="CX113">
        <v>1</v>
      </c>
      <c r="CY113" s="164"/>
      <c r="CZ113" s="177">
        <f t="shared" si="92"/>
        <v>9.6000000000000002E-2</v>
      </c>
      <c r="DB113" s="146"/>
      <c r="DC113" s="76">
        <f t="shared" ca="1" si="50"/>
        <v>0.48108728703392156</v>
      </c>
      <c r="DD113">
        <f t="shared" si="93"/>
        <v>6</v>
      </c>
      <c r="DE113" s="129">
        <f t="shared" si="127"/>
        <v>39714</v>
      </c>
      <c r="DF113" s="161">
        <f t="shared" si="94"/>
        <v>0</v>
      </c>
      <c r="DG113" s="161">
        <f t="shared" si="95"/>
        <v>0</v>
      </c>
      <c r="DH113" s="161">
        <f t="shared" si="96"/>
        <v>0</v>
      </c>
      <c r="DI113" s="161">
        <f t="shared" si="97"/>
        <v>10.416666666666666</v>
      </c>
      <c r="DJ113" s="161">
        <f t="shared" si="98"/>
        <v>0</v>
      </c>
      <c r="DK113" s="161">
        <f t="shared" si="99"/>
        <v>0</v>
      </c>
      <c r="DL113" s="161">
        <f t="shared" si="100"/>
        <v>10.416666666666666</v>
      </c>
      <c r="DM113" s="161">
        <f t="shared" si="101"/>
        <v>0</v>
      </c>
      <c r="DN113" s="161">
        <f t="shared" si="102"/>
        <v>0</v>
      </c>
      <c r="DO113" s="161">
        <f t="shared" si="103"/>
        <v>0</v>
      </c>
      <c r="DP113" s="161">
        <f t="shared" si="104"/>
        <v>0</v>
      </c>
      <c r="DQ113" s="161">
        <f t="shared" si="105"/>
        <v>0</v>
      </c>
      <c r="DR113" s="161">
        <f t="shared" si="106"/>
        <v>0</v>
      </c>
      <c r="DS113" s="161">
        <f t="shared" si="107"/>
        <v>0</v>
      </c>
      <c r="DT113" s="161">
        <f t="shared" si="108"/>
        <v>0</v>
      </c>
      <c r="DU113" s="161">
        <f t="shared" si="109"/>
        <v>0</v>
      </c>
      <c r="DV113" s="161">
        <f t="shared" si="110"/>
        <v>0</v>
      </c>
      <c r="DW113" s="161">
        <f t="shared" si="111"/>
        <v>0</v>
      </c>
      <c r="DX113" s="161">
        <f t="shared" si="112"/>
        <v>0</v>
      </c>
      <c r="DY113" s="161">
        <f t="shared" si="113"/>
        <v>0</v>
      </c>
      <c r="DZ113" s="161">
        <f t="shared" si="114"/>
        <v>0</v>
      </c>
      <c r="EA113" s="161">
        <f t="shared" si="115"/>
        <v>0</v>
      </c>
      <c r="EB113" s="161">
        <f t="shared" si="116"/>
        <v>0</v>
      </c>
      <c r="EC113" s="161">
        <f t="shared" si="117"/>
        <v>0</v>
      </c>
      <c r="ED113" s="161">
        <f t="shared" si="118"/>
        <v>0</v>
      </c>
      <c r="EE113" s="161">
        <f t="shared" si="119"/>
        <v>0</v>
      </c>
      <c r="EF113" s="161">
        <f t="shared" si="120"/>
        <v>0</v>
      </c>
      <c r="EG113" s="161">
        <f t="shared" si="121"/>
        <v>0</v>
      </c>
      <c r="EH113" s="161">
        <f t="shared" si="122"/>
        <v>0</v>
      </c>
      <c r="EI113" s="161">
        <f t="shared" si="123"/>
        <v>0</v>
      </c>
      <c r="EJ113" s="161">
        <f t="shared" si="124"/>
        <v>0</v>
      </c>
      <c r="EK113" s="147">
        <f t="shared" si="54"/>
        <v>20.833333333333332</v>
      </c>
      <c r="EL113" s="149"/>
      <c r="EN113" s="146"/>
      <c r="EO113" s="146"/>
      <c r="EP113" s="139">
        <f t="shared" si="55"/>
        <v>0</v>
      </c>
      <c r="EQ113" s="139">
        <f t="shared" si="56"/>
        <v>0</v>
      </c>
      <c r="ER113" s="139">
        <f t="shared" si="57"/>
        <v>0</v>
      </c>
      <c r="ES113" s="139">
        <f t="shared" si="58"/>
        <v>7.9235048141215347E-2</v>
      </c>
      <c r="ET113" s="139">
        <f t="shared" si="59"/>
        <v>0</v>
      </c>
      <c r="EU113" s="139">
        <f t="shared" si="60"/>
        <v>0</v>
      </c>
      <c r="EV113" s="139">
        <f t="shared" si="61"/>
        <v>0.16405853215896635</v>
      </c>
      <c r="EW113" s="139">
        <f t="shared" si="62"/>
        <v>0</v>
      </c>
      <c r="EX113" s="139">
        <f t="shared" si="63"/>
        <v>0</v>
      </c>
      <c r="EY113" s="139">
        <f t="shared" si="64"/>
        <v>0</v>
      </c>
      <c r="EZ113" s="139">
        <f t="shared" si="65"/>
        <v>0</v>
      </c>
      <c r="FA113" s="139">
        <f t="shared" si="66"/>
        <v>0</v>
      </c>
      <c r="FB113" s="139">
        <f t="shared" si="67"/>
        <v>0</v>
      </c>
      <c r="FC113" s="139">
        <f t="shared" si="68"/>
        <v>0</v>
      </c>
      <c r="FD113" s="139">
        <f t="shared" si="69"/>
        <v>0</v>
      </c>
      <c r="FE113" s="139">
        <f t="shared" si="70"/>
        <v>0</v>
      </c>
      <c r="FF113" s="139">
        <f t="shared" si="71"/>
        <v>0</v>
      </c>
      <c r="FG113" s="139">
        <f t="shared" si="72"/>
        <v>0</v>
      </c>
      <c r="FH113" s="139">
        <f t="shared" si="73"/>
        <v>0</v>
      </c>
      <c r="FI113" s="139">
        <f t="shared" si="74"/>
        <v>0</v>
      </c>
      <c r="FJ113" s="139">
        <f t="shared" si="75"/>
        <v>0</v>
      </c>
      <c r="FK113" s="139">
        <f t="shared" si="76"/>
        <v>0</v>
      </c>
      <c r="FL113" s="139">
        <f t="shared" si="77"/>
        <v>0</v>
      </c>
      <c r="FM113" s="139">
        <f t="shared" si="78"/>
        <v>0</v>
      </c>
      <c r="FN113" s="139">
        <f t="shared" si="79"/>
        <v>0</v>
      </c>
      <c r="FO113" s="139">
        <f t="shared" si="80"/>
        <v>0</v>
      </c>
      <c r="FP113" s="139">
        <f t="shared" si="81"/>
        <v>0</v>
      </c>
      <c r="FQ113" s="139">
        <f t="shared" si="82"/>
        <v>0</v>
      </c>
      <c r="FR113" s="139">
        <f t="shared" si="83"/>
        <v>0</v>
      </c>
      <c r="FS113" s="139">
        <f t="shared" si="84"/>
        <v>0</v>
      </c>
      <c r="FT113" s="139">
        <f t="shared" si="85"/>
        <v>0</v>
      </c>
      <c r="FU113" s="148">
        <f t="shared" si="86"/>
        <v>0.24329358030018169</v>
      </c>
      <c r="FV113" s="149"/>
      <c r="FY113" s="210">
        <v>108</v>
      </c>
      <c r="FZ113" s="205"/>
      <c r="GA113" s="205"/>
      <c r="GB113" s="205"/>
      <c r="GC113" s="205"/>
      <c r="GD113" s="205"/>
      <c r="GE113" s="205"/>
      <c r="GF113" s="205"/>
      <c r="GG113" s="205"/>
      <c r="GH113" s="205"/>
      <c r="GI113" s="205"/>
      <c r="GJ113" s="205"/>
      <c r="GK113" s="205"/>
      <c r="GL113" s="205"/>
      <c r="GM113" s="205"/>
    </row>
    <row r="114" spans="1:195" s="7" customFormat="1">
      <c r="A114" s="1"/>
      <c r="B114" s="76">
        <f t="shared" ca="1" si="49"/>
        <v>0.95017085713745697</v>
      </c>
      <c r="C114">
        <v>7</v>
      </c>
      <c r="D114">
        <v>39714</v>
      </c>
      <c r="E114">
        <v>0</v>
      </c>
      <c r="F114">
        <v>0</v>
      </c>
      <c r="G114">
        <v>0</v>
      </c>
      <c r="H114">
        <v>10.416666666666666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/>
      <c r="AO114"/>
      <c r="AP114"/>
      <c r="AQ114"/>
      <c r="AR114"/>
      <c r="AS114"/>
      <c r="AT114"/>
      <c r="AU114"/>
      <c r="AV114"/>
      <c r="AW114"/>
      <c r="AX114" s="146"/>
      <c r="AY114" s="76">
        <f t="shared" ca="1" si="87"/>
        <v>0.53809696004108831</v>
      </c>
      <c r="AZ114">
        <v>7</v>
      </c>
      <c r="BA114" s="129">
        <f t="shared" si="128"/>
        <v>39714</v>
      </c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 s="147"/>
      <c r="CH114" s="176"/>
      <c r="CJ114" s="146"/>
      <c r="CK114" s="76">
        <f t="shared" ca="1" si="89"/>
        <v>0.93489166170017679</v>
      </c>
      <c r="CL114" s="179">
        <f t="shared" si="90"/>
        <v>7</v>
      </c>
      <c r="CM114" s="180">
        <f t="shared" si="91"/>
        <v>39714</v>
      </c>
      <c r="CN114"/>
      <c r="CO114"/>
      <c r="CP114"/>
      <c r="CQ114"/>
      <c r="CR114"/>
      <c r="CS114"/>
      <c r="CT114"/>
      <c r="CU114"/>
      <c r="CV114" s="160"/>
      <c r="CW114">
        <v>1</v>
      </c>
      <c r="CX114">
        <v>1</v>
      </c>
      <c r="CY114" s="164"/>
      <c r="CZ114" s="177">
        <f t="shared" si="92"/>
        <v>9.6000000000000002E-2</v>
      </c>
      <c r="DB114" s="146"/>
      <c r="DC114" s="76">
        <f t="shared" ca="1" si="50"/>
        <v>0.71822954923635329</v>
      </c>
      <c r="DD114">
        <f t="shared" si="93"/>
        <v>7</v>
      </c>
      <c r="DE114" s="129">
        <f t="shared" si="127"/>
        <v>39714</v>
      </c>
      <c r="DF114" s="161">
        <f t="shared" si="94"/>
        <v>0</v>
      </c>
      <c r="DG114" s="161">
        <f t="shared" si="95"/>
        <v>0</v>
      </c>
      <c r="DH114" s="161">
        <f t="shared" si="96"/>
        <v>0</v>
      </c>
      <c r="DI114" s="161">
        <f t="shared" si="97"/>
        <v>0</v>
      </c>
      <c r="DJ114" s="161">
        <f t="shared" si="98"/>
        <v>0</v>
      </c>
      <c r="DK114" s="161">
        <f t="shared" si="99"/>
        <v>0</v>
      </c>
      <c r="DL114" s="161">
        <f t="shared" si="100"/>
        <v>0</v>
      </c>
      <c r="DM114" s="161">
        <f t="shared" si="101"/>
        <v>0</v>
      </c>
      <c r="DN114" s="161">
        <f t="shared" si="102"/>
        <v>0</v>
      </c>
      <c r="DO114" s="161">
        <f t="shared" si="103"/>
        <v>0</v>
      </c>
      <c r="DP114" s="161">
        <f t="shared" si="104"/>
        <v>0</v>
      </c>
      <c r="DQ114" s="161">
        <f t="shared" si="105"/>
        <v>0</v>
      </c>
      <c r="DR114" s="161">
        <f t="shared" si="106"/>
        <v>0</v>
      </c>
      <c r="DS114" s="161">
        <f t="shared" si="107"/>
        <v>0</v>
      </c>
      <c r="DT114" s="161">
        <f t="shared" si="108"/>
        <v>0</v>
      </c>
      <c r="DU114" s="161">
        <f t="shared" si="109"/>
        <v>0</v>
      </c>
      <c r="DV114" s="161">
        <f t="shared" si="110"/>
        <v>0</v>
      </c>
      <c r="DW114" s="161">
        <f t="shared" si="111"/>
        <v>0</v>
      </c>
      <c r="DX114" s="161">
        <f t="shared" si="112"/>
        <v>0</v>
      </c>
      <c r="DY114" s="161">
        <f t="shared" si="113"/>
        <v>0</v>
      </c>
      <c r="DZ114" s="161">
        <f t="shared" si="114"/>
        <v>0</v>
      </c>
      <c r="EA114" s="161">
        <f t="shared" si="115"/>
        <v>0</v>
      </c>
      <c r="EB114" s="161">
        <f t="shared" si="116"/>
        <v>0</v>
      </c>
      <c r="EC114" s="161">
        <f t="shared" si="117"/>
        <v>0</v>
      </c>
      <c r="ED114" s="161">
        <f t="shared" si="118"/>
        <v>0</v>
      </c>
      <c r="EE114" s="161">
        <f t="shared" si="119"/>
        <v>0</v>
      </c>
      <c r="EF114" s="161">
        <f t="shared" si="120"/>
        <v>0</v>
      </c>
      <c r="EG114" s="161">
        <f t="shared" si="121"/>
        <v>0</v>
      </c>
      <c r="EH114" s="161">
        <f t="shared" si="122"/>
        <v>0</v>
      </c>
      <c r="EI114" s="161">
        <f t="shared" si="123"/>
        <v>0</v>
      </c>
      <c r="EJ114" s="161">
        <f t="shared" si="124"/>
        <v>0</v>
      </c>
      <c r="EK114" s="147">
        <f t="shared" si="54"/>
        <v>0</v>
      </c>
      <c r="EL114" s="149"/>
      <c r="EN114" s="146"/>
      <c r="EO114" s="146"/>
      <c r="EP114" s="139">
        <f t="shared" si="55"/>
        <v>0</v>
      </c>
      <c r="EQ114" s="139">
        <f t="shared" si="56"/>
        <v>0</v>
      </c>
      <c r="ER114" s="139">
        <f t="shared" si="57"/>
        <v>0</v>
      </c>
      <c r="ES114" s="139">
        <f t="shared" si="58"/>
        <v>0</v>
      </c>
      <c r="ET114" s="139">
        <f t="shared" si="59"/>
        <v>0</v>
      </c>
      <c r="EU114" s="139">
        <f t="shared" si="60"/>
        <v>0</v>
      </c>
      <c r="EV114" s="139">
        <f t="shared" si="61"/>
        <v>0</v>
      </c>
      <c r="EW114" s="139">
        <f t="shared" si="62"/>
        <v>0</v>
      </c>
      <c r="EX114" s="139">
        <f t="shared" si="63"/>
        <v>0</v>
      </c>
      <c r="EY114" s="139">
        <f t="shared" si="64"/>
        <v>0</v>
      </c>
      <c r="EZ114" s="139">
        <f t="shared" si="65"/>
        <v>0</v>
      </c>
      <c r="FA114" s="139">
        <f t="shared" si="66"/>
        <v>0</v>
      </c>
      <c r="FB114" s="139">
        <f t="shared" si="67"/>
        <v>0</v>
      </c>
      <c r="FC114" s="139">
        <f t="shared" si="68"/>
        <v>0</v>
      </c>
      <c r="FD114" s="139">
        <f t="shared" si="69"/>
        <v>0</v>
      </c>
      <c r="FE114" s="139">
        <f t="shared" si="70"/>
        <v>0</v>
      </c>
      <c r="FF114" s="139">
        <f t="shared" si="71"/>
        <v>0</v>
      </c>
      <c r="FG114" s="139">
        <f t="shared" si="72"/>
        <v>0</v>
      </c>
      <c r="FH114" s="139">
        <f t="shared" si="73"/>
        <v>0</v>
      </c>
      <c r="FI114" s="139">
        <f t="shared" si="74"/>
        <v>0</v>
      </c>
      <c r="FJ114" s="139">
        <f t="shared" si="75"/>
        <v>0</v>
      </c>
      <c r="FK114" s="139">
        <f t="shared" si="76"/>
        <v>0</v>
      </c>
      <c r="FL114" s="139">
        <f t="shared" si="77"/>
        <v>0</v>
      </c>
      <c r="FM114" s="139">
        <f t="shared" si="78"/>
        <v>0</v>
      </c>
      <c r="FN114" s="139">
        <f t="shared" si="79"/>
        <v>0</v>
      </c>
      <c r="FO114" s="139">
        <f t="shared" si="80"/>
        <v>0</v>
      </c>
      <c r="FP114" s="139">
        <f t="shared" si="81"/>
        <v>0</v>
      </c>
      <c r="FQ114" s="139">
        <f t="shared" si="82"/>
        <v>0</v>
      </c>
      <c r="FR114" s="139">
        <f t="shared" si="83"/>
        <v>0</v>
      </c>
      <c r="FS114" s="139">
        <f t="shared" si="84"/>
        <v>0</v>
      </c>
      <c r="FT114" s="139">
        <f t="shared" si="85"/>
        <v>0</v>
      </c>
      <c r="FU114" s="148">
        <f t="shared" si="86"/>
        <v>0</v>
      </c>
      <c r="FV114" s="149"/>
      <c r="FY114" s="210">
        <v>109</v>
      </c>
      <c r="FZ114" s="205"/>
      <c r="GA114" s="205"/>
      <c r="GB114" s="205"/>
      <c r="GC114" s="205"/>
      <c r="GD114" s="205"/>
      <c r="GE114" s="205"/>
      <c r="GF114" s="205"/>
      <c r="GG114" s="205"/>
      <c r="GH114" s="205"/>
      <c r="GI114" s="205"/>
      <c r="GJ114" s="205"/>
      <c r="GK114" s="205"/>
      <c r="GL114" s="205"/>
      <c r="GM114" s="205"/>
    </row>
    <row r="115" spans="1:195" s="7" customFormat="1">
      <c r="A115" s="1"/>
      <c r="B115" s="76">
        <f t="shared" ca="1" si="49"/>
        <v>0.33628381118619721</v>
      </c>
      <c r="C115">
        <v>5</v>
      </c>
      <c r="D115">
        <v>39714</v>
      </c>
      <c r="E115">
        <v>0</v>
      </c>
      <c r="F115">
        <v>0</v>
      </c>
      <c r="G115">
        <v>0</v>
      </c>
      <c r="H115">
        <v>20.833333333333332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/>
      <c r="AO115"/>
      <c r="AP115"/>
      <c r="AQ115"/>
      <c r="AR115"/>
      <c r="AS115"/>
      <c r="AT115"/>
      <c r="AU115"/>
      <c r="AV115"/>
      <c r="AW115"/>
      <c r="AX115" s="146"/>
      <c r="AY115" s="76">
        <f t="shared" ca="1" si="87"/>
        <v>0.4951918819843717</v>
      </c>
      <c r="AZ115">
        <v>8</v>
      </c>
      <c r="BA115" s="129">
        <f t="shared" si="128"/>
        <v>39714</v>
      </c>
      <c r="BB115">
        <v>0</v>
      </c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 s="147"/>
      <c r="CH115" s="176"/>
      <c r="CJ115" s="146"/>
      <c r="CK115" s="76">
        <f t="shared" ca="1" si="89"/>
        <v>0.46418015921987088</v>
      </c>
      <c r="CL115" s="179">
        <f t="shared" si="90"/>
        <v>8</v>
      </c>
      <c r="CM115" s="180">
        <f t="shared" si="91"/>
        <v>39714</v>
      </c>
      <c r="CN115"/>
      <c r="CO115"/>
      <c r="CP115"/>
      <c r="CQ115"/>
      <c r="CR115"/>
      <c r="CS115"/>
      <c r="CT115"/>
      <c r="CU115"/>
      <c r="CV115" s="160"/>
      <c r="CW115">
        <v>1</v>
      </c>
      <c r="CX115">
        <v>1</v>
      </c>
      <c r="CY115" s="164"/>
      <c r="CZ115" s="177">
        <f t="shared" si="92"/>
        <v>9.6000000000000002E-2</v>
      </c>
      <c r="DB115" s="146"/>
      <c r="DC115" s="76">
        <f t="shared" ca="1" si="50"/>
        <v>0.61946663536157232</v>
      </c>
      <c r="DD115">
        <f t="shared" si="93"/>
        <v>8</v>
      </c>
      <c r="DE115" s="129">
        <f t="shared" si="127"/>
        <v>39714</v>
      </c>
      <c r="DF115" s="161">
        <f t="shared" si="94"/>
        <v>0</v>
      </c>
      <c r="DG115" s="161">
        <f t="shared" si="95"/>
        <v>0</v>
      </c>
      <c r="DH115" s="161">
        <f t="shared" si="96"/>
        <v>0</v>
      </c>
      <c r="DI115" s="161">
        <f t="shared" si="97"/>
        <v>0</v>
      </c>
      <c r="DJ115" s="161">
        <f t="shared" si="98"/>
        <v>0</v>
      </c>
      <c r="DK115" s="161">
        <f t="shared" si="99"/>
        <v>0</v>
      </c>
      <c r="DL115" s="161">
        <f t="shared" si="100"/>
        <v>0</v>
      </c>
      <c r="DM115" s="161">
        <f t="shared" si="101"/>
        <v>0</v>
      </c>
      <c r="DN115" s="161">
        <f t="shared" si="102"/>
        <v>0</v>
      </c>
      <c r="DO115" s="161">
        <f t="shared" si="103"/>
        <v>0</v>
      </c>
      <c r="DP115" s="161">
        <f t="shared" si="104"/>
        <v>0</v>
      </c>
      <c r="DQ115" s="161">
        <f t="shared" si="105"/>
        <v>0</v>
      </c>
      <c r="DR115" s="161">
        <f t="shared" si="106"/>
        <v>0</v>
      </c>
      <c r="DS115" s="161">
        <f t="shared" si="107"/>
        <v>0</v>
      </c>
      <c r="DT115" s="161">
        <f t="shared" si="108"/>
        <v>0</v>
      </c>
      <c r="DU115" s="161">
        <f t="shared" si="109"/>
        <v>0</v>
      </c>
      <c r="DV115" s="161">
        <f t="shared" si="110"/>
        <v>0</v>
      </c>
      <c r="DW115" s="161">
        <f t="shared" si="111"/>
        <v>0</v>
      </c>
      <c r="DX115" s="161">
        <f t="shared" si="112"/>
        <v>0</v>
      </c>
      <c r="DY115" s="161">
        <f t="shared" si="113"/>
        <v>0</v>
      </c>
      <c r="DZ115" s="161">
        <f t="shared" si="114"/>
        <v>0</v>
      </c>
      <c r="EA115" s="161">
        <f t="shared" si="115"/>
        <v>0</v>
      </c>
      <c r="EB115" s="161">
        <f t="shared" si="116"/>
        <v>0</v>
      </c>
      <c r="EC115" s="161">
        <f t="shared" si="117"/>
        <v>0</v>
      </c>
      <c r="ED115" s="161">
        <f t="shared" si="118"/>
        <v>0</v>
      </c>
      <c r="EE115" s="161">
        <f t="shared" si="119"/>
        <v>0</v>
      </c>
      <c r="EF115" s="161">
        <f t="shared" si="120"/>
        <v>0</v>
      </c>
      <c r="EG115" s="161">
        <f t="shared" si="121"/>
        <v>0</v>
      </c>
      <c r="EH115" s="161">
        <f t="shared" si="122"/>
        <v>0</v>
      </c>
      <c r="EI115" s="161">
        <f t="shared" si="123"/>
        <v>0</v>
      </c>
      <c r="EJ115" s="161">
        <f t="shared" si="124"/>
        <v>0</v>
      </c>
      <c r="EK115" s="147">
        <f t="shared" si="54"/>
        <v>0</v>
      </c>
      <c r="EL115" s="149"/>
      <c r="EN115" s="146"/>
      <c r="EO115" s="146"/>
      <c r="EP115" s="139">
        <f t="shared" si="55"/>
        <v>0</v>
      </c>
      <c r="EQ115" s="139">
        <f t="shared" si="56"/>
        <v>0</v>
      </c>
      <c r="ER115" s="139">
        <f t="shared" si="57"/>
        <v>0</v>
      </c>
      <c r="ES115" s="139">
        <f t="shared" si="58"/>
        <v>0</v>
      </c>
      <c r="ET115" s="139">
        <f t="shared" si="59"/>
        <v>0</v>
      </c>
      <c r="EU115" s="139">
        <f t="shared" si="60"/>
        <v>0</v>
      </c>
      <c r="EV115" s="139">
        <f t="shared" si="61"/>
        <v>0</v>
      </c>
      <c r="EW115" s="139">
        <f t="shared" si="62"/>
        <v>0</v>
      </c>
      <c r="EX115" s="139">
        <f t="shared" si="63"/>
        <v>0</v>
      </c>
      <c r="EY115" s="139">
        <f t="shared" si="64"/>
        <v>0</v>
      </c>
      <c r="EZ115" s="139">
        <f t="shared" si="65"/>
        <v>0</v>
      </c>
      <c r="FA115" s="139">
        <f t="shared" si="66"/>
        <v>0</v>
      </c>
      <c r="FB115" s="139">
        <f t="shared" si="67"/>
        <v>0</v>
      </c>
      <c r="FC115" s="139">
        <f t="shared" si="68"/>
        <v>0</v>
      </c>
      <c r="FD115" s="139">
        <f t="shared" si="69"/>
        <v>0</v>
      </c>
      <c r="FE115" s="139">
        <f t="shared" si="70"/>
        <v>0</v>
      </c>
      <c r="FF115" s="139">
        <f t="shared" si="71"/>
        <v>0</v>
      </c>
      <c r="FG115" s="139">
        <f t="shared" si="72"/>
        <v>0</v>
      </c>
      <c r="FH115" s="139">
        <f t="shared" si="73"/>
        <v>0</v>
      </c>
      <c r="FI115" s="139">
        <f t="shared" si="74"/>
        <v>0</v>
      </c>
      <c r="FJ115" s="139">
        <f t="shared" si="75"/>
        <v>0</v>
      </c>
      <c r="FK115" s="139">
        <f t="shared" si="76"/>
        <v>0</v>
      </c>
      <c r="FL115" s="139">
        <f t="shared" si="77"/>
        <v>0</v>
      </c>
      <c r="FM115" s="139">
        <f t="shared" si="78"/>
        <v>0</v>
      </c>
      <c r="FN115" s="139">
        <f t="shared" si="79"/>
        <v>0</v>
      </c>
      <c r="FO115" s="139">
        <f t="shared" si="80"/>
        <v>0</v>
      </c>
      <c r="FP115" s="139">
        <f t="shared" si="81"/>
        <v>0</v>
      </c>
      <c r="FQ115" s="139">
        <f t="shared" si="82"/>
        <v>0</v>
      </c>
      <c r="FR115" s="139">
        <f t="shared" si="83"/>
        <v>0</v>
      </c>
      <c r="FS115" s="139">
        <f t="shared" si="84"/>
        <v>0</v>
      </c>
      <c r="FT115" s="139">
        <f t="shared" si="85"/>
        <v>0</v>
      </c>
      <c r="FU115" s="148">
        <f t="shared" si="86"/>
        <v>0</v>
      </c>
      <c r="FV115" s="149"/>
      <c r="FY115" s="210">
        <v>110</v>
      </c>
      <c r="FZ115" s="205"/>
      <c r="GA115" s="205"/>
      <c r="GB115" s="205"/>
      <c r="GC115" s="205"/>
      <c r="GD115" s="205"/>
      <c r="GE115" s="205"/>
      <c r="GF115" s="205"/>
      <c r="GG115" s="205"/>
      <c r="GH115" s="205"/>
      <c r="GI115" s="205"/>
      <c r="GJ115" s="205"/>
      <c r="GK115" s="205"/>
      <c r="GL115" s="205"/>
      <c r="GM115" s="205"/>
    </row>
    <row r="116" spans="1:195" s="7" customFormat="1">
      <c r="A116" s="1"/>
      <c r="B116" s="76">
        <f t="shared" ca="1" si="49"/>
        <v>0.77011350778349907</v>
      </c>
      <c r="C116">
        <v>8</v>
      </c>
      <c r="D116">
        <v>39714</v>
      </c>
      <c r="E116">
        <v>0</v>
      </c>
      <c r="F116">
        <v>0</v>
      </c>
      <c r="G116">
        <v>0</v>
      </c>
      <c r="H116">
        <v>10.416666666666666</v>
      </c>
      <c r="I116">
        <v>52.083333333333336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/>
      <c r="AO116"/>
      <c r="AP116"/>
      <c r="AQ116"/>
      <c r="AR116"/>
      <c r="AS116"/>
      <c r="AT116"/>
      <c r="AU116"/>
      <c r="AV116"/>
      <c r="AW116"/>
      <c r="AX116" s="146"/>
      <c r="AY116" s="76">
        <f t="shared" ca="1" si="87"/>
        <v>0.99531738201938902</v>
      </c>
      <c r="AZ116">
        <v>9</v>
      </c>
      <c r="BA116" s="129">
        <f t="shared" si="128"/>
        <v>39714</v>
      </c>
      <c r="BB116">
        <v>0</v>
      </c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 s="147"/>
      <c r="CH116" s="176"/>
      <c r="CJ116" s="146"/>
      <c r="CK116" s="76">
        <f t="shared" ca="1" si="89"/>
        <v>0.77552700331048507</v>
      </c>
      <c r="CL116" s="179">
        <f t="shared" si="90"/>
        <v>9</v>
      </c>
      <c r="CM116" s="180">
        <f t="shared" si="91"/>
        <v>39714</v>
      </c>
      <c r="CN116" s="219">
        <v>0</v>
      </c>
      <c r="CO116" s="219"/>
      <c r="CP116" s="219"/>
      <c r="CQ116" s="219"/>
      <c r="CR116" s="219"/>
      <c r="CS116" s="219"/>
      <c r="CT116"/>
      <c r="CU116"/>
      <c r="CV116" s="160"/>
      <c r="CW116">
        <v>1</v>
      </c>
      <c r="CX116">
        <f>300/31</f>
        <v>9.67741935483871</v>
      </c>
      <c r="CY116" s="164"/>
      <c r="CZ116" s="177">
        <f t="shared" si="92"/>
        <v>9.6000000000000002E-2</v>
      </c>
      <c r="DB116" s="146"/>
      <c r="DC116" s="76">
        <f t="shared" ca="1" si="50"/>
        <v>0.17430481225335748</v>
      </c>
      <c r="DD116">
        <f t="shared" si="93"/>
        <v>9</v>
      </c>
      <c r="DE116" s="129">
        <f t="shared" si="127"/>
        <v>39714</v>
      </c>
      <c r="DF116" s="161">
        <f t="shared" si="94"/>
        <v>0</v>
      </c>
      <c r="DG116" s="161">
        <f t="shared" si="95"/>
        <v>0</v>
      </c>
      <c r="DH116" s="161">
        <f t="shared" si="96"/>
        <v>0</v>
      </c>
      <c r="DI116" s="161">
        <f t="shared" si="97"/>
        <v>0</v>
      </c>
      <c r="DJ116" s="161">
        <f t="shared" si="98"/>
        <v>0</v>
      </c>
      <c r="DK116" s="161">
        <f t="shared" si="99"/>
        <v>0</v>
      </c>
      <c r="DL116" s="161">
        <f t="shared" si="100"/>
        <v>0</v>
      </c>
      <c r="DM116" s="161">
        <f t="shared" si="101"/>
        <v>0</v>
      </c>
      <c r="DN116" s="161">
        <f t="shared" si="102"/>
        <v>0</v>
      </c>
      <c r="DO116" s="161">
        <f t="shared" si="103"/>
        <v>0</v>
      </c>
      <c r="DP116" s="161">
        <f t="shared" si="104"/>
        <v>0</v>
      </c>
      <c r="DQ116" s="161">
        <f t="shared" si="105"/>
        <v>0</v>
      </c>
      <c r="DR116" s="161">
        <f t="shared" si="106"/>
        <v>0</v>
      </c>
      <c r="DS116" s="161">
        <f t="shared" si="107"/>
        <v>0</v>
      </c>
      <c r="DT116" s="161">
        <f t="shared" si="108"/>
        <v>0</v>
      </c>
      <c r="DU116" s="161">
        <f t="shared" si="109"/>
        <v>0</v>
      </c>
      <c r="DV116" s="161">
        <f t="shared" si="110"/>
        <v>0</v>
      </c>
      <c r="DW116" s="161">
        <f t="shared" si="111"/>
        <v>0</v>
      </c>
      <c r="DX116" s="161">
        <f t="shared" si="112"/>
        <v>0</v>
      </c>
      <c r="DY116" s="161">
        <f t="shared" si="113"/>
        <v>0</v>
      </c>
      <c r="DZ116" s="161">
        <f t="shared" si="114"/>
        <v>0</v>
      </c>
      <c r="EA116" s="161">
        <f t="shared" si="115"/>
        <v>0</v>
      </c>
      <c r="EB116" s="161">
        <f t="shared" si="116"/>
        <v>0</v>
      </c>
      <c r="EC116" s="161">
        <f t="shared" si="117"/>
        <v>0</v>
      </c>
      <c r="ED116" s="161">
        <f t="shared" si="118"/>
        <v>0</v>
      </c>
      <c r="EE116" s="161">
        <f t="shared" si="119"/>
        <v>0</v>
      </c>
      <c r="EF116" s="161">
        <f t="shared" si="120"/>
        <v>0</v>
      </c>
      <c r="EG116" s="161">
        <f t="shared" si="121"/>
        <v>0</v>
      </c>
      <c r="EH116" s="161">
        <f t="shared" si="122"/>
        <v>0</v>
      </c>
      <c r="EI116" s="161">
        <f t="shared" si="123"/>
        <v>0</v>
      </c>
      <c r="EJ116" s="161">
        <f t="shared" si="124"/>
        <v>0</v>
      </c>
      <c r="EK116" s="147">
        <f t="shared" si="54"/>
        <v>0</v>
      </c>
      <c r="EL116" s="149"/>
      <c r="EN116" s="146"/>
      <c r="EO116" s="146"/>
      <c r="EP116" s="139">
        <f t="shared" si="55"/>
        <v>0</v>
      </c>
      <c r="EQ116" s="139">
        <f t="shared" si="56"/>
        <v>0</v>
      </c>
      <c r="ER116" s="139">
        <f t="shared" si="57"/>
        <v>0</v>
      </c>
      <c r="ES116" s="139">
        <f t="shared" si="58"/>
        <v>0</v>
      </c>
      <c r="ET116" s="139">
        <f t="shared" si="59"/>
        <v>0</v>
      </c>
      <c r="EU116" s="139">
        <f t="shared" si="60"/>
        <v>0</v>
      </c>
      <c r="EV116" s="139">
        <f t="shared" si="61"/>
        <v>0</v>
      </c>
      <c r="EW116" s="139">
        <f t="shared" si="62"/>
        <v>0</v>
      </c>
      <c r="EX116" s="139">
        <f t="shared" si="63"/>
        <v>0</v>
      </c>
      <c r="EY116" s="139">
        <f t="shared" si="64"/>
        <v>0</v>
      </c>
      <c r="EZ116" s="139">
        <f t="shared" si="65"/>
        <v>0</v>
      </c>
      <c r="FA116" s="139">
        <f t="shared" si="66"/>
        <v>0</v>
      </c>
      <c r="FB116" s="139">
        <f t="shared" si="67"/>
        <v>0</v>
      </c>
      <c r="FC116" s="139">
        <f t="shared" si="68"/>
        <v>0</v>
      </c>
      <c r="FD116" s="139">
        <f t="shared" si="69"/>
        <v>0</v>
      </c>
      <c r="FE116" s="139">
        <f t="shared" si="70"/>
        <v>0</v>
      </c>
      <c r="FF116" s="139">
        <f t="shared" si="71"/>
        <v>0</v>
      </c>
      <c r="FG116" s="139">
        <f t="shared" si="72"/>
        <v>0</v>
      </c>
      <c r="FH116" s="139">
        <f t="shared" si="73"/>
        <v>0</v>
      </c>
      <c r="FI116" s="139">
        <f t="shared" si="74"/>
        <v>0</v>
      </c>
      <c r="FJ116" s="139">
        <f t="shared" si="75"/>
        <v>0</v>
      </c>
      <c r="FK116" s="139">
        <f t="shared" si="76"/>
        <v>0</v>
      </c>
      <c r="FL116" s="139">
        <f t="shared" si="77"/>
        <v>0</v>
      </c>
      <c r="FM116" s="139">
        <f t="shared" si="78"/>
        <v>0</v>
      </c>
      <c r="FN116" s="139">
        <f t="shared" si="79"/>
        <v>0</v>
      </c>
      <c r="FO116" s="139">
        <f t="shared" si="80"/>
        <v>0</v>
      </c>
      <c r="FP116" s="139">
        <f t="shared" si="81"/>
        <v>0</v>
      </c>
      <c r="FQ116" s="139">
        <f t="shared" si="82"/>
        <v>0</v>
      </c>
      <c r="FR116" s="139">
        <f t="shared" si="83"/>
        <v>0</v>
      </c>
      <c r="FS116" s="139">
        <f t="shared" si="84"/>
        <v>0</v>
      </c>
      <c r="FT116" s="139">
        <f t="shared" si="85"/>
        <v>0</v>
      </c>
      <c r="FU116" s="148">
        <f t="shared" si="86"/>
        <v>0</v>
      </c>
      <c r="FV116" s="149"/>
      <c r="FY116" s="210">
        <v>111</v>
      </c>
      <c r="FZ116" s="205"/>
      <c r="GA116" s="205"/>
      <c r="GB116" s="205"/>
      <c r="GC116" s="205"/>
      <c r="GD116" s="205"/>
      <c r="GE116" s="205"/>
      <c r="GF116" s="205"/>
      <c r="GG116" s="205"/>
      <c r="GH116" s="205"/>
      <c r="GI116" s="205"/>
      <c r="GJ116" s="205"/>
      <c r="GK116" s="205"/>
      <c r="GL116" s="205"/>
      <c r="GM116" s="205"/>
    </row>
    <row r="117" spans="1:195" s="7" customFormat="1">
      <c r="A117" s="1"/>
      <c r="B117" s="76">
        <f t="shared" ca="1" si="49"/>
        <v>5.4829586450400258E-2</v>
      </c>
      <c r="C117">
        <v>6</v>
      </c>
      <c r="D117">
        <v>39714</v>
      </c>
      <c r="E117">
        <v>0</v>
      </c>
      <c r="F117">
        <v>0</v>
      </c>
      <c r="G117">
        <v>0</v>
      </c>
      <c r="H117">
        <v>10.416666666666666</v>
      </c>
      <c r="I117">
        <v>72.916666666666671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/>
      <c r="AO117"/>
      <c r="AP117"/>
      <c r="AQ117"/>
      <c r="AR117"/>
      <c r="AS117"/>
      <c r="AT117"/>
      <c r="AU117"/>
      <c r="AV117"/>
      <c r="AW117"/>
      <c r="AX117" s="146"/>
      <c r="AY117" s="76">
        <f t="shared" ca="1" si="87"/>
        <v>0.2125309290121038</v>
      </c>
      <c r="AZ117">
        <v>10</v>
      </c>
      <c r="BA117" s="129">
        <f t="shared" si="128"/>
        <v>39714</v>
      </c>
      <c r="BB117">
        <v>0</v>
      </c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 s="147"/>
      <c r="CH117" s="176"/>
      <c r="CJ117" s="146"/>
      <c r="CK117" s="76">
        <f t="shared" ca="1" si="89"/>
        <v>0.95943344683113185</v>
      </c>
      <c r="CL117" s="179">
        <f t="shared" si="90"/>
        <v>10</v>
      </c>
      <c r="CM117" s="180">
        <f t="shared" si="91"/>
        <v>39714</v>
      </c>
      <c r="CN117">
        <v>0</v>
      </c>
      <c r="CO117"/>
      <c r="CP117"/>
      <c r="CQ117"/>
      <c r="CR117"/>
      <c r="CS117"/>
      <c r="CT117"/>
      <c r="CU117"/>
      <c r="CV117" s="160"/>
      <c r="CW117">
        <v>1</v>
      </c>
      <c r="CX117">
        <f>300/35</f>
        <v>8.5714285714285712</v>
      </c>
      <c r="CY117" s="164"/>
      <c r="CZ117" s="177">
        <f t="shared" si="92"/>
        <v>9.6000000000000002E-2</v>
      </c>
      <c r="DB117" s="146"/>
      <c r="DC117" s="76">
        <f t="shared" ca="1" si="50"/>
        <v>0.67807740863294175</v>
      </c>
      <c r="DD117">
        <f t="shared" si="93"/>
        <v>10</v>
      </c>
      <c r="DE117" s="129">
        <f t="shared" si="127"/>
        <v>39714</v>
      </c>
      <c r="DF117" s="161">
        <f t="shared" si="94"/>
        <v>0</v>
      </c>
      <c r="DG117" s="161">
        <f t="shared" si="95"/>
        <v>0</v>
      </c>
      <c r="DH117" s="161">
        <f t="shared" si="96"/>
        <v>0</v>
      </c>
      <c r="DI117" s="161">
        <f t="shared" si="97"/>
        <v>0</v>
      </c>
      <c r="DJ117" s="161">
        <f t="shared" si="98"/>
        <v>0</v>
      </c>
      <c r="DK117" s="161">
        <f t="shared" si="99"/>
        <v>0</v>
      </c>
      <c r="DL117" s="161">
        <f t="shared" si="100"/>
        <v>0</v>
      </c>
      <c r="DM117" s="161">
        <f t="shared" si="101"/>
        <v>0</v>
      </c>
      <c r="DN117" s="161">
        <f t="shared" si="102"/>
        <v>0</v>
      </c>
      <c r="DO117" s="161">
        <f t="shared" si="103"/>
        <v>0</v>
      </c>
      <c r="DP117" s="161">
        <f t="shared" si="104"/>
        <v>0</v>
      </c>
      <c r="DQ117" s="161">
        <f t="shared" si="105"/>
        <v>0</v>
      </c>
      <c r="DR117" s="161">
        <f t="shared" si="106"/>
        <v>0</v>
      </c>
      <c r="DS117" s="161">
        <f t="shared" si="107"/>
        <v>0</v>
      </c>
      <c r="DT117" s="161">
        <f t="shared" si="108"/>
        <v>0</v>
      </c>
      <c r="DU117" s="161">
        <f t="shared" si="109"/>
        <v>0</v>
      </c>
      <c r="DV117" s="161">
        <f t="shared" si="110"/>
        <v>0</v>
      </c>
      <c r="DW117" s="161">
        <f t="shared" si="111"/>
        <v>0</v>
      </c>
      <c r="DX117" s="161">
        <f t="shared" si="112"/>
        <v>0</v>
      </c>
      <c r="DY117" s="161">
        <f t="shared" si="113"/>
        <v>0</v>
      </c>
      <c r="DZ117" s="161">
        <f t="shared" si="114"/>
        <v>0</v>
      </c>
      <c r="EA117" s="161">
        <f t="shared" si="115"/>
        <v>0</v>
      </c>
      <c r="EB117" s="161">
        <f t="shared" si="116"/>
        <v>0</v>
      </c>
      <c r="EC117" s="161">
        <f t="shared" si="117"/>
        <v>0</v>
      </c>
      <c r="ED117" s="161">
        <f t="shared" si="118"/>
        <v>0</v>
      </c>
      <c r="EE117" s="161">
        <f t="shared" si="119"/>
        <v>0</v>
      </c>
      <c r="EF117" s="161">
        <f t="shared" si="120"/>
        <v>0</v>
      </c>
      <c r="EG117" s="161">
        <f t="shared" si="121"/>
        <v>0</v>
      </c>
      <c r="EH117" s="161">
        <f t="shared" si="122"/>
        <v>0</v>
      </c>
      <c r="EI117" s="161">
        <f t="shared" si="123"/>
        <v>0</v>
      </c>
      <c r="EJ117" s="161">
        <f t="shared" si="124"/>
        <v>0</v>
      </c>
      <c r="EK117" s="147">
        <f t="shared" si="54"/>
        <v>0</v>
      </c>
      <c r="EL117" s="149"/>
      <c r="EN117" s="146"/>
      <c r="EO117" s="146"/>
      <c r="EP117" s="139">
        <f t="shared" si="55"/>
        <v>0</v>
      </c>
      <c r="EQ117" s="139">
        <f t="shared" si="56"/>
        <v>0</v>
      </c>
      <c r="ER117" s="139">
        <f t="shared" si="57"/>
        <v>0</v>
      </c>
      <c r="ES117" s="139">
        <f t="shared" si="58"/>
        <v>0</v>
      </c>
      <c r="ET117" s="139">
        <f t="shared" si="59"/>
        <v>0</v>
      </c>
      <c r="EU117" s="139">
        <f t="shared" si="60"/>
        <v>0</v>
      </c>
      <c r="EV117" s="139">
        <f t="shared" si="61"/>
        <v>0</v>
      </c>
      <c r="EW117" s="139">
        <f t="shared" si="62"/>
        <v>0</v>
      </c>
      <c r="EX117" s="139">
        <f t="shared" si="63"/>
        <v>0</v>
      </c>
      <c r="EY117" s="139">
        <f t="shared" si="64"/>
        <v>0</v>
      </c>
      <c r="EZ117" s="139">
        <f t="shared" si="65"/>
        <v>0</v>
      </c>
      <c r="FA117" s="139">
        <f t="shared" si="66"/>
        <v>0</v>
      </c>
      <c r="FB117" s="139">
        <f t="shared" si="67"/>
        <v>0</v>
      </c>
      <c r="FC117" s="139">
        <f t="shared" si="68"/>
        <v>0</v>
      </c>
      <c r="FD117" s="139">
        <f t="shared" si="69"/>
        <v>0</v>
      </c>
      <c r="FE117" s="139">
        <f t="shared" si="70"/>
        <v>0</v>
      </c>
      <c r="FF117" s="139">
        <f t="shared" si="71"/>
        <v>0</v>
      </c>
      <c r="FG117" s="139">
        <f t="shared" si="72"/>
        <v>0</v>
      </c>
      <c r="FH117" s="139">
        <f t="shared" si="73"/>
        <v>0</v>
      </c>
      <c r="FI117" s="139">
        <f t="shared" si="74"/>
        <v>0</v>
      </c>
      <c r="FJ117" s="139">
        <f t="shared" si="75"/>
        <v>0</v>
      </c>
      <c r="FK117" s="139">
        <f t="shared" si="76"/>
        <v>0</v>
      </c>
      <c r="FL117" s="139">
        <f t="shared" si="77"/>
        <v>0</v>
      </c>
      <c r="FM117" s="139">
        <f t="shared" si="78"/>
        <v>0</v>
      </c>
      <c r="FN117" s="139">
        <f t="shared" si="79"/>
        <v>0</v>
      </c>
      <c r="FO117" s="139">
        <f t="shared" si="80"/>
        <v>0</v>
      </c>
      <c r="FP117" s="139">
        <f t="shared" si="81"/>
        <v>0</v>
      </c>
      <c r="FQ117" s="139">
        <f t="shared" si="82"/>
        <v>0</v>
      </c>
      <c r="FR117" s="139">
        <f t="shared" si="83"/>
        <v>0</v>
      </c>
      <c r="FS117" s="139">
        <f t="shared" si="84"/>
        <v>0</v>
      </c>
      <c r="FT117" s="139">
        <f t="shared" si="85"/>
        <v>0</v>
      </c>
      <c r="FU117" s="148">
        <f t="shared" si="86"/>
        <v>0</v>
      </c>
      <c r="FV117" s="149"/>
      <c r="FY117" s="210">
        <v>112</v>
      </c>
      <c r="FZ117" s="205"/>
      <c r="GA117" s="205"/>
      <c r="GB117" s="205"/>
      <c r="GC117" s="205"/>
      <c r="GD117" s="205"/>
      <c r="GE117" s="205"/>
      <c r="GF117" s="205"/>
      <c r="GG117" s="205"/>
      <c r="GH117" s="205"/>
      <c r="GI117" s="205"/>
      <c r="GJ117" s="205"/>
      <c r="GK117" s="205"/>
      <c r="GL117" s="205"/>
      <c r="GM117" s="205"/>
    </row>
    <row r="118" spans="1:195" s="7" customFormat="1">
      <c r="A118" s="128"/>
      <c r="B118" s="76">
        <f t="shared" ca="1" si="49"/>
        <v>0.31765193550612558</v>
      </c>
      <c r="C118">
        <v>1</v>
      </c>
      <c r="D118">
        <v>39747</v>
      </c>
      <c r="E118">
        <v>0</v>
      </c>
      <c r="F118">
        <v>0</v>
      </c>
      <c r="G118">
        <v>0</v>
      </c>
      <c r="H118">
        <v>86.805555555555557</v>
      </c>
      <c r="I118">
        <v>10.416666666666666</v>
      </c>
      <c r="J118">
        <v>0</v>
      </c>
      <c r="K118">
        <v>10.416666666666666</v>
      </c>
      <c r="L118">
        <v>20.833333333333332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/>
      <c r="AO118"/>
      <c r="AP118"/>
      <c r="AQ118"/>
      <c r="AR118"/>
      <c r="AS118"/>
      <c r="AT118"/>
      <c r="AU118"/>
      <c r="AV118"/>
      <c r="AW118"/>
      <c r="AX118" s="128"/>
      <c r="AY118" s="76">
        <f t="shared" ca="1" si="87"/>
        <v>0.84433205534497269</v>
      </c>
      <c r="AZ118">
        <v>1</v>
      </c>
      <c r="BA118" s="129">
        <f>IF(AZ118="", "",$C$7)</f>
        <v>39747</v>
      </c>
      <c r="BB118">
        <v>0</v>
      </c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 s="147"/>
      <c r="CH118" s="176"/>
      <c r="CJ118" s="128"/>
      <c r="CK118" s="76">
        <f t="shared" ca="1" si="89"/>
        <v>0.36587728880048065</v>
      </c>
      <c r="CL118" s="179">
        <f t="shared" si="90"/>
        <v>1</v>
      </c>
      <c r="CM118" s="180">
        <f t="shared" si="91"/>
        <v>39747</v>
      </c>
      <c r="CN118">
        <v>0</v>
      </c>
      <c r="CO118"/>
      <c r="CP118"/>
      <c r="CQ118"/>
      <c r="CR118"/>
      <c r="CS118"/>
      <c r="CT118"/>
      <c r="CU118"/>
      <c r="CV118" s="160"/>
      <c r="CW118">
        <v>1</v>
      </c>
      <c r="CX118">
        <f>350/42</f>
        <v>8.3333333333333339</v>
      </c>
      <c r="CY118" s="160"/>
      <c r="CZ118" s="177">
        <f t="shared" si="92"/>
        <v>9.6000000000000002E-2</v>
      </c>
      <c r="DB118" s="128"/>
      <c r="DC118" s="76">
        <f t="shared" ca="1" si="50"/>
        <v>7.2085335558485397E-2</v>
      </c>
      <c r="DD118">
        <f t="shared" si="93"/>
        <v>1</v>
      </c>
      <c r="DE118" s="129">
        <f t="shared" ref="DE118:DE127" si="129">IF((DD118)="", "", $C$7)</f>
        <v>39747</v>
      </c>
      <c r="DF118" s="161">
        <f t="shared" si="94"/>
        <v>0</v>
      </c>
      <c r="DG118" s="161">
        <f t="shared" si="95"/>
        <v>0</v>
      </c>
      <c r="DH118" s="161">
        <f t="shared" si="96"/>
        <v>0</v>
      </c>
      <c r="DI118" s="161">
        <f t="shared" si="97"/>
        <v>0</v>
      </c>
      <c r="DJ118" s="161">
        <f t="shared" si="98"/>
        <v>0</v>
      </c>
      <c r="DK118" s="161">
        <f t="shared" si="99"/>
        <v>0</v>
      </c>
      <c r="DL118" s="161">
        <f t="shared" si="100"/>
        <v>0</v>
      </c>
      <c r="DM118" s="161">
        <f t="shared" si="101"/>
        <v>0</v>
      </c>
      <c r="DN118" s="161">
        <f t="shared" si="102"/>
        <v>0</v>
      </c>
      <c r="DO118" s="161">
        <f t="shared" si="103"/>
        <v>0</v>
      </c>
      <c r="DP118" s="161">
        <f t="shared" si="104"/>
        <v>0</v>
      </c>
      <c r="DQ118" s="161">
        <f t="shared" si="105"/>
        <v>0</v>
      </c>
      <c r="DR118" s="161">
        <f t="shared" si="106"/>
        <v>0</v>
      </c>
      <c r="DS118" s="161">
        <f t="shared" si="107"/>
        <v>0</v>
      </c>
      <c r="DT118" s="161">
        <f t="shared" si="108"/>
        <v>0</v>
      </c>
      <c r="DU118" s="161">
        <f t="shared" si="109"/>
        <v>0</v>
      </c>
      <c r="DV118" s="161">
        <f t="shared" si="110"/>
        <v>0</v>
      </c>
      <c r="DW118" s="161">
        <f t="shared" si="111"/>
        <v>0</v>
      </c>
      <c r="DX118" s="161">
        <f t="shared" si="112"/>
        <v>0</v>
      </c>
      <c r="DY118" s="161">
        <f t="shared" si="113"/>
        <v>0</v>
      </c>
      <c r="DZ118" s="161">
        <f t="shared" si="114"/>
        <v>0</v>
      </c>
      <c r="EA118" s="161">
        <f t="shared" si="115"/>
        <v>0</v>
      </c>
      <c r="EB118" s="161">
        <f t="shared" si="116"/>
        <v>0</v>
      </c>
      <c r="EC118" s="161">
        <f t="shared" si="117"/>
        <v>0</v>
      </c>
      <c r="ED118" s="161">
        <f t="shared" si="118"/>
        <v>0</v>
      </c>
      <c r="EE118" s="161">
        <f t="shared" si="119"/>
        <v>0</v>
      </c>
      <c r="EF118" s="161">
        <f t="shared" si="120"/>
        <v>0</v>
      </c>
      <c r="EG118" s="161">
        <f t="shared" si="121"/>
        <v>0</v>
      </c>
      <c r="EH118" s="161">
        <f t="shared" si="122"/>
        <v>0</v>
      </c>
      <c r="EI118" s="161">
        <f t="shared" si="123"/>
        <v>0</v>
      </c>
      <c r="EJ118" s="161">
        <f t="shared" si="124"/>
        <v>0</v>
      </c>
      <c r="EK118" s="147">
        <f t="shared" si="54"/>
        <v>0</v>
      </c>
      <c r="EL118" s="149"/>
      <c r="EN118" s="146"/>
      <c r="EO118" s="146"/>
      <c r="EP118" s="139">
        <f t="shared" si="55"/>
        <v>0</v>
      </c>
      <c r="EQ118" s="139">
        <f t="shared" si="56"/>
        <v>0</v>
      </c>
      <c r="ER118" s="139">
        <f t="shared" si="57"/>
        <v>0</v>
      </c>
      <c r="ES118" s="139">
        <f t="shared" si="58"/>
        <v>0</v>
      </c>
      <c r="ET118" s="139">
        <f t="shared" si="59"/>
        <v>0</v>
      </c>
      <c r="EU118" s="139">
        <f t="shared" si="60"/>
        <v>0</v>
      </c>
      <c r="EV118" s="139">
        <f t="shared" si="61"/>
        <v>0</v>
      </c>
      <c r="EW118" s="139">
        <f t="shared" si="62"/>
        <v>0</v>
      </c>
      <c r="EX118" s="139">
        <f t="shared" si="63"/>
        <v>0</v>
      </c>
      <c r="EY118" s="139">
        <f t="shared" si="64"/>
        <v>0</v>
      </c>
      <c r="EZ118" s="139">
        <f t="shared" si="65"/>
        <v>0</v>
      </c>
      <c r="FA118" s="139">
        <f t="shared" si="66"/>
        <v>0</v>
      </c>
      <c r="FB118" s="139">
        <f t="shared" si="67"/>
        <v>0</v>
      </c>
      <c r="FC118" s="139">
        <f t="shared" si="68"/>
        <v>0</v>
      </c>
      <c r="FD118" s="139">
        <f t="shared" si="69"/>
        <v>0</v>
      </c>
      <c r="FE118" s="139">
        <f t="shared" si="70"/>
        <v>0</v>
      </c>
      <c r="FF118" s="139">
        <f t="shared" si="71"/>
        <v>0</v>
      </c>
      <c r="FG118" s="139">
        <f t="shared" si="72"/>
        <v>0</v>
      </c>
      <c r="FH118" s="139">
        <f t="shared" si="73"/>
        <v>0</v>
      </c>
      <c r="FI118" s="139">
        <f t="shared" si="74"/>
        <v>0</v>
      </c>
      <c r="FJ118" s="139">
        <f t="shared" si="75"/>
        <v>0</v>
      </c>
      <c r="FK118" s="139">
        <f t="shared" si="76"/>
        <v>0</v>
      </c>
      <c r="FL118" s="139">
        <f t="shared" si="77"/>
        <v>0</v>
      </c>
      <c r="FM118" s="139">
        <f t="shared" si="78"/>
        <v>0</v>
      </c>
      <c r="FN118" s="139">
        <f t="shared" si="79"/>
        <v>0</v>
      </c>
      <c r="FO118" s="139">
        <f t="shared" si="80"/>
        <v>0</v>
      </c>
      <c r="FP118" s="139">
        <f t="shared" si="81"/>
        <v>0</v>
      </c>
      <c r="FQ118" s="139">
        <f t="shared" si="82"/>
        <v>0</v>
      </c>
      <c r="FR118" s="139">
        <f t="shared" si="83"/>
        <v>0</v>
      </c>
      <c r="FS118" s="139">
        <f t="shared" si="84"/>
        <v>0</v>
      </c>
      <c r="FT118" s="139">
        <f t="shared" si="85"/>
        <v>0</v>
      </c>
      <c r="FU118" s="148">
        <f t="shared" si="86"/>
        <v>0</v>
      </c>
      <c r="FV118" s="149"/>
      <c r="FY118" s="210">
        <v>113</v>
      </c>
      <c r="FZ118" s="205"/>
      <c r="GA118" s="205"/>
      <c r="GB118" s="205"/>
      <c r="GC118" s="205"/>
      <c r="GD118" s="205"/>
      <c r="GE118" s="205"/>
      <c r="GF118" s="205"/>
      <c r="GG118" s="205"/>
      <c r="GH118" s="205"/>
      <c r="GI118" s="205"/>
      <c r="GJ118" s="205"/>
      <c r="GK118" s="205"/>
      <c r="GL118" s="205"/>
      <c r="GM118" s="205"/>
    </row>
    <row r="119" spans="1:195" s="7" customFormat="1">
      <c r="A119" s="1"/>
      <c r="B119" s="76">
        <f t="shared" ca="1" si="49"/>
        <v>6.1827317700521078E-2</v>
      </c>
      <c r="C119">
        <v>6</v>
      </c>
      <c r="D119">
        <v>39747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20.833333333333332</v>
      </c>
      <c r="K119">
        <v>20.833333333333332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/>
      <c r="AO119"/>
      <c r="AP119"/>
      <c r="AQ119"/>
      <c r="AR119"/>
      <c r="AS119"/>
      <c r="AT119"/>
      <c r="AU119"/>
      <c r="AV119"/>
      <c r="AW119"/>
      <c r="AX119" s="146"/>
      <c r="AY119" s="76">
        <f t="shared" ca="1" si="87"/>
        <v>0.75920403657078772</v>
      </c>
      <c r="AZ119">
        <v>2</v>
      </c>
      <c r="BA119" s="129">
        <f t="shared" ref="BA119:BA127" si="130">IF(AZ119="", "",$C$7)</f>
        <v>39747</v>
      </c>
      <c r="BB119">
        <v>0</v>
      </c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 s="147"/>
      <c r="CH119" s="176"/>
      <c r="CJ119" s="146"/>
      <c r="CK119" s="76">
        <f t="shared" ca="1" si="89"/>
        <v>0.37004947320303838</v>
      </c>
      <c r="CL119" s="179">
        <f t="shared" si="90"/>
        <v>2</v>
      </c>
      <c r="CM119" s="180">
        <f t="shared" si="91"/>
        <v>39747</v>
      </c>
      <c r="CN119">
        <v>0</v>
      </c>
      <c r="CO119"/>
      <c r="CP119"/>
      <c r="CQ119"/>
      <c r="CR119"/>
      <c r="CS119"/>
      <c r="CT119"/>
      <c r="CU119"/>
      <c r="CV119" s="160"/>
      <c r="CW119">
        <f>20/8</f>
        <v>2.5</v>
      </c>
      <c r="CX119">
        <f>350/40</f>
        <v>8.75</v>
      </c>
      <c r="CY119" s="160"/>
      <c r="CZ119" s="177">
        <f t="shared" si="92"/>
        <v>9.6000000000000002E-2</v>
      </c>
      <c r="DB119" s="146"/>
      <c r="DC119" s="76">
        <f t="shared" ca="1" si="50"/>
        <v>0.77991527435798158</v>
      </c>
      <c r="DD119">
        <f t="shared" si="93"/>
        <v>2</v>
      </c>
      <c r="DE119" s="129">
        <f t="shared" si="129"/>
        <v>39747</v>
      </c>
      <c r="DF119" s="161">
        <f t="shared" si="94"/>
        <v>0</v>
      </c>
      <c r="DG119" s="161">
        <f t="shared" si="95"/>
        <v>0</v>
      </c>
      <c r="DH119" s="161">
        <f t="shared" si="96"/>
        <v>0</v>
      </c>
      <c r="DI119" s="161">
        <f t="shared" si="97"/>
        <v>0</v>
      </c>
      <c r="DJ119" s="161">
        <f t="shared" si="98"/>
        <v>0</v>
      </c>
      <c r="DK119" s="161">
        <f t="shared" si="99"/>
        <v>0</v>
      </c>
      <c r="DL119" s="161">
        <f t="shared" si="100"/>
        <v>0</v>
      </c>
      <c r="DM119" s="161">
        <f t="shared" si="101"/>
        <v>0</v>
      </c>
      <c r="DN119" s="161">
        <f t="shared" si="102"/>
        <v>0</v>
      </c>
      <c r="DO119" s="161">
        <f t="shared" si="103"/>
        <v>0</v>
      </c>
      <c r="DP119" s="161">
        <f t="shared" si="104"/>
        <v>0</v>
      </c>
      <c r="DQ119" s="161">
        <f t="shared" si="105"/>
        <v>0</v>
      </c>
      <c r="DR119" s="161">
        <f t="shared" si="106"/>
        <v>0</v>
      </c>
      <c r="DS119" s="161">
        <f t="shared" si="107"/>
        <v>0</v>
      </c>
      <c r="DT119" s="161">
        <f t="shared" si="108"/>
        <v>0</v>
      </c>
      <c r="DU119" s="161">
        <f t="shared" si="109"/>
        <v>0</v>
      </c>
      <c r="DV119" s="161">
        <f t="shared" si="110"/>
        <v>0</v>
      </c>
      <c r="DW119" s="161">
        <f t="shared" si="111"/>
        <v>0</v>
      </c>
      <c r="DX119" s="161">
        <f t="shared" si="112"/>
        <v>0</v>
      </c>
      <c r="DY119" s="161">
        <f t="shared" si="113"/>
        <v>0</v>
      </c>
      <c r="DZ119" s="161">
        <f t="shared" si="114"/>
        <v>0</v>
      </c>
      <c r="EA119" s="161">
        <f t="shared" si="115"/>
        <v>0</v>
      </c>
      <c r="EB119" s="161">
        <f t="shared" si="116"/>
        <v>0</v>
      </c>
      <c r="EC119" s="161">
        <f t="shared" si="117"/>
        <v>0</v>
      </c>
      <c r="ED119" s="161">
        <f t="shared" si="118"/>
        <v>0</v>
      </c>
      <c r="EE119" s="161">
        <f t="shared" si="119"/>
        <v>0</v>
      </c>
      <c r="EF119" s="161">
        <f t="shared" si="120"/>
        <v>0</v>
      </c>
      <c r="EG119" s="161">
        <f t="shared" si="121"/>
        <v>0</v>
      </c>
      <c r="EH119" s="161">
        <f t="shared" si="122"/>
        <v>0</v>
      </c>
      <c r="EI119" s="161">
        <f t="shared" si="123"/>
        <v>0</v>
      </c>
      <c r="EJ119" s="161">
        <f t="shared" si="124"/>
        <v>0</v>
      </c>
      <c r="EK119" s="147">
        <f t="shared" si="54"/>
        <v>0</v>
      </c>
      <c r="EL119" s="149"/>
      <c r="EN119" s="146"/>
      <c r="EO119" s="146"/>
      <c r="EP119" s="139">
        <f t="shared" si="55"/>
        <v>0</v>
      </c>
      <c r="EQ119" s="139">
        <f t="shared" si="56"/>
        <v>0</v>
      </c>
      <c r="ER119" s="139">
        <f t="shared" si="57"/>
        <v>0</v>
      </c>
      <c r="ES119" s="139">
        <f t="shared" si="58"/>
        <v>0</v>
      </c>
      <c r="ET119" s="139">
        <f t="shared" si="59"/>
        <v>0</v>
      </c>
      <c r="EU119" s="139">
        <f t="shared" si="60"/>
        <v>0</v>
      </c>
      <c r="EV119" s="139">
        <f t="shared" si="61"/>
        <v>0</v>
      </c>
      <c r="EW119" s="139">
        <f t="shared" si="62"/>
        <v>0</v>
      </c>
      <c r="EX119" s="139">
        <f t="shared" si="63"/>
        <v>0</v>
      </c>
      <c r="EY119" s="139">
        <f t="shared" si="64"/>
        <v>0</v>
      </c>
      <c r="EZ119" s="139">
        <f t="shared" si="65"/>
        <v>0</v>
      </c>
      <c r="FA119" s="139">
        <f t="shared" si="66"/>
        <v>0</v>
      </c>
      <c r="FB119" s="139">
        <f t="shared" si="67"/>
        <v>0</v>
      </c>
      <c r="FC119" s="139">
        <f t="shared" si="68"/>
        <v>0</v>
      </c>
      <c r="FD119" s="139">
        <f t="shared" si="69"/>
        <v>0</v>
      </c>
      <c r="FE119" s="139">
        <f t="shared" si="70"/>
        <v>0</v>
      </c>
      <c r="FF119" s="139">
        <f t="shared" si="71"/>
        <v>0</v>
      </c>
      <c r="FG119" s="139">
        <f t="shared" si="72"/>
        <v>0</v>
      </c>
      <c r="FH119" s="139">
        <f t="shared" si="73"/>
        <v>0</v>
      </c>
      <c r="FI119" s="139">
        <f t="shared" si="74"/>
        <v>0</v>
      </c>
      <c r="FJ119" s="139">
        <f t="shared" si="75"/>
        <v>0</v>
      </c>
      <c r="FK119" s="139">
        <f t="shared" si="76"/>
        <v>0</v>
      </c>
      <c r="FL119" s="139">
        <f t="shared" si="77"/>
        <v>0</v>
      </c>
      <c r="FM119" s="139">
        <f t="shared" si="78"/>
        <v>0</v>
      </c>
      <c r="FN119" s="139">
        <f t="shared" si="79"/>
        <v>0</v>
      </c>
      <c r="FO119" s="139">
        <f t="shared" si="80"/>
        <v>0</v>
      </c>
      <c r="FP119" s="139">
        <f t="shared" si="81"/>
        <v>0</v>
      </c>
      <c r="FQ119" s="139">
        <f t="shared" si="82"/>
        <v>0</v>
      </c>
      <c r="FR119" s="139">
        <f t="shared" si="83"/>
        <v>0</v>
      </c>
      <c r="FS119" s="139">
        <f t="shared" si="84"/>
        <v>0</v>
      </c>
      <c r="FT119" s="139">
        <f t="shared" si="85"/>
        <v>0</v>
      </c>
      <c r="FU119" s="148">
        <f t="shared" si="86"/>
        <v>0</v>
      </c>
      <c r="FV119" s="149"/>
      <c r="FY119" s="210">
        <v>114</v>
      </c>
      <c r="FZ119" s="205"/>
      <c r="GA119" s="205"/>
      <c r="GB119" s="205"/>
      <c r="GC119" s="205"/>
      <c r="GD119" s="205"/>
      <c r="GE119" s="205"/>
      <c r="GF119" s="205"/>
      <c r="GG119" s="205"/>
      <c r="GH119" s="205"/>
      <c r="GI119" s="205"/>
      <c r="GJ119" s="205"/>
      <c r="GK119" s="205"/>
      <c r="GL119" s="205"/>
      <c r="GM119" s="205"/>
    </row>
    <row r="120" spans="1:195" s="7" customFormat="1">
      <c r="A120" s="1"/>
      <c r="B120" s="76">
        <f t="shared" ref="B120:B151" ca="1" si="131">IF(C120="", "", RAND())</f>
        <v>0.48044743642559795</v>
      </c>
      <c r="C120">
        <v>4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56.818181818181813</v>
      </c>
      <c r="L120">
        <v>28.409090909090907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/>
      <c r="AO120"/>
      <c r="AP120"/>
      <c r="AQ120"/>
      <c r="AR120"/>
      <c r="AS120"/>
      <c r="AT120"/>
      <c r="AU120"/>
      <c r="AV120"/>
      <c r="AW120"/>
      <c r="AX120" s="146"/>
      <c r="AY120" s="76">
        <f t="shared" ca="1" si="87"/>
        <v>0.32013367661133074</v>
      </c>
      <c r="AZ120">
        <v>3</v>
      </c>
      <c r="BA120" s="129">
        <f t="shared" si="130"/>
        <v>39747</v>
      </c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 s="147"/>
      <c r="CH120" s="176"/>
      <c r="CJ120" s="146"/>
      <c r="CK120" s="76">
        <f t="shared" ca="1" si="89"/>
        <v>0.97530416388376828</v>
      </c>
      <c r="CL120" s="179">
        <f t="shared" si="90"/>
        <v>3</v>
      </c>
      <c r="CM120" s="180">
        <f t="shared" si="91"/>
        <v>39747</v>
      </c>
      <c r="CN120"/>
      <c r="CO120"/>
      <c r="CP120"/>
      <c r="CQ120"/>
      <c r="CR120"/>
      <c r="CS120"/>
      <c r="CT120"/>
      <c r="CU120"/>
      <c r="CV120" s="160"/>
      <c r="CW120">
        <v>1</v>
      </c>
      <c r="CX120">
        <v>1</v>
      </c>
      <c r="CY120" s="160"/>
      <c r="CZ120" s="177">
        <f t="shared" si="92"/>
        <v>9.6000000000000002E-2</v>
      </c>
      <c r="DB120" s="146"/>
      <c r="DC120" s="76">
        <f t="shared" ca="1" si="50"/>
        <v>0.24888387438658577</v>
      </c>
      <c r="DD120">
        <f t="shared" si="93"/>
        <v>3</v>
      </c>
      <c r="DE120" s="129">
        <f t="shared" si="129"/>
        <v>39747</v>
      </c>
      <c r="DF120" s="161">
        <f t="shared" si="94"/>
        <v>0</v>
      </c>
      <c r="DG120" s="161">
        <f t="shared" si="95"/>
        <v>0</v>
      </c>
      <c r="DH120" s="161">
        <f t="shared" si="96"/>
        <v>0</v>
      </c>
      <c r="DI120" s="161">
        <f t="shared" si="97"/>
        <v>0</v>
      </c>
      <c r="DJ120" s="161">
        <f t="shared" si="98"/>
        <v>0</v>
      </c>
      <c r="DK120" s="161">
        <f t="shared" si="99"/>
        <v>0</v>
      </c>
      <c r="DL120" s="161">
        <f t="shared" si="100"/>
        <v>0</v>
      </c>
      <c r="DM120" s="161">
        <f t="shared" si="101"/>
        <v>0</v>
      </c>
      <c r="DN120" s="161">
        <f t="shared" si="102"/>
        <v>0</v>
      </c>
      <c r="DO120" s="161">
        <f t="shared" si="103"/>
        <v>0</v>
      </c>
      <c r="DP120" s="161">
        <f t="shared" si="104"/>
        <v>0</v>
      </c>
      <c r="DQ120" s="161">
        <f t="shared" si="105"/>
        <v>0</v>
      </c>
      <c r="DR120" s="161">
        <f t="shared" si="106"/>
        <v>0</v>
      </c>
      <c r="DS120" s="161">
        <f t="shared" si="107"/>
        <v>0</v>
      </c>
      <c r="DT120" s="161">
        <f t="shared" si="108"/>
        <v>0</v>
      </c>
      <c r="DU120" s="161">
        <f t="shared" si="109"/>
        <v>0</v>
      </c>
      <c r="DV120" s="161">
        <f t="shared" si="110"/>
        <v>0</v>
      </c>
      <c r="DW120" s="161">
        <f t="shared" si="111"/>
        <v>0</v>
      </c>
      <c r="DX120" s="161">
        <f t="shared" si="112"/>
        <v>0</v>
      </c>
      <c r="DY120" s="161">
        <f t="shared" si="113"/>
        <v>0</v>
      </c>
      <c r="DZ120" s="161">
        <f t="shared" si="114"/>
        <v>0</v>
      </c>
      <c r="EA120" s="161">
        <f t="shared" si="115"/>
        <v>0</v>
      </c>
      <c r="EB120" s="161">
        <f t="shared" si="116"/>
        <v>0</v>
      </c>
      <c r="EC120" s="161">
        <f t="shared" si="117"/>
        <v>0</v>
      </c>
      <c r="ED120" s="161">
        <f t="shared" si="118"/>
        <v>0</v>
      </c>
      <c r="EE120" s="161">
        <f t="shared" si="119"/>
        <v>0</v>
      </c>
      <c r="EF120" s="161">
        <f t="shared" si="120"/>
        <v>0</v>
      </c>
      <c r="EG120" s="161">
        <f t="shared" si="121"/>
        <v>0</v>
      </c>
      <c r="EH120" s="161">
        <f t="shared" si="122"/>
        <v>0</v>
      </c>
      <c r="EI120" s="161">
        <f t="shared" si="123"/>
        <v>0</v>
      </c>
      <c r="EJ120" s="161">
        <f t="shared" si="124"/>
        <v>0</v>
      </c>
      <c r="EK120" s="147">
        <f t="shared" ref="EK120:EK151" si="132">IF(DF120="", "", SUM(DF120:EJ120))</f>
        <v>0</v>
      </c>
      <c r="EL120" s="149"/>
      <c r="EN120" s="146"/>
      <c r="EO120" s="146"/>
      <c r="EP120" s="139">
        <f t="shared" ref="EP120:EP151" si="133">IF(DF120="", "", DF120*G$36)</f>
        <v>0</v>
      </c>
      <c r="EQ120" s="139">
        <f t="shared" ref="EQ120:EQ151" si="134">IF(DG120="", "", DG120*H$36)</f>
        <v>0</v>
      </c>
      <c r="ER120" s="139">
        <f t="shared" ref="ER120:ER151" si="135">IF(DH120="", "", DH120*I$36)</f>
        <v>0</v>
      </c>
      <c r="ES120" s="139">
        <f t="shared" ref="ES120:ES151" si="136">IF(DI120="", "", DI120*J$36)</f>
        <v>0</v>
      </c>
      <c r="ET120" s="139">
        <f t="shared" ref="ET120:ET151" si="137">IF(DJ120="", "", DJ120*K$36)</f>
        <v>0</v>
      </c>
      <c r="EU120" s="139">
        <f t="shared" ref="EU120:EU151" si="138">IF(DK120="", "", DK120*L$36)</f>
        <v>0</v>
      </c>
      <c r="EV120" s="139">
        <f t="shared" ref="EV120:EV151" si="139">IF(DL120="", "", DL120*M$36)</f>
        <v>0</v>
      </c>
      <c r="EW120" s="139">
        <f t="shared" ref="EW120:EW151" si="140">IF(DM120="", "", DM120*N$36)</f>
        <v>0</v>
      </c>
      <c r="EX120" s="139">
        <f t="shared" ref="EX120:EX151" si="141">IF(DN120="", "", DN120*O$36)</f>
        <v>0</v>
      </c>
      <c r="EY120" s="139">
        <f t="shared" ref="EY120:EY151" si="142">IF(DO120="", "", DO120*P$36)</f>
        <v>0</v>
      </c>
      <c r="EZ120" s="139">
        <f t="shared" ref="EZ120:EZ151" si="143">IF(DP120="", "", DP120*Q$36)</f>
        <v>0</v>
      </c>
      <c r="FA120" s="139">
        <f t="shared" ref="FA120:FA151" si="144">IF(DQ120="", "", DQ120*R$36)</f>
        <v>0</v>
      </c>
      <c r="FB120" s="139">
        <f t="shared" ref="FB120:FB151" si="145">IF(DR120="", "", DR120*S$36)</f>
        <v>0</v>
      </c>
      <c r="FC120" s="139">
        <f t="shared" ref="FC120:FC151" si="146">IF(DS120="", "", DS120*T$36)</f>
        <v>0</v>
      </c>
      <c r="FD120" s="139">
        <f t="shared" ref="FD120:FD151" si="147">IF(DT120="", "", DT120*U$36)</f>
        <v>0</v>
      </c>
      <c r="FE120" s="139">
        <f t="shared" ref="FE120:FE151" si="148">IF(DU120="", "", DU120*V$36)</f>
        <v>0</v>
      </c>
      <c r="FF120" s="139">
        <f t="shared" ref="FF120:FF151" si="149">IF(DV120="", "", DV120*W$36)</f>
        <v>0</v>
      </c>
      <c r="FG120" s="139">
        <f t="shared" ref="FG120:FG151" si="150">IF(DW120="", "", DW120*X$36)</f>
        <v>0</v>
      </c>
      <c r="FH120" s="139">
        <f t="shared" ref="FH120:FH151" si="151">IF(DX120="", "", DX120*Y$36)</f>
        <v>0</v>
      </c>
      <c r="FI120" s="139">
        <f t="shared" ref="FI120:FI151" si="152">IF(DY120="", "", DY120*Z$36)</f>
        <v>0</v>
      </c>
      <c r="FJ120" s="139">
        <f t="shared" ref="FJ120:FJ151" si="153">IF(DZ120="", "", DZ120*AA$36)</f>
        <v>0</v>
      </c>
      <c r="FK120" s="139">
        <f t="shared" ref="FK120:FK151" si="154">IF(EA120="", "", EA120*AB$36)</f>
        <v>0</v>
      </c>
      <c r="FL120" s="139">
        <f t="shared" ref="FL120:FL151" si="155">IF(EB120="", "", EB120*AC$36)</f>
        <v>0</v>
      </c>
      <c r="FM120" s="139">
        <f t="shared" ref="FM120:FM151" si="156">IF(EC120="", "", EC120*AD$36)</f>
        <v>0</v>
      </c>
      <c r="FN120" s="139">
        <f t="shared" ref="FN120:FN151" si="157">IF(ED120="", "", ED120*AE$36)</f>
        <v>0</v>
      </c>
      <c r="FO120" s="139">
        <f t="shared" ref="FO120:FO151" si="158">IF(EE120="", "", EE120*AF$36)</f>
        <v>0</v>
      </c>
      <c r="FP120" s="139">
        <f t="shared" ref="FP120:FP151" si="159">IF(EF120="", "", EF120*AG$36)</f>
        <v>0</v>
      </c>
      <c r="FQ120" s="139">
        <f t="shared" ref="FQ120:FQ151" si="160">IF(EG120="", "", EG120*AH$36)</f>
        <v>0</v>
      </c>
      <c r="FR120" s="139">
        <f t="shared" ref="FR120:FR151" si="161">IF(EH120="", "", EH120*AI$36)</f>
        <v>0</v>
      </c>
      <c r="FS120" s="139">
        <f t="shared" ref="FS120:FS151" si="162">IF(EI120="", "", EI120*AJ$36)</f>
        <v>0</v>
      </c>
      <c r="FT120" s="139">
        <f t="shared" ref="FT120:FT151" si="163">IF(EJ120="", "", EJ120*AK$36)</f>
        <v>0</v>
      </c>
      <c r="FU120" s="148">
        <f t="shared" ref="FU120:FU151" si="164">IF(EP120="","",SUM(EP120:FT120))</f>
        <v>0</v>
      </c>
      <c r="FV120" s="149"/>
      <c r="FY120" s="210">
        <v>115</v>
      </c>
      <c r="FZ120" s="205"/>
      <c r="GA120" s="205"/>
      <c r="GB120" s="205"/>
      <c r="GC120" s="205"/>
      <c r="GD120" s="205"/>
      <c r="GE120" s="205"/>
      <c r="GF120" s="205"/>
      <c r="GG120" s="205"/>
      <c r="GH120" s="205"/>
      <c r="GI120" s="205"/>
      <c r="GJ120" s="205"/>
      <c r="GK120" s="205"/>
      <c r="GL120" s="205"/>
      <c r="GM120" s="205"/>
    </row>
    <row r="121" spans="1:195" s="7" customFormat="1">
      <c r="A121" s="1"/>
      <c r="B121" s="76">
        <f t="shared" ca="1" si="131"/>
        <v>0.34866425683798696</v>
      </c>
      <c r="C121">
        <v>9</v>
      </c>
      <c r="D121">
        <v>39747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/>
      <c r="AO121"/>
      <c r="AP121"/>
      <c r="AQ121"/>
      <c r="AR121"/>
      <c r="AS121"/>
      <c r="AT121"/>
      <c r="AU121"/>
      <c r="AV121"/>
      <c r="AW121"/>
      <c r="AX121" s="146"/>
      <c r="AY121" s="76">
        <f t="shared" ca="1" si="87"/>
        <v>0.58206454658261619</v>
      </c>
      <c r="AZ121">
        <v>4</v>
      </c>
      <c r="BA121" s="129">
        <f t="shared" si="130"/>
        <v>39747</v>
      </c>
      <c r="BB121">
        <v>0</v>
      </c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 s="147"/>
      <c r="CH121" s="176"/>
      <c r="CJ121" s="146"/>
      <c r="CK121" s="76">
        <f t="shared" ca="1" si="89"/>
        <v>0.83267221683488035</v>
      </c>
      <c r="CL121" s="179">
        <f t="shared" si="90"/>
        <v>4</v>
      </c>
      <c r="CM121" s="180">
        <f t="shared" si="91"/>
        <v>39747</v>
      </c>
      <c r="CN121">
        <v>0</v>
      </c>
      <c r="CO121"/>
      <c r="CP121"/>
      <c r="CQ121"/>
      <c r="CR121"/>
      <c r="CS121"/>
      <c r="CT121"/>
      <c r="CU121"/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2"/>
        <v>9.6000000000000002E-2</v>
      </c>
      <c r="DB121" s="146"/>
      <c r="DC121" s="76">
        <f t="shared" ca="1" si="50"/>
        <v>0.58314005372532329</v>
      </c>
      <c r="DD121">
        <f t="shared" si="93"/>
        <v>4</v>
      </c>
      <c r="DE121" s="129">
        <f t="shared" si="129"/>
        <v>39747</v>
      </c>
      <c r="DF121" s="161">
        <f t="shared" si="94"/>
        <v>0</v>
      </c>
      <c r="DG121" s="161">
        <f t="shared" si="95"/>
        <v>0</v>
      </c>
      <c r="DH121" s="161">
        <f t="shared" si="96"/>
        <v>0</v>
      </c>
      <c r="DI121" s="161">
        <f t="shared" si="97"/>
        <v>0</v>
      </c>
      <c r="DJ121" s="161">
        <f t="shared" si="98"/>
        <v>0</v>
      </c>
      <c r="DK121" s="161">
        <f t="shared" si="99"/>
        <v>0</v>
      </c>
      <c r="DL121" s="161">
        <f t="shared" si="100"/>
        <v>0</v>
      </c>
      <c r="DM121" s="161">
        <f t="shared" si="101"/>
        <v>0</v>
      </c>
      <c r="DN121" s="161">
        <f t="shared" si="102"/>
        <v>0</v>
      </c>
      <c r="DO121" s="161">
        <f t="shared" si="103"/>
        <v>0</v>
      </c>
      <c r="DP121" s="161">
        <f t="shared" si="104"/>
        <v>0</v>
      </c>
      <c r="DQ121" s="161">
        <f t="shared" si="105"/>
        <v>0</v>
      </c>
      <c r="DR121" s="161">
        <f t="shared" si="106"/>
        <v>0</v>
      </c>
      <c r="DS121" s="161">
        <f t="shared" si="107"/>
        <v>0</v>
      </c>
      <c r="DT121" s="161">
        <f t="shared" si="108"/>
        <v>0</v>
      </c>
      <c r="DU121" s="161">
        <f t="shared" si="109"/>
        <v>0</v>
      </c>
      <c r="DV121" s="161">
        <f t="shared" si="110"/>
        <v>0</v>
      </c>
      <c r="DW121" s="161">
        <f t="shared" si="111"/>
        <v>0</v>
      </c>
      <c r="DX121" s="161">
        <f t="shared" si="112"/>
        <v>0</v>
      </c>
      <c r="DY121" s="161">
        <f t="shared" si="113"/>
        <v>0</v>
      </c>
      <c r="DZ121" s="161">
        <f t="shared" si="114"/>
        <v>0</v>
      </c>
      <c r="EA121" s="161">
        <f t="shared" si="115"/>
        <v>0</v>
      </c>
      <c r="EB121" s="161">
        <f t="shared" si="116"/>
        <v>0</v>
      </c>
      <c r="EC121" s="161">
        <f t="shared" si="117"/>
        <v>0</v>
      </c>
      <c r="ED121" s="161">
        <f t="shared" si="118"/>
        <v>0</v>
      </c>
      <c r="EE121" s="161">
        <f t="shared" si="119"/>
        <v>0</v>
      </c>
      <c r="EF121" s="161">
        <f t="shared" si="120"/>
        <v>0</v>
      </c>
      <c r="EG121" s="161">
        <f t="shared" si="121"/>
        <v>0</v>
      </c>
      <c r="EH121" s="161">
        <f t="shared" si="122"/>
        <v>0</v>
      </c>
      <c r="EI121" s="161">
        <f t="shared" si="123"/>
        <v>0</v>
      </c>
      <c r="EJ121" s="161">
        <f t="shared" si="124"/>
        <v>0</v>
      </c>
      <c r="EK121" s="147">
        <f t="shared" si="132"/>
        <v>0</v>
      </c>
      <c r="EL121" s="149"/>
      <c r="EN121" s="146"/>
      <c r="EO121" s="146"/>
      <c r="EP121" s="139">
        <f t="shared" si="133"/>
        <v>0</v>
      </c>
      <c r="EQ121" s="139">
        <f t="shared" si="134"/>
        <v>0</v>
      </c>
      <c r="ER121" s="139">
        <f t="shared" si="135"/>
        <v>0</v>
      </c>
      <c r="ES121" s="139">
        <f t="shared" si="136"/>
        <v>0</v>
      </c>
      <c r="ET121" s="139">
        <f t="shared" si="137"/>
        <v>0</v>
      </c>
      <c r="EU121" s="139">
        <f t="shared" si="138"/>
        <v>0</v>
      </c>
      <c r="EV121" s="139">
        <f t="shared" si="139"/>
        <v>0</v>
      </c>
      <c r="EW121" s="139">
        <f t="shared" si="140"/>
        <v>0</v>
      </c>
      <c r="EX121" s="139">
        <f t="shared" si="141"/>
        <v>0</v>
      </c>
      <c r="EY121" s="139">
        <f t="shared" si="142"/>
        <v>0</v>
      </c>
      <c r="EZ121" s="139">
        <f t="shared" si="143"/>
        <v>0</v>
      </c>
      <c r="FA121" s="139">
        <f t="shared" si="144"/>
        <v>0</v>
      </c>
      <c r="FB121" s="139">
        <f t="shared" si="145"/>
        <v>0</v>
      </c>
      <c r="FC121" s="139">
        <f t="shared" si="146"/>
        <v>0</v>
      </c>
      <c r="FD121" s="139">
        <f t="shared" si="147"/>
        <v>0</v>
      </c>
      <c r="FE121" s="139">
        <f t="shared" si="148"/>
        <v>0</v>
      </c>
      <c r="FF121" s="139">
        <f t="shared" si="149"/>
        <v>0</v>
      </c>
      <c r="FG121" s="139">
        <f t="shared" si="150"/>
        <v>0</v>
      </c>
      <c r="FH121" s="139">
        <f t="shared" si="151"/>
        <v>0</v>
      </c>
      <c r="FI121" s="139">
        <f t="shared" si="152"/>
        <v>0</v>
      </c>
      <c r="FJ121" s="139">
        <f t="shared" si="153"/>
        <v>0</v>
      </c>
      <c r="FK121" s="139">
        <f t="shared" si="154"/>
        <v>0</v>
      </c>
      <c r="FL121" s="139">
        <f t="shared" si="155"/>
        <v>0</v>
      </c>
      <c r="FM121" s="139">
        <f t="shared" si="156"/>
        <v>0</v>
      </c>
      <c r="FN121" s="139">
        <f t="shared" si="157"/>
        <v>0</v>
      </c>
      <c r="FO121" s="139">
        <f t="shared" si="158"/>
        <v>0</v>
      </c>
      <c r="FP121" s="139">
        <f t="shared" si="159"/>
        <v>0</v>
      </c>
      <c r="FQ121" s="139">
        <f t="shared" si="160"/>
        <v>0</v>
      </c>
      <c r="FR121" s="139">
        <f t="shared" si="161"/>
        <v>0</v>
      </c>
      <c r="FS121" s="139">
        <f t="shared" si="162"/>
        <v>0</v>
      </c>
      <c r="FT121" s="139">
        <f t="shared" si="163"/>
        <v>0</v>
      </c>
      <c r="FU121" s="148">
        <f t="shared" si="164"/>
        <v>0</v>
      </c>
      <c r="FV121" s="149"/>
      <c r="FY121" s="210">
        <v>116</v>
      </c>
      <c r="FZ121" s="205"/>
      <c r="GA121" s="205"/>
      <c r="GB121" s="205"/>
      <c r="GC121" s="205"/>
      <c r="GD121" s="205"/>
      <c r="GE121" s="205"/>
      <c r="GF121" s="205"/>
      <c r="GG121" s="205"/>
      <c r="GH121" s="205"/>
      <c r="GI121" s="205"/>
      <c r="GJ121" s="205"/>
      <c r="GK121" s="205"/>
      <c r="GL121" s="205"/>
      <c r="GM121" s="205"/>
    </row>
    <row r="122" spans="1:195" s="7" customFormat="1">
      <c r="A122" s="1"/>
      <c r="B122" s="76">
        <f t="shared" ca="1" si="131"/>
        <v>4.6398146864310208E-2</v>
      </c>
      <c r="C122">
        <v>7</v>
      </c>
      <c r="D122">
        <v>39747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/>
      <c r="AO122"/>
      <c r="AP122"/>
      <c r="AQ122"/>
      <c r="AR122"/>
      <c r="AS122"/>
      <c r="AT122"/>
      <c r="AU122"/>
      <c r="AV122"/>
      <c r="AW122"/>
      <c r="AX122" s="146"/>
      <c r="AY122" s="76">
        <f t="shared" ca="1" si="87"/>
        <v>0.41332254460209894</v>
      </c>
      <c r="AZ122">
        <v>5</v>
      </c>
      <c r="BA122" s="129">
        <f t="shared" si="130"/>
        <v>39747</v>
      </c>
      <c r="BB122">
        <v>0</v>
      </c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 s="147"/>
      <c r="CH122" s="176"/>
      <c r="CJ122" s="146"/>
      <c r="CK122" s="76">
        <f t="shared" ca="1" si="89"/>
        <v>0.68987271762986513</v>
      </c>
      <c r="CL122" s="179">
        <f t="shared" si="90"/>
        <v>5</v>
      </c>
      <c r="CM122" s="180">
        <f t="shared" si="91"/>
        <v>39747</v>
      </c>
      <c r="CN122">
        <v>0</v>
      </c>
      <c r="CO122"/>
      <c r="CP122"/>
      <c r="CQ122"/>
      <c r="CR122"/>
      <c r="CS122"/>
      <c r="CT122"/>
      <c r="CU122"/>
      <c r="CV122" s="160"/>
      <c r="CW122" s="178">
        <v>1</v>
      </c>
      <c r="CX122">
        <f>350/33</f>
        <v>10.606060606060606</v>
      </c>
      <c r="CY122" s="160"/>
      <c r="CZ122" s="177">
        <f t="shared" si="92"/>
        <v>9.6000000000000002E-2</v>
      </c>
      <c r="DB122" s="146"/>
      <c r="DC122" s="76">
        <f t="shared" ca="1" si="50"/>
        <v>3.4821799575213142E-2</v>
      </c>
      <c r="DD122">
        <f t="shared" si="93"/>
        <v>5</v>
      </c>
      <c r="DE122" s="129">
        <f t="shared" si="129"/>
        <v>39747</v>
      </c>
      <c r="DF122" s="161">
        <f t="shared" si="94"/>
        <v>0</v>
      </c>
      <c r="DG122" s="161">
        <f t="shared" si="95"/>
        <v>0</v>
      </c>
      <c r="DH122" s="161">
        <f t="shared" si="96"/>
        <v>0</v>
      </c>
      <c r="DI122" s="161">
        <f t="shared" si="97"/>
        <v>0</v>
      </c>
      <c r="DJ122" s="161">
        <f t="shared" si="98"/>
        <v>0</v>
      </c>
      <c r="DK122" s="161">
        <f t="shared" si="99"/>
        <v>0</v>
      </c>
      <c r="DL122" s="161">
        <f t="shared" si="100"/>
        <v>0</v>
      </c>
      <c r="DM122" s="161">
        <f t="shared" si="101"/>
        <v>0</v>
      </c>
      <c r="DN122" s="161">
        <f t="shared" si="102"/>
        <v>0</v>
      </c>
      <c r="DO122" s="161">
        <f t="shared" si="103"/>
        <v>0</v>
      </c>
      <c r="DP122" s="161">
        <f t="shared" si="104"/>
        <v>0</v>
      </c>
      <c r="DQ122" s="161">
        <f t="shared" si="105"/>
        <v>0</v>
      </c>
      <c r="DR122" s="161">
        <f t="shared" si="106"/>
        <v>0</v>
      </c>
      <c r="DS122" s="161">
        <f t="shared" si="107"/>
        <v>0</v>
      </c>
      <c r="DT122" s="161">
        <f t="shared" si="108"/>
        <v>0</v>
      </c>
      <c r="DU122" s="161">
        <f t="shared" si="109"/>
        <v>0</v>
      </c>
      <c r="DV122" s="161">
        <f t="shared" si="110"/>
        <v>0</v>
      </c>
      <c r="DW122" s="161">
        <f t="shared" si="111"/>
        <v>0</v>
      </c>
      <c r="DX122" s="161">
        <f t="shared" si="112"/>
        <v>0</v>
      </c>
      <c r="DY122" s="161">
        <f t="shared" si="113"/>
        <v>0</v>
      </c>
      <c r="DZ122" s="161">
        <f t="shared" si="114"/>
        <v>0</v>
      </c>
      <c r="EA122" s="161">
        <f t="shared" si="115"/>
        <v>0</v>
      </c>
      <c r="EB122" s="161">
        <f t="shared" si="116"/>
        <v>0</v>
      </c>
      <c r="EC122" s="161">
        <f t="shared" si="117"/>
        <v>0</v>
      </c>
      <c r="ED122" s="161">
        <f t="shared" si="118"/>
        <v>0</v>
      </c>
      <c r="EE122" s="161">
        <f t="shared" si="119"/>
        <v>0</v>
      </c>
      <c r="EF122" s="161">
        <f t="shared" si="120"/>
        <v>0</v>
      </c>
      <c r="EG122" s="161">
        <f t="shared" si="121"/>
        <v>0</v>
      </c>
      <c r="EH122" s="161">
        <f t="shared" si="122"/>
        <v>0</v>
      </c>
      <c r="EI122" s="161">
        <f t="shared" si="123"/>
        <v>0</v>
      </c>
      <c r="EJ122" s="161">
        <f t="shared" si="124"/>
        <v>0</v>
      </c>
      <c r="EK122" s="147">
        <f t="shared" si="132"/>
        <v>0</v>
      </c>
      <c r="EL122" s="149"/>
      <c r="EN122" s="146"/>
      <c r="EO122" s="146"/>
      <c r="EP122" s="139">
        <f t="shared" si="133"/>
        <v>0</v>
      </c>
      <c r="EQ122" s="139">
        <f t="shared" si="134"/>
        <v>0</v>
      </c>
      <c r="ER122" s="139">
        <f t="shared" si="135"/>
        <v>0</v>
      </c>
      <c r="ES122" s="139">
        <f t="shared" si="136"/>
        <v>0</v>
      </c>
      <c r="ET122" s="139">
        <f t="shared" si="137"/>
        <v>0</v>
      </c>
      <c r="EU122" s="139">
        <f t="shared" si="138"/>
        <v>0</v>
      </c>
      <c r="EV122" s="139">
        <f t="shared" si="139"/>
        <v>0</v>
      </c>
      <c r="EW122" s="139">
        <f t="shared" si="140"/>
        <v>0</v>
      </c>
      <c r="EX122" s="139">
        <f t="shared" si="141"/>
        <v>0</v>
      </c>
      <c r="EY122" s="139">
        <f t="shared" si="142"/>
        <v>0</v>
      </c>
      <c r="EZ122" s="139">
        <f t="shared" si="143"/>
        <v>0</v>
      </c>
      <c r="FA122" s="139">
        <f t="shared" si="144"/>
        <v>0</v>
      </c>
      <c r="FB122" s="139">
        <f t="shared" si="145"/>
        <v>0</v>
      </c>
      <c r="FC122" s="139">
        <f t="shared" si="146"/>
        <v>0</v>
      </c>
      <c r="FD122" s="139">
        <f t="shared" si="147"/>
        <v>0</v>
      </c>
      <c r="FE122" s="139">
        <f t="shared" si="148"/>
        <v>0</v>
      </c>
      <c r="FF122" s="139">
        <f t="shared" si="149"/>
        <v>0</v>
      </c>
      <c r="FG122" s="139">
        <f t="shared" si="150"/>
        <v>0</v>
      </c>
      <c r="FH122" s="139">
        <f t="shared" si="151"/>
        <v>0</v>
      </c>
      <c r="FI122" s="139">
        <f t="shared" si="152"/>
        <v>0</v>
      </c>
      <c r="FJ122" s="139">
        <f t="shared" si="153"/>
        <v>0</v>
      </c>
      <c r="FK122" s="139">
        <f t="shared" si="154"/>
        <v>0</v>
      </c>
      <c r="FL122" s="139">
        <f t="shared" si="155"/>
        <v>0</v>
      </c>
      <c r="FM122" s="139">
        <f t="shared" si="156"/>
        <v>0</v>
      </c>
      <c r="FN122" s="139">
        <f t="shared" si="157"/>
        <v>0</v>
      </c>
      <c r="FO122" s="139">
        <f t="shared" si="158"/>
        <v>0</v>
      </c>
      <c r="FP122" s="139">
        <f t="shared" si="159"/>
        <v>0</v>
      </c>
      <c r="FQ122" s="139">
        <f t="shared" si="160"/>
        <v>0</v>
      </c>
      <c r="FR122" s="139">
        <f t="shared" si="161"/>
        <v>0</v>
      </c>
      <c r="FS122" s="139">
        <f t="shared" si="162"/>
        <v>0</v>
      </c>
      <c r="FT122" s="139">
        <f t="shared" si="163"/>
        <v>0</v>
      </c>
      <c r="FU122" s="148">
        <f t="shared" si="164"/>
        <v>0</v>
      </c>
      <c r="FV122" s="149"/>
      <c r="FY122" s="210">
        <v>117</v>
      </c>
      <c r="FZ122" s="205"/>
      <c r="GA122" s="205"/>
      <c r="GB122" s="205"/>
      <c r="GC122" s="205"/>
      <c r="GD122" s="205"/>
      <c r="GE122" s="205"/>
      <c r="GF122" s="205"/>
      <c r="GG122" s="205"/>
      <c r="GH122" s="205"/>
      <c r="GI122" s="205"/>
      <c r="GJ122" s="205"/>
      <c r="GK122" s="205"/>
      <c r="GL122" s="205"/>
      <c r="GM122" s="205"/>
    </row>
    <row r="123" spans="1:195" s="7" customFormat="1">
      <c r="A123" s="1"/>
      <c r="B123" s="76">
        <f t="shared" ca="1" si="131"/>
        <v>0.5793711513683073</v>
      </c>
      <c r="C123">
        <v>2</v>
      </c>
      <c r="D123">
        <v>39747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78.125</v>
      </c>
      <c r="K123">
        <v>26.041666666666668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/>
      <c r="AO123"/>
      <c r="AP123"/>
      <c r="AQ123"/>
      <c r="AR123"/>
      <c r="AS123"/>
      <c r="AT123"/>
      <c r="AU123"/>
      <c r="AV123"/>
      <c r="AW123"/>
      <c r="AX123" s="146"/>
      <c r="AY123" s="76">
        <f t="shared" ca="1" si="87"/>
        <v>0.3896924740796639</v>
      </c>
      <c r="AZ123">
        <v>6</v>
      </c>
      <c r="BA123" s="129">
        <f t="shared" si="130"/>
        <v>39747</v>
      </c>
      <c r="BB123">
        <v>0</v>
      </c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 s="147"/>
      <c r="CH123" s="176"/>
      <c r="CJ123" s="146"/>
      <c r="CK123" s="76">
        <f t="shared" ca="1" si="89"/>
        <v>0.38561211394160644</v>
      </c>
      <c r="CL123" s="179">
        <f t="shared" si="90"/>
        <v>6</v>
      </c>
      <c r="CM123" s="180">
        <f t="shared" si="91"/>
        <v>39747</v>
      </c>
      <c r="CN123" s="217">
        <v>0</v>
      </c>
      <c r="CO123" s="217"/>
      <c r="CP123" s="217"/>
      <c r="CQ123" s="217"/>
      <c r="CR123" s="217"/>
      <c r="CS123"/>
      <c r="CT123"/>
      <c r="CU123"/>
      <c r="CV123" s="160"/>
      <c r="CW123" s="178">
        <v>1</v>
      </c>
      <c r="CX123">
        <f>375/60</f>
        <v>6.25</v>
      </c>
      <c r="CY123" s="160"/>
      <c r="CZ123" s="177">
        <f t="shared" si="92"/>
        <v>9.6000000000000002E-2</v>
      </c>
      <c r="DB123" s="146"/>
      <c r="DC123" s="76">
        <f t="shared" ca="1" si="50"/>
        <v>0.31908530729464424</v>
      </c>
      <c r="DD123">
        <f t="shared" si="93"/>
        <v>6</v>
      </c>
      <c r="DE123" s="129">
        <f t="shared" si="129"/>
        <v>39747</v>
      </c>
      <c r="DF123" s="161">
        <f t="shared" si="94"/>
        <v>0</v>
      </c>
      <c r="DG123" s="161">
        <f t="shared" si="95"/>
        <v>0</v>
      </c>
      <c r="DH123" s="161">
        <f t="shared" si="96"/>
        <v>0</v>
      </c>
      <c r="DI123" s="161">
        <f t="shared" si="97"/>
        <v>0</v>
      </c>
      <c r="DJ123" s="161">
        <f t="shared" si="98"/>
        <v>0</v>
      </c>
      <c r="DK123" s="161">
        <f t="shared" si="99"/>
        <v>0</v>
      </c>
      <c r="DL123" s="161">
        <f t="shared" si="100"/>
        <v>0</v>
      </c>
      <c r="DM123" s="161">
        <f t="shared" si="101"/>
        <v>0</v>
      </c>
      <c r="DN123" s="161">
        <f t="shared" si="102"/>
        <v>0</v>
      </c>
      <c r="DO123" s="161">
        <f t="shared" si="103"/>
        <v>0</v>
      </c>
      <c r="DP123" s="161">
        <f t="shared" si="104"/>
        <v>0</v>
      </c>
      <c r="DQ123" s="161">
        <f t="shared" si="105"/>
        <v>0</v>
      </c>
      <c r="DR123" s="161">
        <f t="shared" si="106"/>
        <v>0</v>
      </c>
      <c r="DS123" s="161">
        <f t="shared" si="107"/>
        <v>0</v>
      </c>
      <c r="DT123" s="161">
        <f t="shared" si="108"/>
        <v>0</v>
      </c>
      <c r="DU123" s="161">
        <f t="shared" si="109"/>
        <v>0</v>
      </c>
      <c r="DV123" s="161">
        <f t="shared" si="110"/>
        <v>0</v>
      </c>
      <c r="DW123" s="161">
        <f t="shared" si="111"/>
        <v>0</v>
      </c>
      <c r="DX123" s="161">
        <f t="shared" si="112"/>
        <v>0</v>
      </c>
      <c r="DY123" s="161">
        <f t="shared" si="113"/>
        <v>0</v>
      </c>
      <c r="DZ123" s="161">
        <f t="shared" si="114"/>
        <v>0</v>
      </c>
      <c r="EA123" s="161">
        <f t="shared" si="115"/>
        <v>0</v>
      </c>
      <c r="EB123" s="161">
        <f t="shared" si="116"/>
        <v>0</v>
      </c>
      <c r="EC123" s="161">
        <f t="shared" si="117"/>
        <v>0</v>
      </c>
      <c r="ED123" s="161">
        <f t="shared" si="118"/>
        <v>0</v>
      </c>
      <c r="EE123" s="161">
        <f t="shared" si="119"/>
        <v>0</v>
      </c>
      <c r="EF123" s="161">
        <f t="shared" si="120"/>
        <v>0</v>
      </c>
      <c r="EG123" s="161">
        <f t="shared" si="121"/>
        <v>0</v>
      </c>
      <c r="EH123" s="161">
        <f t="shared" si="122"/>
        <v>0</v>
      </c>
      <c r="EI123" s="161">
        <f t="shared" si="123"/>
        <v>0</v>
      </c>
      <c r="EJ123" s="161">
        <f t="shared" si="124"/>
        <v>0</v>
      </c>
      <c r="EK123" s="147">
        <f t="shared" si="132"/>
        <v>0</v>
      </c>
      <c r="EL123" s="149"/>
      <c r="EN123" s="146"/>
      <c r="EO123" s="146"/>
      <c r="EP123" s="139">
        <f t="shared" si="133"/>
        <v>0</v>
      </c>
      <c r="EQ123" s="139">
        <f t="shared" si="134"/>
        <v>0</v>
      </c>
      <c r="ER123" s="139">
        <f t="shared" si="135"/>
        <v>0</v>
      </c>
      <c r="ES123" s="139">
        <f t="shared" si="136"/>
        <v>0</v>
      </c>
      <c r="ET123" s="139">
        <f t="shared" si="137"/>
        <v>0</v>
      </c>
      <c r="EU123" s="139">
        <f t="shared" si="138"/>
        <v>0</v>
      </c>
      <c r="EV123" s="139">
        <f t="shared" si="139"/>
        <v>0</v>
      </c>
      <c r="EW123" s="139">
        <f t="shared" si="140"/>
        <v>0</v>
      </c>
      <c r="EX123" s="139">
        <f t="shared" si="141"/>
        <v>0</v>
      </c>
      <c r="EY123" s="139">
        <f t="shared" si="142"/>
        <v>0</v>
      </c>
      <c r="EZ123" s="139">
        <f t="shared" si="143"/>
        <v>0</v>
      </c>
      <c r="FA123" s="139">
        <f t="shared" si="144"/>
        <v>0</v>
      </c>
      <c r="FB123" s="139">
        <f t="shared" si="145"/>
        <v>0</v>
      </c>
      <c r="FC123" s="139">
        <f t="shared" si="146"/>
        <v>0</v>
      </c>
      <c r="FD123" s="139">
        <f t="shared" si="147"/>
        <v>0</v>
      </c>
      <c r="FE123" s="139">
        <f t="shared" si="148"/>
        <v>0</v>
      </c>
      <c r="FF123" s="139">
        <f t="shared" si="149"/>
        <v>0</v>
      </c>
      <c r="FG123" s="139">
        <f t="shared" si="150"/>
        <v>0</v>
      </c>
      <c r="FH123" s="139">
        <f t="shared" si="151"/>
        <v>0</v>
      </c>
      <c r="FI123" s="139">
        <f t="shared" si="152"/>
        <v>0</v>
      </c>
      <c r="FJ123" s="139">
        <f t="shared" si="153"/>
        <v>0</v>
      </c>
      <c r="FK123" s="139">
        <f t="shared" si="154"/>
        <v>0</v>
      </c>
      <c r="FL123" s="139">
        <f t="shared" si="155"/>
        <v>0</v>
      </c>
      <c r="FM123" s="139">
        <f t="shared" si="156"/>
        <v>0</v>
      </c>
      <c r="FN123" s="139">
        <f t="shared" si="157"/>
        <v>0</v>
      </c>
      <c r="FO123" s="139">
        <f t="shared" si="158"/>
        <v>0</v>
      </c>
      <c r="FP123" s="139">
        <f t="shared" si="159"/>
        <v>0</v>
      </c>
      <c r="FQ123" s="139">
        <f t="shared" si="160"/>
        <v>0</v>
      </c>
      <c r="FR123" s="139">
        <f t="shared" si="161"/>
        <v>0</v>
      </c>
      <c r="FS123" s="139">
        <f t="shared" si="162"/>
        <v>0</v>
      </c>
      <c r="FT123" s="139">
        <f t="shared" si="163"/>
        <v>0</v>
      </c>
      <c r="FU123" s="148">
        <f t="shared" si="164"/>
        <v>0</v>
      </c>
      <c r="FV123" s="149"/>
      <c r="FY123" s="210">
        <v>118</v>
      </c>
      <c r="FZ123" s="205"/>
      <c r="GA123" s="205"/>
      <c r="GB123" s="205"/>
      <c r="GC123" s="205"/>
      <c r="GD123" s="205"/>
      <c r="GE123" s="205"/>
      <c r="GF123" s="205"/>
      <c r="GG123" s="205"/>
      <c r="GH123" s="205"/>
      <c r="GI123" s="205"/>
      <c r="GJ123" s="205"/>
      <c r="GK123" s="205"/>
      <c r="GL123" s="205"/>
      <c r="GM123" s="205"/>
    </row>
    <row r="124" spans="1:195" s="7" customFormat="1">
      <c r="A124" s="1"/>
      <c r="B124" s="76">
        <f t="shared" ca="1" si="131"/>
        <v>0.33125973086637028</v>
      </c>
      <c r="C124">
        <v>5</v>
      </c>
      <c r="D124">
        <v>39747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10.416666666666666</v>
      </c>
      <c r="K124">
        <v>41.666666666666664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/>
      <c r="AO124"/>
      <c r="AP124"/>
      <c r="AQ124"/>
      <c r="AR124"/>
      <c r="AS124"/>
      <c r="AT124"/>
      <c r="AU124"/>
      <c r="AV124"/>
      <c r="AW124"/>
      <c r="AX124" s="146"/>
      <c r="AY124" s="76">
        <f t="shared" ca="1" si="87"/>
        <v>0.22445100402982465</v>
      </c>
      <c r="AZ124">
        <v>7</v>
      </c>
      <c r="BA124" s="129">
        <f t="shared" si="130"/>
        <v>39747</v>
      </c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 s="147"/>
      <c r="CH124" s="176"/>
      <c r="CJ124" s="146"/>
      <c r="CK124" s="76">
        <f t="shared" ca="1" si="89"/>
        <v>0.73081627793435233</v>
      </c>
      <c r="CL124" s="179">
        <f t="shared" si="90"/>
        <v>7</v>
      </c>
      <c r="CM124" s="180">
        <f t="shared" si="91"/>
        <v>39747</v>
      </c>
      <c r="CN124">
        <v>0</v>
      </c>
      <c r="CO124">
        <v>3</v>
      </c>
      <c r="CP124"/>
      <c r="CQ124"/>
      <c r="CR124"/>
      <c r="CS124"/>
      <c r="CT124"/>
      <c r="CU124"/>
      <c r="CV124" s="160"/>
      <c r="CW124" s="178">
        <v>1</v>
      </c>
      <c r="CX124">
        <f>350/49</f>
        <v>7.1428571428571432</v>
      </c>
      <c r="CY124" s="164"/>
      <c r="CZ124" s="177">
        <f t="shared" si="92"/>
        <v>9.6000000000000002E-2</v>
      </c>
      <c r="DB124" s="146"/>
      <c r="DC124" s="76">
        <f t="shared" ca="1" si="50"/>
        <v>0.32386054876559056</v>
      </c>
      <c r="DD124">
        <f t="shared" si="93"/>
        <v>7</v>
      </c>
      <c r="DE124" s="129">
        <f t="shared" si="129"/>
        <v>39747</v>
      </c>
      <c r="DF124" s="161">
        <f t="shared" si="94"/>
        <v>0</v>
      </c>
      <c r="DG124" s="161">
        <f t="shared" si="95"/>
        <v>223.21428571428572</v>
      </c>
      <c r="DH124" s="161">
        <f t="shared" si="96"/>
        <v>0</v>
      </c>
      <c r="DI124" s="161">
        <f t="shared" si="97"/>
        <v>0</v>
      </c>
      <c r="DJ124" s="161">
        <f t="shared" si="98"/>
        <v>0</v>
      </c>
      <c r="DK124" s="161">
        <f t="shared" si="99"/>
        <v>0</v>
      </c>
      <c r="DL124" s="161">
        <f t="shared" si="100"/>
        <v>0</v>
      </c>
      <c r="DM124" s="161">
        <f t="shared" si="101"/>
        <v>0</v>
      </c>
      <c r="DN124" s="161">
        <f t="shared" si="102"/>
        <v>0</v>
      </c>
      <c r="DO124" s="161">
        <f t="shared" si="103"/>
        <v>0</v>
      </c>
      <c r="DP124" s="161">
        <f t="shared" si="104"/>
        <v>0</v>
      </c>
      <c r="DQ124" s="161">
        <f t="shared" si="105"/>
        <v>0</v>
      </c>
      <c r="DR124" s="161">
        <f t="shared" si="106"/>
        <v>0</v>
      </c>
      <c r="DS124" s="161">
        <f t="shared" si="107"/>
        <v>0</v>
      </c>
      <c r="DT124" s="161">
        <f t="shared" si="108"/>
        <v>0</v>
      </c>
      <c r="DU124" s="161">
        <f t="shared" si="109"/>
        <v>0</v>
      </c>
      <c r="DV124" s="161">
        <f t="shared" si="110"/>
        <v>0</v>
      </c>
      <c r="DW124" s="161">
        <f t="shared" si="111"/>
        <v>0</v>
      </c>
      <c r="DX124" s="161">
        <f t="shared" si="112"/>
        <v>0</v>
      </c>
      <c r="DY124" s="161">
        <f t="shared" si="113"/>
        <v>0</v>
      </c>
      <c r="DZ124" s="161">
        <f t="shared" si="114"/>
        <v>0</v>
      </c>
      <c r="EA124" s="161">
        <f t="shared" si="115"/>
        <v>0</v>
      </c>
      <c r="EB124" s="161">
        <f t="shared" si="116"/>
        <v>0</v>
      </c>
      <c r="EC124" s="161">
        <f t="shared" si="117"/>
        <v>0</v>
      </c>
      <c r="ED124" s="161">
        <f t="shared" si="118"/>
        <v>0</v>
      </c>
      <c r="EE124" s="161">
        <f t="shared" si="119"/>
        <v>0</v>
      </c>
      <c r="EF124" s="161">
        <f t="shared" si="120"/>
        <v>0</v>
      </c>
      <c r="EG124" s="161">
        <f t="shared" si="121"/>
        <v>0</v>
      </c>
      <c r="EH124" s="161">
        <f t="shared" si="122"/>
        <v>0</v>
      </c>
      <c r="EI124" s="161">
        <f t="shared" si="123"/>
        <v>0</v>
      </c>
      <c r="EJ124" s="161">
        <f t="shared" si="124"/>
        <v>0</v>
      </c>
      <c r="EK124" s="147">
        <f t="shared" si="132"/>
        <v>223.21428571428572</v>
      </c>
      <c r="EL124" s="149"/>
      <c r="EN124" s="146"/>
      <c r="EO124" s="146"/>
      <c r="EP124" s="139">
        <f t="shared" si="133"/>
        <v>0</v>
      </c>
      <c r="EQ124" s="139">
        <f t="shared" si="134"/>
        <v>0.5357142857142857</v>
      </c>
      <c r="ER124" s="139">
        <f t="shared" si="135"/>
        <v>0</v>
      </c>
      <c r="ES124" s="139">
        <f t="shared" si="136"/>
        <v>0</v>
      </c>
      <c r="ET124" s="139">
        <f t="shared" si="137"/>
        <v>0</v>
      </c>
      <c r="EU124" s="139">
        <f t="shared" si="138"/>
        <v>0</v>
      </c>
      <c r="EV124" s="139">
        <f t="shared" si="139"/>
        <v>0</v>
      </c>
      <c r="EW124" s="139">
        <f t="shared" si="140"/>
        <v>0</v>
      </c>
      <c r="EX124" s="139">
        <f t="shared" si="141"/>
        <v>0</v>
      </c>
      <c r="EY124" s="139">
        <f t="shared" si="142"/>
        <v>0</v>
      </c>
      <c r="EZ124" s="139">
        <f t="shared" si="143"/>
        <v>0</v>
      </c>
      <c r="FA124" s="139">
        <f t="shared" si="144"/>
        <v>0</v>
      </c>
      <c r="FB124" s="139">
        <f t="shared" si="145"/>
        <v>0</v>
      </c>
      <c r="FC124" s="139">
        <f t="shared" si="146"/>
        <v>0</v>
      </c>
      <c r="FD124" s="139">
        <f t="shared" si="147"/>
        <v>0</v>
      </c>
      <c r="FE124" s="139">
        <f t="shared" si="148"/>
        <v>0</v>
      </c>
      <c r="FF124" s="139">
        <f t="shared" si="149"/>
        <v>0</v>
      </c>
      <c r="FG124" s="139">
        <f t="shared" si="150"/>
        <v>0</v>
      </c>
      <c r="FH124" s="139">
        <f t="shared" si="151"/>
        <v>0</v>
      </c>
      <c r="FI124" s="139">
        <f t="shared" si="152"/>
        <v>0</v>
      </c>
      <c r="FJ124" s="139">
        <f t="shared" si="153"/>
        <v>0</v>
      </c>
      <c r="FK124" s="139">
        <f t="shared" si="154"/>
        <v>0</v>
      </c>
      <c r="FL124" s="139">
        <f t="shared" si="155"/>
        <v>0</v>
      </c>
      <c r="FM124" s="139">
        <f t="shared" si="156"/>
        <v>0</v>
      </c>
      <c r="FN124" s="139">
        <f t="shared" si="157"/>
        <v>0</v>
      </c>
      <c r="FO124" s="139">
        <f t="shared" si="158"/>
        <v>0</v>
      </c>
      <c r="FP124" s="139">
        <f t="shared" si="159"/>
        <v>0</v>
      </c>
      <c r="FQ124" s="139">
        <f t="shared" si="160"/>
        <v>0</v>
      </c>
      <c r="FR124" s="139">
        <f t="shared" si="161"/>
        <v>0</v>
      </c>
      <c r="FS124" s="139">
        <f t="shared" si="162"/>
        <v>0</v>
      </c>
      <c r="FT124" s="139">
        <f t="shared" si="163"/>
        <v>0</v>
      </c>
      <c r="FU124" s="148">
        <f t="shared" si="164"/>
        <v>0.5357142857142857</v>
      </c>
      <c r="FV124" s="149"/>
      <c r="FY124" s="210">
        <v>119</v>
      </c>
      <c r="FZ124" s="205"/>
      <c r="GA124" s="205"/>
      <c r="GB124" s="205"/>
      <c r="GC124" s="205"/>
      <c r="GD124" s="205"/>
      <c r="GE124" s="205"/>
      <c r="GF124" s="205"/>
      <c r="GG124" s="205"/>
      <c r="GH124" s="205"/>
      <c r="GI124" s="205"/>
      <c r="GJ124" s="205"/>
      <c r="GK124" s="205"/>
      <c r="GL124" s="205"/>
      <c r="GM124" s="205"/>
    </row>
    <row r="125" spans="1:195" s="7" customFormat="1">
      <c r="A125" s="1"/>
      <c r="B125" s="76">
        <f t="shared" ca="1" si="131"/>
        <v>0.1774872371040177</v>
      </c>
      <c r="C125">
        <v>10</v>
      </c>
      <c r="D125">
        <v>39747</v>
      </c>
      <c r="E125">
        <v>0</v>
      </c>
      <c r="F125">
        <v>0</v>
      </c>
      <c r="G125">
        <v>0</v>
      </c>
      <c r="H125">
        <v>0</v>
      </c>
      <c r="I125">
        <v>10.416666666666666</v>
      </c>
      <c r="J125">
        <v>31.25</v>
      </c>
      <c r="K125">
        <v>20.833333333333332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/>
      <c r="AO125"/>
      <c r="AP125"/>
      <c r="AQ125"/>
      <c r="AR125"/>
      <c r="AS125"/>
      <c r="AT125"/>
      <c r="AU125"/>
      <c r="AV125"/>
      <c r="AW125"/>
      <c r="AX125" s="146"/>
      <c r="AY125" s="76">
        <f t="shared" ca="1" si="87"/>
        <v>0.43096024437306379</v>
      </c>
      <c r="AZ125">
        <v>8</v>
      </c>
      <c r="BA125" s="129">
        <f t="shared" si="130"/>
        <v>39747</v>
      </c>
      <c r="BB125">
        <v>0</v>
      </c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 s="147"/>
      <c r="CH125" s="176"/>
      <c r="CJ125" s="146"/>
      <c r="CK125" s="76">
        <f t="shared" ca="1" si="89"/>
        <v>0.68646032392536949</v>
      </c>
      <c r="CL125" s="179">
        <f t="shared" si="90"/>
        <v>8</v>
      </c>
      <c r="CM125" s="180">
        <f t="shared" si="91"/>
        <v>39747</v>
      </c>
      <c r="CN125">
        <v>0</v>
      </c>
      <c r="CO125"/>
      <c r="CP125"/>
      <c r="CQ125"/>
      <c r="CR125"/>
      <c r="CS125"/>
      <c r="CT125"/>
      <c r="CU125"/>
      <c r="CV125" s="160"/>
      <c r="CW125" s="178">
        <v>1</v>
      </c>
      <c r="CX125">
        <f>350/52</f>
        <v>6.7307692307692308</v>
      </c>
      <c r="CY125" s="164"/>
      <c r="CZ125" s="177">
        <f t="shared" si="92"/>
        <v>9.6000000000000002E-2</v>
      </c>
      <c r="DB125" s="146"/>
      <c r="DC125" s="76">
        <f t="shared" ca="1" si="50"/>
        <v>0.46558537305647274</v>
      </c>
      <c r="DD125">
        <f t="shared" si="93"/>
        <v>8</v>
      </c>
      <c r="DE125" s="129">
        <f t="shared" si="129"/>
        <v>39747</v>
      </c>
      <c r="DF125" s="161">
        <f t="shared" si="94"/>
        <v>0</v>
      </c>
      <c r="DG125" s="161">
        <f t="shared" si="95"/>
        <v>0</v>
      </c>
      <c r="DH125" s="161">
        <f t="shared" si="96"/>
        <v>0</v>
      </c>
      <c r="DI125" s="161">
        <f t="shared" si="97"/>
        <v>0</v>
      </c>
      <c r="DJ125" s="161">
        <f t="shared" si="98"/>
        <v>0</v>
      </c>
      <c r="DK125" s="161">
        <f t="shared" si="99"/>
        <v>0</v>
      </c>
      <c r="DL125" s="161">
        <f t="shared" si="100"/>
        <v>0</v>
      </c>
      <c r="DM125" s="161">
        <f t="shared" si="101"/>
        <v>0</v>
      </c>
      <c r="DN125" s="161">
        <f t="shared" si="102"/>
        <v>0</v>
      </c>
      <c r="DO125" s="161">
        <f t="shared" si="103"/>
        <v>0</v>
      </c>
      <c r="DP125" s="161">
        <f t="shared" si="104"/>
        <v>0</v>
      </c>
      <c r="DQ125" s="161">
        <f t="shared" si="105"/>
        <v>0</v>
      </c>
      <c r="DR125" s="161">
        <f t="shared" si="106"/>
        <v>0</v>
      </c>
      <c r="DS125" s="161">
        <f t="shared" si="107"/>
        <v>0</v>
      </c>
      <c r="DT125" s="161">
        <f t="shared" si="108"/>
        <v>0</v>
      </c>
      <c r="DU125" s="161">
        <f t="shared" si="109"/>
        <v>0</v>
      </c>
      <c r="DV125" s="161">
        <f t="shared" si="110"/>
        <v>0</v>
      </c>
      <c r="DW125" s="161">
        <f t="shared" si="111"/>
        <v>0</v>
      </c>
      <c r="DX125" s="161">
        <f t="shared" si="112"/>
        <v>0</v>
      </c>
      <c r="DY125" s="161">
        <f t="shared" si="113"/>
        <v>0</v>
      </c>
      <c r="DZ125" s="161">
        <f t="shared" si="114"/>
        <v>0</v>
      </c>
      <c r="EA125" s="161">
        <f t="shared" si="115"/>
        <v>0</v>
      </c>
      <c r="EB125" s="161">
        <f t="shared" si="116"/>
        <v>0</v>
      </c>
      <c r="EC125" s="161">
        <f t="shared" si="117"/>
        <v>0</v>
      </c>
      <c r="ED125" s="161">
        <f t="shared" si="118"/>
        <v>0</v>
      </c>
      <c r="EE125" s="161">
        <f t="shared" si="119"/>
        <v>0</v>
      </c>
      <c r="EF125" s="161">
        <f t="shared" si="120"/>
        <v>0</v>
      </c>
      <c r="EG125" s="161">
        <f t="shared" si="121"/>
        <v>0</v>
      </c>
      <c r="EH125" s="161">
        <f t="shared" si="122"/>
        <v>0</v>
      </c>
      <c r="EI125" s="161">
        <f t="shared" si="123"/>
        <v>0</v>
      </c>
      <c r="EJ125" s="161">
        <f t="shared" si="124"/>
        <v>0</v>
      </c>
      <c r="EK125" s="147">
        <f t="shared" si="132"/>
        <v>0</v>
      </c>
      <c r="EL125" s="149"/>
      <c r="EN125" s="146"/>
      <c r="EO125" s="146"/>
      <c r="EP125" s="139">
        <f t="shared" si="133"/>
        <v>0</v>
      </c>
      <c r="EQ125" s="139">
        <f t="shared" si="134"/>
        <v>0</v>
      </c>
      <c r="ER125" s="139">
        <f t="shared" si="135"/>
        <v>0</v>
      </c>
      <c r="ES125" s="139">
        <f t="shared" si="136"/>
        <v>0</v>
      </c>
      <c r="ET125" s="139">
        <f t="shared" si="137"/>
        <v>0</v>
      </c>
      <c r="EU125" s="139">
        <f t="shared" si="138"/>
        <v>0</v>
      </c>
      <c r="EV125" s="139">
        <f t="shared" si="139"/>
        <v>0</v>
      </c>
      <c r="EW125" s="139">
        <f t="shared" si="140"/>
        <v>0</v>
      </c>
      <c r="EX125" s="139">
        <f t="shared" si="141"/>
        <v>0</v>
      </c>
      <c r="EY125" s="139">
        <f t="shared" si="142"/>
        <v>0</v>
      </c>
      <c r="EZ125" s="139">
        <f t="shared" si="143"/>
        <v>0</v>
      </c>
      <c r="FA125" s="139">
        <f t="shared" si="144"/>
        <v>0</v>
      </c>
      <c r="FB125" s="139">
        <f t="shared" si="145"/>
        <v>0</v>
      </c>
      <c r="FC125" s="139">
        <f t="shared" si="146"/>
        <v>0</v>
      </c>
      <c r="FD125" s="139">
        <f t="shared" si="147"/>
        <v>0</v>
      </c>
      <c r="FE125" s="139">
        <f t="shared" si="148"/>
        <v>0</v>
      </c>
      <c r="FF125" s="139">
        <f t="shared" si="149"/>
        <v>0</v>
      </c>
      <c r="FG125" s="139">
        <f t="shared" si="150"/>
        <v>0</v>
      </c>
      <c r="FH125" s="139">
        <f t="shared" si="151"/>
        <v>0</v>
      </c>
      <c r="FI125" s="139">
        <f t="shared" si="152"/>
        <v>0</v>
      </c>
      <c r="FJ125" s="139">
        <f t="shared" si="153"/>
        <v>0</v>
      </c>
      <c r="FK125" s="139">
        <f t="shared" si="154"/>
        <v>0</v>
      </c>
      <c r="FL125" s="139">
        <f t="shared" si="155"/>
        <v>0</v>
      </c>
      <c r="FM125" s="139">
        <f t="shared" si="156"/>
        <v>0</v>
      </c>
      <c r="FN125" s="139">
        <f t="shared" si="157"/>
        <v>0</v>
      </c>
      <c r="FO125" s="139">
        <f t="shared" si="158"/>
        <v>0</v>
      </c>
      <c r="FP125" s="139">
        <f t="shared" si="159"/>
        <v>0</v>
      </c>
      <c r="FQ125" s="139">
        <f t="shared" si="160"/>
        <v>0</v>
      </c>
      <c r="FR125" s="139">
        <f t="shared" si="161"/>
        <v>0</v>
      </c>
      <c r="FS125" s="139">
        <f t="shared" si="162"/>
        <v>0</v>
      </c>
      <c r="FT125" s="139">
        <f t="shared" si="163"/>
        <v>0</v>
      </c>
      <c r="FU125" s="148">
        <f t="shared" si="164"/>
        <v>0</v>
      </c>
      <c r="FV125" s="149"/>
      <c r="FY125" s="210">
        <v>120</v>
      </c>
      <c r="FZ125" s="205"/>
      <c r="GA125" s="205"/>
      <c r="GB125" s="205"/>
      <c r="GC125" s="205"/>
      <c r="GD125" s="205"/>
      <c r="GE125" s="205"/>
      <c r="GF125" s="205"/>
      <c r="GG125" s="205"/>
      <c r="GH125" s="205"/>
      <c r="GI125" s="205"/>
      <c r="GJ125" s="205"/>
      <c r="GK125" s="205"/>
      <c r="GL125" s="205"/>
      <c r="GM125" s="205"/>
    </row>
    <row r="126" spans="1:195" s="7" customFormat="1">
      <c r="A126" s="1"/>
      <c r="B126" s="76">
        <f t="shared" ca="1" si="131"/>
        <v>0.31808968793946502</v>
      </c>
      <c r="C126">
        <v>8</v>
      </c>
      <c r="D126">
        <v>39747</v>
      </c>
      <c r="E126">
        <v>0</v>
      </c>
      <c r="F126">
        <v>70.112179487179489</v>
      </c>
      <c r="G126">
        <v>70.112179487179489</v>
      </c>
      <c r="H126">
        <v>0</v>
      </c>
      <c r="I126">
        <v>20.833333333333332</v>
      </c>
      <c r="J126">
        <v>41.666666666666664</v>
      </c>
      <c r="K126">
        <v>20.833333333333332</v>
      </c>
      <c r="L126">
        <v>10.416666666666666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/>
      <c r="AO126"/>
      <c r="AP126"/>
      <c r="AQ126"/>
      <c r="AR126"/>
      <c r="AS126"/>
      <c r="AT126"/>
      <c r="AU126"/>
      <c r="AV126"/>
      <c r="AW126"/>
      <c r="AX126" s="146"/>
      <c r="AY126" s="76">
        <f t="shared" ca="1" si="87"/>
        <v>0.20863726366055602</v>
      </c>
      <c r="AZ126">
        <v>9</v>
      </c>
      <c r="BA126" s="129">
        <f t="shared" si="130"/>
        <v>39747</v>
      </c>
      <c r="BB126">
        <v>0</v>
      </c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 s="147"/>
      <c r="CH126" s="176"/>
      <c r="CJ126" s="146"/>
      <c r="CK126" s="76">
        <f t="shared" ca="1" si="89"/>
        <v>0.27308396078723307</v>
      </c>
      <c r="CL126" s="179">
        <f t="shared" si="90"/>
        <v>9</v>
      </c>
      <c r="CM126" s="180">
        <f t="shared" si="91"/>
        <v>39747</v>
      </c>
      <c r="CN126">
        <v>0</v>
      </c>
      <c r="CO126"/>
      <c r="CP126"/>
      <c r="CQ126"/>
      <c r="CR126"/>
      <c r="CS126"/>
      <c r="CT126"/>
      <c r="CU126"/>
      <c r="CV126" s="160"/>
      <c r="CW126" s="178">
        <v>1</v>
      </c>
      <c r="CX126">
        <f>350/41</f>
        <v>8.536585365853659</v>
      </c>
      <c r="CY126" s="164"/>
      <c r="CZ126" s="177">
        <f t="shared" si="92"/>
        <v>9.6000000000000002E-2</v>
      </c>
      <c r="DB126" s="146"/>
      <c r="DC126" s="76">
        <f t="shared" ca="1" si="50"/>
        <v>0.87646389622192533</v>
      </c>
      <c r="DD126">
        <f t="shared" si="93"/>
        <v>9</v>
      </c>
      <c r="DE126" s="129">
        <f t="shared" si="129"/>
        <v>39747</v>
      </c>
      <c r="DF126" s="161">
        <f t="shared" si="94"/>
        <v>0</v>
      </c>
      <c r="DG126" s="161">
        <f t="shared" si="95"/>
        <v>0</v>
      </c>
      <c r="DH126" s="161">
        <f t="shared" si="96"/>
        <v>0</v>
      </c>
      <c r="DI126" s="161">
        <f t="shared" si="97"/>
        <v>0</v>
      </c>
      <c r="DJ126" s="161">
        <f t="shared" si="98"/>
        <v>0</v>
      </c>
      <c r="DK126" s="161">
        <f t="shared" si="99"/>
        <v>0</v>
      </c>
      <c r="DL126" s="161">
        <f t="shared" si="100"/>
        <v>0</v>
      </c>
      <c r="DM126" s="161">
        <f t="shared" si="101"/>
        <v>0</v>
      </c>
      <c r="DN126" s="161">
        <f t="shared" si="102"/>
        <v>0</v>
      </c>
      <c r="DO126" s="161">
        <f t="shared" si="103"/>
        <v>0</v>
      </c>
      <c r="DP126" s="161">
        <f t="shared" si="104"/>
        <v>0</v>
      </c>
      <c r="DQ126" s="161">
        <f t="shared" si="105"/>
        <v>0</v>
      </c>
      <c r="DR126" s="161">
        <f t="shared" si="106"/>
        <v>0</v>
      </c>
      <c r="DS126" s="161">
        <f t="shared" si="107"/>
        <v>0</v>
      </c>
      <c r="DT126" s="161">
        <f t="shared" si="108"/>
        <v>0</v>
      </c>
      <c r="DU126" s="161">
        <f t="shared" si="109"/>
        <v>0</v>
      </c>
      <c r="DV126" s="161">
        <f t="shared" si="110"/>
        <v>0</v>
      </c>
      <c r="DW126" s="161">
        <f t="shared" si="111"/>
        <v>0</v>
      </c>
      <c r="DX126" s="161">
        <f t="shared" si="112"/>
        <v>0</v>
      </c>
      <c r="DY126" s="161">
        <f t="shared" si="113"/>
        <v>0</v>
      </c>
      <c r="DZ126" s="161">
        <f t="shared" si="114"/>
        <v>0</v>
      </c>
      <c r="EA126" s="161">
        <f t="shared" si="115"/>
        <v>0</v>
      </c>
      <c r="EB126" s="161">
        <f t="shared" si="116"/>
        <v>0</v>
      </c>
      <c r="EC126" s="161">
        <f t="shared" si="117"/>
        <v>0</v>
      </c>
      <c r="ED126" s="161">
        <f t="shared" si="118"/>
        <v>0</v>
      </c>
      <c r="EE126" s="161">
        <f t="shared" si="119"/>
        <v>0</v>
      </c>
      <c r="EF126" s="161">
        <f t="shared" si="120"/>
        <v>0</v>
      </c>
      <c r="EG126" s="161">
        <f t="shared" si="121"/>
        <v>0</v>
      </c>
      <c r="EH126" s="161">
        <f t="shared" si="122"/>
        <v>0</v>
      </c>
      <c r="EI126" s="161">
        <f t="shared" si="123"/>
        <v>0</v>
      </c>
      <c r="EJ126" s="161">
        <f t="shared" si="124"/>
        <v>0</v>
      </c>
      <c r="EK126" s="147">
        <f t="shared" si="132"/>
        <v>0</v>
      </c>
      <c r="EL126" s="149"/>
      <c r="EN126" s="146"/>
      <c r="EO126" s="146"/>
      <c r="EP126" s="139">
        <f t="shared" si="133"/>
        <v>0</v>
      </c>
      <c r="EQ126" s="139">
        <f t="shared" si="134"/>
        <v>0</v>
      </c>
      <c r="ER126" s="139">
        <f t="shared" si="135"/>
        <v>0</v>
      </c>
      <c r="ES126" s="139">
        <f t="shared" si="136"/>
        <v>0</v>
      </c>
      <c r="ET126" s="139">
        <f t="shared" si="137"/>
        <v>0</v>
      </c>
      <c r="EU126" s="139">
        <f t="shared" si="138"/>
        <v>0</v>
      </c>
      <c r="EV126" s="139">
        <f t="shared" si="139"/>
        <v>0</v>
      </c>
      <c r="EW126" s="139">
        <f t="shared" si="140"/>
        <v>0</v>
      </c>
      <c r="EX126" s="139">
        <f t="shared" si="141"/>
        <v>0</v>
      </c>
      <c r="EY126" s="139">
        <f t="shared" si="142"/>
        <v>0</v>
      </c>
      <c r="EZ126" s="139">
        <f t="shared" si="143"/>
        <v>0</v>
      </c>
      <c r="FA126" s="139">
        <f t="shared" si="144"/>
        <v>0</v>
      </c>
      <c r="FB126" s="139">
        <f t="shared" si="145"/>
        <v>0</v>
      </c>
      <c r="FC126" s="139">
        <f t="shared" si="146"/>
        <v>0</v>
      </c>
      <c r="FD126" s="139">
        <f t="shared" si="147"/>
        <v>0</v>
      </c>
      <c r="FE126" s="139">
        <f t="shared" si="148"/>
        <v>0</v>
      </c>
      <c r="FF126" s="139">
        <f t="shared" si="149"/>
        <v>0</v>
      </c>
      <c r="FG126" s="139">
        <f t="shared" si="150"/>
        <v>0</v>
      </c>
      <c r="FH126" s="139">
        <f t="shared" si="151"/>
        <v>0</v>
      </c>
      <c r="FI126" s="139">
        <f t="shared" si="152"/>
        <v>0</v>
      </c>
      <c r="FJ126" s="139">
        <f t="shared" si="153"/>
        <v>0</v>
      </c>
      <c r="FK126" s="139">
        <f t="shared" si="154"/>
        <v>0</v>
      </c>
      <c r="FL126" s="139">
        <f t="shared" si="155"/>
        <v>0</v>
      </c>
      <c r="FM126" s="139">
        <f t="shared" si="156"/>
        <v>0</v>
      </c>
      <c r="FN126" s="139">
        <f t="shared" si="157"/>
        <v>0</v>
      </c>
      <c r="FO126" s="139">
        <f t="shared" si="158"/>
        <v>0</v>
      </c>
      <c r="FP126" s="139">
        <f t="shared" si="159"/>
        <v>0</v>
      </c>
      <c r="FQ126" s="139">
        <f t="shared" si="160"/>
        <v>0</v>
      </c>
      <c r="FR126" s="139">
        <f t="shared" si="161"/>
        <v>0</v>
      </c>
      <c r="FS126" s="139">
        <f t="shared" si="162"/>
        <v>0</v>
      </c>
      <c r="FT126" s="139">
        <f t="shared" si="163"/>
        <v>0</v>
      </c>
      <c r="FU126" s="148">
        <f t="shared" si="164"/>
        <v>0</v>
      </c>
      <c r="FV126" s="149"/>
      <c r="FY126" s="210">
        <v>121</v>
      </c>
      <c r="FZ126" s="205"/>
      <c r="GA126" s="205"/>
      <c r="GB126" s="205"/>
      <c r="GC126" s="205"/>
      <c r="GD126" s="205"/>
      <c r="GE126" s="205"/>
      <c r="GF126" s="205"/>
      <c r="GG126" s="205"/>
      <c r="GH126" s="205"/>
      <c r="GI126" s="205"/>
      <c r="GJ126" s="205"/>
      <c r="GK126" s="205"/>
      <c r="GL126" s="205"/>
      <c r="GM126" s="205"/>
    </row>
    <row r="127" spans="1:195" s="7" customFormat="1">
      <c r="A127" s="1"/>
      <c r="B127" s="76">
        <f t="shared" ca="1" si="131"/>
        <v>0.56040284442327248</v>
      </c>
      <c r="C127">
        <v>3</v>
      </c>
      <c r="D127">
        <v>39747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/>
      <c r="AO127"/>
      <c r="AP127"/>
      <c r="AQ127"/>
      <c r="AR127"/>
      <c r="AS127"/>
      <c r="AT127"/>
      <c r="AU127"/>
      <c r="AV127"/>
      <c r="AW127"/>
      <c r="AX127" s="146"/>
      <c r="AY127" s="76">
        <f t="shared" ca="1" si="87"/>
        <v>0.39171381449273701</v>
      </c>
      <c r="AZ127">
        <v>10</v>
      </c>
      <c r="BA127" s="129">
        <f t="shared" si="130"/>
        <v>39747</v>
      </c>
      <c r="BB127">
        <v>0</v>
      </c>
      <c r="BC127"/>
      <c r="BD127"/>
      <c r="BE127"/>
      <c r="BF127"/>
      <c r="BG127"/>
      <c r="BH127"/>
      <c r="BI127"/>
      <c r="BJ127"/>
      <c r="BK127"/>
      <c r="BL127"/>
      <c r="BM127"/>
      <c r="BN127">
        <v>1</v>
      </c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 s="147"/>
      <c r="CH127" s="176"/>
      <c r="CJ127" s="146"/>
      <c r="CK127" s="76">
        <f t="shared" ca="1" si="89"/>
        <v>0.87489394460466552</v>
      </c>
      <c r="CL127" s="179">
        <f t="shared" si="90"/>
        <v>10</v>
      </c>
      <c r="CM127" s="180">
        <f t="shared" si="91"/>
        <v>39747</v>
      </c>
      <c r="CN127">
        <v>0</v>
      </c>
      <c r="CO127"/>
      <c r="CP127"/>
      <c r="CQ127"/>
      <c r="CR127"/>
      <c r="CS127"/>
      <c r="CT127"/>
      <c r="CU127"/>
      <c r="CV127" s="160"/>
      <c r="CW127" s="178">
        <v>1</v>
      </c>
      <c r="CX127">
        <f>350/56</f>
        <v>6.25</v>
      </c>
      <c r="CY127" s="164"/>
      <c r="CZ127" s="177">
        <f t="shared" si="92"/>
        <v>9.6000000000000002E-2</v>
      </c>
      <c r="DB127" s="146"/>
      <c r="DC127" s="76">
        <f t="shared" ca="1" si="50"/>
        <v>0.82881302242737664</v>
      </c>
      <c r="DD127">
        <f t="shared" si="93"/>
        <v>10</v>
      </c>
      <c r="DE127" s="129">
        <f t="shared" si="129"/>
        <v>39747</v>
      </c>
      <c r="DF127" s="161">
        <f t="shared" si="94"/>
        <v>0</v>
      </c>
      <c r="DG127" s="161">
        <f t="shared" si="95"/>
        <v>0</v>
      </c>
      <c r="DH127" s="161">
        <f t="shared" si="96"/>
        <v>0</v>
      </c>
      <c r="DI127" s="161">
        <f t="shared" si="97"/>
        <v>0</v>
      </c>
      <c r="DJ127" s="161">
        <f t="shared" si="98"/>
        <v>0</v>
      </c>
      <c r="DK127" s="161">
        <f t="shared" si="99"/>
        <v>0</v>
      </c>
      <c r="DL127" s="161">
        <f t="shared" si="100"/>
        <v>0</v>
      </c>
      <c r="DM127" s="161">
        <f t="shared" si="101"/>
        <v>0</v>
      </c>
      <c r="DN127" s="161">
        <f t="shared" si="102"/>
        <v>0</v>
      </c>
      <c r="DO127" s="161">
        <f t="shared" si="103"/>
        <v>0</v>
      </c>
      <c r="DP127" s="161">
        <f t="shared" si="104"/>
        <v>0</v>
      </c>
      <c r="DQ127" s="161">
        <f t="shared" si="105"/>
        <v>0</v>
      </c>
      <c r="DR127" s="161">
        <f t="shared" si="106"/>
        <v>10.416666666666666</v>
      </c>
      <c r="DS127" s="161">
        <f t="shared" si="107"/>
        <v>0</v>
      </c>
      <c r="DT127" s="161">
        <f t="shared" si="108"/>
        <v>0</v>
      </c>
      <c r="DU127" s="161">
        <f t="shared" si="109"/>
        <v>0</v>
      </c>
      <c r="DV127" s="161">
        <f t="shared" si="110"/>
        <v>0</v>
      </c>
      <c r="DW127" s="161">
        <f t="shared" si="111"/>
        <v>0</v>
      </c>
      <c r="DX127" s="161">
        <f t="shared" si="112"/>
        <v>0</v>
      </c>
      <c r="DY127" s="161">
        <f t="shared" si="113"/>
        <v>0</v>
      </c>
      <c r="DZ127" s="161">
        <f t="shared" si="114"/>
        <v>0</v>
      </c>
      <c r="EA127" s="161">
        <f t="shared" si="115"/>
        <v>0</v>
      </c>
      <c r="EB127" s="161">
        <f t="shared" si="116"/>
        <v>0</v>
      </c>
      <c r="EC127" s="161">
        <f t="shared" si="117"/>
        <v>0</v>
      </c>
      <c r="ED127" s="161">
        <f t="shared" si="118"/>
        <v>0</v>
      </c>
      <c r="EE127" s="161">
        <f t="shared" si="119"/>
        <v>0</v>
      </c>
      <c r="EF127" s="161">
        <f t="shared" si="120"/>
        <v>0</v>
      </c>
      <c r="EG127" s="161">
        <f t="shared" si="121"/>
        <v>0</v>
      </c>
      <c r="EH127" s="161">
        <f t="shared" si="122"/>
        <v>0</v>
      </c>
      <c r="EI127" s="161">
        <f t="shared" si="123"/>
        <v>0</v>
      </c>
      <c r="EJ127" s="161">
        <f t="shared" si="124"/>
        <v>0</v>
      </c>
      <c r="EK127" s="147">
        <f t="shared" si="132"/>
        <v>10.416666666666666</v>
      </c>
      <c r="EL127" s="149"/>
      <c r="EN127" s="146"/>
      <c r="EO127" s="146"/>
      <c r="EP127" s="139">
        <f t="shared" si="133"/>
        <v>0</v>
      </c>
      <c r="EQ127" s="139">
        <f t="shared" si="134"/>
        <v>0</v>
      </c>
      <c r="ER127" s="139">
        <f t="shared" si="135"/>
        <v>0</v>
      </c>
      <c r="ES127" s="139">
        <f t="shared" si="136"/>
        <v>0</v>
      </c>
      <c r="ET127" s="139">
        <f t="shared" si="137"/>
        <v>0</v>
      </c>
      <c r="EU127" s="139">
        <f t="shared" si="138"/>
        <v>0</v>
      </c>
      <c r="EV127" s="139">
        <f t="shared" si="139"/>
        <v>0</v>
      </c>
      <c r="EW127" s="139">
        <f t="shared" si="140"/>
        <v>0</v>
      </c>
      <c r="EX127" s="139">
        <f t="shared" si="141"/>
        <v>0</v>
      </c>
      <c r="EY127" s="139">
        <f t="shared" si="142"/>
        <v>0</v>
      </c>
      <c r="EZ127" s="139">
        <f t="shared" si="143"/>
        <v>0</v>
      </c>
      <c r="FA127" s="139">
        <f t="shared" si="144"/>
        <v>0</v>
      </c>
      <c r="FB127" s="139">
        <f t="shared" si="145"/>
        <v>0.33968808760216102</v>
      </c>
      <c r="FC127" s="139">
        <f t="shared" si="146"/>
        <v>0</v>
      </c>
      <c r="FD127" s="139">
        <f t="shared" si="147"/>
        <v>0</v>
      </c>
      <c r="FE127" s="139">
        <f t="shared" si="148"/>
        <v>0</v>
      </c>
      <c r="FF127" s="139">
        <f t="shared" si="149"/>
        <v>0</v>
      </c>
      <c r="FG127" s="139">
        <f t="shared" si="150"/>
        <v>0</v>
      </c>
      <c r="FH127" s="139">
        <f t="shared" si="151"/>
        <v>0</v>
      </c>
      <c r="FI127" s="139">
        <f t="shared" si="152"/>
        <v>0</v>
      </c>
      <c r="FJ127" s="139">
        <f t="shared" si="153"/>
        <v>0</v>
      </c>
      <c r="FK127" s="139">
        <f t="shared" si="154"/>
        <v>0</v>
      </c>
      <c r="FL127" s="139">
        <f t="shared" si="155"/>
        <v>0</v>
      </c>
      <c r="FM127" s="139">
        <f t="shared" si="156"/>
        <v>0</v>
      </c>
      <c r="FN127" s="139">
        <f t="shared" si="157"/>
        <v>0</v>
      </c>
      <c r="FO127" s="139">
        <f t="shared" si="158"/>
        <v>0</v>
      </c>
      <c r="FP127" s="139">
        <f t="shared" si="159"/>
        <v>0</v>
      </c>
      <c r="FQ127" s="139">
        <f t="shared" si="160"/>
        <v>0</v>
      </c>
      <c r="FR127" s="139">
        <f t="shared" si="161"/>
        <v>0</v>
      </c>
      <c r="FS127" s="139">
        <f t="shared" si="162"/>
        <v>0</v>
      </c>
      <c r="FT127" s="139">
        <f t="shared" si="163"/>
        <v>0</v>
      </c>
      <c r="FU127" s="148">
        <f t="shared" si="164"/>
        <v>0.33968808760216102</v>
      </c>
      <c r="FV127" s="149"/>
      <c r="FY127" s="210">
        <v>122</v>
      </c>
      <c r="FZ127" s="205"/>
      <c r="GA127" s="205"/>
      <c r="GB127" s="205"/>
      <c r="GC127" s="205"/>
      <c r="GD127" s="205"/>
      <c r="GE127" s="205"/>
      <c r="GF127" s="205"/>
      <c r="GG127" s="205"/>
      <c r="GH127" s="205"/>
      <c r="GI127" s="205"/>
      <c r="GJ127" s="205"/>
      <c r="GK127" s="205"/>
      <c r="GL127" s="205"/>
      <c r="GM127" s="205"/>
    </row>
    <row r="128" spans="1:195" s="7" customFormat="1">
      <c r="A128" s="128"/>
      <c r="B128" s="76">
        <f t="shared" ca="1" si="131"/>
        <v>0.50392533924367133</v>
      </c>
      <c r="C128">
        <v>10</v>
      </c>
      <c r="D128">
        <v>39775</v>
      </c>
      <c r="E128">
        <v>0</v>
      </c>
      <c r="F128">
        <v>0</v>
      </c>
      <c r="G128">
        <v>10.416666666666666</v>
      </c>
      <c r="H128">
        <v>0</v>
      </c>
      <c r="I128">
        <v>0</v>
      </c>
      <c r="J128">
        <v>10.416666666666666</v>
      </c>
      <c r="K128">
        <v>20.833333333333332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/>
      <c r="AO128"/>
      <c r="AP128"/>
      <c r="AQ128"/>
      <c r="AR128"/>
      <c r="AS128"/>
      <c r="AT128"/>
      <c r="AU128"/>
      <c r="AV128"/>
      <c r="AW128"/>
      <c r="AX128" s="128"/>
      <c r="AY128" s="76">
        <f t="shared" ca="1" si="87"/>
        <v>1.0034688053828233E-4</v>
      </c>
      <c r="AZ128">
        <v>1</v>
      </c>
      <c r="BA128" s="129">
        <f>IF(AZ128="", "",$C$8)</f>
        <v>39775</v>
      </c>
      <c r="BB128">
        <v>0</v>
      </c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 s="147"/>
      <c r="CH128" s="176"/>
      <c r="CJ128" s="128"/>
      <c r="CK128" s="76">
        <f t="shared" ca="1" si="89"/>
        <v>0.24693262897147772</v>
      </c>
      <c r="CL128" s="179">
        <f t="shared" si="90"/>
        <v>1</v>
      </c>
      <c r="CM128" s="180">
        <f t="shared" si="91"/>
        <v>39775</v>
      </c>
      <c r="CN128">
        <v>0</v>
      </c>
      <c r="CO128"/>
      <c r="CP128"/>
      <c r="CQ128"/>
      <c r="CR128"/>
      <c r="CS128"/>
      <c r="CT128"/>
      <c r="CU128"/>
      <c r="CV128" s="160"/>
      <c r="CW128">
        <f>40/13</f>
        <v>3.0769230769230771</v>
      </c>
      <c r="CX128">
        <f>21/10</f>
        <v>2.1</v>
      </c>
      <c r="CY128" s="160"/>
      <c r="CZ128" s="177">
        <f t="shared" si="92"/>
        <v>9.6000000000000002E-2</v>
      </c>
      <c r="DB128" s="128"/>
      <c r="DC128" s="76">
        <f t="shared" ca="1" si="50"/>
        <v>0.74598465534521896</v>
      </c>
      <c r="DD128">
        <f t="shared" si="93"/>
        <v>1</v>
      </c>
      <c r="DE128" s="129">
        <f t="shared" ref="DE128:DE137" si="165">IF((DD128)="", "", $C$8)</f>
        <v>39775</v>
      </c>
      <c r="DF128" s="161">
        <f t="shared" si="94"/>
        <v>0</v>
      </c>
      <c r="DG128" s="161">
        <f t="shared" si="95"/>
        <v>0</v>
      </c>
      <c r="DH128" s="161">
        <f t="shared" si="96"/>
        <v>0</v>
      </c>
      <c r="DI128" s="161">
        <f t="shared" si="97"/>
        <v>0</v>
      </c>
      <c r="DJ128" s="161">
        <f t="shared" si="98"/>
        <v>0</v>
      </c>
      <c r="DK128" s="161">
        <f t="shared" si="99"/>
        <v>0</v>
      </c>
      <c r="DL128" s="161">
        <f t="shared" si="100"/>
        <v>0</v>
      </c>
      <c r="DM128" s="161">
        <f t="shared" si="101"/>
        <v>0</v>
      </c>
      <c r="DN128" s="161">
        <f t="shared" si="102"/>
        <v>0</v>
      </c>
      <c r="DO128" s="161">
        <f t="shared" si="103"/>
        <v>0</v>
      </c>
      <c r="DP128" s="161">
        <f t="shared" si="104"/>
        <v>0</v>
      </c>
      <c r="DQ128" s="161">
        <f t="shared" si="105"/>
        <v>0</v>
      </c>
      <c r="DR128" s="161">
        <f t="shared" si="106"/>
        <v>0</v>
      </c>
      <c r="DS128" s="161">
        <f t="shared" si="107"/>
        <v>0</v>
      </c>
      <c r="DT128" s="161">
        <f t="shared" si="108"/>
        <v>0</v>
      </c>
      <c r="DU128" s="161">
        <f t="shared" si="109"/>
        <v>0</v>
      </c>
      <c r="DV128" s="161">
        <f t="shared" si="110"/>
        <v>0</v>
      </c>
      <c r="DW128" s="161">
        <f t="shared" si="111"/>
        <v>0</v>
      </c>
      <c r="DX128" s="161">
        <f t="shared" si="112"/>
        <v>0</v>
      </c>
      <c r="DY128" s="161">
        <f t="shared" si="113"/>
        <v>0</v>
      </c>
      <c r="DZ128" s="161">
        <f t="shared" si="114"/>
        <v>0</v>
      </c>
      <c r="EA128" s="161">
        <f t="shared" si="115"/>
        <v>0</v>
      </c>
      <c r="EB128" s="161">
        <f t="shared" si="116"/>
        <v>0</v>
      </c>
      <c r="EC128" s="161">
        <f t="shared" si="117"/>
        <v>0</v>
      </c>
      <c r="ED128" s="161">
        <f t="shared" si="118"/>
        <v>0</v>
      </c>
      <c r="EE128" s="161">
        <f t="shared" si="119"/>
        <v>0</v>
      </c>
      <c r="EF128" s="161">
        <f t="shared" si="120"/>
        <v>0</v>
      </c>
      <c r="EG128" s="161">
        <f t="shared" si="121"/>
        <v>0</v>
      </c>
      <c r="EH128" s="161">
        <f t="shared" si="122"/>
        <v>0</v>
      </c>
      <c r="EI128" s="161">
        <f t="shared" si="123"/>
        <v>0</v>
      </c>
      <c r="EJ128" s="161">
        <f t="shared" si="124"/>
        <v>0</v>
      </c>
      <c r="EK128" s="147">
        <f t="shared" si="132"/>
        <v>0</v>
      </c>
      <c r="EL128" s="149"/>
      <c r="EN128" s="146"/>
      <c r="EO128" s="146"/>
      <c r="EP128" s="139">
        <f t="shared" si="133"/>
        <v>0</v>
      </c>
      <c r="EQ128" s="139">
        <f t="shared" si="134"/>
        <v>0</v>
      </c>
      <c r="ER128" s="139">
        <f t="shared" si="135"/>
        <v>0</v>
      </c>
      <c r="ES128" s="139">
        <f t="shared" si="136"/>
        <v>0</v>
      </c>
      <c r="ET128" s="139">
        <f t="shared" si="137"/>
        <v>0</v>
      </c>
      <c r="EU128" s="139">
        <f t="shared" si="138"/>
        <v>0</v>
      </c>
      <c r="EV128" s="139">
        <f t="shared" si="139"/>
        <v>0</v>
      </c>
      <c r="EW128" s="139">
        <f t="shared" si="140"/>
        <v>0</v>
      </c>
      <c r="EX128" s="139">
        <f t="shared" si="141"/>
        <v>0</v>
      </c>
      <c r="EY128" s="139">
        <f t="shared" si="142"/>
        <v>0</v>
      </c>
      <c r="EZ128" s="139">
        <f t="shared" si="143"/>
        <v>0</v>
      </c>
      <c r="FA128" s="139">
        <f t="shared" si="144"/>
        <v>0</v>
      </c>
      <c r="FB128" s="139">
        <f t="shared" si="145"/>
        <v>0</v>
      </c>
      <c r="FC128" s="139">
        <f t="shared" si="146"/>
        <v>0</v>
      </c>
      <c r="FD128" s="139">
        <f t="shared" si="147"/>
        <v>0</v>
      </c>
      <c r="FE128" s="139">
        <f t="shared" si="148"/>
        <v>0</v>
      </c>
      <c r="FF128" s="139">
        <f t="shared" si="149"/>
        <v>0</v>
      </c>
      <c r="FG128" s="139">
        <f t="shared" si="150"/>
        <v>0</v>
      </c>
      <c r="FH128" s="139">
        <f t="shared" si="151"/>
        <v>0</v>
      </c>
      <c r="FI128" s="139">
        <f t="shared" si="152"/>
        <v>0</v>
      </c>
      <c r="FJ128" s="139">
        <f t="shared" si="153"/>
        <v>0</v>
      </c>
      <c r="FK128" s="139">
        <f t="shared" si="154"/>
        <v>0</v>
      </c>
      <c r="FL128" s="139">
        <f t="shared" si="155"/>
        <v>0</v>
      </c>
      <c r="FM128" s="139">
        <f t="shared" si="156"/>
        <v>0</v>
      </c>
      <c r="FN128" s="139">
        <f t="shared" si="157"/>
        <v>0</v>
      </c>
      <c r="FO128" s="139">
        <f t="shared" si="158"/>
        <v>0</v>
      </c>
      <c r="FP128" s="139">
        <f t="shared" si="159"/>
        <v>0</v>
      </c>
      <c r="FQ128" s="139">
        <f t="shared" si="160"/>
        <v>0</v>
      </c>
      <c r="FR128" s="139">
        <f t="shared" si="161"/>
        <v>0</v>
      </c>
      <c r="FS128" s="139">
        <f t="shared" si="162"/>
        <v>0</v>
      </c>
      <c r="FT128" s="139">
        <f t="shared" si="163"/>
        <v>0</v>
      </c>
      <c r="FU128" s="148">
        <f t="shared" si="164"/>
        <v>0</v>
      </c>
      <c r="FV128" s="149"/>
      <c r="FY128" s="210">
        <v>123</v>
      </c>
      <c r="FZ128" s="205"/>
      <c r="GA128" s="205"/>
      <c r="GB128" s="205"/>
      <c r="GC128" s="205"/>
      <c r="GD128" s="205"/>
      <c r="GE128" s="205"/>
      <c r="GF128" s="205"/>
      <c r="GG128" s="205"/>
      <c r="GH128" s="205"/>
      <c r="GI128" s="205"/>
      <c r="GJ128" s="205"/>
      <c r="GK128" s="205"/>
      <c r="GL128" s="205"/>
      <c r="GM128" s="205"/>
    </row>
    <row r="129" spans="1:195" s="7" customFormat="1">
      <c r="A129" s="1"/>
      <c r="B129" s="76">
        <f t="shared" ca="1" si="131"/>
        <v>0.66683677588026868</v>
      </c>
      <c r="C129">
        <v>6</v>
      </c>
      <c r="D129">
        <v>39775</v>
      </c>
      <c r="E129">
        <v>0</v>
      </c>
      <c r="F129">
        <v>0</v>
      </c>
      <c r="G129">
        <v>0</v>
      </c>
      <c r="H129">
        <v>0</v>
      </c>
      <c r="I129">
        <v>62.5</v>
      </c>
      <c r="J129">
        <v>41.666666666666664</v>
      </c>
      <c r="K129">
        <v>20.833333333333332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/>
      <c r="AO129"/>
      <c r="AP129"/>
      <c r="AQ129"/>
      <c r="AR129"/>
      <c r="AS129"/>
      <c r="AT129"/>
      <c r="AU129"/>
      <c r="AV129"/>
      <c r="AW129"/>
      <c r="AX129" s="146"/>
      <c r="AY129" s="76">
        <f t="shared" ca="1" si="87"/>
        <v>6.7698133760234036E-2</v>
      </c>
      <c r="AZ129">
        <v>2</v>
      </c>
      <c r="BA129" s="129">
        <f t="shared" ref="BA129:BA137" si="166">IF(AZ129="", "",$C$8)</f>
        <v>39775</v>
      </c>
      <c r="BB129">
        <v>0</v>
      </c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 s="147"/>
      <c r="CH129" s="176"/>
      <c r="CJ129" s="146"/>
      <c r="CK129" s="76">
        <f t="shared" ca="1" si="89"/>
        <v>0.5982896818724357</v>
      </c>
      <c r="CL129" s="179">
        <f t="shared" si="90"/>
        <v>2</v>
      </c>
      <c r="CM129" s="180">
        <f t="shared" si="91"/>
        <v>39775</v>
      </c>
      <c r="CN129">
        <v>0</v>
      </c>
      <c r="CO129"/>
      <c r="CP129"/>
      <c r="CQ129"/>
      <c r="CR129"/>
      <c r="CS129"/>
      <c r="CT129"/>
      <c r="CU129"/>
      <c r="CV129" s="160"/>
      <c r="CW129">
        <v>1</v>
      </c>
      <c r="CX129">
        <f>20/11</f>
        <v>1.8181818181818181</v>
      </c>
      <c r="CY129" s="160"/>
      <c r="CZ129" s="177">
        <f t="shared" si="92"/>
        <v>9.6000000000000002E-2</v>
      </c>
      <c r="DB129" s="146"/>
      <c r="DC129" s="76">
        <f t="shared" ca="1" si="50"/>
        <v>0.4752156327189585</v>
      </c>
      <c r="DD129">
        <f t="shared" si="93"/>
        <v>2</v>
      </c>
      <c r="DE129" s="129">
        <f t="shared" si="165"/>
        <v>39775</v>
      </c>
      <c r="DF129" s="161">
        <f t="shared" si="94"/>
        <v>0</v>
      </c>
      <c r="DG129" s="161">
        <f t="shared" si="95"/>
        <v>0</v>
      </c>
      <c r="DH129" s="161">
        <f t="shared" si="96"/>
        <v>0</v>
      </c>
      <c r="DI129" s="161">
        <f t="shared" si="97"/>
        <v>0</v>
      </c>
      <c r="DJ129" s="161">
        <f t="shared" si="98"/>
        <v>0</v>
      </c>
      <c r="DK129" s="161">
        <f t="shared" si="99"/>
        <v>0</v>
      </c>
      <c r="DL129" s="161">
        <f t="shared" si="100"/>
        <v>0</v>
      </c>
      <c r="DM129" s="161">
        <f t="shared" si="101"/>
        <v>0</v>
      </c>
      <c r="DN129" s="161">
        <f t="shared" si="102"/>
        <v>0</v>
      </c>
      <c r="DO129" s="161">
        <f t="shared" si="103"/>
        <v>0</v>
      </c>
      <c r="DP129" s="161">
        <f t="shared" si="104"/>
        <v>0</v>
      </c>
      <c r="DQ129" s="161">
        <f t="shared" si="105"/>
        <v>0</v>
      </c>
      <c r="DR129" s="161">
        <f t="shared" si="106"/>
        <v>0</v>
      </c>
      <c r="DS129" s="161">
        <f t="shared" si="107"/>
        <v>0</v>
      </c>
      <c r="DT129" s="161">
        <f t="shared" si="108"/>
        <v>0</v>
      </c>
      <c r="DU129" s="161">
        <f t="shared" si="109"/>
        <v>0</v>
      </c>
      <c r="DV129" s="161">
        <f t="shared" si="110"/>
        <v>0</v>
      </c>
      <c r="DW129" s="161">
        <f t="shared" si="111"/>
        <v>0</v>
      </c>
      <c r="DX129" s="161">
        <f t="shared" si="112"/>
        <v>0</v>
      </c>
      <c r="DY129" s="161">
        <f t="shared" si="113"/>
        <v>0</v>
      </c>
      <c r="DZ129" s="161">
        <f t="shared" si="114"/>
        <v>0</v>
      </c>
      <c r="EA129" s="161">
        <f t="shared" si="115"/>
        <v>0</v>
      </c>
      <c r="EB129" s="161">
        <f t="shared" si="116"/>
        <v>0</v>
      </c>
      <c r="EC129" s="161">
        <f t="shared" si="117"/>
        <v>0</v>
      </c>
      <c r="ED129" s="161">
        <f t="shared" si="118"/>
        <v>0</v>
      </c>
      <c r="EE129" s="161">
        <f t="shared" si="119"/>
        <v>0</v>
      </c>
      <c r="EF129" s="161">
        <f t="shared" si="120"/>
        <v>0</v>
      </c>
      <c r="EG129" s="161">
        <f t="shared" si="121"/>
        <v>0</v>
      </c>
      <c r="EH129" s="161">
        <f t="shared" si="122"/>
        <v>0</v>
      </c>
      <c r="EI129" s="161">
        <f t="shared" si="123"/>
        <v>0</v>
      </c>
      <c r="EJ129" s="161">
        <f t="shared" si="124"/>
        <v>0</v>
      </c>
      <c r="EK129" s="147">
        <f t="shared" si="132"/>
        <v>0</v>
      </c>
      <c r="EL129" s="149"/>
      <c r="EN129" s="146"/>
      <c r="EO129" s="146"/>
      <c r="EP129" s="139">
        <f t="shared" si="133"/>
        <v>0</v>
      </c>
      <c r="EQ129" s="139">
        <f t="shared" si="134"/>
        <v>0</v>
      </c>
      <c r="ER129" s="139">
        <f t="shared" si="135"/>
        <v>0</v>
      </c>
      <c r="ES129" s="139">
        <f t="shared" si="136"/>
        <v>0</v>
      </c>
      <c r="ET129" s="139">
        <f t="shared" si="137"/>
        <v>0</v>
      </c>
      <c r="EU129" s="139">
        <f t="shared" si="138"/>
        <v>0</v>
      </c>
      <c r="EV129" s="139">
        <f t="shared" si="139"/>
        <v>0</v>
      </c>
      <c r="EW129" s="139">
        <f t="shared" si="140"/>
        <v>0</v>
      </c>
      <c r="EX129" s="139">
        <f t="shared" si="141"/>
        <v>0</v>
      </c>
      <c r="EY129" s="139">
        <f t="shared" si="142"/>
        <v>0</v>
      </c>
      <c r="EZ129" s="139">
        <f t="shared" si="143"/>
        <v>0</v>
      </c>
      <c r="FA129" s="139">
        <f t="shared" si="144"/>
        <v>0</v>
      </c>
      <c r="FB129" s="139">
        <f t="shared" si="145"/>
        <v>0</v>
      </c>
      <c r="FC129" s="139">
        <f t="shared" si="146"/>
        <v>0</v>
      </c>
      <c r="FD129" s="139">
        <f t="shared" si="147"/>
        <v>0</v>
      </c>
      <c r="FE129" s="139">
        <f t="shared" si="148"/>
        <v>0</v>
      </c>
      <c r="FF129" s="139">
        <f t="shared" si="149"/>
        <v>0</v>
      </c>
      <c r="FG129" s="139">
        <f t="shared" si="150"/>
        <v>0</v>
      </c>
      <c r="FH129" s="139">
        <f t="shared" si="151"/>
        <v>0</v>
      </c>
      <c r="FI129" s="139">
        <f t="shared" si="152"/>
        <v>0</v>
      </c>
      <c r="FJ129" s="139">
        <f t="shared" si="153"/>
        <v>0</v>
      </c>
      <c r="FK129" s="139">
        <f t="shared" si="154"/>
        <v>0</v>
      </c>
      <c r="FL129" s="139">
        <f t="shared" si="155"/>
        <v>0</v>
      </c>
      <c r="FM129" s="139">
        <f t="shared" si="156"/>
        <v>0</v>
      </c>
      <c r="FN129" s="139">
        <f t="shared" si="157"/>
        <v>0</v>
      </c>
      <c r="FO129" s="139">
        <f t="shared" si="158"/>
        <v>0</v>
      </c>
      <c r="FP129" s="139">
        <f t="shared" si="159"/>
        <v>0</v>
      </c>
      <c r="FQ129" s="139">
        <f t="shared" si="160"/>
        <v>0</v>
      </c>
      <c r="FR129" s="139">
        <f t="shared" si="161"/>
        <v>0</v>
      </c>
      <c r="FS129" s="139">
        <f t="shared" si="162"/>
        <v>0</v>
      </c>
      <c r="FT129" s="139">
        <f t="shared" si="163"/>
        <v>0</v>
      </c>
      <c r="FU129" s="148">
        <f t="shared" si="164"/>
        <v>0</v>
      </c>
      <c r="FV129" s="149"/>
      <c r="FY129" s="210">
        <v>124</v>
      </c>
      <c r="FZ129" s="205"/>
      <c r="GA129" s="205"/>
      <c r="GB129" s="205"/>
      <c r="GC129" s="205"/>
      <c r="GD129" s="205"/>
      <c r="GE129" s="205"/>
      <c r="GF129" s="205"/>
      <c r="GG129" s="205"/>
      <c r="GH129" s="205"/>
      <c r="GI129" s="205"/>
      <c r="GJ129" s="205"/>
      <c r="GK129" s="205"/>
      <c r="GL129" s="205"/>
      <c r="GM129" s="205"/>
    </row>
    <row r="130" spans="1:195" s="7" customFormat="1">
      <c r="A130" s="1"/>
      <c r="B130" s="76">
        <f t="shared" ca="1" si="131"/>
        <v>0.79192642959732074</v>
      </c>
      <c r="C130">
        <v>9</v>
      </c>
      <c r="D130">
        <v>39775</v>
      </c>
      <c r="E130">
        <v>0</v>
      </c>
      <c r="F130">
        <v>0</v>
      </c>
      <c r="G130">
        <v>0</v>
      </c>
      <c r="H130">
        <v>0</v>
      </c>
      <c r="I130">
        <v>10.416666666666666</v>
      </c>
      <c r="J130">
        <v>20.833333333333332</v>
      </c>
      <c r="K130">
        <v>10.416666666666666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/>
      <c r="AO130"/>
      <c r="AP130"/>
      <c r="AQ130"/>
      <c r="AR130"/>
      <c r="AS130"/>
      <c r="AT130"/>
      <c r="AU130"/>
      <c r="AV130"/>
      <c r="AW130"/>
      <c r="AX130" s="146"/>
      <c r="AY130" s="76">
        <f t="shared" ca="1" si="87"/>
        <v>0.15833604075109253</v>
      </c>
      <c r="AZ130">
        <v>3</v>
      </c>
      <c r="BA130" s="129">
        <f t="shared" si="166"/>
        <v>39775</v>
      </c>
      <c r="BB130">
        <v>0</v>
      </c>
      <c r="BC130"/>
      <c r="BD130"/>
      <c r="BE130">
        <v>1</v>
      </c>
      <c r="BF130"/>
      <c r="BG130"/>
      <c r="BH130"/>
      <c r="BI130"/>
      <c r="BJ130"/>
      <c r="BK130"/>
      <c r="BL130"/>
      <c r="BM130"/>
      <c r="BN130">
        <v>1</v>
      </c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 s="147"/>
      <c r="CH130" s="176"/>
      <c r="CJ130" s="146"/>
      <c r="CK130" s="76">
        <f t="shared" ca="1" si="89"/>
        <v>0.96747141347892929</v>
      </c>
      <c r="CL130" s="179">
        <f t="shared" si="90"/>
        <v>3</v>
      </c>
      <c r="CM130" s="180">
        <f t="shared" si="91"/>
        <v>39775</v>
      </c>
      <c r="CN130" s="224">
        <v>0</v>
      </c>
      <c r="CO130" s="224"/>
      <c r="CP130" s="224"/>
      <c r="CQ130" s="224"/>
      <c r="CR130" s="224"/>
      <c r="CS130"/>
      <c r="CT130"/>
      <c r="CU130"/>
      <c r="CV130" s="160"/>
      <c r="CW130">
        <v>1</v>
      </c>
      <c r="CX130">
        <f>50/10</f>
        <v>5</v>
      </c>
      <c r="CY130" s="160"/>
      <c r="CZ130" s="177">
        <f t="shared" si="92"/>
        <v>9.6000000000000002E-2</v>
      </c>
      <c r="DB130" s="146"/>
      <c r="DC130" s="76">
        <f t="shared" ca="1" si="50"/>
        <v>0.65397711740293296</v>
      </c>
      <c r="DD130">
        <f t="shared" si="93"/>
        <v>3</v>
      </c>
      <c r="DE130" s="129">
        <f t="shared" si="165"/>
        <v>39775</v>
      </c>
      <c r="DF130" s="161">
        <f t="shared" si="94"/>
        <v>0</v>
      </c>
      <c r="DG130" s="161">
        <f t="shared" si="95"/>
        <v>0</v>
      </c>
      <c r="DH130" s="161">
        <f t="shared" si="96"/>
        <v>0</v>
      </c>
      <c r="DI130" s="161">
        <f t="shared" si="97"/>
        <v>10.416666666666666</v>
      </c>
      <c r="DJ130" s="161">
        <f t="shared" si="98"/>
        <v>0</v>
      </c>
      <c r="DK130" s="161">
        <f t="shared" si="99"/>
        <v>0</v>
      </c>
      <c r="DL130" s="161">
        <f t="shared" si="100"/>
        <v>0</v>
      </c>
      <c r="DM130" s="161">
        <f t="shared" si="101"/>
        <v>0</v>
      </c>
      <c r="DN130" s="161">
        <f t="shared" si="102"/>
        <v>0</v>
      </c>
      <c r="DO130" s="161">
        <f t="shared" si="103"/>
        <v>0</v>
      </c>
      <c r="DP130" s="161">
        <f t="shared" si="104"/>
        <v>0</v>
      </c>
      <c r="DQ130" s="161">
        <f t="shared" si="105"/>
        <v>0</v>
      </c>
      <c r="DR130" s="161">
        <f t="shared" si="106"/>
        <v>10.416666666666666</v>
      </c>
      <c r="DS130" s="161">
        <f t="shared" si="107"/>
        <v>0</v>
      </c>
      <c r="DT130" s="161">
        <f t="shared" si="108"/>
        <v>0</v>
      </c>
      <c r="DU130" s="161">
        <f t="shared" si="109"/>
        <v>0</v>
      </c>
      <c r="DV130" s="161">
        <f t="shared" si="110"/>
        <v>0</v>
      </c>
      <c r="DW130" s="161">
        <f t="shared" si="111"/>
        <v>0</v>
      </c>
      <c r="DX130" s="161">
        <f t="shared" si="112"/>
        <v>0</v>
      </c>
      <c r="DY130" s="161">
        <f t="shared" si="113"/>
        <v>0</v>
      </c>
      <c r="DZ130" s="161">
        <f t="shared" si="114"/>
        <v>0</v>
      </c>
      <c r="EA130" s="161">
        <f t="shared" si="115"/>
        <v>0</v>
      </c>
      <c r="EB130" s="161">
        <f t="shared" si="116"/>
        <v>0</v>
      </c>
      <c r="EC130" s="161">
        <f t="shared" si="117"/>
        <v>0</v>
      </c>
      <c r="ED130" s="161">
        <f t="shared" si="118"/>
        <v>0</v>
      </c>
      <c r="EE130" s="161">
        <f t="shared" si="119"/>
        <v>0</v>
      </c>
      <c r="EF130" s="161">
        <f t="shared" si="120"/>
        <v>0</v>
      </c>
      <c r="EG130" s="161">
        <f t="shared" si="121"/>
        <v>0</v>
      </c>
      <c r="EH130" s="161">
        <f t="shared" si="122"/>
        <v>0</v>
      </c>
      <c r="EI130" s="161">
        <f t="shared" si="123"/>
        <v>0</v>
      </c>
      <c r="EJ130" s="161">
        <f t="shared" si="124"/>
        <v>0</v>
      </c>
      <c r="EK130" s="147">
        <f t="shared" si="132"/>
        <v>20.833333333333332</v>
      </c>
      <c r="EL130" s="149"/>
      <c r="EN130" s="146"/>
      <c r="EO130" s="146"/>
      <c r="EP130" s="139">
        <f t="shared" si="133"/>
        <v>0</v>
      </c>
      <c r="EQ130" s="139">
        <f t="shared" si="134"/>
        <v>0</v>
      </c>
      <c r="ER130" s="139">
        <f t="shared" si="135"/>
        <v>0</v>
      </c>
      <c r="ES130" s="139">
        <f t="shared" si="136"/>
        <v>7.9235048141215347E-2</v>
      </c>
      <c r="ET130" s="139">
        <f t="shared" si="137"/>
        <v>0</v>
      </c>
      <c r="EU130" s="139">
        <f t="shared" si="138"/>
        <v>0</v>
      </c>
      <c r="EV130" s="139">
        <f t="shared" si="139"/>
        <v>0</v>
      </c>
      <c r="EW130" s="139">
        <f t="shared" si="140"/>
        <v>0</v>
      </c>
      <c r="EX130" s="139">
        <f t="shared" si="141"/>
        <v>0</v>
      </c>
      <c r="EY130" s="139">
        <f t="shared" si="142"/>
        <v>0</v>
      </c>
      <c r="EZ130" s="139">
        <f t="shared" si="143"/>
        <v>0</v>
      </c>
      <c r="FA130" s="139">
        <f t="shared" si="144"/>
        <v>0</v>
      </c>
      <c r="FB130" s="139">
        <f t="shared" si="145"/>
        <v>0.33968808760216102</v>
      </c>
      <c r="FC130" s="139">
        <f t="shared" si="146"/>
        <v>0</v>
      </c>
      <c r="FD130" s="139">
        <f t="shared" si="147"/>
        <v>0</v>
      </c>
      <c r="FE130" s="139">
        <f t="shared" si="148"/>
        <v>0</v>
      </c>
      <c r="FF130" s="139">
        <f t="shared" si="149"/>
        <v>0</v>
      </c>
      <c r="FG130" s="139">
        <f t="shared" si="150"/>
        <v>0</v>
      </c>
      <c r="FH130" s="139">
        <f t="shared" si="151"/>
        <v>0</v>
      </c>
      <c r="FI130" s="139">
        <f t="shared" si="152"/>
        <v>0</v>
      </c>
      <c r="FJ130" s="139">
        <f t="shared" si="153"/>
        <v>0</v>
      </c>
      <c r="FK130" s="139">
        <f t="shared" si="154"/>
        <v>0</v>
      </c>
      <c r="FL130" s="139">
        <f t="shared" si="155"/>
        <v>0</v>
      </c>
      <c r="FM130" s="139">
        <f t="shared" si="156"/>
        <v>0</v>
      </c>
      <c r="FN130" s="139">
        <f t="shared" si="157"/>
        <v>0</v>
      </c>
      <c r="FO130" s="139">
        <f t="shared" si="158"/>
        <v>0</v>
      </c>
      <c r="FP130" s="139">
        <f t="shared" si="159"/>
        <v>0</v>
      </c>
      <c r="FQ130" s="139">
        <f t="shared" si="160"/>
        <v>0</v>
      </c>
      <c r="FR130" s="139">
        <f t="shared" si="161"/>
        <v>0</v>
      </c>
      <c r="FS130" s="139">
        <f t="shared" si="162"/>
        <v>0</v>
      </c>
      <c r="FT130" s="139">
        <f t="shared" si="163"/>
        <v>0</v>
      </c>
      <c r="FU130" s="148">
        <f t="shared" si="164"/>
        <v>0.41892313574337636</v>
      </c>
      <c r="FV130" s="149"/>
      <c r="FY130" s="210">
        <v>125</v>
      </c>
      <c r="FZ130" s="205"/>
      <c r="GA130" s="205"/>
      <c r="GB130" s="205"/>
      <c r="GC130" s="205"/>
      <c r="GD130" s="205"/>
      <c r="GE130" s="205"/>
      <c r="GF130" s="205"/>
      <c r="GG130" s="205"/>
      <c r="GH130" s="205"/>
      <c r="GI130" s="205"/>
      <c r="GJ130" s="205"/>
      <c r="GK130" s="205"/>
      <c r="GL130" s="205"/>
      <c r="GM130" s="205"/>
    </row>
    <row r="131" spans="1:195" s="7" customFormat="1">
      <c r="A131" s="1"/>
      <c r="B131" s="76">
        <f t="shared" ca="1" si="131"/>
        <v>0.13990956333550297</v>
      </c>
      <c r="C131">
        <v>3</v>
      </c>
      <c r="D131">
        <v>39775</v>
      </c>
      <c r="E131">
        <v>0</v>
      </c>
      <c r="F131">
        <v>0</v>
      </c>
      <c r="G131">
        <v>0</v>
      </c>
      <c r="H131">
        <v>0</v>
      </c>
      <c r="I131">
        <v>10.416666666666666</v>
      </c>
      <c r="J131">
        <v>31.25</v>
      </c>
      <c r="K131">
        <v>20.833333333333332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/>
      <c r="AO131"/>
      <c r="AP131"/>
      <c r="AQ131"/>
      <c r="AR131"/>
      <c r="AS131"/>
      <c r="AT131"/>
      <c r="AU131"/>
      <c r="AV131"/>
      <c r="AW131"/>
      <c r="AX131" s="146"/>
      <c r="AY131" s="76">
        <f t="shared" ca="1" si="87"/>
        <v>0.31387164977612958</v>
      </c>
      <c r="AZ131">
        <v>4</v>
      </c>
      <c r="BA131" s="129">
        <f t="shared" si="166"/>
        <v>39775</v>
      </c>
      <c r="BB131">
        <v>0</v>
      </c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 s="147"/>
      <c r="CH131" s="176"/>
      <c r="CJ131" s="146"/>
      <c r="CK131" s="76">
        <f t="shared" ca="1" si="89"/>
        <v>0.25987645393096681</v>
      </c>
      <c r="CL131" s="179">
        <f t="shared" si="90"/>
        <v>4</v>
      </c>
      <c r="CM131" s="180">
        <f t="shared" si="91"/>
        <v>39775</v>
      </c>
      <c r="CN131">
        <v>0</v>
      </c>
      <c r="CO131"/>
      <c r="CP131"/>
      <c r="CQ131"/>
      <c r="CR131"/>
      <c r="CS131"/>
      <c r="CT131"/>
      <c r="CU131"/>
      <c r="CV131" s="160"/>
      <c r="CW131">
        <v>1</v>
      </c>
      <c r="CX131">
        <v>1</v>
      </c>
      <c r="CY131" s="160"/>
      <c r="CZ131" s="177">
        <f t="shared" si="92"/>
        <v>9.6000000000000002E-2</v>
      </c>
      <c r="DB131" s="146"/>
      <c r="DC131" s="76">
        <f t="shared" ca="1" si="50"/>
        <v>0.47378182817398984</v>
      </c>
      <c r="DD131">
        <f t="shared" si="93"/>
        <v>4</v>
      </c>
      <c r="DE131" s="129">
        <f t="shared" si="165"/>
        <v>39775</v>
      </c>
      <c r="DF131" s="161">
        <f t="shared" si="94"/>
        <v>0</v>
      </c>
      <c r="DG131" s="161">
        <f t="shared" si="95"/>
        <v>0</v>
      </c>
      <c r="DH131" s="161">
        <f t="shared" si="96"/>
        <v>0</v>
      </c>
      <c r="DI131" s="161">
        <f t="shared" si="97"/>
        <v>0</v>
      </c>
      <c r="DJ131" s="161">
        <f t="shared" si="98"/>
        <v>0</v>
      </c>
      <c r="DK131" s="161">
        <f t="shared" si="99"/>
        <v>0</v>
      </c>
      <c r="DL131" s="161">
        <f t="shared" si="100"/>
        <v>0</v>
      </c>
      <c r="DM131" s="161">
        <f t="shared" si="101"/>
        <v>0</v>
      </c>
      <c r="DN131" s="161">
        <f t="shared" si="102"/>
        <v>0</v>
      </c>
      <c r="DO131" s="161">
        <f t="shared" si="103"/>
        <v>0</v>
      </c>
      <c r="DP131" s="161">
        <f t="shared" si="104"/>
        <v>0</v>
      </c>
      <c r="DQ131" s="161">
        <f t="shared" si="105"/>
        <v>0</v>
      </c>
      <c r="DR131" s="161">
        <f t="shared" si="106"/>
        <v>0</v>
      </c>
      <c r="DS131" s="161">
        <f t="shared" si="107"/>
        <v>0</v>
      </c>
      <c r="DT131" s="161">
        <f t="shared" si="108"/>
        <v>0</v>
      </c>
      <c r="DU131" s="161">
        <f t="shared" si="109"/>
        <v>0</v>
      </c>
      <c r="DV131" s="161">
        <f t="shared" si="110"/>
        <v>0</v>
      </c>
      <c r="DW131" s="161">
        <f t="shared" si="111"/>
        <v>0</v>
      </c>
      <c r="DX131" s="161">
        <f t="shared" si="112"/>
        <v>0</v>
      </c>
      <c r="DY131" s="161">
        <f t="shared" si="113"/>
        <v>0</v>
      </c>
      <c r="DZ131" s="161">
        <f t="shared" si="114"/>
        <v>0</v>
      </c>
      <c r="EA131" s="161">
        <f t="shared" si="115"/>
        <v>0</v>
      </c>
      <c r="EB131" s="161">
        <f t="shared" si="116"/>
        <v>0</v>
      </c>
      <c r="EC131" s="161">
        <f t="shared" si="117"/>
        <v>0</v>
      </c>
      <c r="ED131" s="161">
        <f t="shared" si="118"/>
        <v>0</v>
      </c>
      <c r="EE131" s="161">
        <f t="shared" si="119"/>
        <v>0</v>
      </c>
      <c r="EF131" s="161">
        <f t="shared" si="120"/>
        <v>0</v>
      </c>
      <c r="EG131" s="161">
        <f t="shared" si="121"/>
        <v>0</v>
      </c>
      <c r="EH131" s="161">
        <f t="shared" si="122"/>
        <v>0</v>
      </c>
      <c r="EI131" s="161">
        <f t="shared" si="123"/>
        <v>0</v>
      </c>
      <c r="EJ131" s="161">
        <f t="shared" si="124"/>
        <v>0</v>
      </c>
      <c r="EK131" s="147">
        <f t="shared" si="132"/>
        <v>0</v>
      </c>
      <c r="EL131" s="149"/>
      <c r="EN131" s="146"/>
      <c r="EO131" s="146"/>
      <c r="EP131" s="139">
        <f t="shared" si="133"/>
        <v>0</v>
      </c>
      <c r="EQ131" s="139">
        <f t="shared" si="134"/>
        <v>0</v>
      </c>
      <c r="ER131" s="139">
        <f t="shared" si="135"/>
        <v>0</v>
      </c>
      <c r="ES131" s="139">
        <f t="shared" si="136"/>
        <v>0</v>
      </c>
      <c r="ET131" s="139">
        <f t="shared" si="137"/>
        <v>0</v>
      </c>
      <c r="EU131" s="139">
        <f t="shared" si="138"/>
        <v>0</v>
      </c>
      <c r="EV131" s="139">
        <f t="shared" si="139"/>
        <v>0</v>
      </c>
      <c r="EW131" s="139">
        <f t="shared" si="140"/>
        <v>0</v>
      </c>
      <c r="EX131" s="139">
        <f t="shared" si="141"/>
        <v>0</v>
      </c>
      <c r="EY131" s="139">
        <f t="shared" si="142"/>
        <v>0</v>
      </c>
      <c r="EZ131" s="139">
        <f t="shared" si="143"/>
        <v>0</v>
      </c>
      <c r="FA131" s="139">
        <f t="shared" si="144"/>
        <v>0</v>
      </c>
      <c r="FB131" s="139">
        <f t="shared" si="145"/>
        <v>0</v>
      </c>
      <c r="FC131" s="139">
        <f t="shared" si="146"/>
        <v>0</v>
      </c>
      <c r="FD131" s="139">
        <f t="shared" si="147"/>
        <v>0</v>
      </c>
      <c r="FE131" s="139">
        <f t="shared" si="148"/>
        <v>0</v>
      </c>
      <c r="FF131" s="139">
        <f t="shared" si="149"/>
        <v>0</v>
      </c>
      <c r="FG131" s="139">
        <f t="shared" si="150"/>
        <v>0</v>
      </c>
      <c r="FH131" s="139">
        <f t="shared" si="151"/>
        <v>0</v>
      </c>
      <c r="FI131" s="139">
        <f t="shared" si="152"/>
        <v>0</v>
      </c>
      <c r="FJ131" s="139">
        <f t="shared" si="153"/>
        <v>0</v>
      </c>
      <c r="FK131" s="139">
        <f t="shared" si="154"/>
        <v>0</v>
      </c>
      <c r="FL131" s="139">
        <f t="shared" si="155"/>
        <v>0</v>
      </c>
      <c r="FM131" s="139">
        <f t="shared" si="156"/>
        <v>0</v>
      </c>
      <c r="FN131" s="139">
        <f t="shared" si="157"/>
        <v>0</v>
      </c>
      <c r="FO131" s="139">
        <f t="shared" si="158"/>
        <v>0</v>
      </c>
      <c r="FP131" s="139">
        <f t="shared" si="159"/>
        <v>0</v>
      </c>
      <c r="FQ131" s="139">
        <f t="shared" si="160"/>
        <v>0</v>
      </c>
      <c r="FR131" s="139">
        <f t="shared" si="161"/>
        <v>0</v>
      </c>
      <c r="FS131" s="139">
        <f t="shared" si="162"/>
        <v>0</v>
      </c>
      <c r="FT131" s="139">
        <f t="shared" si="163"/>
        <v>0</v>
      </c>
      <c r="FU131" s="148">
        <f t="shared" si="164"/>
        <v>0</v>
      </c>
      <c r="FV131" s="149"/>
      <c r="FY131" s="210">
        <v>126</v>
      </c>
      <c r="FZ131" s="205"/>
      <c r="GA131" s="205"/>
      <c r="GB131" s="205"/>
      <c r="GC131" s="205"/>
      <c r="GD131" s="205"/>
      <c r="GE131" s="205"/>
      <c r="GF131" s="205"/>
      <c r="GG131" s="205"/>
      <c r="GH131" s="205"/>
      <c r="GI131" s="205"/>
      <c r="GJ131" s="205"/>
      <c r="GK131" s="205"/>
      <c r="GL131" s="205"/>
      <c r="GM131" s="205"/>
    </row>
    <row r="132" spans="1:195" s="7" customFormat="1">
      <c r="A132" s="1"/>
      <c r="B132" s="76">
        <f t="shared" ca="1" si="131"/>
        <v>0.61757064563280606</v>
      </c>
      <c r="C132">
        <v>4</v>
      </c>
      <c r="D132">
        <v>39775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10.416666666666666</v>
      </c>
      <c r="K132">
        <v>10.416666666666666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/>
      <c r="AO132"/>
      <c r="AP132"/>
      <c r="AQ132"/>
      <c r="AR132"/>
      <c r="AS132"/>
      <c r="AT132"/>
      <c r="AU132"/>
      <c r="AV132"/>
      <c r="AW132"/>
      <c r="AX132" s="146"/>
      <c r="AY132" s="76">
        <f t="shared" ca="1" si="87"/>
        <v>0.3410747477573679</v>
      </c>
      <c r="AZ132">
        <v>5</v>
      </c>
      <c r="BA132" s="129">
        <f t="shared" si="166"/>
        <v>39775</v>
      </c>
      <c r="BB132">
        <v>0</v>
      </c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 s="147"/>
      <c r="CH132" s="176"/>
      <c r="CJ132" s="146"/>
      <c r="CK132" s="76">
        <f t="shared" ca="1" si="89"/>
        <v>0.90379841139343053</v>
      </c>
      <c r="CL132" s="179">
        <f t="shared" si="90"/>
        <v>5</v>
      </c>
      <c r="CM132" s="180">
        <f t="shared" si="91"/>
        <v>39775</v>
      </c>
      <c r="CN132">
        <v>0</v>
      </c>
      <c r="CO132"/>
      <c r="CP132"/>
      <c r="CQ132"/>
      <c r="CR132"/>
      <c r="CS132"/>
      <c r="CT132"/>
      <c r="CU132"/>
      <c r="CV132" s="160"/>
      <c r="CW132">
        <v>1</v>
      </c>
      <c r="CX132">
        <f>20/7</f>
        <v>2.8571428571428572</v>
      </c>
      <c r="CY132" s="160"/>
      <c r="CZ132" s="177">
        <f t="shared" si="92"/>
        <v>9.6000000000000002E-2</v>
      </c>
      <c r="DB132" s="146"/>
      <c r="DC132" s="76">
        <f t="shared" ca="1" si="50"/>
        <v>0.6464900296784819</v>
      </c>
      <c r="DD132">
        <f t="shared" si="93"/>
        <v>5</v>
      </c>
      <c r="DE132" s="129">
        <f t="shared" si="165"/>
        <v>39775</v>
      </c>
      <c r="DF132" s="161">
        <f t="shared" si="94"/>
        <v>0</v>
      </c>
      <c r="DG132" s="161">
        <f t="shared" si="95"/>
        <v>0</v>
      </c>
      <c r="DH132" s="161">
        <f t="shared" si="96"/>
        <v>0</v>
      </c>
      <c r="DI132" s="161">
        <f t="shared" si="97"/>
        <v>0</v>
      </c>
      <c r="DJ132" s="161">
        <f t="shared" si="98"/>
        <v>0</v>
      </c>
      <c r="DK132" s="161">
        <f t="shared" si="99"/>
        <v>0</v>
      </c>
      <c r="DL132" s="161">
        <f t="shared" si="100"/>
        <v>0</v>
      </c>
      <c r="DM132" s="161">
        <f t="shared" si="101"/>
        <v>0</v>
      </c>
      <c r="DN132" s="161">
        <f t="shared" si="102"/>
        <v>0</v>
      </c>
      <c r="DO132" s="161">
        <f t="shared" si="103"/>
        <v>0</v>
      </c>
      <c r="DP132" s="161">
        <f t="shared" si="104"/>
        <v>0</v>
      </c>
      <c r="DQ132" s="161">
        <f t="shared" si="105"/>
        <v>0</v>
      </c>
      <c r="DR132" s="161">
        <f t="shared" si="106"/>
        <v>0</v>
      </c>
      <c r="DS132" s="161">
        <f t="shared" si="107"/>
        <v>0</v>
      </c>
      <c r="DT132" s="161">
        <f t="shared" si="108"/>
        <v>0</v>
      </c>
      <c r="DU132" s="161">
        <f t="shared" si="109"/>
        <v>0</v>
      </c>
      <c r="DV132" s="161">
        <f t="shared" si="110"/>
        <v>0</v>
      </c>
      <c r="DW132" s="161">
        <f t="shared" si="111"/>
        <v>0</v>
      </c>
      <c r="DX132" s="161">
        <f t="shared" si="112"/>
        <v>0</v>
      </c>
      <c r="DY132" s="161">
        <f t="shared" si="113"/>
        <v>0</v>
      </c>
      <c r="DZ132" s="161">
        <f t="shared" si="114"/>
        <v>0</v>
      </c>
      <c r="EA132" s="161">
        <f t="shared" si="115"/>
        <v>0</v>
      </c>
      <c r="EB132" s="161">
        <f t="shared" si="116"/>
        <v>0</v>
      </c>
      <c r="EC132" s="161">
        <f t="shared" si="117"/>
        <v>0</v>
      </c>
      <c r="ED132" s="161">
        <f t="shared" si="118"/>
        <v>0</v>
      </c>
      <c r="EE132" s="161">
        <f t="shared" si="119"/>
        <v>0</v>
      </c>
      <c r="EF132" s="161">
        <f t="shared" si="120"/>
        <v>0</v>
      </c>
      <c r="EG132" s="161">
        <f t="shared" si="121"/>
        <v>0</v>
      </c>
      <c r="EH132" s="161">
        <f t="shared" si="122"/>
        <v>0</v>
      </c>
      <c r="EI132" s="161">
        <f t="shared" si="123"/>
        <v>0</v>
      </c>
      <c r="EJ132" s="161">
        <f t="shared" si="124"/>
        <v>0</v>
      </c>
      <c r="EK132" s="147">
        <f t="shared" si="132"/>
        <v>0</v>
      </c>
      <c r="EL132" s="149"/>
      <c r="EN132" s="146"/>
      <c r="EO132" s="146"/>
      <c r="EP132" s="139">
        <f t="shared" si="133"/>
        <v>0</v>
      </c>
      <c r="EQ132" s="139">
        <f t="shared" si="134"/>
        <v>0</v>
      </c>
      <c r="ER132" s="139">
        <f t="shared" si="135"/>
        <v>0</v>
      </c>
      <c r="ES132" s="139">
        <f t="shared" si="136"/>
        <v>0</v>
      </c>
      <c r="ET132" s="139">
        <f t="shared" si="137"/>
        <v>0</v>
      </c>
      <c r="EU132" s="139">
        <f t="shared" si="138"/>
        <v>0</v>
      </c>
      <c r="EV132" s="139">
        <f t="shared" si="139"/>
        <v>0</v>
      </c>
      <c r="EW132" s="139">
        <f t="shared" si="140"/>
        <v>0</v>
      </c>
      <c r="EX132" s="139">
        <f t="shared" si="141"/>
        <v>0</v>
      </c>
      <c r="EY132" s="139">
        <f t="shared" si="142"/>
        <v>0</v>
      </c>
      <c r="EZ132" s="139">
        <f t="shared" si="143"/>
        <v>0</v>
      </c>
      <c r="FA132" s="139">
        <f t="shared" si="144"/>
        <v>0</v>
      </c>
      <c r="FB132" s="139">
        <f t="shared" si="145"/>
        <v>0</v>
      </c>
      <c r="FC132" s="139">
        <f t="shared" si="146"/>
        <v>0</v>
      </c>
      <c r="FD132" s="139">
        <f t="shared" si="147"/>
        <v>0</v>
      </c>
      <c r="FE132" s="139">
        <f t="shared" si="148"/>
        <v>0</v>
      </c>
      <c r="FF132" s="139">
        <f t="shared" si="149"/>
        <v>0</v>
      </c>
      <c r="FG132" s="139">
        <f t="shared" si="150"/>
        <v>0</v>
      </c>
      <c r="FH132" s="139">
        <f t="shared" si="151"/>
        <v>0</v>
      </c>
      <c r="FI132" s="139">
        <f t="shared" si="152"/>
        <v>0</v>
      </c>
      <c r="FJ132" s="139">
        <f t="shared" si="153"/>
        <v>0</v>
      </c>
      <c r="FK132" s="139">
        <f t="shared" si="154"/>
        <v>0</v>
      </c>
      <c r="FL132" s="139">
        <f t="shared" si="155"/>
        <v>0</v>
      </c>
      <c r="FM132" s="139">
        <f t="shared" si="156"/>
        <v>0</v>
      </c>
      <c r="FN132" s="139">
        <f t="shared" si="157"/>
        <v>0</v>
      </c>
      <c r="FO132" s="139">
        <f t="shared" si="158"/>
        <v>0</v>
      </c>
      <c r="FP132" s="139">
        <f t="shared" si="159"/>
        <v>0</v>
      </c>
      <c r="FQ132" s="139">
        <f t="shared" si="160"/>
        <v>0</v>
      </c>
      <c r="FR132" s="139">
        <f t="shared" si="161"/>
        <v>0</v>
      </c>
      <c r="FS132" s="139">
        <f t="shared" si="162"/>
        <v>0</v>
      </c>
      <c r="FT132" s="139">
        <f t="shared" si="163"/>
        <v>0</v>
      </c>
      <c r="FU132" s="148">
        <f t="shared" si="164"/>
        <v>0</v>
      </c>
      <c r="FV132" s="149"/>
      <c r="FY132" s="210">
        <v>127</v>
      </c>
      <c r="FZ132" s="205"/>
      <c r="GA132" s="205"/>
      <c r="GB132" s="205"/>
      <c r="GC132" s="205"/>
      <c r="GD132" s="205"/>
      <c r="GE132" s="205"/>
      <c r="GF132" s="205"/>
      <c r="GG132" s="205"/>
      <c r="GH132" s="205"/>
      <c r="GI132" s="205"/>
      <c r="GJ132" s="205"/>
      <c r="GK132" s="205"/>
      <c r="GL132" s="205"/>
      <c r="GM132" s="205"/>
    </row>
    <row r="133" spans="1:195" s="7" customFormat="1">
      <c r="A133" s="1"/>
      <c r="B133" s="76">
        <f t="shared" ca="1" si="131"/>
        <v>0.16514658379111591</v>
      </c>
      <c r="C133">
        <v>1</v>
      </c>
      <c r="D133">
        <v>39775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64.102564102564102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/>
      <c r="AO133"/>
      <c r="AP133"/>
      <c r="AQ133"/>
      <c r="AR133"/>
      <c r="AS133"/>
      <c r="AT133"/>
      <c r="AU133"/>
      <c r="AV133"/>
      <c r="AW133"/>
      <c r="AX133" s="146"/>
      <c r="AY133" s="76">
        <f t="shared" ca="1" si="87"/>
        <v>3.2267039309581413E-2</v>
      </c>
      <c r="AZ133">
        <v>6</v>
      </c>
      <c r="BA133" s="129">
        <f t="shared" si="166"/>
        <v>39775</v>
      </c>
      <c r="BB133">
        <v>0</v>
      </c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 s="147"/>
      <c r="CH133" s="176"/>
      <c r="CJ133" s="146"/>
      <c r="CK133" s="76">
        <f t="shared" ca="1" si="89"/>
        <v>0.33434333069191169</v>
      </c>
      <c r="CL133" s="179">
        <f t="shared" si="90"/>
        <v>6</v>
      </c>
      <c r="CM133" s="180">
        <f t="shared" si="91"/>
        <v>39775</v>
      </c>
      <c r="CN133">
        <v>0</v>
      </c>
      <c r="CO133"/>
      <c r="CP133"/>
      <c r="CQ133"/>
      <c r="CR133"/>
      <c r="CS133"/>
      <c r="CT133"/>
      <c r="CU133"/>
      <c r="CV133" s="160"/>
      <c r="CW133">
        <v>1</v>
      </c>
      <c r="CX133">
        <v>1</v>
      </c>
      <c r="CY133" s="164"/>
      <c r="CZ133" s="177">
        <f t="shared" si="92"/>
        <v>9.6000000000000002E-2</v>
      </c>
      <c r="DB133" s="146"/>
      <c r="DC133" s="76">
        <f t="shared" ca="1" si="50"/>
        <v>0.90338232154882192</v>
      </c>
      <c r="DD133">
        <f t="shared" si="93"/>
        <v>6</v>
      </c>
      <c r="DE133" s="129">
        <f t="shared" si="165"/>
        <v>39775</v>
      </c>
      <c r="DF133" s="161">
        <f t="shared" si="94"/>
        <v>0</v>
      </c>
      <c r="DG133" s="161">
        <f t="shared" si="95"/>
        <v>0</v>
      </c>
      <c r="DH133" s="161">
        <f t="shared" si="96"/>
        <v>0</v>
      </c>
      <c r="DI133" s="161">
        <f t="shared" si="97"/>
        <v>0</v>
      </c>
      <c r="DJ133" s="161">
        <f t="shared" si="98"/>
        <v>0</v>
      </c>
      <c r="DK133" s="161">
        <f t="shared" si="99"/>
        <v>0</v>
      </c>
      <c r="DL133" s="161">
        <f t="shared" si="100"/>
        <v>0</v>
      </c>
      <c r="DM133" s="161">
        <f t="shared" si="101"/>
        <v>0</v>
      </c>
      <c r="DN133" s="161">
        <f t="shared" si="102"/>
        <v>0</v>
      </c>
      <c r="DO133" s="161">
        <f t="shared" si="103"/>
        <v>0</v>
      </c>
      <c r="DP133" s="161">
        <f t="shared" si="104"/>
        <v>0</v>
      </c>
      <c r="DQ133" s="161">
        <f t="shared" si="105"/>
        <v>0</v>
      </c>
      <c r="DR133" s="161">
        <f t="shared" si="106"/>
        <v>0</v>
      </c>
      <c r="DS133" s="161">
        <f t="shared" si="107"/>
        <v>0</v>
      </c>
      <c r="DT133" s="161">
        <f t="shared" si="108"/>
        <v>0</v>
      </c>
      <c r="DU133" s="161">
        <f t="shared" si="109"/>
        <v>0</v>
      </c>
      <c r="DV133" s="161">
        <f t="shared" si="110"/>
        <v>0</v>
      </c>
      <c r="DW133" s="161">
        <f t="shared" si="111"/>
        <v>0</v>
      </c>
      <c r="DX133" s="161">
        <f t="shared" si="112"/>
        <v>0</v>
      </c>
      <c r="DY133" s="161">
        <f t="shared" si="113"/>
        <v>0</v>
      </c>
      <c r="DZ133" s="161">
        <f t="shared" si="114"/>
        <v>0</v>
      </c>
      <c r="EA133" s="161">
        <f t="shared" si="115"/>
        <v>0</v>
      </c>
      <c r="EB133" s="161">
        <f t="shared" si="116"/>
        <v>0</v>
      </c>
      <c r="EC133" s="161">
        <f t="shared" si="117"/>
        <v>0</v>
      </c>
      <c r="ED133" s="161">
        <f t="shared" si="118"/>
        <v>0</v>
      </c>
      <c r="EE133" s="161">
        <f t="shared" si="119"/>
        <v>0</v>
      </c>
      <c r="EF133" s="161">
        <f t="shared" si="120"/>
        <v>0</v>
      </c>
      <c r="EG133" s="161">
        <f t="shared" si="121"/>
        <v>0</v>
      </c>
      <c r="EH133" s="161">
        <f t="shared" si="122"/>
        <v>0</v>
      </c>
      <c r="EI133" s="161">
        <f t="shared" si="123"/>
        <v>0</v>
      </c>
      <c r="EJ133" s="161">
        <f t="shared" si="124"/>
        <v>0</v>
      </c>
      <c r="EK133" s="147">
        <f t="shared" si="132"/>
        <v>0</v>
      </c>
      <c r="EL133" s="149"/>
      <c r="EN133" s="146"/>
      <c r="EO133" s="146"/>
      <c r="EP133" s="139">
        <f t="shared" si="133"/>
        <v>0</v>
      </c>
      <c r="EQ133" s="139">
        <f t="shared" si="134"/>
        <v>0</v>
      </c>
      <c r="ER133" s="139">
        <f t="shared" si="135"/>
        <v>0</v>
      </c>
      <c r="ES133" s="139">
        <f t="shared" si="136"/>
        <v>0</v>
      </c>
      <c r="ET133" s="139">
        <f t="shared" si="137"/>
        <v>0</v>
      </c>
      <c r="EU133" s="139">
        <f t="shared" si="138"/>
        <v>0</v>
      </c>
      <c r="EV133" s="139">
        <f t="shared" si="139"/>
        <v>0</v>
      </c>
      <c r="EW133" s="139">
        <f t="shared" si="140"/>
        <v>0</v>
      </c>
      <c r="EX133" s="139">
        <f t="shared" si="141"/>
        <v>0</v>
      </c>
      <c r="EY133" s="139">
        <f t="shared" si="142"/>
        <v>0</v>
      </c>
      <c r="EZ133" s="139">
        <f t="shared" si="143"/>
        <v>0</v>
      </c>
      <c r="FA133" s="139">
        <f t="shared" si="144"/>
        <v>0</v>
      </c>
      <c r="FB133" s="139">
        <f t="shared" si="145"/>
        <v>0</v>
      </c>
      <c r="FC133" s="139">
        <f t="shared" si="146"/>
        <v>0</v>
      </c>
      <c r="FD133" s="139">
        <f t="shared" si="147"/>
        <v>0</v>
      </c>
      <c r="FE133" s="139">
        <f t="shared" si="148"/>
        <v>0</v>
      </c>
      <c r="FF133" s="139">
        <f t="shared" si="149"/>
        <v>0</v>
      </c>
      <c r="FG133" s="139">
        <f t="shared" si="150"/>
        <v>0</v>
      </c>
      <c r="FH133" s="139">
        <f t="shared" si="151"/>
        <v>0</v>
      </c>
      <c r="FI133" s="139">
        <f t="shared" si="152"/>
        <v>0</v>
      </c>
      <c r="FJ133" s="139">
        <f t="shared" si="153"/>
        <v>0</v>
      </c>
      <c r="FK133" s="139">
        <f t="shared" si="154"/>
        <v>0</v>
      </c>
      <c r="FL133" s="139">
        <f t="shared" si="155"/>
        <v>0</v>
      </c>
      <c r="FM133" s="139">
        <f t="shared" si="156"/>
        <v>0</v>
      </c>
      <c r="FN133" s="139">
        <f t="shared" si="157"/>
        <v>0</v>
      </c>
      <c r="FO133" s="139">
        <f t="shared" si="158"/>
        <v>0</v>
      </c>
      <c r="FP133" s="139">
        <f t="shared" si="159"/>
        <v>0</v>
      </c>
      <c r="FQ133" s="139">
        <f t="shared" si="160"/>
        <v>0</v>
      </c>
      <c r="FR133" s="139">
        <f t="shared" si="161"/>
        <v>0</v>
      </c>
      <c r="FS133" s="139">
        <f t="shared" si="162"/>
        <v>0</v>
      </c>
      <c r="FT133" s="139">
        <f t="shared" si="163"/>
        <v>0</v>
      </c>
      <c r="FU133" s="148">
        <f t="shared" si="164"/>
        <v>0</v>
      </c>
      <c r="FV133" s="149"/>
      <c r="FY133" s="210">
        <v>128</v>
      </c>
      <c r="FZ133" s="205"/>
      <c r="GA133" s="205"/>
      <c r="GB133" s="205"/>
      <c r="GC133" s="205"/>
      <c r="GD133" s="205"/>
      <c r="GE133" s="205"/>
      <c r="GF133" s="205"/>
      <c r="GG133" s="205"/>
      <c r="GH133" s="205"/>
      <c r="GI133" s="205"/>
      <c r="GJ133" s="205"/>
      <c r="GK133" s="205"/>
      <c r="GL133" s="205"/>
      <c r="GM133" s="205"/>
    </row>
    <row r="134" spans="1:195" s="7" customFormat="1">
      <c r="A134" s="1"/>
      <c r="B134" s="76">
        <f t="shared" ca="1" si="131"/>
        <v>0.11713929187517191</v>
      </c>
      <c r="C134">
        <v>2</v>
      </c>
      <c r="D134">
        <v>39775</v>
      </c>
      <c r="E134">
        <v>0</v>
      </c>
      <c r="F134">
        <v>0</v>
      </c>
      <c r="G134">
        <v>0</v>
      </c>
      <c r="H134">
        <v>0</v>
      </c>
      <c r="I134">
        <v>10.416666666666666</v>
      </c>
      <c r="J134">
        <v>10.416666666666666</v>
      </c>
      <c r="K134">
        <v>52.083333333333336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/>
      <c r="AO134"/>
      <c r="AP134"/>
      <c r="AQ134"/>
      <c r="AR134"/>
      <c r="AS134"/>
      <c r="AT134"/>
      <c r="AU134"/>
      <c r="AV134"/>
      <c r="AW134"/>
      <c r="AX134" s="146"/>
      <c r="AY134" s="76">
        <f t="shared" ca="1" si="87"/>
        <v>0.87747748631675826</v>
      </c>
      <c r="AZ134">
        <v>7</v>
      </c>
      <c r="BA134" s="129">
        <f t="shared" si="166"/>
        <v>39775</v>
      </c>
      <c r="BB134">
        <v>0</v>
      </c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 s="147"/>
      <c r="CH134" s="176"/>
      <c r="CJ134" s="146"/>
      <c r="CK134" s="76">
        <f t="shared" ca="1" si="89"/>
        <v>0.19945409169931327</v>
      </c>
      <c r="CL134" s="179">
        <f t="shared" si="90"/>
        <v>7</v>
      </c>
      <c r="CM134" s="180">
        <f t="shared" si="91"/>
        <v>39775</v>
      </c>
      <c r="CN134">
        <v>0</v>
      </c>
      <c r="CO134"/>
      <c r="CP134"/>
      <c r="CQ134"/>
      <c r="CR134"/>
      <c r="CS134"/>
      <c r="CT134"/>
      <c r="CU134"/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2"/>
        <v>9.6000000000000002E-2</v>
      </c>
      <c r="DB134" s="146"/>
      <c r="DC134" s="76">
        <f t="shared" ca="1" si="50"/>
        <v>0.96462474731775139</v>
      </c>
      <c r="DD134">
        <f t="shared" si="93"/>
        <v>7</v>
      </c>
      <c r="DE134" s="129">
        <f t="shared" si="165"/>
        <v>39775</v>
      </c>
      <c r="DF134" s="161">
        <f t="shared" si="94"/>
        <v>0</v>
      </c>
      <c r="DG134" s="161">
        <f t="shared" si="95"/>
        <v>0</v>
      </c>
      <c r="DH134" s="161">
        <f t="shared" si="96"/>
        <v>0</v>
      </c>
      <c r="DI134" s="161">
        <f t="shared" si="97"/>
        <v>0</v>
      </c>
      <c r="DJ134" s="161">
        <f t="shared" si="98"/>
        <v>0</v>
      </c>
      <c r="DK134" s="161">
        <f t="shared" si="99"/>
        <v>0</v>
      </c>
      <c r="DL134" s="161">
        <f t="shared" si="100"/>
        <v>0</v>
      </c>
      <c r="DM134" s="161">
        <f t="shared" si="101"/>
        <v>0</v>
      </c>
      <c r="DN134" s="161">
        <f t="shared" si="102"/>
        <v>0</v>
      </c>
      <c r="DO134" s="161">
        <f t="shared" si="103"/>
        <v>0</v>
      </c>
      <c r="DP134" s="161">
        <f t="shared" si="104"/>
        <v>0</v>
      </c>
      <c r="DQ134" s="161">
        <f t="shared" si="105"/>
        <v>0</v>
      </c>
      <c r="DR134" s="161">
        <f t="shared" si="106"/>
        <v>0</v>
      </c>
      <c r="DS134" s="161">
        <f t="shared" si="107"/>
        <v>0</v>
      </c>
      <c r="DT134" s="161">
        <f t="shared" si="108"/>
        <v>0</v>
      </c>
      <c r="DU134" s="161">
        <f t="shared" si="109"/>
        <v>0</v>
      </c>
      <c r="DV134" s="161">
        <f t="shared" si="110"/>
        <v>0</v>
      </c>
      <c r="DW134" s="161">
        <f t="shared" si="111"/>
        <v>0</v>
      </c>
      <c r="DX134" s="161">
        <f t="shared" si="112"/>
        <v>0</v>
      </c>
      <c r="DY134" s="161">
        <f t="shared" si="113"/>
        <v>0</v>
      </c>
      <c r="DZ134" s="161">
        <f t="shared" si="114"/>
        <v>0</v>
      </c>
      <c r="EA134" s="161">
        <f t="shared" si="115"/>
        <v>0</v>
      </c>
      <c r="EB134" s="161">
        <f t="shared" si="116"/>
        <v>0</v>
      </c>
      <c r="EC134" s="161">
        <f t="shared" si="117"/>
        <v>0</v>
      </c>
      <c r="ED134" s="161">
        <f t="shared" si="118"/>
        <v>0</v>
      </c>
      <c r="EE134" s="161">
        <f t="shared" si="119"/>
        <v>0</v>
      </c>
      <c r="EF134" s="161">
        <f t="shared" si="120"/>
        <v>0</v>
      </c>
      <c r="EG134" s="161">
        <f t="shared" si="121"/>
        <v>0</v>
      </c>
      <c r="EH134" s="161">
        <f t="shared" si="122"/>
        <v>0</v>
      </c>
      <c r="EI134" s="161">
        <f t="shared" si="123"/>
        <v>0</v>
      </c>
      <c r="EJ134" s="161">
        <f t="shared" si="124"/>
        <v>0</v>
      </c>
      <c r="EK134" s="147">
        <f t="shared" si="132"/>
        <v>0</v>
      </c>
      <c r="EL134" s="149"/>
      <c r="EN134" s="146"/>
      <c r="EO134" s="146"/>
      <c r="EP134" s="139">
        <f t="shared" si="133"/>
        <v>0</v>
      </c>
      <c r="EQ134" s="139">
        <f t="shared" si="134"/>
        <v>0</v>
      </c>
      <c r="ER134" s="139">
        <f t="shared" si="135"/>
        <v>0</v>
      </c>
      <c r="ES134" s="139">
        <f t="shared" si="136"/>
        <v>0</v>
      </c>
      <c r="ET134" s="139">
        <f t="shared" si="137"/>
        <v>0</v>
      </c>
      <c r="EU134" s="139">
        <f t="shared" si="138"/>
        <v>0</v>
      </c>
      <c r="EV134" s="139">
        <f t="shared" si="139"/>
        <v>0</v>
      </c>
      <c r="EW134" s="139">
        <f t="shared" si="140"/>
        <v>0</v>
      </c>
      <c r="EX134" s="139">
        <f t="shared" si="141"/>
        <v>0</v>
      </c>
      <c r="EY134" s="139">
        <f t="shared" si="142"/>
        <v>0</v>
      </c>
      <c r="EZ134" s="139">
        <f t="shared" si="143"/>
        <v>0</v>
      </c>
      <c r="FA134" s="139">
        <f t="shared" si="144"/>
        <v>0</v>
      </c>
      <c r="FB134" s="139">
        <f t="shared" si="145"/>
        <v>0</v>
      </c>
      <c r="FC134" s="139">
        <f t="shared" si="146"/>
        <v>0</v>
      </c>
      <c r="FD134" s="139">
        <f t="shared" si="147"/>
        <v>0</v>
      </c>
      <c r="FE134" s="139">
        <f t="shared" si="148"/>
        <v>0</v>
      </c>
      <c r="FF134" s="139">
        <f t="shared" si="149"/>
        <v>0</v>
      </c>
      <c r="FG134" s="139">
        <f t="shared" si="150"/>
        <v>0</v>
      </c>
      <c r="FH134" s="139">
        <f t="shared" si="151"/>
        <v>0</v>
      </c>
      <c r="FI134" s="139">
        <f t="shared" si="152"/>
        <v>0</v>
      </c>
      <c r="FJ134" s="139">
        <f t="shared" si="153"/>
        <v>0</v>
      </c>
      <c r="FK134" s="139">
        <f t="shared" si="154"/>
        <v>0</v>
      </c>
      <c r="FL134" s="139">
        <f t="shared" si="155"/>
        <v>0</v>
      </c>
      <c r="FM134" s="139">
        <f t="shared" si="156"/>
        <v>0</v>
      </c>
      <c r="FN134" s="139">
        <f t="shared" si="157"/>
        <v>0</v>
      </c>
      <c r="FO134" s="139">
        <f t="shared" si="158"/>
        <v>0</v>
      </c>
      <c r="FP134" s="139">
        <f t="shared" si="159"/>
        <v>0</v>
      </c>
      <c r="FQ134" s="139">
        <f t="shared" si="160"/>
        <v>0</v>
      </c>
      <c r="FR134" s="139">
        <f t="shared" si="161"/>
        <v>0</v>
      </c>
      <c r="FS134" s="139">
        <f t="shared" si="162"/>
        <v>0</v>
      </c>
      <c r="FT134" s="139">
        <f t="shared" si="163"/>
        <v>0</v>
      </c>
      <c r="FU134" s="148">
        <f t="shared" si="164"/>
        <v>0</v>
      </c>
      <c r="FV134" s="149"/>
      <c r="FY134" s="210">
        <v>129</v>
      </c>
      <c r="FZ134" s="205"/>
      <c r="GA134" s="205"/>
      <c r="GB134" s="205"/>
      <c r="GC134" s="205"/>
      <c r="GD134" s="205"/>
      <c r="GE134" s="205"/>
      <c r="GF134" s="205"/>
      <c r="GG134" s="205"/>
      <c r="GH134" s="205"/>
      <c r="GI134" s="205"/>
      <c r="GJ134" s="205"/>
      <c r="GK134" s="205"/>
      <c r="GL134" s="205"/>
      <c r="GM134" s="205"/>
    </row>
    <row r="135" spans="1:195" s="7" customFormat="1">
      <c r="A135" s="1"/>
      <c r="B135" s="76">
        <f t="shared" ca="1" si="131"/>
        <v>0.42517299225861405</v>
      </c>
      <c r="C135">
        <v>5</v>
      </c>
      <c r="D135">
        <v>39775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10.416666666666666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/>
      <c r="AO135"/>
      <c r="AP135"/>
      <c r="AQ135"/>
      <c r="AR135"/>
      <c r="AS135"/>
      <c r="AT135"/>
      <c r="AU135"/>
      <c r="AV135"/>
      <c r="AW135"/>
      <c r="AX135" s="146"/>
      <c r="AY135" s="76">
        <f t="shared" ca="1" si="87"/>
        <v>0.99163048798461517</v>
      </c>
      <c r="AZ135">
        <v>8</v>
      </c>
      <c r="BA135" s="129">
        <f t="shared" si="166"/>
        <v>39775</v>
      </c>
      <c r="BB135">
        <v>0</v>
      </c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 s="147"/>
      <c r="CH135" s="176"/>
      <c r="CJ135" s="146"/>
      <c r="CK135" s="76">
        <f t="shared" ca="1" si="89"/>
        <v>0.12105977820867952</v>
      </c>
      <c r="CL135" s="179">
        <f t="shared" si="90"/>
        <v>8</v>
      </c>
      <c r="CM135" s="180">
        <f t="shared" si="91"/>
        <v>39775</v>
      </c>
      <c r="CN135">
        <v>0</v>
      </c>
      <c r="CO135"/>
      <c r="CP135"/>
      <c r="CQ135"/>
      <c r="CR135"/>
      <c r="CS135"/>
      <c r="CT135"/>
      <c r="CU135"/>
      <c r="CV135" s="160"/>
      <c r="CW135">
        <f>30/9</f>
        <v>3.3333333333333335</v>
      </c>
      <c r="CX135">
        <f>40/8</f>
        <v>5</v>
      </c>
      <c r="CY135" s="164"/>
      <c r="CZ135" s="177">
        <f t="shared" si="92"/>
        <v>9.6000000000000002E-2</v>
      </c>
      <c r="DB135" s="146"/>
      <c r="DC135" s="76">
        <f t="shared" ca="1" si="50"/>
        <v>0.33960006277808219</v>
      </c>
      <c r="DD135">
        <f t="shared" si="93"/>
        <v>8</v>
      </c>
      <c r="DE135" s="129">
        <f t="shared" si="165"/>
        <v>39775</v>
      </c>
      <c r="DF135" s="161">
        <f t="shared" si="94"/>
        <v>0</v>
      </c>
      <c r="DG135" s="161">
        <f t="shared" si="95"/>
        <v>0</v>
      </c>
      <c r="DH135" s="161">
        <f t="shared" si="96"/>
        <v>0</v>
      </c>
      <c r="DI135" s="161">
        <f t="shared" si="97"/>
        <v>0</v>
      </c>
      <c r="DJ135" s="161">
        <f t="shared" si="98"/>
        <v>0</v>
      </c>
      <c r="DK135" s="161">
        <f t="shared" si="99"/>
        <v>0</v>
      </c>
      <c r="DL135" s="161">
        <f t="shared" si="100"/>
        <v>0</v>
      </c>
      <c r="DM135" s="161">
        <f t="shared" si="101"/>
        <v>0</v>
      </c>
      <c r="DN135" s="161">
        <f t="shared" si="102"/>
        <v>0</v>
      </c>
      <c r="DO135" s="161">
        <f t="shared" si="103"/>
        <v>0</v>
      </c>
      <c r="DP135" s="161">
        <f t="shared" si="104"/>
        <v>0</v>
      </c>
      <c r="DQ135" s="161">
        <f t="shared" si="105"/>
        <v>0</v>
      </c>
      <c r="DR135" s="161">
        <f t="shared" si="106"/>
        <v>0</v>
      </c>
      <c r="DS135" s="161">
        <f t="shared" si="107"/>
        <v>0</v>
      </c>
      <c r="DT135" s="161">
        <f t="shared" si="108"/>
        <v>0</v>
      </c>
      <c r="DU135" s="161">
        <f t="shared" si="109"/>
        <v>0</v>
      </c>
      <c r="DV135" s="161">
        <f t="shared" si="110"/>
        <v>0</v>
      </c>
      <c r="DW135" s="161">
        <f t="shared" si="111"/>
        <v>0</v>
      </c>
      <c r="DX135" s="161">
        <f t="shared" si="112"/>
        <v>0</v>
      </c>
      <c r="DY135" s="161">
        <f t="shared" si="113"/>
        <v>0</v>
      </c>
      <c r="DZ135" s="161">
        <f t="shared" si="114"/>
        <v>0</v>
      </c>
      <c r="EA135" s="161">
        <f t="shared" si="115"/>
        <v>0</v>
      </c>
      <c r="EB135" s="161">
        <f t="shared" si="116"/>
        <v>0</v>
      </c>
      <c r="EC135" s="161">
        <f t="shared" si="117"/>
        <v>0</v>
      </c>
      <c r="ED135" s="161">
        <f t="shared" si="118"/>
        <v>0</v>
      </c>
      <c r="EE135" s="161">
        <f t="shared" si="119"/>
        <v>0</v>
      </c>
      <c r="EF135" s="161">
        <f t="shared" si="120"/>
        <v>0</v>
      </c>
      <c r="EG135" s="161">
        <f t="shared" si="121"/>
        <v>0</v>
      </c>
      <c r="EH135" s="161">
        <f t="shared" si="122"/>
        <v>0</v>
      </c>
      <c r="EI135" s="161">
        <f t="shared" si="123"/>
        <v>0</v>
      </c>
      <c r="EJ135" s="161">
        <f t="shared" si="124"/>
        <v>0</v>
      </c>
      <c r="EK135" s="147">
        <f t="shared" si="132"/>
        <v>0</v>
      </c>
      <c r="EL135" s="149"/>
      <c r="EN135" s="146"/>
      <c r="EO135" s="146"/>
      <c r="EP135" s="139">
        <f t="shared" si="133"/>
        <v>0</v>
      </c>
      <c r="EQ135" s="139">
        <f t="shared" si="134"/>
        <v>0</v>
      </c>
      <c r="ER135" s="139">
        <f t="shared" si="135"/>
        <v>0</v>
      </c>
      <c r="ES135" s="139">
        <f t="shared" si="136"/>
        <v>0</v>
      </c>
      <c r="ET135" s="139">
        <f t="shared" si="137"/>
        <v>0</v>
      </c>
      <c r="EU135" s="139">
        <f t="shared" si="138"/>
        <v>0</v>
      </c>
      <c r="EV135" s="139">
        <f t="shared" si="139"/>
        <v>0</v>
      </c>
      <c r="EW135" s="139">
        <f t="shared" si="140"/>
        <v>0</v>
      </c>
      <c r="EX135" s="139">
        <f t="shared" si="141"/>
        <v>0</v>
      </c>
      <c r="EY135" s="139">
        <f t="shared" si="142"/>
        <v>0</v>
      </c>
      <c r="EZ135" s="139">
        <f t="shared" si="143"/>
        <v>0</v>
      </c>
      <c r="FA135" s="139">
        <f t="shared" si="144"/>
        <v>0</v>
      </c>
      <c r="FB135" s="139">
        <f t="shared" si="145"/>
        <v>0</v>
      </c>
      <c r="FC135" s="139">
        <f t="shared" si="146"/>
        <v>0</v>
      </c>
      <c r="FD135" s="139">
        <f t="shared" si="147"/>
        <v>0</v>
      </c>
      <c r="FE135" s="139">
        <f t="shared" si="148"/>
        <v>0</v>
      </c>
      <c r="FF135" s="139">
        <f t="shared" si="149"/>
        <v>0</v>
      </c>
      <c r="FG135" s="139">
        <f t="shared" si="150"/>
        <v>0</v>
      </c>
      <c r="FH135" s="139">
        <f t="shared" si="151"/>
        <v>0</v>
      </c>
      <c r="FI135" s="139">
        <f t="shared" si="152"/>
        <v>0</v>
      </c>
      <c r="FJ135" s="139">
        <f t="shared" si="153"/>
        <v>0</v>
      </c>
      <c r="FK135" s="139">
        <f t="shared" si="154"/>
        <v>0</v>
      </c>
      <c r="FL135" s="139">
        <f t="shared" si="155"/>
        <v>0</v>
      </c>
      <c r="FM135" s="139">
        <f t="shared" si="156"/>
        <v>0</v>
      </c>
      <c r="FN135" s="139">
        <f t="shared" si="157"/>
        <v>0</v>
      </c>
      <c r="FO135" s="139">
        <f t="shared" si="158"/>
        <v>0</v>
      </c>
      <c r="FP135" s="139">
        <f t="shared" si="159"/>
        <v>0</v>
      </c>
      <c r="FQ135" s="139">
        <f t="shared" si="160"/>
        <v>0</v>
      </c>
      <c r="FR135" s="139">
        <f t="shared" si="161"/>
        <v>0</v>
      </c>
      <c r="FS135" s="139">
        <f t="shared" si="162"/>
        <v>0</v>
      </c>
      <c r="FT135" s="139">
        <f t="shared" si="163"/>
        <v>0</v>
      </c>
      <c r="FU135" s="148">
        <f t="shared" si="164"/>
        <v>0</v>
      </c>
      <c r="FV135" s="149"/>
      <c r="FY135" s="210">
        <v>130</v>
      </c>
      <c r="FZ135" s="205"/>
      <c r="GA135" s="205"/>
      <c r="GB135" s="205"/>
      <c r="GC135" s="205"/>
      <c r="GD135" s="205"/>
      <c r="GE135" s="205"/>
      <c r="GF135" s="205"/>
      <c r="GG135" s="205"/>
      <c r="GH135" s="205"/>
      <c r="GI135" s="205"/>
      <c r="GJ135" s="205"/>
      <c r="GK135" s="205"/>
      <c r="GL135" s="205"/>
      <c r="GM135" s="205"/>
    </row>
    <row r="136" spans="1:195" s="7" customFormat="1">
      <c r="A136" s="1"/>
      <c r="B136" s="76">
        <f t="shared" ca="1" si="131"/>
        <v>0.35529144264110535</v>
      </c>
      <c r="C136">
        <v>8</v>
      </c>
      <c r="D136">
        <v>39775</v>
      </c>
      <c r="E136">
        <v>0</v>
      </c>
      <c r="F136">
        <v>0</v>
      </c>
      <c r="G136">
        <v>0</v>
      </c>
      <c r="H136">
        <v>0</v>
      </c>
      <c r="I136">
        <v>104.16666666666667</v>
      </c>
      <c r="J136">
        <v>138.88888888888889</v>
      </c>
      <c r="K136">
        <v>69.444444444444443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/>
      <c r="AO136"/>
      <c r="AP136"/>
      <c r="AQ136"/>
      <c r="AR136"/>
      <c r="AS136"/>
      <c r="AT136"/>
      <c r="AU136"/>
      <c r="AV136"/>
      <c r="AW136"/>
      <c r="AX136" s="146"/>
      <c r="AY136" s="76">
        <f t="shared" ca="1" si="87"/>
        <v>0.83360650722018392</v>
      </c>
      <c r="AZ136">
        <v>9</v>
      </c>
      <c r="BA136" s="129">
        <f t="shared" si="166"/>
        <v>39775</v>
      </c>
      <c r="BB136">
        <v>0</v>
      </c>
      <c r="BC136"/>
      <c r="BD136"/>
      <c r="BE136">
        <v>1</v>
      </c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>
        <v>1</v>
      </c>
      <c r="BV136"/>
      <c r="BW136"/>
      <c r="BX136"/>
      <c r="BY136"/>
      <c r="BZ136"/>
      <c r="CA136"/>
      <c r="CB136"/>
      <c r="CC136"/>
      <c r="CD136"/>
      <c r="CE136"/>
      <c r="CF136"/>
      <c r="CG136" s="147"/>
      <c r="CH136" s="176"/>
      <c r="CJ136" s="146"/>
      <c r="CK136" s="76">
        <f t="shared" ca="1" si="89"/>
        <v>0.22249669757842128</v>
      </c>
      <c r="CL136" s="179">
        <f t="shared" si="90"/>
        <v>9</v>
      </c>
      <c r="CM136" s="180">
        <f t="shared" si="91"/>
        <v>39775</v>
      </c>
      <c r="CN136" s="224">
        <v>0</v>
      </c>
      <c r="CO136"/>
      <c r="CP136"/>
      <c r="CQ136"/>
      <c r="CR136"/>
      <c r="CS136"/>
      <c r="CT136"/>
      <c r="CU136"/>
      <c r="CV136" s="160"/>
      <c r="CW136">
        <v>1</v>
      </c>
      <c r="CX136">
        <v>1</v>
      </c>
      <c r="CY136" s="164"/>
      <c r="CZ136" s="177">
        <f t="shared" si="92"/>
        <v>9.6000000000000002E-2</v>
      </c>
      <c r="DB136" s="146"/>
      <c r="DC136" s="76">
        <f t="shared" ca="1" si="50"/>
        <v>0.66024941214875432</v>
      </c>
      <c r="DD136">
        <f t="shared" si="93"/>
        <v>9</v>
      </c>
      <c r="DE136" s="129">
        <f t="shared" si="165"/>
        <v>39775</v>
      </c>
      <c r="DF136" s="161">
        <f t="shared" si="94"/>
        <v>0</v>
      </c>
      <c r="DG136" s="161">
        <f t="shared" si="95"/>
        <v>0</v>
      </c>
      <c r="DH136" s="161">
        <f t="shared" si="96"/>
        <v>0</v>
      </c>
      <c r="DI136" s="161">
        <f t="shared" si="97"/>
        <v>10.416666666666666</v>
      </c>
      <c r="DJ136" s="161">
        <f t="shared" si="98"/>
        <v>0</v>
      </c>
      <c r="DK136" s="161">
        <f t="shared" si="99"/>
        <v>0</v>
      </c>
      <c r="DL136" s="161">
        <f t="shared" si="100"/>
        <v>0</v>
      </c>
      <c r="DM136" s="161">
        <f t="shared" si="101"/>
        <v>0</v>
      </c>
      <c r="DN136" s="161">
        <f t="shared" si="102"/>
        <v>0</v>
      </c>
      <c r="DO136" s="161">
        <f t="shared" si="103"/>
        <v>0</v>
      </c>
      <c r="DP136" s="161">
        <f t="shared" si="104"/>
        <v>0</v>
      </c>
      <c r="DQ136" s="161">
        <f t="shared" si="105"/>
        <v>0</v>
      </c>
      <c r="DR136" s="161">
        <f t="shared" si="106"/>
        <v>0</v>
      </c>
      <c r="DS136" s="161">
        <f t="shared" si="107"/>
        <v>0</v>
      </c>
      <c r="DT136" s="161">
        <f t="shared" si="108"/>
        <v>0</v>
      </c>
      <c r="DU136" s="161">
        <f t="shared" si="109"/>
        <v>0</v>
      </c>
      <c r="DV136" s="161">
        <f t="shared" si="110"/>
        <v>0</v>
      </c>
      <c r="DW136" s="161">
        <f t="shared" si="111"/>
        <v>0</v>
      </c>
      <c r="DX136" s="161">
        <f t="shared" si="112"/>
        <v>0</v>
      </c>
      <c r="DY136" s="161">
        <f t="shared" si="113"/>
        <v>10.416666666666666</v>
      </c>
      <c r="DZ136" s="161">
        <f t="shared" si="114"/>
        <v>0</v>
      </c>
      <c r="EA136" s="161">
        <f t="shared" si="115"/>
        <v>0</v>
      </c>
      <c r="EB136" s="161">
        <f t="shared" si="116"/>
        <v>0</v>
      </c>
      <c r="EC136" s="161">
        <f t="shared" si="117"/>
        <v>0</v>
      </c>
      <c r="ED136" s="161">
        <f t="shared" si="118"/>
        <v>0</v>
      </c>
      <c r="EE136" s="161">
        <f t="shared" si="119"/>
        <v>0</v>
      </c>
      <c r="EF136" s="161">
        <f t="shared" si="120"/>
        <v>0</v>
      </c>
      <c r="EG136" s="161">
        <f t="shared" si="121"/>
        <v>0</v>
      </c>
      <c r="EH136" s="161">
        <f t="shared" si="122"/>
        <v>0</v>
      </c>
      <c r="EI136" s="161">
        <f t="shared" si="123"/>
        <v>0</v>
      </c>
      <c r="EJ136" s="161">
        <f t="shared" si="124"/>
        <v>0</v>
      </c>
      <c r="EK136" s="147">
        <f t="shared" si="132"/>
        <v>20.833333333333332</v>
      </c>
      <c r="EL136" s="149"/>
      <c r="EN136" s="146"/>
      <c r="EO136" s="146"/>
      <c r="EP136" s="139">
        <f t="shared" si="133"/>
        <v>0</v>
      </c>
      <c r="EQ136" s="139">
        <f t="shared" si="134"/>
        <v>0</v>
      </c>
      <c r="ER136" s="139">
        <f t="shared" si="135"/>
        <v>0</v>
      </c>
      <c r="ES136" s="139">
        <f t="shared" si="136"/>
        <v>7.9235048141215347E-2</v>
      </c>
      <c r="ET136" s="139">
        <f t="shared" si="137"/>
        <v>0</v>
      </c>
      <c r="EU136" s="139">
        <f t="shared" si="138"/>
        <v>0</v>
      </c>
      <c r="EV136" s="139">
        <f t="shared" si="139"/>
        <v>0</v>
      </c>
      <c r="EW136" s="139">
        <f t="shared" si="140"/>
        <v>0</v>
      </c>
      <c r="EX136" s="139">
        <f t="shared" si="141"/>
        <v>0</v>
      </c>
      <c r="EY136" s="139">
        <f t="shared" si="142"/>
        <v>0</v>
      </c>
      <c r="EZ136" s="139">
        <f t="shared" si="143"/>
        <v>0</v>
      </c>
      <c r="FA136" s="139">
        <f t="shared" si="144"/>
        <v>0</v>
      </c>
      <c r="FB136" s="139">
        <f t="shared" si="145"/>
        <v>0</v>
      </c>
      <c r="FC136" s="139">
        <f t="shared" si="146"/>
        <v>0</v>
      </c>
      <c r="FD136" s="139">
        <f t="shared" si="147"/>
        <v>0</v>
      </c>
      <c r="FE136" s="139">
        <f t="shared" si="148"/>
        <v>0</v>
      </c>
      <c r="FF136" s="139">
        <f t="shared" si="149"/>
        <v>0</v>
      </c>
      <c r="FG136" s="139">
        <f t="shared" si="150"/>
        <v>0</v>
      </c>
      <c r="FH136" s="139">
        <f t="shared" si="151"/>
        <v>0</v>
      </c>
      <c r="FI136" s="139">
        <f t="shared" si="152"/>
        <v>0.55034026633376987</v>
      </c>
      <c r="FJ136" s="139">
        <f t="shared" si="153"/>
        <v>0</v>
      </c>
      <c r="FK136" s="139">
        <f t="shared" si="154"/>
        <v>0</v>
      </c>
      <c r="FL136" s="139">
        <f t="shared" si="155"/>
        <v>0</v>
      </c>
      <c r="FM136" s="139">
        <f t="shared" si="156"/>
        <v>0</v>
      </c>
      <c r="FN136" s="139">
        <f t="shared" si="157"/>
        <v>0</v>
      </c>
      <c r="FO136" s="139">
        <f t="shared" si="158"/>
        <v>0</v>
      </c>
      <c r="FP136" s="139">
        <f t="shared" si="159"/>
        <v>0</v>
      </c>
      <c r="FQ136" s="139">
        <f t="shared" si="160"/>
        <v>0</v>
      </c>
      <c r="FR136" s="139">
        <f t="shared" si="161"/>
        <v>0</v>
      </c>
      <c r="FS136" s="139">
        <f t="shared" si="162"/>
        <v>0</v>
      </c>
      <c r="FT136" s="139">
        <f t="shared" si="163"/>
        <v>0</v>
      </c>
      <c r="FU136" s="148">
        <f t="shared" si="164"/>
        <v>0.62957531447498516</v>
      </c>
      <c r="FV136" s="149"/>
      <c r="FY136" s="210">
        <v>131</v>
      </c>
      <c r="FZ136" s="205"/>
      <c r="GA136" s="205"/>
      <c r="GB136" s="205"/>
      <c r="GC136" s="205"/>
      <c r="GD136" s="205"/>
      <c r="GE136" s="205"/>
      <c r="GF136" s="205"/>
      <c r="GG136" s="205"/>
      <c r="GH136" s="205"/>
      <c r="GI136" s="205"/>
      <c r="GJ136" s="205"/>
      <c r="GK136" s="205"/>
      <c r="GL136" s="205"/>
      <c r="GM136" s="205"/>
    </row>
    <row r="137" spans="1:195" s="7" customFormat="1">
      <c r="A137" s="1"/>
      <c r="B137" s="76">
        <f t="shared" ca="1" si="131"/>
        <v>0.54404118099724297</v>
      </c>
      <c r="C137">
        <v>7</v>
      </c>
      <c r="D137">
        <v>39775</v>
      </c>
      <c r="E137">
        <v>0</v>
      </c>
      <c r="F137">
        <v>0</v>
      </c>
      <c r="G137">
        <v>0</v>
      </c>
      <c r="H137">
        <v>0</v>
      </c>
      <c r="I137">
        <v>42.61363636363636</v>
      </c>
      <c r="J137">
        <v>71.022727272727266</v>
      </c>
      <c r="K137">
        <v>14.204545454545453</v>
      </c>
      <c r="L137">
        <v>14.204545454545453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/>
      <c r="AO137"/>
      <c r="AP137"/>
      <c r="AQ137"/>
      <c r="AR137"/>
      <c r="AS137"/>
      <c r="AT137"/>
      <c r="AU137"/>
      <c r="AV137"/>
      <c r="AW137"/>
      <c r="AX137" s="146"/>
      <c r="AY137" s="76">
        <f t="shared" ca="1" si="87"/>
        <v>5.3014342304775974E-2</v>
      </c>
      <c r="AZ137">
        <v>10</v>
      </c>
      <c r="BA137" s="129">
        <f t="shared" si="166"/>
        <v>39775</v>
      </c>
      <c r="BB137">
        <v>0</v>
      </c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 s="147"/>
      <c r="CH137" s="176"/>
      <c r="CJ137" s="146"/>
      <c r="CK137" s="76">
        <f t="shared" ca="1" si="89"/>
        <v>0.51991286327158837</v>
      </c>
      <c r="CL137" s="179">
        <f t="shared" si="90"/>
        <v>10</v>
      </c>
      <c r="CM137" s="180">
        <f t="shared" si="91"/>
        <v>39775</v>
      </c>
      <c r="CN137" s="227">
        <v>0</v>
      </c>
      <c r="CO137" s="227"/>
      <c r="CP137" s="227"/>
      <c r="CQ137" s="227"/>
      <c r="CR137" s="223"/>
      <c r="CS137"/>
      <c r="CT137"/>
      <c r="CU137"/>
      <c r="CV137" s="160"/>
      <c r="CW137">
        <v>1</v>
      </c>
      <c r="CX137">
        <v>1</v>
      </c>
      <c r="CY137" s="164"/>
      <c r="CZ137" s="177">
        <f t="shared" si="92"/>
        <v>9.6000000000000002E-2</v>
      </c>
      <c r="DB137" s="146"/>
      <c r="DC137" s="76">
        <f t="shared" ca="1" si="50"/>
        <v>0.44237783783567064</v>
      </c>
      <c r="DD137">
        <f t="shared" si="93"/>
        <v>10</v>
      </c>
      <c r="DE137" s="129">
        <f t="shared" si="165"/>
        <v>39775</v>
      </c>
      <c r="DF137" s="161">
        <f t="shared" si="94"/>
        <v>0</v>
      </c>
      <c r="DG137" s="161">
        <f t="shared" si="95"/>
        <v>0</v>
      </c>
      <c r="DH137" s="161">
        <f t="shared" si="96"/>
        <v>0</v>
      </c>
      <c r="DI137" s="161">
        <f t="shared" si="97"/>
        <v>0</v>
      </c>
      <c r="DJ137" s="161">
        <f t="shared" si="98"/>
        <v>0</v>
      </c>
      <c r="DK137" s="161">
        <f t="shared" si="99"/>
        <v>0</v>
      </c>
      <c r="DL137" s="161">
        <f t="shared" si="100"/>
        <v>0</v>
      </c>
      <c r="DM137" s="161">
        <f t="shared" si="101"/>
        <v>0</v>
      </c>
      <c r="DN137" s="161">
        <f t="shared" si="102"/>
        <v>0</v>
      </c>
      <c r="DO137" s="161">
        <f t="shared" si="103"/>
        <v>0</v>
      </c>
      <c r="DP137" s="161">
        <f t="shared" si="104"/>
        <v>0</v>
      </c>
      <c r="DQ137" s="161">
        <f t="shared" si="105"/>
        <v>0</v>
      </c>
      <c r="DR137" s="161">
        <f t="shared" si="106"/>
        <v>0</v>
      </c>
      <c r="DS137" s="161">
        <f t="shared" si="107"/>
        <v>0</v>
      </c>
      <c r="DT137" s="161">
        <f t="shared" si="108"/>
        <v>0</v>
      </c>
      <c r="DU137" s="161">
        <f t="shared" si="109"/>
        <v>0</v>
      </c>
      <c r="DV137" s="161">
        <f t="shared" si="110"/>
        <v>0</v>
      </c>
      <c r="DW137" s="161">
        <f t="shared" si="111"/>
        <v>0</v>
      </c>
      <c r="DX137" s="161">
        <f t="shared" si="112"/>
        <v>0</v>
      </c>
      <c r="DY137" s="161">
        <f t="shared" si="113"/>
        <v>0</v>
      </c>
      <c r="DZ137" s="161">
        <f t="shared" si="114"/>
        <v>0</v>
      </c>
      <c r="EA137" s="161">
        <f t="shared" si="115"/>
        <v>0</v>
      </c>
      <c r="EB137" s="161">
        <f t="shared" si="116"/>
        <v>0</v>
      </c>
      <c r="EC137" s="161">
        <f t="shared" si="117"/>
        <v>0</v>
      </c>
      <c r="ED137" s="161">
        <f t="shared" si="118"/>
        <v>0</v>
      </c>
      <c r="EE137" s="161">
        <f t="shared" si="119"/>
        <v>0</v>
      </c>
      <c r="EF137" s="161">
        <f t="shared" si="120"/>
        <v>0</v>
      </c>
      <c r="EG137" s="161">
        <f t="shared" si="121"/>
        <v>0</v>
      </c>
      <c r="EH137" s="161">
        <f t="shared" si="122"/>
        <v>0</v>
      </c>
      <c r="EI137" s="161">
        <f t="shared" si="123"/>
        <v>0</v>
      </c>
      <c r="EJ137" s="161">
        <f t="shared" si="124"/>
        <v>0</v>
      </c>
      <c r="EK137" s="147">
        <f t="shared" si="132"/>
        <v>0</v>
      </c>
      <c r="EL137" s="149"/>
      <c r="EN137" s="146"/>
      <c r="EO137" s="146"/>
      <c r="EP137" s="139">
        <f t="shared" si="133"/>
        <v>0</v>
      </c>
      <c r="EQ137" s="139">
        <f t="shared" si="134"/>
        <v>0</v>
      </c>
      <c r="ER137" s="139">
        <f t="shared" si="135"/>
        <v>0</v>
      </c>
      <c r="ES137" s="139">
        <f t="shared" si="136"/>
        <v>0</v>
      </c>
      <c r="ET137" s="139">
        <f t="shared" si="137"/>
        <v>0</v>
      </c>
      <c r="EU137" s="139">
        <f t="shared" si="138"/>
        <v>0</v>
      </c>
      <c r="EV137" s="139">
        <f t="shared" si="139"/>
        <v>0</v>
      </c>
      <c r="EW137" s="139">
        <f t="shared" si="140"/>
        <v>0</v>
      </c>
      <c r="EX137" s="139">
        <f t="shared" si="141"/>
        <v>0</v>
      </c>
      <c r="EY137" s="139">
        <f t="shared" si="142"/>
        <v>0</v>
      </c>
      <c r="EZ137" s="139">
        <f t="shared" si="143"/>
        <v>0</v>
      </c>
      <c r="FA137" s="139">
        <f t="shared" si="144"/>
        <v>0</v>
      </c>
      <c r="FB137" s="139">
        <f t="shared" si="145"/>
        <v>0</v>
      </c>
      <c r="FC137" s="139">
        <f t="shared" si="146"/>
        <v>0</v>
      </c>
      <c r="FD137" s="139">
        <f t="shared" si="147"/>
        <v>0</v>
      </c>
      <c r="FE137" s="139">
        <f t="shared" si="148"/>
        <v>0</v>
      </c>
      <c r="FF137" s="139">
        <f t="shared" si="149"/>
        <v>0</v>
      </c>
      <c r="FG137" s="139">
        <f t="shared" si="150"/>
        <v>0</v>
      </c>
      <c r="FH137" s="139">
        <f t="shared" si="151"/>
        <v>0</v>
      </c>
      <c r="FI137" s="139">
        <f t="shared" si="152"/>
        <v>0</v>
      </c>
      <c r="FJ137" s="139">
        <f t="shared" si="153"/>
        <v>0</v>
      </c>
      <c r="FK137" s="139">
        <f t="shared" si="154"/>
        <v>0</v>
      </c>
      <c r="FL137" s="139">
        <f t="shared" si="155"/>
        <v>0</v>
      </c>
      <c r="FM137" s="139">
        <f t="shared" si="156"/>
        <v>0</v>
      </c>
      <c r="FN137" s="139">
        <f t="shared" si="157"/>
        <v>0</v>
      </c>
      <c r="FO137" s="139">
        <f t="shared" si="158"/>
        <v>0</v>
      </c>
      <c r="FP137" s="139">
        <f t="shared" si="159"/>
        <v>0</v>
      </c>
      <c r="FQ137" s="139">
        <f t="shared" si="160"/>
        <v>0</v>
      </c>
      <c r="FR137" s="139">
        <f t="shared" si="161"/>
        <v>0</v>
      </c>
      <c r="FS137" s="139">
        <f t="shared" si="162"/>
        <v>0</v>
      </c>
      <c r="FT137" s="139">
        <f t="shared" si="163"/>
        <v>0</v>
      </c>
      <c r="FU137" s="148">
        <f t="shared" si="164"/>
        <v>0</v>
      </c>
      <c r="FV137" s="149"/>
      <c r="FY137" s="210">
        <v>132</v>
      </c>
      <c r="FZ137" s="205"/>
      <c r="GA137" s="205"/>
      <c r="GB137" s="205"/>
      <c r="GC137" s="205"/>
      <c r="GD137" s="205"/>
      <c r="GE137" s="205"/>
      <c r="GF137" s="205"/>
      <c r="GG137" s="205"/>
      <c r="GH137" s="205"/>
      <c r="GI137" s="205"/>
      <c r="GJ137" s="205"/>
      <c r="GK137" s="205"/>
      <c r="GL137" s="205"/>
      <c r="GM137" s="205"/>
    </row>
    <row r="138" spans="1:195" s="7" customFormat="1">
      <c r="A138" s="128"/>
      <c r="B138" s="76">
        <f t="shared" ca="1" si="131"/>
        <v>0.88497498436881905</v>
      </c>
      <c r="C138">
        <v>2</v>
      </c>
      <c r="D138">
        <v>39799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10.416666666666666</v>
      </c>
      <c r="M138">
        <v>10.416666666666666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/>
      <c r="AO138"/>
      <c r="AP138"/>
      <c r="AQ138"/>
      <c r="AR138"/>
      <c r="AS138"/>
      <c r="AT138"/>
      <c r="AU138"/>
      <c r="AV138"/>
      <c r="AW138"/>
      <c r="AX138" s="128"/>
      <c r="AY138" s="76">
        <f t="shared" ca="1" si="87"/>
        <v>0.96357658169401716</v>
      </c>
      <c r="AZ138">
        <v>1</v>
      </c>
      <c r="BA138" s="129">
        <f>IF(AZ138="", "",$C$9)</f>
        <v>39799</v>
      </c>
      <c r="BB138">
        <v>0</v>
      </c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 s="147"/>
      <c r="CH138" s="176"/>
      <c r="CJ138" s="128"/>
      <c r="CK138" s="76">
        <f t="shared" ca="1" si="89"/>
        <v>0.21457391880315413</v>
      </c>
      <c r="CL138" s="179">
        <f t="shared" si="90"/>
        <v>1</v>
      </c>
      <c r="CM138" s="180">
        <f t="shared" si="91"/>
        <v>39799</v>
      </c>
      <c r="CN138">
        <v>0</v>
      </c>
      <c r="CO138"/>
      <c r="CP138"/>
      <c r="CQ138"/>
      <c r="CR138"/>
      <c r="CS138"/>
      <c r="CT138"/>
      <c r="CU138"/>
      <c r="CV138" s="160"/>
      <c r="CW138">
        <v>1</v>
      </c>
      <c r="CX138">
        <v>8</v>
      </c>
      <c r="CY138" s="160"/>
      <c r="CZ138" s="177">
        <f t="shared" si="92"/>
        <v>9.6000000000000002E-2</v>
      </c>
      <c r="DB138" s="128"/>
      <c r="DC138" s="76">
        <f t="shared" ca="1" si="50"/>
        <v>3.5488698613730385E-2</v>
      </c>
      <c r="DD138">
        <f t="shared" si="93"/>
        <v>1</v>
      </c>
      <c r="DE138" s="129">
        <f t="shared" ref="DE138:DE147" si="167">IF((DD138)="","",$C$9)</f>
        <v>39799</v>
      </c>
      <c r="DF138" s="161">
        <f t="shared" si="94"/>
        <v>0</v>
      </c>
      <c r="DG138" s="161">
        <f t="shared" si="95"/>
        <v>0</v>
      </c>
      <c r="DH138" s="161">
        <f t="shared" si="96"/>
        <v>0</v>
      </c>
      <c r="DI138" s="161">
        <f t="shared" si="97"/>
        <v>0</v>
      </c>
      <c r="DJ138" s="161">
        <f t="shared" si="98"/>
        <v>0</v>
      </c>
      <c r="DK138" s="161">
        <f t="shared" si="99"/>
        <v>0</v>
      </c>
      <c r="DL138" s="161">
        <f t="shared" si="100"/>
        <v>0</v>
      </c>
      <c r="DM138" s="161">
        <f t="shared" si="101"/>
        <v>0</v>
      </c>
      <c r="DN138" s="161">
        <f t="shared" si="102"/>
        <v>0</v>
      </c>
      <c r="DO138" s="161">
        <f t="shared" si="103"/>
        <v>0</v>
      </c>
      <c r="DP138" s="161">
        <f t="shared" si="104"/>
        <v>0</v>
      </c>
      <c r="DQ138" s="161">
        <f t="shared" si="105"/>
        <v>0</v>
      </c>
      <c r="DR138" s="161">
        <f t="shared" si="106"/>
        <v>0</v>
      </c>
      <c r="DS138" s="161">
        <f t="shared" si="107"/>
        <v>0</v>
      </c>
      <c r="DT138" s="161">
        <f t="shared" si="108"/>
        <v>0</v>
      </c>
      <c r="DU138" s="161">
        <f t="shared" si="109"/>
        <v>0</v>
      </c>
      <c r="DV138" s="161">
        <f t="shared" si="110"/>
        <v>0</v>
      </c>
      <c r="DW138" s="161">
        <f t="shared" si="111"/>
        <v>0</v>
      </c>
      <c r="DX138" s="161">
        <f t="shared" si="112"/>
        <v>0</v>
      </c>
      <c r="DY138" s="161">
        <f t="shared" si="113"/>
        <v>0</v>
      </c>
      <c r="DZ138" s="161">
        <f t="shared" si="114"/>
        <v>0</v>
      </c>
      <c r="EA138" s="161">
        <f t="shared" si="115"/>
        <v>0</v>
      </c>
      <c r="EB138" s="161">
        <f t="shared" si="116"/>
        <v>0</v>
      </c>
      <c r="EC138" s="161">
        <f t="shared" si="117"/>
        <v>0</v>
      </c>
      <c r="ED138" s="161">
        <f t="shared" si="118"/>
        <v>0</v>
      </c>
      <c r="EE138" s="161">
        <f t="shared" si="119"/>
        <v>0</v>
      </c>
      <c r="EF138" s="161">
        <f t="shared" si="120"/>
        <v>0</v>
      </c>
      <c r="EG138" s="161">
        <f t="shared" si="121"/>
        <v>0</v>
      </c>
      <c r="EH138" s="161">
        <f t="shared" si="122"/>
        <v>0</v>
      </c>
      <c r="EI138" s="161">
        <f t="shared" si="123"/>
        <v>0</v>
      </c>
      <c r="EJ138" s="161">
        <f t="shared" si="124"/>
        <v>0</v>
      </c>
      <c r="EK138" s="147">
        <f t="shared" si="132"/>
        <v>0</v>
      </c>
      <c r="EL138" s="149"/>
      <c r="EN138" s="146"/>
      <c r="EO138" s="146"/>
      <c r="EP138" s="139">
        <f t="shared" si="133"/>
        <v>0</v>
      </c>
      <c r="EQ138" s="139">
        <f t="shared" si="134"/>
        <v>0</v>
      </c>
      <c r="ER138" s="139">
        <f t="shared" si="135"/>
        <v>0</v>
      </c>
      <c r="ES138" s="139">
        <f t="shared" si="136"/>
        <v>0</v>
      </c>
      <c r="ET138" s="139">
        <f t="shared" si="137"/>
        <v>0</v>
      </c>
      <c r="EU138" s="139">
        <f t="shared" si="138"/>
        <v>0</v>
      </c>
      <c r="EV138" s="139">
        <f t="shared" si="139"/>
        <v>0</v>
      </c>
      <c r="EW138" s="139">
        <f t="shared" si="140"/>
        <v>0</v>
      </c>
      <c r="EX138" s="139">
        <f t="shared" si="141"/>
        <v>0</v>
      </c>
      <c r="EY138" s="139">
        <f t="shared" si="142"/>
        <v>0</v>
      </c>
      <c r="EZ138" s="139">
        <f t="shared" si="143"/>
        <v>0</v>
      </c>
      <c r="FA138" s="139">
        <f t="shared" si="144"/>
        <v>0</v>
      </c>
      <c r="FB138" s="139">
        <f t="shared" si="145"/>
        <v>0</v>
      </c>
      <c r="FC138" s="139">
        <f t="shared" si="146"/>
        <v>0</v>
      </c>
      <c r="FD138" s="139">
        <f t="shared" si="147"/>
        <v>0</v>
      </c>
      <c r="FE138" s="139">
        <f t="shared" si="148"/>
        <v>0</v>
      </c>
      <c r="FF138" s="139">
        <f t="shared" si="149"/>
        <v>0</v>
      </c>
      <c r="FG138" s="139">
        <f t="shared" si="150"/>
        <v>0</v>
      </c>
      <c r="FH138" s="139">
        <f t="shared" si="151"/>
        <v>0</v>
      </c>
      <c r="FI138" s="139">
        <f t="shared" si="152"/>
        <v>0</v>
      </c>
      <c r="FJ138" s="139">
        <f t="shared" si="153"/>
        <v>0</v>
      </c>
      <c r="FK138" s="139">
        <f t="shared" si="154"/>
        <v>0</v>
      </c>
      <c r="FL138" s="139">
        <f t="shared" si="155"/>
        <v>0</v>
      </c>
      <c r="FM138" s="139">
        <f t="shared" si="156"/>
        <v>0</v>
      </c>
      <c r="FN138" s="139">
        <f t="shared" si="157"/>
        <v>0</v>
      </c>
      <c r="FO138" s="139">
        <f t="shared" si="158"/>
        <v>0</v>
      </c>
      <c r="FP138" s="139">
        <f t="shared" si="159"/>
        <v>0</v>
      </c>
      <c r="FQ138" s="139">
        <f t="shared" si="160"/>
        <v>0</v>
      </c>
      <c r="FR138" s="139">
        <f t="shared" si="161"/>
        <v>0</v>
      </c>
      <c r="FS138" s="139">
        <f t="shared" si="162"/>
        <v>0</v>
      </c>
      <c r="FT138" s="139">
        <f t="shared" si="163"/>
        <v>0</v>
      </c>
      <c r="FU138" s="148">
        <f t="shared" si="164"/>
        <v>0</v>
      </c>
      <c r="FV138" s="149"/>
      <c r="FY138" s="210">
        <v>133</v>
      </c>
      <c r="FZ138" s="205"/>
      <c r="GA138" s="205"/>
      <c r="GB138" s="205"/>
      <c r="GC138" s="205"/>
      <c r="GD138" s="205"/>
      <c r="GE138" s="205"/>
      <c r="GF138" s="205"/>
      <c r="GG138" s="205"/>
      <c r="GH138" s="205"/>
      <c r="GI138" s="205"/>
      <c r="GJ138" s="205"/>
      <c r="GK138" s="205"/>
      <c r="GL138" s="205"/>
      <c r="GM138" s="205"/>
    </row>
    <row r="139" spans="1:195" s="7" customFormat="1">
      <c r="A139" s="1"/>
      <c r="B139" s="76">
        <f t="shared" ca="1" si="131"/>
        <v>0.79184827019727388</v>
      </c>
      <c r="C139">
        <v>6</v>
      </c>
      <c r="D139">
        <v>39799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/>
      <c r="AO139"/>
      <c r="AP139"/>
      <c r="AQ139"/>
      <c r="AR139"/>
      <c r="AS139"/>
      <c r="AT139"/>
      <c r="AU139"/>
      <c r="AV139"/>
      <c r="AW139"/>
      <c r="AX139" s="146"/>
      <c r="AY139" s="76">
        <f t="shared" ca="1" si="87"/>
        <v>0.48476313480010536</v>
      </c>
      <c r="AZ139">
        <v>2</v>
      </c>
      <c r="BA139" s="129">
        <f t="shared" ref="BA139:BA147" si="168">IF(AZ139="", "",$C$9)</f>
        <v>39799</v>
      </c>
      <c r="BB139">
        <v>0</v>
      </c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 s="147"/>
      <c r="CH139" s="176"/>
      <c r="CJ139" s="146"/>
      <c r="CK139" s="76">
        <f t="shared" ca="1" si="89"/>
        <v>0.63611906696417808</v>
      </c>
      <c r="CL139" s="179">
        <f t="shared" si="90"/>
        <v>2</v>
      </c>
      <c r="CM139" s="180">
        <f t="shared" si="91"/>
        <v>39799</v>
      </c>
      <c r="CN139">
        <v>0</v>
      </c>
      <c r="CO139"/>
      <c r="CP139">
        <v>1</v>
      </c>
      <c r="CQ139">
        <v>2</v>
      </c>
      <c r="CR139">
        <v>1</v>
      </c>
      <c r="CS139"/>
      <c r="CT139"/>
      <c r="CU139"/>
      <c r="CV139" s="160"/>
      <c r="CW139">
        <v>1</v>
      </c>
      <c r="CX139">
        <v>1</v>
      </c>
      <c r="CY139" s="160"/>
      <c r="CZ139" s="177">
        <f t="shared" si="92"/>
        <v>9.6000000000000002E-2</v>
      </c>
      <c r="DB139" s="146"/>
      <c r="DC139" s="76">
        <f t="shared" ca="1" si="50"/>
        <v>0.75126165444453719</v>
      </c>
      <c r="DD139">
        <f t="shared" si="93"/>
        <v>2</v>
      </c>
      <c r="DE139" s="129">
        <f t="shared" si="167"/>
        <v>39799</v>
      </c>
      <c r="DF139" s="161">
        <f t="shared" si="94"/>
        <v>0</v>
      </c>
      <c r="DG139" s="161">
        <f t="shared" si="95"/>
        <v>0</v>
      </c>
      <c r="DH139" s="161">
        <f t="shared" si="96"/>
        <v>10.416666666666666</v>
      </c>
      <c r="DI139" s="161">
        <f t="shared" si="97"/>
        <v>20.833333333333332</v>
      </c>
      <c r="DJ139" s="161">
        <f t="shared" si="98"/>
        <v>10.416666666666666</v>
      </c>
      <c r="DK139" s="161">
        <f t="shared" si="99"/>
        <v>0</v>
      </c>
      <c r="DL139" s="161">
        <f t="shared" si="100"/>
        <v>0</v>
      </c>
      <c r="DM139" s="161">
        <f t="shared" si="101"/>
        <v>0</v>
      </c>
      <c r="DN139" s="161">
        <f t="shared" si="102"/>
        <v>0</v>
      </c>
      <c r="DO139" s="161">
        <f t="shared" si="103"/>
        <v>0</v>
      </c>
      <c r="DP139" s="161">
        <f t="shared" si="104"/>
        <v>0</v>
      </c>
      <c r="DQ139" s="161">
        <f t="shared" si="105"/>
        <v>0</v>
      </c>
      <c r="DR139" s="161">
        <f t="shared" si="106"/>
        <v>0</v>
      </c>
      <c r="DS139" s="161">
        <f t="shared" si="107"/>
        <v>0</v>
      </c>
      <c r="DT139" s="161">
        <f t="shared" si="108"/>
        <v>0</v>
      </c>
      <c r="DU139" s="161">
        <f t="shared" si="109"/>
        <v>0</v>
      </c>
      <c r="DV139" s="161">
        <f t="shared" si="110"/>
        <v>0</v>
      </c>
      <c r="DW139" s="161">
        <f t="shared" si="111"/>
        <v>0</v>
      </c>
      <c r="DX139" s="161">
        <f t="shared" si="112"/>
        <v>0</v>
      </c>
      <c r="DY139" s="161">
        <f t="shared" si="113"/>
        <v>0</v>
      </c>
      <c r="DZ139" s="161">
        <f t="shared" si="114"/>
        <v>0</v>
      </c>
      <c r="EA139" s="161">
        <f t="shared" si="115"/>
        <v>0</v>
      </c>
      <c r="EB139" s="161">
        <f t="shared" si="116"/>
        <v>0</v>
      </c>
      <c r="EC139" s="161">
        <f t="shared" si="117"/>
        <v>0</v>
      </c>
      <c r="ED139" s="161">
        <f t="shared" si="118"/>
        <v>0</v>
      </c>
      <c r="EE139" s="161">
        <f t="shared" si="119"/>
        <v>0</v>
      </c>
      <c r="EF139" s="161">
        <f t="shared" si="120"/>
        <v>0</v>
      </c>
      <c r="EG139" s="161">
        <f t="shared" si="121"/>
        <v>0</v>
      </c>
      <c r="EH139" s="161">
        <f t="shared" si="122"/>
        <v>0</v>
      </c>
      <c r="EI139" s="161">
        <f t="shared" si="123"/>
        <v>0</v>
      </c>
      <c r="EJ139" s="161">
        <f t="shared" si="124"/>
        <v>0</v>
      </c>
      <c r="EK139" s="147">
        <f t="shared" si="132"/>
        <v>41.666666666666664</v>
      </c>
      <c r="EL139" s="149"/>
      <c r="EN139" s="146"/>
      <c r="EO139" s="146"/>
      <c r="EP139" s="139">
        <f t="shared" si="133"/>
        <v>0</v>
      </c>
      <c r="EQ139" s="139">
        <f t="shared" si="134"/>
        <v>0</v>
      </c>
      <c r="ER139" s="139">
        <f t="shared" si="135"/>
        <v>5.1763246192068874E-2</v>
      </c>
      <c r="ES139" s="139">
        <f t="shared" si="136"/>
        <v>0.15847009628243069</v>
      </c>
      <c r="ET139" s="139">
        <f t="shared" si="137"/>
        <v>0.1071773462536293</v>
      </c>
      <c r="EU139" s="139">
        <f t="shared" si="138"/>
        <v>0</v>
      </c>
      <c r="EV139" s="139">
        <f t="shared" si="139"/>
        <v>0</v>
      </c>
      <c r="EW139" s="139">
        <f t="shared" si="140"/>
        <v>0</v>
      </c>
      <c r="EX139" s="139">
        <f t="shared" si="141"/>
        <v>0</v>
      </c>
      <c r="EY139" s="139">
        <f t="shared" si="142"/>
        <v>0</v>
      </c>
      <c r="EZ139" s="139">
        <f t="shared" si="143"/>
        <v>0</v>
      </c>
      <c r="FA139" s="139">
        <f t="shared" si="144"/>
        <v>0</v>
      </c>
      <c r="FB139" s="139">
        <f t="shared" si="145"/>
        <v>0</v>
      </c>
      <c r="FC139" s="139">
        <f t="shared" si="146"/>
        <v>0</v>
      </c>
      <c r="FD139" s="139">
        <f t="shared" si="147"/>
        <v>0</v>
      </c>
      <c r="FE139" s="139">
        <f t="shared" si="148"/>
        <v>0</v>
      </c>
      <c r="FF139" s="139">
        <f t="shared" si="149"/>
        <v>0</v>
      </c>
      <c r="FG139" s="139">
        <f t="shared" si="150"/>
        <v>0</v>
      </c>
      <c r="FH139" s="139">
        <f t="shared" si="151"/>
        <v>0</v>
      </c>
      <c r="FI139" s="139">
        <f t="shared" si="152"/>
        <v>0</v>
      </c>
      <c r="FJ139" s="139">
        <f t="shared" si="153"/>
        <v>0</v>
      </c>
      <c r="FK139" s="139">
        <f t="shared" si="154"/>
        <v>0</v>
      </c>
      <c r="FL139" s="139">
        <f t="shared" si="155"/>
        <v>0</v>
      </c>
      <c r="FM139" s="139">
        <f t="shared" si="156"/>
        <v>0</v>
      </c>
      <c r="FN139" s="139">
        <f t="shared" si="157"/>
        <v>0</v>
      </c>
      <c r="FO139" s="139">
        <f t="shared" si="158"/>
        <v>0</v>
      </c>
      <c r="FP139" s="139">
        <f t="shared" si="159"/>
        <v>0</v>
      </c>
      <c r="FQ139" s="139">
        <f t="shared" si="160"/>
        <v>0</v>
      </c>
      <c r="FR139" s="139">
        <f t="shared" si="161"/>
        <v>0</v>
      </c>
      <c r="FS139" s="139">
        <f t="shared" si="162"/>
        <v>0</v>
      </c>
      <c r="FT139" s="139">
        <f t="shared" si="163"/>
        <v>0</v>
      </c>
      <c r="FU139" s="148">
        <f t="shared" si="164"/>
        <v>0.31741068872812889</v>
      </c>
      <c r="FV139" s="149"/>
      <c r="FY139" s="210">
        <v>134</v>
      </c>
      <c r="FZ139" s="205"/>
      <c r="GA139" s="205"/>
      <c r="GB139" s="205"/>
      <c r="GC139" s="205"/>
      <c r="GD139" s="205"/>
      <c r="GE139" s="205"/>
      <c r="GF139" s="205"/>
      <c r="GG139" s="205"/>
      <c r="GH139" s="205"/>
      <c r="GI139" s="205"/>
      <c r="GJ139" s="205"/>
      <c r="GK139" s="205"/>
      <c r="GL139" s="205"/>
      <c r="GM139" s="205"/>
    </row>
    <row r="140" spans="1:195" s="7" customFormat="1">
      <c r="A140" s="1"/>
      <c r="B140" s="76">
        <f t="shared" ca="1" si="131"/>
        <v>0.67648274647412698</v>
      </c>
      <c r="C140">
        <v>5</v>
      </c>
      <c r="D140">
        <v>39799</v>
      </c>
      <c r="E140">
        <v>0</v>
      </c>
      <c r="F140">
        <v>0</v>
      </c>
      <c r="G140">
        <v>140.22435897435898</v>
      </c>
      <c r="H140">
        <v>0</v>
      </c>
      <c r="I140">
        <v>0</v>
      </c>
      <c r="J140">
        <v>10.416666666666666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/>
      <c r="AO140"/>
      <c r="AP140"/>
      <c r="AQ140"/>
      <c r="AR140"/>
      <c r="AS140"/>
      <c r="AT140"/>
      <c r="AU140"/>
      <c r="AV140"/>
      <c r="AW140"/>
      <c r="AX140" s="146"/>
      <c r="AY140" s="76">
        <f t="shared" ca="1" si="87"/>
        <v>0.29108486833829783</v>
      </c>
      <c r="AZ140">
        <v>3</v>
      </c>
      <c r="BA140" s="129">
        <f t="shared" si="168"/>
        <v>39799</v>
      </c>
      <c r="BB140">
        <v>0</v>
      </c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 s="147"/>
      <c r="CH140" s="176"/>
      <c r="CJ140" s="146"/>
      <c r="CK140" s="76">
        <f t="shared" ca="1" si="89"/>
        <v>0.30712176994747864</v>
      </c>
      <c r="CL140" s="179">
        <f t="shared" si="90"/>
        <v>3</v>
      </c>
      <c r="CM140" s="180">
        <f t="shared" si="91"/>
        <v>39799</v>
      </c>
      <c r="CN140">
        <v>0</v>
      </c>
      <c r="CO140"/>
      <c r="CP140"/>
      <c r="CQ140"/>
      <c r="CR140"/>
      <c r="CS140"/>
      <c r="CT140"/>
      <c r="CU140"/>
      <c r="CV140" s="160"/>
      <c r="CW140" s="178">
        <f>30/13</f>
        <v>2.3076923076923075</v>
      </c>
      <c r="CX140">
        <f>8</f>
        <v>8</v>
      </c>
      <c r="CY140" s="160"/>
      <c r="CZ140" s="177">
        <f t="shared" si="92"/>
        <v>9.6000000000000002E-2</v>
      </c>
      <c r="DB140" s="146"/>
      <c r="DC140" s="76">
        <f t="shared" ca="1" si="50"/>
        <v>0.28682158790542189</v>
      </c>
      <c r="DD140">
        <f t="shared" si="93"/>
        <v>3</v>
      </c>
      <c r="DE140" s="129">
        <f t="shared" si="167"/>
        <v>39799</v>
      </c>
      <c r="DF140" s="161">
        <f t="shared" si="94"/>
        <v>0</v>
      </c>
      <c r="DG140" s="161">
        <f t="shared" si="95"/>
        <v>0</v>
      </c>
      <c r="DH140" s="161">
        <f t="shared" si="96"/>
        <v>0</v>
      </c>
      <c r="DI140" s="161">
        <f t="shared" si="97"/>
        <v>0</v>
      </c>
      <c r="DJ140" s="161">
        <f t="shared" si="98"/>
        <v>0</v>
      </c>
      <c r="DK140" s="161">
        <f t="shared" si="99"/>
        <v>0</v>
      </c>
      <c r="DL140" s="161">
        <f t="shared" si="100"/>
        <v>0</v>
      </c>
      <c r="DM140" s="161">
        <f t="shared" si="101"/>
        <v>0</v>
      </c>
      <c r="DN140" s="161">
        <f t="shared" si="102"/>
        <v>0</v>
      </c>
      <c r="DO140" s="161">
        <f t="shared" si="103"/>
        <v>0</v>
      </c>
      <c r="DP140" s="161">
        <f t="shared" si="104"/>
        <v>0</v>
      </c>
      <c r="DQ140" s="161">
        <f t="shared" si="105"/>
        <v>0</v>
      </c>
      <c r="DR140" s="161">
        <f t="shared" si="106"/>
        <v>0</v>
      </c>
      <c r="DS140" s="161">
        <f t="shared" si="107"/>
        <v>0</v>
      </c>
      <c r="DT140" s="161">
        <f t="shared" si="108"/>
        <v>0</v>
      </c>
      <c r="DU140" s="161">
        <f t="shared" si="109"/>
        <v>0</v>
      </c>
      <c r="DV140" s="161">
        <f t="shared" si="110"/>
        <v>0</v>
      </c>
      <c r="DW140" s="161">
        <f t="shared" si="111"/>
        <v>0</v>
      </c>
      <c r="DX140" s="161">
        <f t="shared" si="112"/>
        <v>0</v>
      </c>
      <c r="DY140" s="161">
        <f t="shared" si="113"/>
        <v>0</v>
      </c>
      <c r="DZ140" s="161">
        <f t="shared" si="114"/>
        <v>0</v>
      </c>
      <c r="EA140" s="161">
        <f t="shared" si="115"/>
        <v>0</v>
      </c>
      <c r="EB140" s="161">
        <f t="shared" si="116"/>
        <v>0</v>
      </c>
      <c r="EC140" s="161">
        <f t="shared" si="117"/>
        <v>0</v>
      </c>
      <c r="ED140" s="161">
        <f t="shared" si="118"/>
        <v>0</v>
      </c>
      <c r="EE140" s="161">
        <f t="shared" si="119"/>
        <v>0</v>
      </c>
      <c r="EF140" s="161">
        <f t="shared" si="120"/>
        <v>0</v>
      </c>
      <c r="EG140" s="161">
        <f t="shared" si="121"/>
        <v>0</v>
      </c>
      <c r="EH140" s="161">
        <f t="shared" si="122"/>
        <v>0</v>
      </c>
      <c r="EI140" s="161">
        <f t="shared" si="123"/>
        <v>0</v>
      </c>
      <c r="EJ140" s="161">
        <f t="shared" si="124"/>
        <v>0</v>
      </c>
      <c r="EK140" s="147">
        <f t="shared" si="132"/>
        <v>0</v>
      </c>
      <c r="EL140" s="149"/>
      <c r="EN140" s="146"/>
      <c r="EO140" s="146"/>
      <c r="EP140" s="139">
        <f t="shared" si="133"/>
        <v>0</v>
      </c>
      <c r="EQ140" s="139">
        <f t="shared" si="134"/>
        <v>0</v>
      </c>
      <c r="ER140" s="139">
        <f t="shared" si="135"/>
        <v>0</v>
      </c>
      <c r="ES140" s="139">
        <f t="shared" si="136"/>
        <v>0</v>
      </c>
      <c r="ET140" s="139">
        <f t="shared" si="137"/>
        <v>0</v>
      </c>
      <c r="EU140" s="139">
        <f t="shared" si="138"/>
        <v>0</v>
      </c>
      <c r="EV140" s="139">
        <f t="shared" si="139"/>
        <v>0</v>
      </c>
      <c r="EW140" s="139">
        <f t="shared" si="140"/>
        <v>0</v>
      </c>
      <c r="EX140" s="139">
        <f t="shared" si="141"/>
        <v>0</v>
      </c>
      <c r="EY140" s="139">
        <f t="shared" si="142"/>
        <v>0</v>
      </c>
      <c r="EZ140" s="139">
        <f t="shared" si="143"/>
        <v>0</v>
      </c>
      <c r="FA140" s="139">
        <f t="shared" si="144"/>
        <v>0</v>
      </c>
      <c r="FB140" s="139">
        <f t="shared" si="145"/>
        <v>0</v>
      </c>
      <c r="FC140" s="139">
        <f t="shared" si="146"/>
        <v>0</v>
      </c>
      <c r="FD140" s="139">
        <f t="shared" si="147"/>
        <v>0</v>
      </c>
      <c r="FE140" s="139">
        <f t="shared" si="148"/>
        <v>0</v>
      </c>
      <c r="FF140" s="139">
        <f t="shared" si="149"/>
        <v>0</v>
      </c>
      <c r="FG140" s="139">
        <f t="shared" si="150"/>
        <v>0</v>
      </c>
      <c r="FH140" s="139">
        <f t="shared" si="151"/>
        <v>0</v>
      </c>
      <c r="FI140" s="139">
        <f t="shared" si="152"/>
        <v>0</v>
      </c>
      <c r="FJ140" s="139">
        <f t="shared" si="153"/>
        <v>0</v>
      </c>
      <c r="FK140" s="139">
        <f t="shared" si="154"/>
        <v>0</v>
      </c>
      <c r="FL140" s="139">
        <f t="shared" si="155"/>
        <v>0</v>
      </c>
      <c r="FM140" s="139">
        <f t="shared" si="156"/>
        <v>0</v>
      </c>
      <c r="FN140" s="139">
        <f t="shared" si="157"/>
        <v>0</v>
      </c>
      <c r="FO140" s="139">
        <f t="shared" si="158"/>
        <v>0</v>
      </c>
      <c r="FP140" s="139">
        <f t="shared" si="159"/>
        <v>0</v>
      </c>
      <c r="FQ140" s="139">
        <f t="shared" si="160"/>
        <v>0</v>
      </c>
      <c r="FR140" s="139">
        <f t="shared" si="161"/>
        <v>0</v>
      </c>
      <c r="FS140" s="139">
        <f t="shared" si="162"/>
        <v>0</v>
      </c>
      <c r="FT140" s="139">
        <f t="shared" si="163"/>
        <v>0</v>
      </c>
      <c r="FU140" s="148">
        <f t="shared" si="164"/>
        <v>0</v>
      </c>
      <c r="FV140" s="149"/>
      <c r="FY140" s="210">
        <v>135</v>
      </c>
      <c r="FZ140" s="205"/>
      <c r="GA140" s="205"/>
      <c r="GB140" s="205"/>
      <c r="GC140" s="205"/>
      <c r="GD140" s="205"/>
      <c r="GE140" s="205"/>
      <c r="GF140" s="205"/>
      <c r="GG140" s="205"/>
      <c r="GH140" s="205"/>
      <c r="GI140" s="205"/>
      <c r="GJ140" s="205"/>
      <c r="GK140" s="205"/>
      <c r="GL140" s="205"/>
      <c r="GM140" s="205"/>
    </row>
    <row r="141" spans="1:195" s="7" customFormat="1">
      <c r="A141" s="1"/>
      <c r="B141" s="76">
        <f t="shared" ca="1" si="131"/>
        <v>0.80609134391420856</v>
      </c>
      <c r="C141">
        <v>10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10.416666666666666</v>
      </c>
      <c r="K141">
        <v>41.666666666666664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/>
      <c r="AO141"/>
      <c r="AP141"/>
      <c r="AQ141"/>
      <c r="AR141"/>
      <c r="AS141"/>
      <c r="AT141"/>
      <c r="AU141"/>
      <c r="AV141"/>
      <c r="AW141"/>
      <c r="AX141" s="146"/>
      <c r="AY141" s="76">
        <f t="shared" ca="1" si="87"/>
        <v>0.59139998399990312</v>
      </c>
      <c r="AZ141">
        <v>4</v>
      </c>
      <c r="BA141" s="129">
        <f t="shared" si="168"/>
        <v>39799</v>
      </c>
      <c r="BB141">
        <v>0</v>
      </c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 s="147"/>
      <c r="CH141" s="176"/>
      <c r="CJ141" s="146"/>
      <c r="CK141" s="76">
        <f t="shared" ca="1" si="89"/>
        <v>0.83223820478148003</v>
      </c>
      <c r="CL141" s="179">
        <f t="shared" si="90"/>
        <v>4</v>
      </c>
      <c r="CM141" s="180">
        <f t="shared" si="91"/>
        <v>39799</v>
      </c>
      <c r="CN141">
        <v>0</v>
      </c>
      <c r="CO141"/>
      <c r="CP141"/>
      <c r="CQ141"/>
      <c r="CR141"/>
      <c r="CS141"/>
      <c r="CT141"/>
      <c r="CU141"/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2"/>
        <v>9.6000000000000002E-2</v>
      </c>
      <c r="DB141" s="146"/>
      <c r="DC141" s="76">
        <f t="shared" ca="1" si="50"/>
        <v>0.2466316248406244</v>
      </c>
      <c r="DD141">
        <f t="shared" si="93"/>
        <v>4</v>
      </c>
      <c r="DE141" s="129">
        <f t="shared" si="167"/>
        <v>39799</v>
      </c>
      <c r="DF141" s="161">
        <f t="shared" si="94"/>
        <v>0</v>
      </c>
      <c r="DG141" s="161">
        <f t="shared" si="95"/>
        <v>0</v>
      </c>
      <c r="DH141" s="161">
        <f t="shared" si="96"/>
        <v>0</v>
      </c>
      <c r="DI141" s="161">
        <f t="shared" si="97"/>
        <v>0</v>
      </c>
      <c r="DJ141" s="161">
        <f t="shared" si="98"/>
        <v>0</v>
      </c>
      <c r="DK141" s="161">
        <f t="shared" si="99"/>
        <v>0</v>
      </c>
      <c r="DL141" s="161">
        <f t="shared" si="100"/>
        <v>0</v>
      </c>
      <c r="DM141" s="161">
        <f t="shared" si="101"/>
        <v>0</v>
      </c>
      <c r="DN141" s="161">
        <f t="shared" si="102"/>
        <v>0</v>
      </c>
      <c r="DO141" s="161">
        <f t="shared" si="103"/>
        <v>0</v>
      </c>
      <c r="DP141" s="161">
        <f t="shared" si="104"/>
        <v>0</v>
      </c>
      <c r="DQ141" s="161">
        <f t="shared" si="105"/>
        <v>0</v>
      </c>
      <c r="DR141" s="161">
        <f t="shared" si="106"/>
        <v>0</v>
      </c>
      <c r="DS141" s="161">
        <f t="shared" si="107"/>
        <v>0</v>
      </c>
      <c r="DT141" s="161">
        <f t="shared" si="108"/>
        <v>0</v>
      </c>
      <c r="DU141" s="161">
        <f t="shared" si="109"/>
        <v>0</v>
      </c>
      <c r="DV141" s="161">
        <f t="shared" si="110"/>
        <v>0</v>
      </c>
      <c r="DW141" s="161">
        <f t="shared" si="111"/>
        <v>0</v>
      </c>
      <c r="DX141" s="161">
        <f t="shared" si="112"/>
        <v>0</v>
      </c>
      <c r="DY141" s="161">
        <f t="shared" si="113"/>
        <v>0</v>
      </c>
      <c r="DZ141" s="161">
        <f t="shared" si="114"/>
        <v>0</v>
      </c>
      <c r="EA141" s="161">
        <f t="shared" si="115"/>
        <v>0</v>
      </c>
      <c r="EB141" s="161">
        <f t="shared" si="116"/>
        <v>0</v>
      </c>
      <c r="EC141" s="161">
        <f t="shared" si="117"/>
        <v>0</v>
      </c>
      <c r="ED141" s="161">
        <f t="shared" si="118"/>
        <v>0</v>
      </c>
      <c r="EE141" s="161">
        <f t="shared" si="119"/>
        <v>0</v>
      </c>
      <c r="EF141" s="161">
        <f t="shared" si="120"/>
        <v>0</v>
      </c>
      <c r="EG141" s="161">
        <f t="shared" si="121"/>
        <v>0</v>
      </c>
      <c r="EH141" s="161">
        <f t="shared" si="122"/>
        <v>0</v>
      </c>
      <c r="EI141" s="161">
        <f t="shared" si="123"/>
        <v>0</v>
      </c>
      <c r="EJ141" s="161">
        <f t="shared" si="124"/>
        <v>0</v>
      </c>
      <c r="EK141" s="147">
        <f t="shared" si="132"/>
        <v>0</v>
      </c>
      <c r="EL141" s="149"/>
      <c r="EN141" s="146"/>
      <c r="EO141" s="146"/>
      <c r="EP141" s="139">
        <f t="shared" si="133"/>
        <v>0</v>
      </c>
      <c r="EQ141" s="139">
        <f t="shared" si="134"/>
        <v>0</v>
      </c>
      <c r="ER141" s="139">
        <f t="shared" si="135"/>
        <v>0</v>
      </c>
      <c r="ES141" s="139">
        <f t="shared" si="136"/>
        <v>0</v>
      </c>
      <c r="ET141" s="139">
        <f t="shared" si="137"/>
        <v>0</v>
      </c>
      <c r="EU141" s="139">
        <f t="shared" si="138"/>
        <v>0</v>
      </c>
      <c r="EV141" s="139">
        <f t="shared" si="139"/>
        <v>0</v>
      </c>
      <c r="EW141" s="139">
        <f t="shared" si="140"/>
        <v>0</v>
      </c>
      <c r="EX141" s="139">
        <f t="shared" si="141"/>
        <v>0</v>
      </c>
      <c r="EY141" s="139">
        <f t="shared" si="142"/>
        <v>0</v>
      </c>
      <c r="EZ141" s="139">
        <f t="shared" si="143"/>
        <v>0</v>
      </c>
      <c r="FA141" s="139">
        <f t="shared" si="144"/>
        <v>0</v>
      </c>
      <c r="FB141" s="139">
        <f t="shared" si="145"/>
        <v>0</v>
      </c>
      <c r="FC141" s="139">
        <f t="shared" si="146"/>
        <v>0</v>
      </c>
      <c r="FD141" s="139">
        <f t="shared" si="147"/>
        <v>0</v>
      </c>
      <c r="FE141" s="139">
        <f t="shared" si="148"/>
        <v>0</v>
      </c>
      <c r="FF141" s="139">
        <f t="shared" si="149"/>
        <v>0</v>
      </c>
      <c r="FG141" s="139">
        <f t="shared" si="150"/>
        <v>0</v>
      </c>
      <c r="FH141" s="139">
        <f t="shared" si="151"/>
        <v>0</v>
      </c>
      <c r="FI141" s="139">
        <f t="shared" si="152"/>
        <v>0</v>
      </c>
      <c r="FJ141" s="139">
        <f t="shared" si="153"/>
        <v>0</v>
      </c>
      <c r="FK141" s="139">
        <f t="shared" si="154"/>
        <v>0</v>
      </c>
      <c r="FL141" s="139">
        <f t="shared" si="155"/>
        <v>0</v>
      </c>
      <c r="FM141" s="139">
        <f t="shared" si="156"/>
        <v>0</v>
      </c>
      <c r="FN141" s="139">
        <f t="shared" si="157"/>
        <v>0</v>
      </c>
      <c r="FO141" s="139">
        <f t="shared" si="158"/>
        <v>0</v>
      </c>
      <c r="FP141" s="139">
        <f t="shared" si="159"/>
        <v>0</v>
      </c>
      <c r="FQ141" s="139">
        <f t="shared" si="160"/>
        <v>0</v>
      </c>
      <c r="FR141" s="139">
        <f t="shared" si="161"/>
        <v>0</v>
      </c>
      <c r="FS141" s="139">
        <f t="shared" si="162"/>
        <v>0</v>
      </c>
      <c r="FT141" s="139">
        <f t="shared" si="163"/>
        <v>0</v>
      </c>
      <c r="FU141" s="148">
        <f t="shared" si="164"/>
        <v>0</v>
      </c>
      <c r="FV141" s="149"/>
      <c r="FY141" s="210">
        <v>136</v>
      </c>
      <c r="FZ141" s="205"/>
      <c r="GA141" s="205"/>
      <c r="GB141" s="205"/>
      <c r="GC141" s="205"/>
      <c r="GD141" s="205"/>
      <c r="GE141" s="205"/>
      <c r="GF141" s="205"/>
      <c r="GG141" s="205"/>
      <c r="GH141" s="205"/>
      <c r="GI141" s="205"/>
      <c r="GJ141" s="205"/>
      <c r="GK141" s="205"/>
      <c r="GL141" s="205"/>
      <c r="GM141" s="205"/>
    </row>
    <row r="142" spans="1:195" s="7" customFormat="1">
      <c r="A142" s="1"/>
      <c r="B142" s="76">
        <f t="shared" ca="1" si="131"/>
        <v>0.17014078232878327</v>
      </c>
      <c r="C142">
        <v>1</v>
      </c>
      <c r="D142">
        <v>39799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31.25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/>
      <c r="AO142"/>
      <c r="AP142"/>
      <c r="AQ142"/>
      <c r="AR142"/>
      <c r="AS142"/>
      <c r="AT142"/>
      <c r="AU142"/>
      <c r="AV142"/>
      <c r="AW142"/>
      <c r="AX142" s="146"/>
      <c r="AY142" s="76">
        <f t="shared" ca="1" si="87"/>
        <v>9.037832085317099E-2</v>
      </c>
      <c r="AZ142">
        <v>5</v>
      </c>
      <c r="BA142" s="129">
        <f t="shared" si="168"/>
        <v>39799</v>
      </c>
      <c r="BB142">
        <v>0</v>
      </c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 s="147"/>
      <c r="CH142" s="176"/>
      <c r="CJ142" s="146"/>
      <c r="CK142" s="76">
        <f t="shared" ca="1" si="89"/>
        <v>0.47115285508545757</v>
      </c>
      <c r="CL142" s="179">
        <f t="shared" si="90"/>
        <v>5</v>
      </c>
      <c r="CM142" s="180">
        <f t="shared" si="91"/>
        <v>39799</v>
      </c>
      <c r="CN142">
        <v>0</v>
      </c>
      <c r="CO142"/>
      <c r="CP142"/>
      <c r="CQ142"/>
      <c r="CR142"/>
      <c r="CS142"/>
      <c r="CT142"/>
      <c r="CU142"/>
      <c r="CV142" s="160"/>
      <c r="CW142">
        <v>1</v>
      </c>
      <c r="CX142">
        <f>350/52</f>
        <v>6.7307692307692308</v>
      </c>
      <c r="CY142" s="160"/>
      <c r="CZ142" s="177">
        <f t="shared" si="92"/>
        <v>9.6000000000000002E-2</v>
      </c>
      <c r="DB142" s="146"/>
      <c r="DC142" s="76">
        <f t="shared" ca="1" si="50"/>
        <v>0.73457060239492566</v>
      </c>
      <c r="DD142">
        <f t="shared" si="93"/>
        <v>5</v>
      </c>
      <c r="DE142" s="129">
        <f t="shared" si="167"/>
        <v>39799</v>
      </c>
      <c r="DF142" s="161">
        <f t="shared" si="94"/>
        <v>0</v>
      </c>
      <c r="DG142" s="161">
        <f t="shared" si="95"/>
        <v>0</v>
      </c>
      <c r="DH142" s="161">
        <f t="shared" si="96"/>
        <v>0</v>
      </c>
      <c r="DI142" s="161">
        <f t="shared" si="97"/>
        <v>0</v>
      </c>
      <c r="DJ142" s="161">
        <f t="shared" si="98"/>
        <v>0</v>
      </c>
      <c r="DK142" s="161">
        <f t="shared" si="99"/>
        <v>0</v>
      </c>
      <c r="DL142" s="161">
        <f t="shared" si="100"/>
        <v>0</v>
      </c>
      <c r="DM142" s="161">
        <f t="shared" si="101"/>
        <v>0</v>
      </c>
      <c r="DN142" s="161">
        <f t="shared" si="102"/>
        <v>0</v>
      </c>
      <c r="DO142" s="161">
        <f t="shared" si="103"/>
        <v>0</v>
      </c>
      <c r="DP142" s="161">
        <f t="shared" si="104"/>
        <v>0</v>
      </c>
      <c r="DQ142" s="161">
        <f t="shared" si="105"/>
        <v>0</v>
      </c>
      <c r="DR142" s="161">
        <f t="shared" si="106"/>
        <v>0</v>
      </c>
      <c r="DS142" s="161">
        <f t="shared" si="107"/>
        <v>0</v>
      </c>
      <c r="DT142" s="161">
        <f t="shared" si="108"/>
        <v>0</v>
      </c>
      <c r="DU142" s="161">
        <f t="shared" si="109"/>
        <v>0</v>
      </c>
      <c r="DV142" s="161">
        <f t="shared" si="110"/>
        <v>0</v>
      </c>
      <c r="DW142" s="161">
        <f t="shared" si="111"/>
        <v>0</v>
      </c>
      <c r="DX142" s="161">
        <f t="shared" si="112"/>
        <v>0</v>
      </c>
      <c r="DY142" s="161">
        <f t="shared" si="113"/>
        <v>0</v>
      </c>
      <c r="DZ142" s="161">
        <f t="shared" si="114"/>
        <v>0</v>
      </c>
      <c r="EA142" s="161">
        <f t="shared" si="115"/>
        <v>0</v>
      </c>
      <c r="EB142" s="161">
        <f t="shared" si="116"/>
        <v>0</v>
      </c>
      <c r="EC142" s="161">
        <f t="shared" si="117"/>
        <v>0</v>
      </c>
      <c r="ED142" s="161">
        <f t="shared" si="118"/>
        <v>0</v>
      </c>
      <c r="EE142" s="161">
        <f t="shared" si="119"/>
        <v>0</v>
      </c>
      <c r="EF142" s="161">
        <f t="shared" si="120"/>
        <v>0</v>
      </c>
      <c r="EG142" s="161">
        <f t="shared" si="121"/>
        <v>0</v>
      </c>
      <c r="EH142" s="161">
        <f t="shared" si="122"/>
        <v>0</v>
      </c>
      <c r="EI142" s="161">
        <f t="shared" si="123"/>
        <v>0</v>
      </c>
      <c r="EJ142" s="161">
        <f t="shared" si="124"/>
        <v>0</v>
      </c>
      <c r="EK142" s="147">
        <f t="shared" si="132"/>
        <v>0</v>
      </c>
      <c r="EL142" s="149"/>
      <c r="EN142" s="146"/>
      <c r="EO142" s="146"/>
      <c r="EP142" s="139">
        <f t="shared" si="133"/>
        <v>0</v>
      </c>
      <c r="EQ142" s="139">
        <f t="shared" si="134"/>
        <v>0</v>
      </c>
      <c r="ER142" s="139">
        <f t="shared" si="135"/>
        <v>0</v>
      </c>
      <c r="ES142" s="139">
        <f t="shared" si="136"/>
        <v>0</v>
      </c>
      <c r="ET142" s="139">
        <f t="shared" si="137"/>
        <v>0</v>
      </c>
      <c r="EU142" s="139">
        <f t="shared" si="138"/>
        <v>0</v>
      </c>
      <c r="EV142" s="139">
        <f t="shared" si="139"/>
        <v>0</v>
      </c>
      <c r="EW142" s="139">
        <f t="shared" si="140"/>
        <v>0</v>
      </c>
      <c r="EX142" s="139">
        <f t="shared" si="141"/>
        <v>0</v>
      </c>
      <c r="EY142" s="139">
        <f t="shared" si="142"/>
        <v>0</v>
      </c>
      <c r="EZ142" s="139">
        <f t="shared" si="143"/>
        <v>0</v>
      </c>
      <c r="FA142" s="139">
        <f t="shared" si="144"/>
        <v>0</v>
      </c>
      <c r="FB142" s="139">
        <f t="shared" si="145"/>
        <v>0</v>
      </c>
      <c r="FC142" s="139">
        <f t="shared" si="146"/>
        <v>0</v>
      </c>
      <c r="FD142" s="139">
        <f t="shared" si="147"/>
        <v>0</v>
      </c>
      <c r="FE142" s="139">
        <f t="shared" si="148"/>
        <v>0</v>
      </c>
      <c r="FF142" s="139">
        <f t="shared" si="149"/>
        <v>0</v>
      </c>
      <c r="FG142" s="139">
        <f t="shared" si="150"/>
        <v>0</v>
      </c>
      <c r="FH142" s="139">
        <f t="shared" si="151"/>
        <v>0</v>
      </c>
      <c r="FI142" s="139">
        <f t="shared" si="152"/>
        <v>0</v>
      </c>
      <c r="FJ142" s="139">
        <f t="shared" si="153"/>
        <v>0</v>
      </c>
      <c r="FK142" s="139">
        <f t="shared" si="154"/>
        <v>0</v>
      </c>
      <c r="FL142" s="139">
        <f t="shared" si="155"/>
        <v>0</v>
      </c>
      <c r="FM142" s="139">
        <f t="shared" si="156"/>
        <v>0</v>
      </c>
      <c r="FN142" s="139">
        <f t="shared" si="157"/>
        <v>0</v>
      </c>
      <c r="FO142" s="139">
        <f t="shared" si="158"/>
        <v>0</v>
      </c>
      <c r="FP142" s="139">
        <f t="shared" si="159"/>
        <v>0</v>
      </c>
      <c r="FQ142" s="139">
        <f t="shared" si="160"/>
        <v>0</v>
      </c>
      <c r="FR142" s="139">
        <f t="shared" si="161"/>
        <v>0</v>
      </c>
      <c r="FS142" s="139">
        <f t="shared" si="162"/>
        <v>0</v>
      </c>
      <c r="FT142" s="139">
        <f t="shared" si="163"/>
        <v>0</v>
      </c>
      <c r="FU142" s="148">
        <f t="shared" si="164"/>
        <v>0</v>
      </c>
      <c r="FV142" s="149"/>
      <c r="FY142" s="210">
        <v>137</v>
      </c>
      <c r="FZ142" s="205"/>
      <c r="GA142" s="205"/>
      <c r="GB142" s="205"/>
      <c r="GC142" s="205"/>
      <c r="GD142" s="205"/>
      <c r="GE142" s="205"/>
      <c r="GF142" s="205"/>
      <c r="GG142" s="205"/>
      <c r="GH142" s="205"/>
      <c r="GI142" s="205"/>
      <c r="GJ142" s="205"/>
      <c r="GK142" s="205"/>
      <c r="GL142" s="205"/>
      <c r="GM142" s="205"/>
    </row>
    <row r="143" spans="1:195" s="7" customFormat="1">
      <c r="A143" s="1"/>
      <c r="B143" s="76">
        <f t="shared" ca="1" si="131"/>
        <v>2.5130292219657235E-2</v>
      </c>
      <c r="C143">
        <v>4</v>
      </c>
      <c r="D143">
        <v>39799</v>
      </c>
      <c r="E143">
        <v>0</v>
      </c>
      <c r="F143">
        <v>0</v>
      </c>
      <c r="G143">
        <v>292.44652406417111</v>
      </c>
      <c r="H143">
        <v>0</v>
      </c>
      <c r="I143">
        <v>0</v>
      </c>
      <c r="J143">
        <v>75.757575757575751</v>
      </c>
      <c r="K143">
        <v>75.757575757575751</v>
      </c>
      <c r="L143">
        <v>37.878787878787875</v>
      </c>
      <c r="M143">
        <v>37.878787878787875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/>
      <c r="AO143"/>
      <c r="AP143"/>
      <c r="AQ143"/>
      <c r="AR143"/>
      <c r="AS143"/>
      <c r="AT143"/>
      <c r="AU143"/>
      <c r="AV143"/>
      <c r="AW143"/>
      <c r="AX143" s="146"/>
      <c r="AY143" s="76">
        <f t="shared" ca="1" si="87"/>
        <v>0.97843923755451656</v>
      </c>
      <c r="AZ143">
        <v>6</v>
      </c>
      <c r="BA143" s="129">
        <f t="shared" si="168"/>
        <v>39799</v>
      </c>
      <c r="BB143">
        <v>0</v>
      </c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 s="147"/>
      <c r="CH143" s="176"/>
      <c r="CJ143" s="146"/>
      <c r="CK143" s="76">
        <f t="shared" ca="1" si="89"/>
        <v>0.52115058220697175</v>
      </c>
      <c r="CL143" s="179">
        <f t="shared" si="90"/>
        <v>6</v>
      </c>
      <c r="CM143" s="180">
        <f t="shared" si="91"/>
        <v>39799</v>
      </c>
      <c r="CN143"/>
      <c r="CO143"/>
      <c r="CP143"/>
      <c r="CQ143"/>
      <c r="CR143"/>
      <c r="CS143"/>
      <c r="CT143"/>
      <c r="CU143"/>
      <c r="CV143" s="160"/>
      <c r="CW143">
        <v>1</v>
      </c>
      <c r="CX143">
        <v>1</v>
      </c>
      <c r="CY143" s="160"/>
      <c r="CZ143" s="177">
        <f t="shared" si="92"/>
        <v>9.6000000000000002E-2</v>
      </c>
      <c r="DB143" s="146"/>
      <c r="DC143" s="76">
        <f t="shared" ca="1" si="50"/>
        <v>0.74554320886572878</v>
      </c>
      <c r="DD143">
        <f t="shared" si="93"/>
        <v>6</v>
      </c>
      <c r="DE143" s="129">
        <f t="shared" si="167"/>
        <v>39799</v>
      </c>
      <c r="DF143" s="161">
        <f t="shared" si="94"/>
        <v>0</v>
      </c>
      <c r="DG143" s="161">
        <f t="shared" si="95"/>
        <v>0</v>
      </c>
      <c r="DH143" s="161">
        <f t="shared" si="96"/>
        <v>0</v>
      </c>
      <c r="DI143" s="161">
        <f t="shared" si="97"/>
        <v>0</v>
      </c>
      <c r="DJ143" s="161">
        <f t="shared" si="98"/>
        <v>0</v>
      </c>
      <c r="DK143" s="161">
        <f t="shared" si="99"/>
        <v>0</v>
      </c>
      <c r="DL143" s="161">
        <f t="shared" si="100"/>
        <v>0</v>
      </c>
      <c r="DM143" s="161">
        <f t="shared" si="101"/>
        <v>0</v>
      </c>
      <c r="DN143" s="161">
        <f t="shared" si="102"/>
        <v>0</v>
      </c>
      <c r="DO143" s="161">
        <f t="shared" si="103"/>
        <v>0</v>
      </c>
      <c r="DP143" s="161">
        <f t="shared" si="104"/>
        <v>0</v>
      </c>
      <c r="DQ143" s="161">
        <f t="shared" si="105"/>
        <v>0</v>
      </c>
      <c r="DR143" s="161">
        <f t="shared" si="106"/>
        <v>0</v>
      </c>
      <c r="DS143" s="161">
        <f t="shared" si="107"/>
        <v>0</v>
      </c>
      <c r="DT143" s="161">
        <f t="shared" si="108"/>
        <v>0</v>
      </c>
      <c r="DU143" s="161">
        <f t="shared" si="109"/>
        <v>0</v>
      </c>
      <c r="DV143" s="161">
        <f t="shared" si="110"/>
        <v>0</v>
      </c>
      <c r="DW143" s="161">
        <f t="shared" si="111"/>
        <v>0</v>
      </c>
      <c r="DX143" s="161">
        <f t="shared" si="112"/>
        <v>0</v>
      </c>
      <c r="DY143" s="161">
        <f t="shared" si="113"/>
        <v>0</v>
      </c>
      <c r="DZ143" s="161">
        <f t="shared" si="114"/>
        <v>0</v>
      </c>
      <c r="EA143" s="161">
        <f t="shared" si="115"/>
        <v>0</v>
      </c>
      <c r="EB143" s="161">
        <f t="shared" si="116"/>
        <v>0</v>
      </c>
      <c r="EC143" s="161">
        <f t="shared" si="117"/>
        <v>0</v>
      </c>
      <c r="ED143" s="161">
        <f t="shared" si="118"/>
        <v>0</v>
      </c>
      <c r="EE143" s="161">
        <f t="shared" si="119"/>
        <v>0</v>
      </c>
      <c r="EF143" s="161">
        <f t="shared" si="120"/>
        <v>0</v>
      </c>
      <c r="EG143" s="161">
        <f t="shared" si="121"/>
        <v>0</v>
      </c>
      <c r="EH143" s="161">
        <f t="shared" si="122"/>
        <v>0</v>
      </c>
      <c r="EI143" s="161">
        <f t="shared" si="123"/>
        <v>0</v>
      </c>
      <c r="EJ143" s="161">
        <f t="shared" si="124"/>
        <v>0</v>
      </c>
      <c r="EK143" s="147">
        <f t="shared" si="132"/>
        <v>0</v>
      </c>
      <c r="EL143" s="149"/>
      <c r="EN143" s="146"/>
      <c r="EO143" s="146"/>
      <c r="EP143" s="139">
        <f t="shared" si="133"/>
        <v>0</v>
      </c>
      <c r="EQ143" s="139">
        <f t="shared" si="134"/>
        <v>0</v>
      </c>
      <c r="ER143" s="139">
        <f t="shared" si="135"/>
        <v>0</v>
      </c>
      <c r="ES143" s="139">
        <f t="shared" si="136"/>
        <v>0</v>
      </c>
      <c r="ET143" s="139">
        <f t="shared" si="137"/>
        <v>0</v>
      </c>
      <c r="EU143" s="139">
        <f t="shared" si="138"/>
        <v>0</v>
      </c>
      <c r="EV143" s="139">
        <f t="shared" si="139"/>
        <v>0</v>
      </c>
      <c r="EW143" s="139">
        <f t="shared" si="140"/>
        <v>0</v>
      </c>
      <c r="EX143" s="139">
        <f t="shared" si="141"/>
        <v>0</v>
      </c>
      <c r="EY143" s="139">
        <f t="shared" si="142"/>
        <v>0</v>
      </c>
      <c r="EZ143" s="139">
        <f t="shared" si="143"/>
        <v>0</v>
      </c>
      <c r="FA143" s="139">
        <f t="shared" si="144"/>
        <v>0</v>
      </c>
      <c r="FB143" s="139">
        <f t="shared" si="145"/>
        <v>0</v>
      </c>
      <c r="FC143" s="139">
        <f t="shared" si="146"/>
        <v>0</v>
      </c>
      <c r="FD143" s="139">
        <f t="shared" si="147"/>
        <v>0</v>
      </c>
      <c r="FE143" s="139">
        <f t="shared" si="148"/>
        <v>0</v>
      </c>
      <c r="FF143" s="139">
        <f t="shared" si="149"/>
        <v>0</v>
      </c>
      <c r="FG143" s="139">
        <f t="shared" si="150"/>
        <v>0</v>
      </c>
      <c r="FH143" s="139">
        <f t="shared" si="151"/>
        <v>0</v>
      </c>
      <c r="FI143" s="139">
        <f t="shared" si="152"/>
        <v>0</v>
      </c>
      <c r="FJ143" s="139">
        <f t="shared" si="153"/>
        <v>0</v>
      </c>
      <c r="FK143" s="139">
        <f t="shared" si="154"/>
        <v>0</v>
      </c>
      <c r="FL143" s="139">
        <f t="shared" si="155"/>
        <v>0</v>
      </c>
      <c r="FM143" s="139">
        <f t="shared" si="156"/>
        <v>0</v>
      </c>
      <c r="FN143" s="139">
        <f t="shared" si="157"/>
        <v>0</v>
      </c>
      <c r="FO143" s="139">
        <f t="shared" si="158"/>
        <v>0</v>
      </c>
      <c r="FP143" s="139">
        <f t="shared" si="159"/>
        <v>0</v>
      </c>
      <c r="FQ143" s="139">
        <f t="shared" si="160"/>
        <v>0</v>
      </c>
      <c r="FR143" s="139">
        <f t="shared" si="161"/>
        <v>0</v>
      </c>
      <c r="FS143" s="139">
        <f t="shared" si="162"/>
        <v>0</v>
      </c>
      <c r="FT143" s="139">
        <f t="shared" si="163"/>
        <v>0</v>
      </c>
      <c r="FU143" s="148">
        <f t="shared" si="164"/>
        <v>0</v>
      </c>
      <c r="FV143" s="149"/>
      <c r="FY143" s="210">
        <v>138</v>
      </c>
      <c r="FZ143" s="205"/>
      <c r="GA143" s="205"/>
      <c r="GB143" s="205"/>
      <c r="GC143" s="205"/>
      <c r="GD143" s="205"/>
      <c r="GE143" s="205"/>
      <c r="GF143" s="205"/>
      <c r="GG143" s="205"/>
      <c r="GH143" s="205"/>
      <c r="GI143" s="205"/>
      <c r="GJ143" s="205"/>
      <c r="GK143" s="205"/>
      <c r="GL143" s="205"/>
      <c r="GM143" s="205"/>
    </row>
    <row r="144" spans="1:195" s="7" customFormat="1">
      <c r="A144" s="1"/>
      <c r="B144" s="76">
        <f t="shared" ca="1" si="131"/>
        <v>0.7933882636971914</v>
      </c>
      <c r="C144">
        <v>3</v>
      </c>
      <c r="D144">
        <v>39799</v>
      </c>
      <c r="E144">
        <v>0</v>
      </c>
      <c r="F144">
        <v>0</v>
      </c>
      <c r="G144">
        <v>83.333333333333329</v>
      </c>
      <c r="H144">
        <v>0</v>
      </c>
      <c r="I144">
        <v>48.076923076923073</v>
      </c>
      <c r="J144">
        <v>24.038461538461537</v>
      </c>
      <c r="K144">
        <v>96.153846153846146</v>
      </c>
      <c r="L144">
        <v>24.038461538461537</v>
      </c>
      <c r="M144">
        <v>24.038461538461537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/>
      <c r="AO144"/>
      <c r="AP144"/>
      <c r="AQ144"/>
      <c r="AR144"/>
      <c r="AS144"/>
      <c r="AT144"/>
      <c r="AU144"/>
      <c r="AV144"/>
      <c r="AW144"/>
      <c r="AX144" s="146"/>
      <c r="AY144" s="76">
        <f t="shared" ca="1" si="87"/>
        <v>7.8398112017981525E-2</v>
      </c>
      <c r="AZ144">
        <v>7</v>
      </c>
      <c r="BA144" s="129">
        <f t="shared" si="168"/>
        <v>39799</v>
      </c>
      <c r="BB144">
        <v>0</v>
      </c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 s="147"/>
      <c r="CH144" s="176"/>
      <c r="CJ144" s="146"/>
      <c r="CK144" s="76">
        <f t="shared" ca="1" si="89"/>
        <v>0.91468068004513325</v>
      </c>
      <c r="CL144" s="179">
        <f t="shared" si="90"/>
        <v>7</v>
      </c>
      <c r="CM144" s="180">
        <f t="shared" si="91"/>
        <v>39799</v>
      </c>
      <c r="CN144">
        <v>0</v>
      </c>
      <c r="CO144"/>
      <c r="CP144"/>
      <c r="CQ144"/>
      <c r="CR144"/>
      <c r="CS144"/>
      <c r="CT144"/>
      <c r="CU144"/>
      <c r="CV144" s="160"/>
      <c r="CW144">
        <v>1</v>
      </c>
      <c r="CX144">
        <f>350/60</f>
        <v>5.833333333333333</v>
      </c>
      <c r="CY144" s="165"/>
      <c r="CZ144" s="177">
        <f t="shared" si="92"/>
        <v>9.6000000000000002E-2</v>
      </c>
      <c r="DB144" s="146"/>
      <c r="DC144" s="76">
        <f t="shared" ca="1" si="50"/>
        <v>0.65948791400431528</v>
      </c>
      <c r="DD144">
        <f t="shared" si="93"/>
        <v>7</v>
      </c>
      <c r="DE144" s="129">
        <f t="shared" si="167"/>
        <v>39799</v>
      </c>
      <c r="DF144" s="161">
        <f t="shared" si="94"/>
        <v>0</v>
      </c>
      <c r="DG144" s="161">
        <f t="shared" si="95"/>
        <v>0</v>
      </c>
      <c r="DH144" s="161">
        <f t="shared" si="96"/>
        <v>0</v>
      </c>
      <c r="DI144" s="161">
        <f t="shared" si="97"/>
        <v>0</v>
      </c>
      <c r="DJ144" s="161">
        <f t="shared" si="98"/>
        <v>0</v>
      </c>
      <c r="DK144" s="161">
        <f t="shared" si="99"/>
        <v>0</v>
      </c>
      <c r="DL144" s="161">
        <f t="shared" si="100"/>
        <v>0</v>
      </c>
      <c r="DM144" s="161">
        <f t="shared" si="101"/>
        <v>0</v>
      </c>
      <c r="DN144" s="161">
        <f t="shared" si="102"/>
        <v>0</v>
      </c>
      <c r="DO144" s="161">
        <f t="shared" si="103"/>
        <v>0</v>
      </c>
      <c r="DP144" s="161">
        <f t="shared" si="104"/>
        <v>0</v>
      </c>
      <c r="DQ144" s="161">
        <f t="shared" si="105"/>
        <v>0</v>
      </c>
      <c r="DR144" s="161">
        <f t="shared" si="106"/>
        <v>0</v>
      </c>
      <c r="DS144" s="161">
        <f t="shared" si="107"/>
        <v>0</v>
      </c>
      <c r="DT144" s="161">
        <f t="shared" si="108"/>
        <v>0</v>
      </c>
      <c r="DU144" s="161">
        <f t="shared" si="109"/>
        <v>0</v>
      </c>
      <c r="DV144" s="161">
        <f t="shared" si="110"/>
        <v>0</v>
      </c>
      <c r="DW144" s="161">
        <f t="shared" si="111"/>
        <v>0</v>
      </c>
      <c r="DX144" s="161">
        <f t="shared" si="112"/>
        <v>0</v>
      </c>
      <c r="DY144" s="161">
        <f t="shared" si="113"/>
        <v>0</v>
      </c>
      <c r="DZ144" s="161">
        <f t="shared" si="114"/>
        <v>0</v>
      </c>
      <c r="EA144" s="161">
        <f t="shared" si="115"/>
        <v>0</v>
      </c>
      <c r="EB144" s="161">
        <f t="shared" si="116"/>
        <v>0</v>
      </c>
      <c r="EC144" s="161">
        <f t="shared" si="117"/>
        <v>0</v>
      </c>
      <c r="ED144" s="161">
        <f t="shared" si="118"/>
        <v>0</v>
      </c>
      <c r="EE144" s="161">
        <f t="shared" si="119"/>
        <v>0</v>
      </c>
      <c r="EF144" s="161">
        <f t="shared" si="120"/>
        <v>0</v>
      </c>
      <c r="EG144" s="161">
        <f t="shared" si="121"/>
        <v>0</v>
      </c>
      <c r="EH144" s="161">
        <f t="shared" si="122"/>
        <v>0</v>
      </c>
      <c r="EI144" s="161">
        <f t="shared" si="123"/>
        <v>0</v>
      </c>
      <c r="EJ144" s="161">
        <f t="shared" si="124"/>
        <v>0</v>
      </c>
      <c r="EK144" s="147">
        <f t="shared" si="132"/>
        <v>0</v>
      </c>
      <c r="EL144" s="149"/>
      <c r="EN144" s="146"/>
      <c r="EO144" s="146"/>
      <c r="EP144" s="139">
        <f t="shared" si="133"/>
        <v>0</v>
      </c>
      <c r="EQ144" s="139">
        <f t="shared" si="134"/>
        <v>0</v>
      </c>
      <c r="ER144" s="139">
        <f t="shared" si="135"/>
        <v>0</v>
      </c>
      <c r="ES144" s="139">
        <f t="shared" si="136"/>
        <v>0</v>
      </c>
      <c r="ET144" s="139">
        <f t="shared" si="137"/>
        <v>0</v>
      </c>
      <c r="EU144" s="139">
        <f t="shared" si="138"/>
        <v>0</v>
      </c>
      <c r="EV144" s="139">
        <f t="shared" si="139"/>
        <v>0</v>
      </c>
      <c r="EW144" s="139">
        <f t="shared" si="140"/>
        <v>0</v>
      </c>
      <c r="EX144" s="139">
        <f t="shared" si="141"/>
        <v>0</v>
      </c>
      <c r="EY144" s="139">
        <f t="shared" si="142"/>
        <v>0</v>
      </c>
      <c r="EZ144" s="139">
        <f t="shared" si="143"/>
        <v>0</v>
      </c>
      <c r="FA144" s="139">
        <f t="shared" si="144"/>
        <v>0</v>
      </c>
      <c r="FB144" s="139">
        <f t="shared" si="145"/>
        <v>0</v>
      </c>
      <c r="FC144" s="139">
        <f t="shared" si="146"/>
        <v>0</v>
      </c>
      <c r="FD144" s="139">
        <f t="shared" si="147"/>
        <v>0</v>
      </c>
      <c r="FE144" s="139">
        <f t="shared" si="148"/>
        <v>0</v>
      </c>
      <c r="FF144" s="139">
        <f t="shared" si="149"/>
        <v>0</v>
      </c>
      <c r="FG144" s="139">
        <f t="shared" si="150"/>
        <v>0</v>
      </c>
      <c r="FH144" s="139">
        <f t="shared" si="151"/>
        <v>0</v>
      </c>
      <c r="FI144" s="139">
        <f t="shared" si="152"/>
        <v>0</v>
      </c>
      <c r="FJ144" s="139">
        <f t="shared" si="153"/>
        <v>0</v>
      </c>
      <c r="FK144" s="139">
        <f t="shared" si="154"/>
        <v>0</v>
      </c>
      <c r="FL144" s="139">
        <f t="shared" si="155"/>
        <v>0</v>
      </c>
      <c r="FM144" s="139">
        <f t="shared" si="156"/>
        <v>0</v>
      </c>
      <c r="FN144" s="139">
        <f t="shared" si="157"/>
        <v>0</v>
      </c>
      <c r="FO144" s="139">
        <f t="shared" si="158"/>
        <v>0</v>
      </c>
      <c r="FP144" s="139">
        <f t="shared" si="159"/>
        <v>0</v>
      </c>
      <c r="FQ144" s="139">
        <f t="shared" si="160"/>
        <v>0</v>
      </c>
      <c r="FR144" s="139">
        <f t="shared" si="161"/>
        <v>0</v>
      </c>
      <c r="FS144" s="139">
        <f t="shared" si="162"/>
        <v>0</v>
      </c>
      <c r="FT144" s="139">
        <f t="shared" si="163"/>
        <v>0</v>
      </c>
      <c r="FU144" s="148">
        <f t="shared" si="164"/>
        <v>0</v>
      </c>
      <c r="FV144" s="149"/>
      <c r="FY144" s="210">
        <v>139</v>
      </c>
      <c r="FZ144" s="205"/>
      <c r="GA144" s="205"/>
      <c r="GB144" s="205"/>
      <c r="GC144" s="205"/>
      <c r="GD144" s="205"/>
      <c r="GE144" s="205"/>
      <c r="GF144" s="205"/>
      <c r="GG144" s="205"/>
      <c r="GH144" s="205"/>
      <c r="GI144" s="205"/>
      <c r="GJ144" s="205"/>
      <c r="GK144" s="205"/>
      <c r="GL144" s="205"/>
      <c r="GM144" s="205"/>
    </row>
    <row r="145" spans="1:195" s="7" customFormat="1">
      <c r="A145" s="1"/>
      <c r="B145" s="76">
        <f t="shared" ca="1" si="131"/>
        <v>0.1226966867122794</v>
      </c>
      <c r="C145">
        <v>8</v>
      </c>
      <c r="D145">
        <v>39799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31.25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/>
      <c r="AO145"/>
      <c r="AP145"/>
      <c r="AQ145"/>
      <c r="AR145"/>
      <c r="AS145"/>
      <c r="AT145"/>
      <c r="AU145"/>
      <c r="AV145"/>
      <c r="AW145"/>
      <c r="AX145" s="146"/>
      <c r="AY145" s="76">
        <f t="shared" ca="1" si="87"/>
        <v>0.72947132067102416</v>
      </c>
      <c r="AZ145">
        <v>8</v>
      </c>
      <c r="BA145" s="129">
        <f t="shared" si="168"/>
        <v>39799</v>
      </c>
      <c r="BB145">
        <v>0</v>
      </c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>
        <v>1</v>
      </c>
      <c r="CA145"/>
      <c r="CB145"/>
      <c r="CC145"/>
      <c r="CD145"/>
      <c r="CE145"/>
      <c r="CF145"/>
      <c r="CG145" s="147"/>
      <c r="CH145" s="176"/>
      <c r="CJ145" s="146"/>
      <c r="CK145" s="76">
        <f t="shared" ca="1" si="89"/>
        <v>0.49784617606819381</v>
      </c>
      <c r="CL145" s="179">
        <f t="shared" si="90"/>
        <v>8</v>
      </c>
      <c r="CM145" s="180">
        <f t="shared" si="91"/>
        <v>39799</v>
      </c>
      <c r="CN145">
        <v>0</v>
      </c>
      <c r="CO145"/>
      <c r="CP145"/>
      <c r="CQ145"/>
      <c r="CR145"/>
      <c r="CS145"/>
      <c r="CT145"/>
      <c r="CU145"/>
      <c r="CV145" s="160"/>
      <c r="CW145">
        <v>1</v>
      </c>
      <c r="CX145">
        <f>350/49</f>
        <v>7.1428571428571432</v>
      </c>
      <c r="CY145" s="165"/>
      <c r="CZ145" s="177">
        <f t="shared" si="92"/>
        <v>9.6000000000000002E-2</v>
      </c>
      <c r="DB145" s="146"/>
      <c r="DC145" s="76">
        <f t="shared" ca="1" si="50"/>
        <v>0.32931552786607288</v>
      </c>
      <c r="DD145">
        <f t="shared" si="93"/>
        <v>8</v>
      </c>
      <c r="DE145" s="129">
        <f t="shared" si="167"/>
        <v>39799</v>
      </c>
      <c r="DF145" s="161">
        <f t="shared" si="94"/>
        <v>0</v>
      </c>
      <c r="DG145" s="161">
        <f t="shared" si="95"/>
        <v>0</v>
      </c>
      <c r="DH145" s="161">
        <f t="shared" si="96"/>
        <v>0</v>
      </c>
      <c r="DI145" s="161">
        <f t="shared" si="97"/>
        <v>0</v>
      </c>
      <c r="DJ145" s="161">
        <f t="shared" si="98"/>
        <v>0</v>
      </c>
      <c r="DK145" s="161">
        <f t="shared" si="99"/>
        <v>0</v>
      </c>
      <c r="DL145" s="161">
        <f t="shared" si="100"/>
        <v>0</v>
      </c>
      <c r="DM145" s="161">
        <f t="shared" si="101"/>
        <v>0</v>
      </c>
      <c r="DN145" s="161">
        <f t="shared" si="102"/>
        <v>0</v>
      </c>
      <c r="DO145" s="161">
        <f t="shared" si="103"/>
        <v>0</v>
      </c>
      <c r="DP145" s="161">
        <f t="shared" si="104"/>
        <v>0</v>
      </c>
      <c r="DQ145" s="161">
        <f t="shared" si="105"/>
        <v>0</v>
      </c>
      <c r="DR145" s="161">
        <f t="shared" si="106"/>
        <v>0</v>
      </c>
      <c r="DS145" s="161">
        <f t="shared" si="107"/>
        <v>0</v>
      </c>
      <c r="DT145" s="161">
        <f t="shared" si="108"/>
        <v>0</v>
      </c>
      <c r="DU145" s="161">
        <f t="shared" si="109"/>
        <v>0</v>
      </c>
      <c r="DV145" s="161">
        <f t="shared" si="110"/>
        <v>0</v>
      </c>
      <c r="DW145" s="161">
        <f t="shared" si="111"/>
        <v>0</v>
      </c>
      <c r="DX145" s="161">
        <f t="shared" si="112"/>
        <v>0</v>
      </c>
      <c r="DY145" s="161">
        <f t="shared" si="113"/>
        <v>0</v>
      </c>
      <c r="DZ145" s="161">
        <f t="shared" si="114"/>
        <v>0</v>
      </c>
      <c r="EA145" s="161">
        <f t="shared" si="115"/>
        <v>0</v>
      </c>
      <c r="EB145" s="161">
        <f t="shared" si="116"/>
        <v>0</v>
      </c>
      <c r="EC145" s="161">
        <f t="shared" si="117"/>
        <v>0</v>
      </c>
      <c r="ED145" s="161">
        <f t="shared" si="118"/>
        <v>10.416666666666666</v>
      </c>
      <c r="EE145" s="161">
        <f t="shared" si="119"/>
        <v>0</v>
      </c>
      <c r="EF145" s="161">
        <f t="shared" si="120"/>
        <v>0</v>
      </c>
      <c r="EG145" s="161">
        <f t="shared" si="121"/>
        <v>0</v>
      </c>
      <c r="EH145" s="161">
        <f t="shared" si="122"/>
        <v>0</v>
      </c>
      <c r="EI145" s="161">
        <f t="shared" si="123"/>
        <v>0</v>
      </c>
      <c r="EJ145" s="161">
        <f t="shared" si="124"/>
        <v>0</v>
      </c>
      <c r="EK145" s="147">
        <f t="shared" si="132"/>
        <v>10.416666666666666</v>
      </c>
      <c r="EL145" s="149"/>
      <c r="EN145" s="146"/>
      <c r="EO145" s="146"/>
      <c r="EP145" s="139">
        <f t="shared" si="133"/>
        <v>0</v>
      </c>
      <c r="EQ145" s="139">
        <f t="shared" si="134"/>
        <v>0</v>
      </c>
      <c r="ER145" s="139">
        <f t="shared" si="135"/>
        <v>0</v>
      </c>
      <c r="ES145" s="139">
        <f t="shared" si="136"/>
        <v>0</v>
      </c>
      <c r="ET145" s="139">
        <f t="shared" si="137"/>
        <v>0</v>
      </c>
      <c r="EU145" s="139">
        <f t="shared" si="138"/>
        <v>0</v>
      </c>
      <c r="EV145" s="139">
        <f t="shared" si="139"/>
        <v>0</v>
      </c>
      <c r="EW145" s="139">
        <f t="shared" si="140"/>
        <v>0</v>
      </c>
      <c r="EX145" s="139">
        <f t="shared" si="141"/>
        <v>0</v>
      </c>
      <c r="EY145" s="139">
        <f t="shared" si="142"/>
        <v>0</v>
      </c>
      <c r="EZ145" s="139">
        <f t="shared" si="143"/>
        <v>0</v>
      </c>
      <c r="FA145" s="139">
        <f t="shared" si="144"/>
        <v>0</v>
      </c>
      <c r="FB145" s="139">
        <f t="shared" si="145"/>
        <v>0</v>
      </c>
      <c r="FC145" s="139">
        <f t="shared" si="146"/>
        <v>0</v>
      </c>
      <c r="FD145" s="139">
        <f t="shared" si="147"/>
        <v>0</v>
      </c>
      <c r="FE145" s="139">
        <f t="shared" si="148"/>
        <v>0</v>
      </c>
      <c r="FF145" s="139">
        <f t="shared" si="149"/>
        <v>0</v>
      </c>
      <c r="FG145" s="139">
        <f t="shared" si="150"/>
        <v>0</v>
      </c>
      <c r="FH145" s="139">
        <f t="shared" si="151"/>
        <v>0</v>
      </c>
      <c r="FI145" s="139">
        <f t="shared" si="152"/>
        <v>0</v>
      </c>
      <c r="FJ145" s="139">
        <f t="shared" si="153"/>
        <v>0</v>
      </c>
      <c r="FK145" s="139">
        <f t="shared" si="154"/>
        <v>0</v>
      </c>
      <c r="FL145" s="139">
        <f t="shared" si="155"/>
        <v>0</v>
      </c>
      <c r="FM145" s="139">
        <f t="shared" si="156"/>
        <v>0</v>
      </c>
      <c r="FN145" s="139">
        <f t="shared" si="157"/>
        <v>0.70333432428254872</v>
      </c>
      <c r="FO145" s="139">
        <f t="shared" si="158"/>
        <v>0</v>
      </c>
      <c r="FP145" s="139">
        <f t="shared" si="159"/>
        <v>0</v>
      </c>
      <c r="FQ145" s="139">
        <f t="shared" si="160"/>
        <v>0</v>
      </c>
      <c r="FR145" s="139">
        <f t="shared" si="161"/>
        <v>0</v>
      </c>
      <c r="FS145" s="139">
        <f t="shared" si="162"/>
        <v>0</v>
      </c>
      <c r="FT145" s="139">
        <f t="shared" si="163"/>
        <v>0</v>
      </c>
      <c r="FU145" s="148">
        <f t="shared" si="164"/>
        <v>0.70333432428254872</v>
      </c>
      <c r="FV145" s="149"/>
      <c r="FY145" s="210">
        <v>140</v>
      </c>
      <c r="FZ145" s="205"/>
      <c r="GA145" s="205"/>
      <c r="GB145" s="205"/>
      <c r="GC145" s="205"/>
      <c r="GD145" s="205"/>
      <c r="GE145" s="205"/>
      <c r="GF145" s="205"/>
      <c r="GG145" s="205"/>
      <c r="GH145" s="205"/>
      <c r="GI145" s="205"/>
      <c r="GJ145" s="205"/>
      <c r="GK145" s="205"/>
      <c r="GL145" s="205"/>
      <c r="GM145" s="205"/>
    </row>
    <row r="146" spans="1:195" s="7" customFormat="1">
      <c r="A146" s="1"/>
      <c r="B146" s="76">
        <f t="shared" ca="1" si="131"/>
        <v>0.64428122263337007</v>
      </c>
      <c r="C146">
        <v>7</v>
      </c>
      <c r="D146">
        <v>39799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10.416666666666666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/>
      <c r="AO146"/>
      <c r="AP146"/>
      <c r="AQ146"/>
      <c r="AR146"/>
      <c r="AS146"/>
      <c r="AT146"/>
      <c r="AU146"/>
      <c r="AV146"/>
      <c r="AW146"/>
      <c r="AX146" s="146"/>
      <c r="AY146" s="76">
        <f t="shared" ca="1" si="87"/>
        <v>0.89443946551601372</v>
      </c>
      <c r="AZ146">
        <v>9</v>
      </c>
      <c r="BA146" s="129">
        <f t="shared" si="168"/>
        <v>39799</v>
      </c>
      <c r="BB146">
        <v>0</v>
      </c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 s="147"/>
      <c r="CH146" s="176"/>
      <c r="CJ146" s="146"/>
      <c r="CK146" s="76">
        <f t="shared" ca="1" si="89"/>
        <v>0.22061898477182074</v>
      </c>
      <c r="CL146" s="179">
        <f t="shared" si="90"/>
        <v>9</v>
      </c>
      <c r="CM146" s="180">
        <f t="shared" si="91"/>
        <v>39799</v>
      </c>
      <c r="CN146">
        <v>0</v>
      </c>
      <c r="CO146"/>
      <c r="CP146"/>
      <c r="CQ146"/>
      <c r="CR146"/>
      <c r="CS146"/>
      <c r="CT146"/>
      <c r="CU146"/>
      <c r="CV146" s="160"/>
      <c r="CW146">
        <v>1</v>
      </c>
      <c r="CX146">
        <f>475/86</f>
        <v>5.5232558139534884</v>
      </c>
      <c r="CY146" s="165"/>
      <c r="CZ146" s="177">
        <f t="shared" si="92"/>
        <v>9.6000000000000002E-2</v>
      </c>
      <c r="DB146" s="146"/>
      <c r="DC146" s="76">
        <f t="shared" ca="1" si="50"/>
        <v>0.91920871156009087</v>
      </c>
      <c r="DD146">
        <f t="shared" si="93"/>
        <v>9</v>
      </c>
      <c r="DE146" s="129">
        <f t="shared" si="167"/>
        <v>39799</v>
      </c>
      <c r="DF146" s="161">
        <f t="shared" si="94"/>
        <v>0</v>
      </c>
      <c r="DG146" s="161">
        <f t="shared" si="95"/>
        <v>0</v>
      </c>
      <c r="DH146" s="161">
        <f t="shared" si="96"/>
        <v>0</v>
      </c>
      <c r="DI146" s="161">
        <f t="shared" si="97"/>
        <v>0</v>
      </c>
      <c r="DJ146" s="161">
        <f t="shared" si="98"/>
        <v>0</v>
      </c>
      <c r="DK146" s="161">
        <f t="shared" si="99"/>
        <v>0</v>
      </c>
      <c r="DL146" s="161">
        <f t="shared" si="100"/>
        <v>0</v>
      </c>
      <c r="DM146" s="161">
        <f t="shared" si="101"/>
        <v>0</v>
      </c>
      <c r="DN146" s="161">
        <f t="shared" si="102"/>
        <v>0</v>
      </c>
      <c r="DO146" s="161">
        <f t="shared" si="103"/>
        <v>0</v>
      </c>
      <c r="DP146" s="161">
        <f t="shared" si="104"/>
        <v>0</v>
      </c>
      <c r="DQ146" s="161">
        <f t="shared" si="105"/>
        <v>0</v>
      </c>
      <c r="DR146" s="161">
        <f t="shared" si="106"/>
        <v>0</v>
      </c>
      <c r="DS146" s="161">
        <f t="shared" si="107"/>
        <v>0</v>
      </c>
      <c r="DT146" s="161">
        <f t="shared" si="108"/>
        <v>0</v>
      </c>
      <c r="DU146" s="161">
        <f t="shared" si="109"/>
        <v>0</v>
      </c>
      <c r="DV146" s="161">
        <f t="shared" si="110"/>
        <v>0</v>
      </c>
      <c r="DW146" s="161">
        <f t="shared" si="111"/>
        <v>0</v>
      </c>
      <c r="DX146" s="161">
        <f t="shared" si="112"/>
        <v>0</v>
      </c>
      <c r="DY146" s="161">
        <f t="shared" si="113"/>
        <v>0</v>
      </c>
      <c r="DZ146" s="161">
        <f t="shared" si="114"/>
        <v>0</v>
      </c>
      <c r="EA146" s="161">
        <f t="shared" si="115"/>
        <v>0</v>
      </c>
      <c r="EB146" s="161">
        <f t="shared" si="116"/>
        <v>0</v>
      </c>
      <c r="EC146" s="161">
        <f t="shared" si="117"/>
        <v>0</v>
      </c>
      <c r="ED146" s="161">
        <f t="shared" si="118"/>
        <v>0</v>
      </c>
      <c r="EE146" s="161">
        <f t="shared" si="119"/>
        <v>0</v>
      </c>
      <c r="EF146" s="161">
        <f t="shared" si="120"/>
        <v>0</v>
      </c>
      <c r="EG146" s="161">
        <f t="shared" si="121"/>
        <v>0</v>
      </c>
      <c r="EH146" s="161">
        <f t="shared" si="122"/>
        <v>0</v>
      </c>
      <c r="EI146" s="161">
        <f t="shared" si="123"/>
        <v>0</v>
      </c>
      <c r="EJ146" s="161">
        <f t="shared" si="124"/>
        <v>0</v>
      </c>
      <c r="EK146" s="147">
        <f t="shared" si="132"/>
        <v>0</v>
      </c>
      <c r="EL146" s="149"/>
      <c r="EN146" s="146"/>
      <c r="EO146" s="146"/>
      <c r="EP146" s="139">
        <f t="shared" si="133"/>
        <v>0</v>
      </c>
      <c r="EQ146" s="139">
        <f t="shared" si="134"/>
        <v>0</v>
      </c>
      <c r="ER146" s="139">
        <f t="shared" si="135"/>
        <v>0</v>
      </c>
      <c r="ES146" s="139">
        <f t="shared" si="136"/>
        <v>0</v>
      </c>
      <c r="ET146" s="139">
        <f t="shared" si="137"/>
        <v>0</v>
      </c>
      <c r="EU146" s="139">
        <f t="shared" si="138"/>
        <v>0</v>
      </c>
      <c r="EV146" s="139">
        <f t="shared" si="139"/>
        <v>0</v>
      </c>
      <c r="EW146" s="139">
        <f t="shared" si="140"/>
        <v>0</v>
      </c>
      <c r="EX146" s="139">
        <f t="shared" si="141"/>
        <v>0</v>
      </c>
      <c r="EY146" s="139">
        <f t="shared" si="142"/>
        <v>0</v>
      </c>
      <c r="EZ146" s="139">
        <f t="shared" si="143"/>
        <v>0</v>
      </c>
      <c r="FA146" s="139">
        <f t="shared" si="144"/>
        <v>0</v>
      </c>
      <c r="FB146" s="139">
        <f t="shared" si="145"/>
        <v>0</v>
      </c>
      <c r="FC146" s="139">
        <f t="shared" si="146"/>
        <v>0</v>
      </c>
      <c r="FD146" s="139">
        <f t="shared" si="147"/>
        <v>0</v>
      </c>
      <c r="FE146" s="139">
        <f t="shared" si="148"/>
        <v>0</v>
      </c>
      <c r="FF146" s="139">
        <f t="shared" si="149"/>
        <v>0</v>
      </c>
      <c r="FG146" s="139">
        <f t="shared" si="150"/>
        <v>0</v>
      </c>
      <c r="FH146" s="139">
        <f t="shared" si="151"/>
        <v>0</v>
      </c>
      <c r="FI146" s="139">
        <f t="shared" si="152"/>
        <v>0</v>
      </c>
      <c r="FJ146" s="139">
        <f t="shared" si="153"/>
        <v>0</v>
      </c>
      <c r="FK146" s="139">
        <f t="shared" si="154"/>
        <v>0</v>
      </c>
      <c r="FL146" s="139">
        <f t="shared" si="155"/>
        <v>0</v>
      </c>
      <c r="FM146" s="139">
        <f t="shared" si="156"/>
        <v>0</v>
      </c>
      <c r="FN146" s="139">
        <f t="shared" si="157"/>
        <v>0</v>
      </c>
      <c r="FO146" s="139">
        <f t="shared" si="158"/>
        <v>0</v>
      </c>
      <c r="FP146" s="139">
        <f t="shared" si="159"/>
        <v>0</v>
      </c>
      <c r="FQ146" s="139">
        <f t="shared" si="160"/>
        <v>0</v>
      </c>
      <c r="FR146" s="139">
        <f t="shared" si="161"/>
        <v>0</v>
      </c>
      <c r="FS146" s="139">
        <f t="shared" si="162"/>
        <v>0</v>
      </c>
      <c r="FT146" s="139">
        <f t="shared" si="163"/>
        <v>0</v>
      </c>
      <c r="FU146" s="148">
        <f t="shared" si="164"/>
        <v>0</v>
      </c>
      <c r="FV146" s="149"/>
      <c r="FY146" s="210">
        <v>141</v>
      </c>
      <c r="FZ146" s="205"/>
      <c r="GA146" s="205"/>
      <c r="GB146" s="205"/>
      <c r="GC146" s="205"/>
      <c r="GD146" s="205"/>
      <c r="GE146" s="205"/>
      <c r="GF146" s="205"/>
      <c r="GG146" s="205"/>
      <c r="GH146" s="205"/>
      <c r="GI146" s="205"/>
      <c r="GJ146" s="205"/>
      <c r="GK146" s="205"/>
      <c r="GL146" s="205"/>
      <c r="GM146" s="205"/>
    </row>
    <row r="147" spans="1:195" s="7" customFormat="1">
      <c r="A147" s="1"/>
      <c r="B147" s="76">
        <f t="shared" ca="1" si="131"/>
        <v>0.88893976113507955</v>
      </c>
      <c r="C147">
        <v>9</v>
      </c>
      <c r="D147">
        <v>39799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20.833333333333332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/>
      <c r="AO147"/>
      <c r="AP147"/>
      <c r="AQ147"/>
      <c r="AR147"/>
      <c r="AS147"/>
      <c r="AT147"/>
      <c r="AU147"/>
      <c r="AV147"/>
      <c r="AW147"/>
      <c r="AX147" s="146"/>
      <c r="AY147" s="76">
        <f t="shared" ca="1" si="87"/>
        <v>0.24523189509705734</v>
      </c>
      <c r="AZ147">
        <v>10</v>
      </c>
      <c r="BA147" s="129">
        <f t="shared" si="168"/>
        <v>39799</v>
      </c>
      <c r="BB147">
        <v>0</v>
      </c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 s="147"/>
      <c r="CH147" s="176"/>
      <c r="CJ147" s="146"/>
      <c r="CK147" s="76">
        <f t="shared" ca="1" si="89"/>
        <v>0.3136209221756554</v>
      </c>
      <c r="CL147" s="179">
        <f t="shared" si="90"/>
        <v>10</v>
      </c>
      <c r="CM147" s="180">
        <f t="shared" si="91"/>
        <v>39799</v>
      </c>
      <c r="CN147">
        <v>0</v>
      </c>
      <c r="CO147"/>
      <c r="CP147">
        <v>1</v>
      </c>
      <c r="CQ147"/>
      <c r="CR147"/>
      <c r="CS147"/>
      <c r="CT147"/>
      <c r="CU147"/>
      <c r="CV147" s="160"/>
      <c r="CW147">
        <v>1</v>
      </c>
      <c r="CX147">
        <v>1</v>
      </c>
      <c r="CY147" s="165"/>
      <c r="CZ147" s="177">
        <f t="shared" si="92"/>
        <v>9.6000000000000002E-2</v>
      </c>
      <c r="DB147" s="146"/>
      <c r="DC147" s="76">
        <f t="shared" ca="1" si="50"/>
        <v>0.67777119255603946</v>
      </c>
      <c r="DD147">
        <f t="shared" si="93"/>
        <v>10</v>
      </c>
      <c r="DE147" s="129">
        <f t="shared" si="167"/>
        <v>39799</v>
      </c>
      <c r="DF147" s="161">
        <f t="shared" si="94"/>
        <v>0</v>
      </c>
      <c r="DG147" s="161">
        <f t="shared" si="95"/>
        <v>0</v>
      </c>
      <c r="DH147" s="161">
        <f t="shared" si="96"/>
        <v>10.416666666666666</v>
      </c>
      <c r="DI147" s="161">
        <f t="shared" si="97"/>
        <v>0</v>
      </c>
      <c r="DJ147" s="161">
        <f t="shared" si="98"/>
        <v>0</v>
      </c>
      <c r="DK147" s="161">
        <f t="shared" si="99"/>
        <v>0</v>
      </c>
      <c r="DL147" s="161">
        <f t="shared" si="100"/>
        <v>0</v>
      </c>
      <c r="DM147" s="161">
        <f t="shared" si="101"/>
        <v>0</v>
      </c>
      <c r="DN147" s="161">
        <f t="shared" si="102"/>
        <v>0</v>
      </c>
      <c r="DO147" s="161">
        <f t="shared" si="103"/>
        <v>0</v>
      </c>
      <c r="DP147" s="161">
        <f t="shared" si="104"/>
        <v>0</v>
      </c>
      <c r="DQ147" s="161">
        <f t="shared" si="105"/>
        <v>0</v>
      </c>
      <c r="DR147" s="161">
        <f t="shared" si="106"/>
        <v>0</v>
      </c>
      <c r="DS147" s="161">
        <f t="shared" si="107"/>
        <v>0</v>
      </c>
      <c r="DT147" s="161">
        <f t="shared" si="108"/>
        <v>0</v>
      </c>
      <c r="DU147" s="161">
        <f t="shared" si="109"/>
        <v>0</v>
      </c>
      <c r="DV147" s="161">
        <f t="shared" si="110"/>
        <v>0</v>
      </c>
      <c r="DW147" s="161">
        <f t="shared" si="111"/>
        <v>0</v>
      </c>
      <c r="DX147" s="161">
        <f t="shared" si="112"/>
        <v>0</v>
      </c>
      <c r="DY147" s="161">
        <f t="shared" si="113"/>
        <v>0</v>
      </c>
      <c r="DZ147" s="161">
        <f t="shared" si="114"/>
        <v>0</v>
      </c>
      <c r="EA147" s="161">
        <f t="shared" si="115"/>
        <v>0</v>
      </c>
      <c r="EB147" s="161">
        <f t="shared" si="116"/>
        <v>0</v>
      </c>
      <c r="EC147" s="161">
        <f t="shared" si="117"/>
        <v>0</v>
      </c>
      <c r="ED147" s="161">
        <f t="shared" si="118"/>
        <v>0</v>
      </c>
      <c r="EE147" s="161">
        <f t="shared" si="119"/>
        <v>0</v>
      </c>
      <c r="EF147" s="161">
        <f t="shared" si="120"/>
        <v>0</v>
      </c>
      <c r="EG147" s="161">
        <f t="shared" si="121"/>
        <v>0</v>
      </c>
      <c r="EH147" s="161">
        <f t="shared" si="122"/>
        <v>0</v>
      </c>
      <c r="EI147" s="161">
        <f t="shared" si="123"/>
        <v>0</v>
      </c>
      <c r="EJ147" s="161">
        <f t="shared" si="124"/>
        <v>0</v>
      </c>
      <c r="EK147" s="147">
        <f t="shared" si="132"/>
        <v>10.416666666666666</v>
      </c>
      <c r="EL147" s="149"/>
      <c r="EN147" s="146"/>
      <c r="EO147" s="146"/>
      <c r="EP147" s="139">
        <f t="shared" si="133"/>
        <v>0</v>
      </c>
      <c r="EQ147" s="139">
        <f t="shared" si="134"/>
        <v>0</v>
      </c>
      <c r="ER147" s="139">
        <f t="shared" si="135"/>
        <v>5.1763246192068874E-2</v>
      </c>
      <c r="ES147" s="139">
        <f t="shared" si="136"/>
        <v>0</v>
      </c>
      <c r="ET147" s="139">
        <f t="shared" si="137"/>
        <v>0</v>
      </c>
      <c r="EU147" s="139">
        <f t="shared" si="138"/>
        <v>0</v>
      </c>
      <c r="EV147" s="139">
        <f t="shared" si="139"/>
        <v>0</v>
      </c>
      <c r="EW147" s="139">
        <f t="shared" si="140"/>
        <v>0</v>
      </c>
      <c r="EX147" s="139">
        <f t="shared" si="141"/>
        <v>0</v>
      </c>
      <c r="EY147" s="139">
        <f t="shared" si="142"/>
        <v>0</v>
      </c>
      <c r="EZ147" s="139">
        <f t="shared" si="143"/>
        <v>0</v>
      </c>
      <c r="FA147" s="139">
        <f t="shared" si="144"/>
        <v>0</v>
      </c>
      <c r="FB147" s="139">
        <f t="shared" si="145"/>
        <v>0</v>
      </c>
      <c r="FC147" s="139">
        <f t="shared" si="146"/>
        <v>0</v>
      </c>
      <c r="FD147" s="139">
        <f t="shared" si="147"/>
        <v>0</v>
      </c>
      <c r="FE147" s="139">
        <f t="shared" si="148"/>
        <v>0</v>
      </c>
      <c r="FF147" s="139">
        <f t="shared" si="149"/>
        <v>0</v>
      </c>
      <c r="FG147" s="139">
        <f t="shared" si="150"/>
        <v>0</v>
      </c>
      <c r="FH147" s="139">
        <f t="shared" si="151"/>
        <v>0</v>
      </c>
      <c r="FI147" s="139">
        <f t="shared" si="152"/>
        <v>0</v>
      </c>
      <c r="FJ147" s="139">
        <f t="shared" si="153"/>
        <v>0</v>
      </c>
      <c r="FK147" s="139">
        <f t="shared" si="154"/>
        <v>0</v>
      </c>
      <c r="FL147" s="139">
        <f t="shared" si="155"/>
        <v>0</v>
      </c>
      <c r="FM147" s="139">
        <f t="shared" si="156"/>
        <v>0</v>
      </c>
      <c r="FN147" s="139">
        <f t="shared" si="157"/>
        <v>0</v>
      </c>
      <c r="FO147" s="139">
        <f t="shared" si="158"/>
        <v>0</v>
      </c>
      <c r="FP147" s="139">
        <f t="shared" si="159"/>
        <v>0</v>
      </c>
      <c r="FQ147" s="139">
        <f t="shared" si="160"/>
        <v>0</v>
      </c>
      <c r="FR147" s="139">
        <f t="shared" si="161"/>
        <v>0</v>
      </c>
      <c r="FS147" s="139">
        <f t="shared" si="162"/>
        <v>0</v>
      </c>
      <c r="FT147" s="139">
        <f t="shared" si="163"/>
        <v>0</v>
      </c>
      <c r="FU147" s="148">
        <f t="shared" si="164"/>
        <v>5.1763246192068874E-2</v>
      </c>
      <c r="FV147" s="149"/>
      <c r="FY147" s="210">
        <v>142</v>
      </c>
      <c r="FZ147" s="205"/>
      <c r="GA147" s="205"/>
      <c r="GB147" s="205"/>
      <c r="GC147" s="205"/>
      <c r="GD147" s="205"/>
      <c r="GE147" s="205"/>
      <c r="GF147" s="205"/>
      <c r="GG147" s="205"/>
      <c r="GH147" s="205"/>
      <c r="GI147" s="205"/>
      <c r="GJ147" s="205"/>
      <c r="GK147" s="205"/>
      <c r="GL147" s="205"/>
      <c r="GM147" s="205"/>
    </row>
    <row r="148" spans="1:195" s="7" customFormat="1">
      <c r="A148" s="128"/>
      <c r="B148" s="76">
        <f t="shared" ca="1" si="131"/>
        <v>0.62849046647722395</v>
      </c>
      <c r="C148">
        <v>6</v>
      </c>
      <c r="D148">
        <v>39847</v>
      </c>
      <c r="E148">
        <v>0</v>
      </c>
      <c r="F148">
        <v>0</v>
      </c>
      <c r="G148">
        <v>10.416666666666666</v>
      </c>
      <c r="H148">
        <v>0</v>
      </c>
      <c r="I148">
        <v>0</v>
      </c>
      <c r="J148">
        <v>0</v>
      </c>
      <c r="K148">
        <v>10.416666666666666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 s="2"/>
      <c r="AK148" s="80"/>
      <c r="AL148" s="74">
        <v>3.0028000000000028</v>
      </c>
      <c r="AM148" s="43">
        <v>132</v>
      </c>
      <c r="AN148"/>
      <c r="AO148"/>
      <c r="AP148"/>
      <c r="AQ148"/>
      <c r="AR148"/>
      <c r="AS148"/>
      <c r="AT148"/>
      <c r="AU148"/>
      <c r="AV148"/>
      <c r="AW148"/>
      <c r="AX148" s="128"/>
      <c r="AY148" s="76">
        <f t="shared" ca="1" si="87"/>
        <v>0.58892005663709801</v>
      </c>
      <c r="AZ148">
        <v>1</v>
      </c>
      <c r="BA148" s="129">
        <f>IF(AZ148="", "",$C$10)</f>
        <v>39847</v>
      </c>
      <c r="BB148">
        <v>0</v>
      </c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 s="147"/>
      <c r="CH148" s="176"/>
      <c r="CJ148" s="128"/>
      <c r="CK148" s="76">
        <f t="shared" ca="1" si="89"/>
        <v>0.69517180853571592</v>
      </c>
      <c r="CL148" s="179">
        <f t="shared" si="90"/>
        <v>1</v>
      </c>
      <c r="CM148" s="180">
        <f t="shared" si="91"/>
        <v>39847</v>
      </c>
      <c r="CN148">
        <v>0</v>
      </c>
      <c r="CO148"/>
      <c r="CP148"/>
      <c r="CQ148"/>
      <c r="CR148"/>
      <c r="CS148"/>
      <c r="CT148"/>
      <c r="CU148"/>
      <c r="CV148" s="160"/>
      <c r="CW148">
        <v>1</v>
      </c>
      <c r="CX148">
        <v>1</v>
      </c>
      <c r="CY148" s="160"/>
      <c r="CZ148" s="177">
        <f t="shared" si="92"/>
        <v>9.6000000000000002E-2</v>
      </c>
      <c r="DB148" s="128"/>
      <c r="DC148" s="76">
        <f t="shared" ca="1" si="50"/>
        <v>0.40704358931415685</v>
      </c>
      <c r="DD148">
        <f t="shared" si="93"/>
        <v>1</v>
      </c>
      <c r="DE148" s="129">
        <f t="shared" ref="DE148:DE157" si="169">IF((DD148)="", "", $C$10)</f>
        <v>39847</v>
      </c>
      <c r="DF148" s="161">
        <f t="shared" si="94"/>
        <v>0</v>
      </c>
      <c r="DG148" s="161">
        <f t="shared" si="95"/>
        <v>0</v>
      </c>
      <c r="DH148" s="161">
        <f t="shared" si="96"/>
        <v>0</v>
      </c>
      <c r="DI148" s="161">
        <f t="shared" si="97"/>
        <v>0</v>
      </c>
      <c r="DJ148" s="161">
        <f t="shared" si="98"/>
        <v>0</v>
      </c>
      <c r="DK148" s="161">
        <f t="shared" si="99"/>
        <v>0</v>
      </c>
      <c r="DL148" s="161">
        <f t="shared" si="100"/>
        <v>0</v>
      </c>
      <c r="DM148" s="161">
        <f t="shared" si="101"/>
        <v>0</v>
      </c>
      <c r="DN148" s="161">
        <f t="shared" si="102"/>
        <v>0</v>
      </c>
      <c r="DO148" s="161">
        <f t="shared" si="103"/>
        <v>0</v>
      </c>
      <c r="DP148" s="161">
        <f t="shared" si="104"/>
        <v>0</v>
      </c>
      <c r="DQ148" s="161">
        <f t="shared" si="105"/>
        <v>0</v>
      </c>
      <c r="DR148" s="161">
        <f t="shared" si="106"/>
        <v>0</v>
      </c>
      <c r="DS148" s="161">
        <f t="shared" si="107"/>
        <v>0</v>
      </c>
      <c r="DT148" s="161">
        <f t="shared" si="108"/>
        <v>0</v>
      </c>
      <c r="DU148" s="161">
        <f t="shared" si="109"/>
        <v>0</v>
      </c>
      <c r="DV148" s="161">
        <f t="shared" si="110"/>
        <v>0</v>
      </c>
      <c r="DW148" s="161">
        <f t="shared" si="111"/>
        <v>0</v>
      </c>
      <c r="DX148" s="161">
        <f t="shared" si="112"/>
        <v>0</v>
      </c>
      <c r="DY148" s="161">
        <f t="shared" si="113"/>
        <v>0</v>
      </c>
      <c r="DZ148" s="161">
        <f t="shared" si="114"/>
        <v>0</v>
      </c>
      <c r="EA148" s="161">
        <f t="shared" si="115"/>
        <v>0</v>
      </c>
      <c r="EB148" s="161">
        <f t="shared" si="116"/>
        <v>0</v>
      </c>
      <c r="EC148" s="161">
        <f t="shared" si="117"/>
        <v>0</v>
      </c>
      <c r="ED148" s="161">
        <f t="shared" si="118"/>
        <v>0</v>
      </c>
      <c r="EE148" s="161">
        <f t="shared" si="119"/>
        <v>0</v>
      </c>
      <c r="EF148" s="161">
        <f t="shared" si="120"/>
        <v>0</v>
      </c>
      <c r="EG148" s="161">
        <f t="shared" si="121"/>
        <v>0</v>
      </c>
      <c r="EH148" s="161">
        <f t="shared" si="122"/>
        <v>0</v>
      </c>
      <c r="EI148" s="161">
        <f t="shared" si="123"/>
        <v>0</v>
      </c>
      <c r="EJ148" s="161">
        <f t="shared" si="124"/>
        <v>0</v>
      </c>
      <c r="EK148" s="147">
        <f t="shared" si="132"/>
        <v>0</v>
      </c>
      <c r="EL148" s="149"/>
      <c r="EN148" s="146"/>
      <c r="EO148" s="146"/>
      <c r="EP148" s="139">
        <f t="shared" si="133"/>
        <v>0</v>
      </c>
      <c r="EQ148" s="139">
        <f t="shared" si="134"/>
        <v>0</v>
      </c>
      <c r="ER148" s="139">
        <f t="shared" si="135"/>
        <v>0</v>
      </c>
      <c r="ES148" s="139">
        <f t="shared" si="136"/>
        <v>0</v>
      </c>
      <c r="ET148" s="139">
        <f t="shared" si="137"/>
        <v>0</v>
      </c>
      <c r="EU148" s="139">
        <f t="shared" si="138"/>
        <v>0</v>
      </c>
      <c r="EV148" s="139">
        <f t="shared" si="139"/>
        <v>0</v>
      </c>
      <c r="EW148" s="139">
        <f t="shared" si="140"/>
        <v>0</v>
      </c>
      <c r="EX148" s="139">
        <f t="shared" si="141"/>
        <v>0</v>
      </c>
      <c r="EY148" s="139">
        <f t="shared" si="142"/>
        <v>0</v>
      </c>
      <c r="EZ148" s="139">
        <f t="shared" si="143"/>
        <v>0</v>
      </c>
      <c r="FA148" s="139">
        <f t="shared" si="144"/>
        <v>0</v>
      </c>
      <c r="FB148" s="139">
        <f t="shared" si="145"/>
        <v>0</v>
      </c>
      <c r="FC148" s="139">
        <f t="shared" si="146"/>
        <v>0</v>
      </c>
      <c r="FD148" s="139">
        <f t="shared" si="147"/>
        <v>0</v>
      </c>
      <c r="FE148" s="139">
        <f t="shared" si="148"/>
        <v>0</v>
      </c>
      <c r="FF148" s="139">
        <f t="shared" si="149"/>
        <v>0</v>
      </c>
      <c r="FG148" s="139">
        <f t="shared" si="150"/>
        <v>0</v>
      </c>
      <c r="FH148" s="139">
        <f t="shared" si="151"/>
        <v>0</v>
      </c>
      <c r="FI148" s="139">
        <f t="shared" si="152"/>
        <v>0</v>
      </c>
      <c r="FJ148" s="139">
        <f t="shared" si="153"/>
        <v>0</v>
      </c>
      <c r="FK148" s="139">
        <f t="shared" si="154"/>
        <v>0</v>
      </c>
      <c r="FL148" s="139">
        <f t="shared" si="155"/>
        <v>0</v>
      </c>
      <c r="FM148" s="139">
        <f t="shared" si="156"/>
        <v>0</v>
      </c>
      <c r="FN148" s="139">
        <f t="shared" si="157"/>
        <v>0</v>
      </c>
      <c r="FO148" s="139">
        <f t="shared" si="158"/>
        <v>0</v>
      </c>
      <c r="FP148" s="139">
        <f t="shared" si="159"/>
        <v>0</v>
      </c>
      <c r="FQ148" s="139">
        <f t="shared" si="160"/>
        <v>0</v>
      </c>
      <c r="FR148" s="139">
        <f t="shared" si="161"/>
        <v>0</v>
      </c>
      <c r="FS148" s="139">
        <f t="shared" si="162"/>
        <v>0</v>
      </c>
      <c r="FT148" s="139">
        <f t="shared" si="163"/>
        <v>0</v>
      </c>
      <c r="FU148" s="148">
        <f t="shared" si="164"/>
        <v>0</v>
      </c>
      <c r="FV148" s="149"/>
      <c r="FY148" s="210">
        <v>143</v>
      </c>
      <c r="FZ148" s="205"/>
      <c r="GA148" s="205"/>
      <c r="GB148" s="205"/>
      <c r="GC148" s="205"/>
      <c r="GD148" s="205"/>
      <c r="GE148" s="205"/>
      <c r="GF148" s="205"/>
      <c r="GG148" s="205"/>
      <c r="GH148" s="205"/>
      <c r="GI148" s="205"/>
      <c r="GJ148" s="205"/>
      <c r="GK148" s="205"/>
      <c r="GL148" s="205"/>
      <c r="GM148" s="205"/>
    </row>
    <row r="149" spans="1:195" s="7" customFormat="1">
      <c r="A149" s="77"/>
      <c r="B149" s="76">
        <f t="shared" ca="1" si="131"/>
        <v>0.2643354517825578</v>
      </c>
      <c r="C149">
        <v>5</v>
      </c>
      <c r="D149">
        <v>39847</v>
      </c>
      <c r="E149">
        <v>0</v>
      </c>
      <c r="F149">
        <v>0</v>
      </c>
      <c r="G149">
        <v>0</v>
      </c>
      <c r="H149">
        <v>20.833333333333332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 s="2"/>
      <c r="AK149" s="80"/>
      <c r="AL149" s="74">
        <v>3.0028000000000028</v>
      </c>
      <c r="AM149" s="43">
        <v>133</v>
      </c>
      <c r="AN149"/>
      <c r="AO149"/>
      <c r="AP149"/>
      <c r="AQ149"/>
      <c r="AR149"/>
      <c r="AS149"/>
      <c r="AT149"/>
      <c r="AU149"/>
      <c r="AV149"/>
      <c r="AW149"/>
      <c r="AX149" s="151"/>
      <c r="AY149" s="76">
        <f t="shared" ca="1" si="87"/>
        <v>0.47263602418481465</v>
      </c>
      <c r="AZ149">
        <v>2</v>
      </c>
      <c r="BA149" s="129">
        <f t="shared" ref="BA149:BA157" si="170">IF(AZ149="", "",$C$10)</f>
        <v>39847</v>
      </c>
      <c r="BB149">
        <v>0</v>
      </c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 s="147"/>
      <c r="CH149" s="176"/>
      <c r="CJ149" s="151"/>
      <c r="CK149" s="76">
        <f t="shared" ca="1" si="89"/>
        <v>0.83043301070293918</v>
      </c>
      <c r="CL149" s="179">
        <f t="shared" si="90"/>
        <v>2</v>
      </c>
      <c r="CM149" s="180">
        <f t="shared" si="91"/>
        <v>39847</v>
      </c>
      <c r="CN149">
        <v>0</v>
      </c>
      <c r="CO149"/>
      <c r="CP149"/>
      <c r="CQ149"/>
      <c r="CR149"/>
      <c r="CS149"/>
      <c r="CT149"/>
      <c r="CU149"/>
      <c r="CV149" s="160"/>
      <c r="CW149">
        <f>40/12</f>
        <v>3.3333333333333335</v>
      </c>
      <c r="CX149">
        <f>350/32</f>
        <v>10.9375</v>
      </c>
      <c r="CY149" s="160"/>
      <c r="CZ149" s="177">
        <f t="shared" si="92"/>
        <v>9.6000000000000002E-2</v>
      </c>
      <c r="DB149" s="151"/>
      <c r="DC149" s="76">
        <f t="shared" ca="1" si="50"/>
        <v>0.74627073593005222</v>
      </c>
      <c r="DD149">
        <f t="shared" si="93"/>
        <v>2</v>
      </c>
      <c r="DE149" s="129">
        <f t="shared" si="169"/>
        <v>39847</v>
      </c>
      <c r="DF149" s="161">
        <f t="shared" si="94"/>
        <v>0</v>
      </c>
      <c r="DG149" s="161">
        <f t="shared" si="95"/>
        <v>0</v>
      </c>
      <c r="DH149" s="161">
        <f t="shared" si="96"/>
        <v>0</v>
      </c>
      <c r="DI149" s="161">
        <f t="shared" si="97"/>
        <v>0</v>
      </c>
      <c r="DJ149" s="161">
        <f t="shared" si="98"/>
        <v>0</v>
      </c>
      <c r="DK149" s="161">
        <f t="shared" si="99"/>
        <v>0</v>
      </c>
      <c r="DL149" s="161">
        <f t="shared" si="100"/>
        <v>0</v>
      </c>
      <c r="DM149" s="161">
        <f t="shared" si="101"/>
        <v>0</v>
      </c>
      <c r="DN149" s="161">
        <f t="shared" si="102"/>
        <v>0</v>
      </c>
      <c r="DO149" s="161">
        <f t="shared" si="103"/>
        <v>0</v>
      </c>
      <c r="DP149" s="161">
        <f t="shared" si="104"/>
        <v>0</v>
      </c>
      <c r="DQ149" s="161">
        <f t="shared" si="105"/>
        <v>0</v>
      </c>
      <c r="DR149" s="161">
        <f t="shared" si="106"/>
        <v>0</v>
      </c>
      <c r="DS149" s="161">
        <f t="shared" si="107"/>
        <v>0</v>
      </c>
      <c r="DT149" s="161">
        <f t="shared" si="108"/>
        <v>0</v>
      </c>
      <c r="DU149" s="161">
        <f t="shared" si="109"/>
        <v>0</v>
      </c>
      <c r="DV149" s="161">
        <f t="shared" si="110"/>
        <v>0</v>
      </c>
      <c r="DW149" s="161">
        <f t="shared" si="111"/>
        <v>0</v>
      </c>
      <c r="DX149" s="161">
        <f t="shared" si="112"/>
        <v>0</v>
      </c>
      <c r="DY149" s="161">
        <f t="shared" si="113"/>
        <v>0</v>
      </c>
      <c r="DZ149" s="161">
        <f t="shared" si="114"/>
        <v>0</v>
      </c>
      <c r="EA149" s="161">
        <f t="shared" si="115"/>
        <v>0</v>
      </c>
      <c r="EB149" s="161">
        <f t="shared" si="116"/>
        <v>0</v>
      </c>
      <c r="EC149" s="161">
        <f t="shared" si="117"/>
        <v>0</v>
      </c>
      <c r="ED149" s="161">
        <f t="shared" si="118"/>
        <v>0</v>
      </c>
      <c r="EE149" s="161">
        <f t="shared" si="119"/>
        <v>0</v>
      </c>
      <c r="EF149" s="161">
        <f t="shared" si="120"/>
        <v>0</v>
      </c>
      <c r="EG149" s="161">
        <f t="shared" si="121"/>
        <v>0</v>
      </c>
      <c r="EH149" s="161">
        <f t="shared" si="122"/>
        <v>0</v>
      </c>
      <c r="EI149" s="161">
        <f t="shared" si="123"/>
        <v>0</v>
      </c>
      <c r="EJ149" s="161">
        <f t="shared" si="124"/>
        <v>0</v>
      </c>
      <c r="EK149" s="147">
        <f t="shared" si="132"/>
        <v>0</v>
      </c>
      <c r="EL149" s="149"/>
      <c r="EN149" s="151"/>
      <c r="EO149" s="151"/>
      <c r="EP149" s="139">
        <f t="shared" si="133"/>
        <v>0</v>
      </c>
      <c r="EQ149" s="139">
        <f t="shared" si="134"/>
        <v>0</v>
      </c>
      <c r="ER149" s="139">
        <f t="shared" si="135"/>
        <v>0</v>
      </c>
      <c r="ES149" s="139">
        <f t="shared" si="136"/>
        <v>0</v>
      </c>
      <c r="ET149" s="139">
        <f t="shared" si="137"/>
        <v>0</v>
      </c>
      <c r="EU149" s="139">
        <f t="shared" si="138"/>
        <v>0</v>
      </c>
      <c r="EV149" s="139">
        <f t="shared" si="139"/>
        <v>0</v>
      </c>
      <c r="EW149" s="139">
        <f t="shared" si="140"/>
        <v>0</v>
      </c>
      <c r="EX149" s="139">
        <f t="shared" si="141"/>
        <v>0</v>
      </c>
      <c r="EY149" s="139">
        <f t="shared" si="142"/>
        <v>0</v>
      </c>
      <c r="EZ149" s="139">
        <f t="shared" si="143"/>
        <v>0</v>
      </c>
      <c r="FA149" s="139">
        <f t="shared" si="144"/>
        <v>0</v>
      </c>
      <c r="FB149" s="139">
        <f t="shared" si="145"/>
        <v>0</v>
      </c>
      <c r="FC149" s="139">
        <f t="shared" si="146"/>
        <v>0</v>
      </c>
      <c r="FD149" s="139">
        <f t="shared" si="147"/>
        <v>0</v>
      </c>
      <c r="FE149" s="139">
        <f t="shared" si="148"/>
        <v>0</v>
      </c>
      <c r="FF149" s="139">
        <f t="shared" si="149"/>
        <v>0</v>
      </c>
      <c r="FG149" s="139">
        <f t="shared" si="150"/>
        <v>0</v>
      </c>
      <c r="FH149" s="139">
        <f t="shared" si="151"/>
        <v>0</v>
      </c>
      <c r="FI149" s="139">
        <f t="shared" si="152"/>
        <v>0</v>
      </c>
      <c r="FJ149" s="139">
        <f t="shared" si="153"/>
        <v>0</v>
      </c>
      <c r="FK149" s="139">
        <f t="shared" si="154"/>
        <v>0</v>
      </c>
      <c r="FL149" s="139">
        <f t="shared" si="155"/>
        <v>0</v>
      </c>
      <c r="FM149" s="139">
        <f t="shared" si="156"/>
        <v>0</v>
      </c>
      <c r="FN149" s="139">
        <f t="shared" si="157"/>
        <v>0</v>
      </c>
      <c r="FO149" s="139">
        <f t="shared" si="158"/>
        <v>0</v>
      </c>
      <c r="FP149" s="139">
        <f t="shared" si="159"/>
        <v>0</v>
      </c>
      <c r="FQ149" s="139">
        <f t="shared" si="160"/>
        <v>0</v>
      </c>
      <c r="FR149" s="139">
        <f t="shared" si="161"/>
        <v>0</v>
      </c>
      <c r="FS149" s="139">
        <f t="shared" si="162"/>
        <v>0</v>
      </c>
      <c r="FT149" s="139">
        <f t="shared" si="163"/>
        <v>0</v>
      </c>
      <c r="FU149" s="148">
        <f t="shared" si="164"/>
        <v>0</v>
      </c>
      <c r="FV149" s="149"/>
      <c r="FY149" s="210">
        <v>144</v>
      </c>
      <c r="FZ149" s="205"/>
      <c r="GA149" s="205"/>
      <c r="GB149" s="205"/>
      <c r="GC149" s="205"/>
      <c r="GD149" s="205"/>
      <c r="GE149" s="205"/>
      <c r="GF149" s="205"/>
      <c r="GG149" s="205"/>
      <c r="GH149" s="205"/>
      <c r="GI149" s="205"/>
      <c r="GJ149" s="205"/>
      <c r="GK149" s="205"/>
      <c r="GL149" s="205"/>
      <c r="GM149" s="205"/>
    </row>
    <row r="150" spans="1:195" s="7" customFormat="1">
      <c r="A150" s="77"/>
      <c r="B150" s="76">
        <f t="shared" ca="1" si="131"/>
        <v>0.35297415373715135</v>
      </c>
      <c r="C150">
        <v>3</v>
      </c>
      <c r="D150">
        <v>39847</v>
      </c>
      <c r="E150">
        <v>0</v>
      </c>
      <c r="F150">
        <v>0</v>
      </c>
      <c r="G150">
        <v>0</v>
      </c>
      <c r="H150">
        <v>10.416666666666666</v>
      </c>
      <c r="I150">
        <v>10.416666666666666</v>
      </c>
      <c r="J150">
        <v>20.833333333333332</v>
      </c>
      <c r="K150">
        <v>52.083333333333336</v>
      </c>
      <c r="L150">
        <v>10.416666666666666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/>
      <c r="AO150"/>
      <c r="AP150"/>
      <c r="AQ150"/>
      <c r="AR150"/>
      <c r="AS150"/>
      <c r="AT150"/>
      <c r="AU150"/>
      <c r="AV150"/>
      <c r="AW150"/>
      <c r="AX150" s="151"/>
      <c r="AY150" s="76">
        <f t="shared" ca="1" si="87"/>
        <v>0.92590184267570308</v>
      </c>
      <c r="AZ150">
        <v>3</v>
      </c>
      <c r="BA150" s="129">
        <f t="shared" si="170"/>
        <v>39847</v>
      </c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 s="147"/>
      <c r="CH150" s="176"/>
      <c r="CJ150" s="151"/>
      <c r="CK150" s="76">
        <f t="shared" ca="1" si="89"/>
        <v>0.17730090675273225</v>
      </c>
      <c r="CL150" s="179">
        <f t="shared" si="90"/>
        <v>3</v>
      </c>
      <c r="CM150" s="180">
        <f t="shared" si="91"/>
        <v>39847</v>
      </c>
      <c r="CN150"/>
      <c r="CO150"/>
      <c r="CP150"/>
      <c r="CQ150"/>
      <c r="CR150"/>
      <c r="CS150"/>
      <c r="CT150"/>
      <c r="CU150"/>
      <c r="CV150" s="160"/>
      <c r="CW150">
        <v>1</v>
      </c>
      <c r="CX150">
        <v>1</v>
      </c>
      <c r="CY150" s="160"/>
      <c r="CZ150" s="177">
        <f t="shared" si="92"/>
        <v>9.6000000000000002E-2</v>
      </c>
      <c r="DB150" s="151"/>
      <c r="DC150" s="76">
        <f t="shared" ca="1" si="50"/>
        <v>0.52142601170108271</v>
      </c>
      <c r="DD150">
        <f t="shared" si="93"/>
        <v>3</v>
      </c>
      <c r="DE150" s="129">
        <f t="shared" si="169"/>
        <v>39847</v>
      </c>
      <c r="DF150" s="161">
        <f t="shared" si="94"/>
        <v>0</v>
      </c>
      <c r="DG150" s="161">
        <f t="shared" si="95"/>
        <v>0</v>
      </c>
      <c r="DH150" s="161">
        <f t="shared" si="96"/>
        <v>0</v>
      </c>
      <c r="DI150" s="161">
        <f t="shared" si="97"/>
        <v>0</v>
      </c>
      <c r="DJ150" s="161">
        <f t="shared" si="98"/>
        <v>0</v>
      </c>
      <c r="DK150" s="161">
        <f t="shared" si="99"/>
        <v>0</v>
      </c>
      <c r="DL150" s="161">
        <f t="shared" si="100"/>
        <v>0</v>
      </c>
      <c r="DM150" s="161">
        <f t="shared" si="101"/>
        <v>0</v>
      </c>
      <c r="DN150" s="161">
        <f t="shared" si="102"/>
        <v>0</v>
      </c>
      <c r="DO150" s="161">
        <f t="shared" si="103"/>
        <v>0</v>
      </c>
      <c r="DP150" s="161">
        <f t="shared" si="104"/>
        <v>0</v>
      </c>
      <c r="DQ150" s="161">
        <f t="shared" si="105"/>
        <v>0</v>
      </c>
      <c r="DR150" s="161">
        <f t="shared" si="106"/>
        <v>0</v>
      </c>
      <c r="DS150" s="161">
        <f t="shared" si="107"/>
        <v>0</v>
      </c>
      <c r="DT150" s="161">
        <f t="shared" si="108"/>
        <v>0</v>
      </c>
      <c r="DU150" s="161">
        <f t="shared" si="109"/>
        <v>0</v>
      </c>
      <c r="DV150" s="161">
        <f t="shared" si="110"/>
        <v>0</v>
      </c>
      <c r="DW150" s="161">
        <f t="shared" si="111"/>
        <v>0</v>
      </c>
      <c r="DX150" s="161">
        <f t="shared" si="112"/>
        <v>0</v>
      </c>
      <c r="DY150" s="161">
        <f t="shared" si="113"/>
        <v>0</v>
      </c>
      <c r="DZ150" s="161">
        <f t="shared" si="114"/>
        <v>0</v>
      </c>
      <c r="EA150" s="161">
        <f t="shared" si="115"/>
        <v>0</v>
      </c>
      <c r="EB150" s="161">
        <f t="shared" si="116"/>
        <v>0</v>
      </c>
      <c r="EC150" s="161">
        <f t="shared" si="117"/>
        <v>0</v>
      </c>
      <c r="ED150" s="161">
        <f t="shared" si="118"/>
        <v>0</v>
      </c>
      <c r="EE150" s="161">
        <f t="shared" si="119"/>
        <v>0</v>
      </c>
      <c r="EF150" s="161">
        <f t="shared" si="120"/>
        <v>0</v>
      </c>
      <c r="EG150" s="161">
        <f t="shared" si="121"/>
        <v>0</v>
      </c>
      <c r="EH150" s="161">
        <f t="shared" si="122"/>
        <v>0</v>
      </c>
      <c r="EI150" s="161">
        <f t="shared" si="123"/>
        <v>0</v>
      </c>
      <c r="EJ150" s="161">
        <f t="shared" si="124"/>
        <v>0</v>
      </c>
      <c r="EK150" s="147">
        <f t="shared" si="132"/>
        <v>0</v>
      </c>
      <c r="EL150" s="149"/>
      <c r="EN150" s="151"/>
      <c r="EO150" s="151"/>
      <c r="EP150" s="139">
        <f t="shared" si="133"/>
        <v>0</v>
      </c>
      <c r="EQ150" s="139">
        <f t="shared" si="134"/>
        <v>0</v>
      </c>
      <c r="ER150" s="139">
        <f t="shared" si="135"/>
        <v>0</v>
      </c>
      <c r="ES150" s="139">
        <f t="shared" si="136"/>
        <v>0</v>
      </c>
      <c r="ET150" s="139">
        <f t="shared" si="137"/>
        <v>0</v>
      </c>
      <c r="EU150" s="139">
        <f t="shared" si="138"/>
        <v>0</v>
      </c>
      <c r="EV150" s="139">
        <f t="shared" si="139"/>
        <v>0</v>
      </c>
      <c r="EW150" s="139">
        <f t="shared" si="140"/>
        <v>0</v>
      </c>
      <c r="EX150" s="139">
        <f t="shared" si="141"/>
        <v>0</v>
      </c>
      <c r="EY150" s="139">
        <f t="shared" si="142"/>
        <v>0</v>
      </c>
      <c r="EZ150" s="139">
        <f t="shared" si="143"/>
        <v>0</v>
      </c>
      <c r="FA150" s="139">
        <f t="shared" si="144"/>
        <v>0</v>
      </c>
      <c r="FB150" s="139">
        <f t="shared" si="145"/>
        <v>0</v>
      </c>
      <c r="FC150" s="139">
        <f t="shared" si="146"/>
        <v>0</v>
      </c>
      <c r="FD150" s="139">
        <f t="shared" si="147"/>
        <v>0</v>
      </c>
      <c r="FE150" s="139">
        <f t="shared" si="148"/>
        <v>0</v>
      </c>
      <c r="FF150" s="139">
        <f t="shared" si="149"/>
        <v>0</v>
      </c>
      <c r="FG150" s="139">
        <f t="shared" si="150"/>
        <v>0</v>
      </c>
      <c r="FH150" s="139">
        <f t="shared" si="151"/>
        <v>0</v>
      </c>
      <c r="FI150" s="139">
        <f t="shared" si="152"/>
        <v>0</v>
      </c>
      <c r="FJ150" s="139">
        <f t="shared" si="153"/>
        <v>0</v>
      </c>
      <c r="FK150" s="139">
        <f t="shared" si="154"/>
        <v>0</v>
      </c>
      <c r="FL150" s="139">
        <f t="shared" si="155"/>
        <v>0</v>
      </c>
      <c r="FM150" s="139">
        <f t="shared" si="156"/>
        <v>0</v>
      </c>
      <c r="FN150" s="139">
        <f t="shared" si="157"/>
        <v>0</v>
      </c>
      <c r="FO150" s="139">
        <f t="shared" si="158"/>
        <v>0</v>
      </c>
      <c r="FP150" s="139">
        <f t="shared" si="159"/>
        <v>0</v>
      </c>
      <c r="FQ150" s="139">
        <f t="shared" si="160"/>
        <v>0</v>
      </c>
      <c r="FR150" s="139">
        <f t="shared" si="161"/>
        <v>0</v>
      </c>
      <c r="FS150" s="139">
        <f t="shared" si="162"/>
        <v>0</v>
      </c>
      <c r="FT150" s="139">
        <f t="shared" si="163"/>
        <v>0</v>
      </c>
      <c r="FU150" s="148">
        <f t="shared" si="164"/>
        <v>0</v>
      </c>
      <c r="FV150" s="149"/>
      <c r="FY150" s="210">
        <v>145</v>
      </c>
      <c r="FZ150" s="205"/>
      <c r="GA150" s="205"/>
      <c r="GB150" s="205"/>
      <c r="GC150" s="205"/>
      <c r="GD150" s="205"/>
      <c r="GE150" s="205"/>
      <c r="GF150" s="205"/>
      <c r="GG150" s="205"/>
      <c r="GH150" s="205"/>
      <c r="GI150" s="205"/>
      <c r="GJ150" s="205"/>
      <c r="GK150" s="205"/>
      <c r="GL150" s="205"/>
      <c r="GM150" s="205"/>
    </row>
    <row r="151" spans="1:195" s="7" customFormat="1">
      <c r="A151" s="77"/>
      <c r="B151" s="76">
        <f t="shared" ca="1" si="131"/>
        <v>0.57500582895610242</v>
      </c>
      <c r="C151">
        <v>9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10.416666666666666</v>
      </c>
      <c r="J151">
        <v>52.083333333333336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/>
      <c r="AO151"/>
      <c r="AP151"/>
      <c r="AQ151"/>
      <c r="AR151"/>
      <c r="AS151"/>
      <c r="AT151"/>
      <c r="AU151"/>
      <c r="AV151"/>
      <c r="AW151"/>
      <c r="AX151" s="151"/>
      <c r="AY151" s="76">
        <f t="shared" ca="1" si="87"/>
        <v>0.91413633449999221</v>
      </c>
      <c r="AZ151">
        <v>4</v>
      </c>
      <c r="BA151" s="129">
        <f t="shared" si="170"/>
        <v>39847</v>
      </c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 s="147"/>
      <c r="CH151" s="176"/>
      <c r="CJ151" s="151"/>
      <c r="CK151" s="76">
        <f t="shared" ca="1" si="89"/>
        <v>0.24595187991557399</v>
      </c>
      <c r="CL151" s="179">
        <f t="shared" si="90"/>
        <v>4</v>
      </c>
      <c r="CM151" s="180">
        <f t="shared" si="91"/>
        <v>39847</v>
      </c>
      <c r="CN151"/>
      <c r="CO151"/>
      <c r="CP151"/>
      <c r="CQ151"/>
      <c r="CR151"/>
      <c r="CS151"/>
      <c r="CT151"/>
      <c r="CU151"/>
      <c r="CV151" s="160"/>
      <c r="CW151">
        <v>1</v>
      </c>
      <c r="CX151">
        <v>1</v>
      </c>
      <c r="CY151" s="160"/>
      <c r="CZ151" s="177">
        <f t="shared" si="92"/>
        <v>9.6000000000000002E-2</v>
      </c>
      <c r="DB151" s="151"/>
      <c r="DC151" s="76">
        <f t="shared" ca="1" si="50"/>
        <v>0.70564995784225815</v>
      </c>
      <c r="DD151">
        <f t="shared" si="93"/>
        <v>4</v>
      </c>
      <c r="DE151" s="129">
        <f t="shared" si="169"/>
        <v>39847</v>
      </c>
      <c r="DF151" s="161">
        <f t="shared" si="94"/>
        <v>0</v>
      </c>
      <c r="DG151" s="161">
        <f t="shared" si="95"/>
        <v>0</v>
      </c>
      <c r="DH151" s="161">
        <f t="shared" si="96"/>
        <v>0</v>
      </c>
      <c r="DI151" s="161">
        <f t="shared" si="97"/>
        <v>0</v>
      </c>
      <c r="DJ151" s="161">
        <f t="shared" si="98"/>
        <v>0</v>
      </c>
      <c r="DK151" s="161">
        <f t="shared" si="99"/>
        <v>0</v>
      </c>
      <c r="DL151" s="161">
        <f t="shared" si="100"/>
        <v>0</v>
      </c>
      <c r="DM151" s="161">
        <f t="shared" si="101"/>
        <v>0</v>
      </c>
      <c r="DN151" s="161">
        <f t="shared" si="102"/>
        <v>0</v>
      </c>
      <c r="DO151" s="161">
        <f t="shared" si="103"/>
        <v>0</v>
      </c>
      <c r="DP151" s="161">
        <f t="shared" si="104"/>
        <v>0</v>
      </c>
      <c r="DQ151" s="161">
        <f t="shared" si="105"/>
        <v>0</v>
      </c>
      <c r="DR151" s="161">
        <f t="shared" si="106"/>
        <v>0</v>
      </c>
      <c r="DS151" s="161">
        <f t="shared" si="107"/>
        <v>0</v>
      </c>
      <c r="DT151" s="161">
        <f t="shared" si="108"/>
        <v>0</v>
      </c>
      <c r="DU151" s="161">
        <f t="shared" si="109"/>
        <v>0</v>
      </c>
      <c r="DV151" s="161">
        <f t="shared" si="110"/>
        <v>0</v>
      </c>
      <c r="DW151" s="161">
        <f t="shared" si="111"/>
        <v>0</v>
      </c>
      <c r="DX151" s="161">
        <f t="shared" si="112"/>
        <v>0</v>
      </c>
      <c r="DY151" s="161">
        <f t="shared" si="113"/>
        <v>0</v>
      </c>
      <c r="DZ151" s="161">
        <f t="shared" si="114"/>
        <v>0</v>
      </c>
      <c r="EA151" s="161">
        <f t="shared" si="115"/>
        <v>0</v>
      </c>
      <c r="EB151" s="161">
        <f t="shared" si="116"/>
        <v>0</v>
      </c>
      <c r="EC151" s="161">
        <f t="shared" si="117"/>
        <v>0</v>
      </c>
      <c r="ED151" s="161">
        <f t="shared" si="118"/>
        <v>0</v>
      </c>
      <c r="EE151" s="161">
        <f t="shared" si="119"/>
        <v>0</v>
      </c>
      <c r="EF151" s="161">
        <f t="shared" si="120"/>
        <v>0</v>
      </c>
      <c r="EG151" s="161">
        <f t="shared" si="121"/>
        <v>0</v>
      </c>
      <c r="EH151" s="161">
        <f t="shared" si="122"/>
        <v>0</v>
      </c>
      <c r="EI151" s="161">
        <f t="shared" si="123"/>
        <v>0</v>
      </c>
      <c r="EJ151" s="161">
        <f t="shared" si="124"/>
        <v>0</v>
      </c>
      <c r="EK151" s="147">
        <f t="shared" si="132"/>
        <v>0</v>
      </c>
      <c r="EL151" s="149"/>
      <c r="EN151" s="151"/>
      <c r="EO151" s="151"/>
      <c r="EP151" s="139">
        <f t="shared" si="133"/>
        <v>0</v>
      </c>
      <c r="EQ151" s="139">
        <f t="shared" si="134"/>
        <v>0</v>
      </c>
      <c r="ER151" s="139">
        <f t="shared" si="135"/>
        <v>0</v>
      </c>
      <c r="ES151" s="139">
        <f t="shared" si="136"/>
        <v>0</v>
      </c>
      <c r="ET151" s="139">
        <f t="shared" si="137"/>
        <v>0</v>
      </c>
      <c r="EU151" s="139">
        <f t="shared" si="138"/>
        <v>0</v>
      </c>
      <c r="EV151" s="139">
        <f t="shared" si="139"/>
        <v>0</v>
      </c>
      <c r="EW151" s="139">
        <f t="shared" si="140"/>
        <v>0</v>
      </c>
      <c r="EX151" s="139">
        <f t="shared" si="141"/>
        <v>0</v>
      </c>
      <c r="EY151" s="139">
        <f t="shared" si="142"/>
        <v>0</v>
      </c>
      <c r="EZ151" s="139">
        <f t="shared" si="143"/>
        <v>0</v>
      </c>
      <c r="FA151" s="139">
        <f t="shared" si="144"/>
        <v>0</v>
      </c>
      <c r="FB151" s="139">
        <f t="shared" si="145"/>
        <v>0</v>
      </c>
      <c r="FC151" s="139">
        <f t="shared" si="146"/>
        <v>0</v>
      </c>
      <c r="FD151" s="139">
        <f t="shared" si="147"/>
        <v>0</v>
      </c>
      <c r="FE151" s="139">
        <f t="shared" si="148"/>
        <v>0</v>
      </c>
      <c r="FF151" s="139">
        <f t="shared" si="149"/>
        <v>0</v>
      </c>
      <c r="FG151" s="139">
        <f t="shared" si="150"/>
        <v>0</v>
      </c>
      <c r="FH151" s="139">
        <f t="shared" si="151"/>
        <v>0</v>
      </c>
      <c r="FI151" s="139">
        <f t="shared" si="152"/>
        <v>0</v>
      </c>
      <c r="FJ151" s="139">
        <f t="shared" si="153"/>
        <v>0</v>
      </c>
      <c r="FK151" s="139">
        <f t="shared" si="154"/>
        <v>0</v>
      </c>
      <c r="FL151" s="139">
        <f t="shared" si="155"/>
        <v>0</v>
      </c>
      <c r="FM151" s="139">
        <f t="shared" si="156"/>
        <v>0</v>
      </c>
      <c r="FN151" s="139">
        <f t="shared" si="157"/>
        <v>0</v>
      </c>
      <c r="FO151" s="139">
        <f t="shared" si="158"/>
        <v>0</v>
      </c>
      <c r="FP151" s="139">
        <f t="shared" si="159"/>
        <v>0</v>
      </c>
      <c r="FQ151" s="139">
        <f t="shared" si="160"/>
        <v>0</v>
      </c>
      <c r="FR151" s="139">
        <f t="shared" si="161"/>
        <v>0</v>
      </c>
      <c r="FS151" s="139">
        <f t="shared" si="162"/>
        <v>0</v>
      </c>
      <c r="FT151" s="139">
        <f t="shared" si="163"/>
        <v>0</v>
      </c>
      <c r="FU151" s="148">
        <f t="shared" si="164"/>
        <v>0</v>
      </c>
      <c r="FV151" s="149"/>
      <c r="FY151" s="210">
        <v>146</v>
      </c>
      <c r="FZ151" s="205"/>
      <c r="GA151" s="205"/>
      <c r="GB151" s="205"/>
      <c r="GC151" s="205"/>
      <c r="GD151" s="205"/>
      <c r="GE151" s="205"/>
      <c r="GF151" s="205"/>
      <c r="GG151" s="205"/>
      <c r="GH151" s="205"/>
      <c r="GI151" s="205"/>
      <c r="GJ151" s="205"/>
      <c r="GK151" s="205"/>
      <c r="GL151" s="205"/>
      <c r="GM151" s="205"/>
    </row>
    <row r="152" spans="1:195" s="7" customFormat="1">
      <c r="A152" s="77"/>
      <c r="B152" s="76">
        <f t="shared" ref="B152:B183" ca="1" si="171">IF(C152="", "", RAND())</f>
        <v>0.67969933448892395</v>
      </c>
      <c r="C152">
        <v>4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10.416666666666666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/>
      <c r="AO152"/>
      <c r="AP152"/>
      <c r="AQ152"/>
      <c r="AR152"/>
      <c r="AS152"/>
      <c r="AT152"/>
      <c r="AU152"/>
      <c r="AV152"/>
      <c r="AW152"/>
      <c r="AX152" s="151"/>
      <c r="AY152" s="76">
        <f t="shared" ref="AY152:AY207" ca="1" si="172">IF(AZ152="", "", RAND())</f>
        <v>0.29752180485895274</v>
      </c>
      <c r="AZ152">
        <v>5</v>
      </c>
      <c r="BA152" s="129">
        <f t="shared" si="170"/>
        <v>39847</v>
      </c>
      <c r="BB152">
        <v>0</v>
      </c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 s="147"/>
      <c r="CH152" s="176"/>
      <c r="CJ152" s="151"/>
      <c r="CK152" s="76">
        <f t="shared" ca="1" si="89"/>
        <v>0.22800172024982901</v>
      </c>
      <c r="CL152" s="179">
        <f t="shared" si="90"/>
        <v>5</v>
      </c>
      <c r="CM152" s="180">
        <f t="shared" si="91"/>
        <v>39847</v>
      </c>
      <c r="CN152"/>
      <c r="CO152"/>
      <c r="CP152"/>
      <c r="CQ152"/>
      <c r="CR152"/>
      <c r="CS152"/>
      <c r="CT152"/>
      <c r="CU152"/>
      <c r="CV152" s="160"/>
      <c r="CW152">
        <v>1</v>
      </c>
      <c r="CX152">
        <v>1</v>
      </c>
      <c r="CY152" s="160"/>
      <c r="CZ152" s="177">
        <f t="shared" si="92"/>
        <v>9.6000000000000002E-2</v>
      </c>
      <c r="DB152" s="151"/>
      <c r="DC152" s="76">
        <f t="shared" ref="DC152:DC207" ca="1" si="173">IF(DD152="", "", RAND())</f>
        <v>0.22230854277603251</v>
      </c>
      <c r="DD152">
        <f t="shared" si="93"/>
        <v>5</v>
      </c>
      <c r="DE152" s="129">
        <f t="shared" si="169"/>
        <v>39847</v>
      </c>
      <c r="DF152" s="161">
        <f t="shared" si="94"/>
        <v>0</v>
      </c>
      <c r="DG152" s="161">
        <f t="shared" si="95"/>
        <v>0</v>
      </c>
      <c r="DH152" s="161">
        <f t="shared" si="96"/>
        <v>0</v>
      </c>
      <c r="DI152" s="161">
        <f t="shared" si="97"/>
        <v>0</v>
      </c>
      <c r="DJ152" s="161">
        <f t="shared" si="98"/>
        <v>0</v>
      </c>
      <c r="DK152" s="161">
        <f t="shared" si="99"/>
        <v>0</v>
      </c>
      <c r="DL152" s="161">
        <f t="shared" si="100"/>
        <v>0</v>
      </c>
      <c r="DM152" s="161">
        <f t="shared" si="101"/>
        <v>0</v>
      </c>
      <c r="DN152" s="161">
        <f t="shared" si="102"/>
        <v>0</v>
      </c>
      <c r="DO152" s="161">
        <f t="shared" si="103"/>
        <v>0</v>
      </c>
      <c r="DP152" s="161">
        <f t="shared" si="104"/>
        <v>0</v>
      </c>
      <c r="DQ152" s="161">
        <f t="shared" si="105"/>
        <v>0</v>
      </c>
      <c r="DR152" s="161">
        <f t="shared" si="106"/>
        <v>0</v>
      </c>
      <c r="DS152" s="161">
        <f t="shared" si="107"/>
        <v>0</v>
      </c>
      <c r="DT152" s="161">
        <f t="shared" si="108"/>
        <v>0</v>
      </c>
      <c r="DU152" s="161">
        <f t="shared" si="109"/>
        <v>0</v>
      </c>
      <c r="DV152" s="161">
        <f t="shared" si="110"/>
        <v>0</v>
      </c>
      <c r="DW152" s="161">
        <f t="shared" si="111"/>
        <v>0</v>
      </c>
      <c r="DX152" s="161">
        <f t="shared" si="112"/>
        <v>0</v>
      </c>
      <c r="DY152" s="161">
        <f t="shared" si="113"/>
        <v>0</v>
      </c>
      <c r="DZ152" s="161">
        <f t="shared" si="114"/>
        <v>0</v>
      </c>
      <c r="EA152" s="161">
        <f t="shared" si="115"/>
        <v>0</v>
      </c>
      <c r="EB152" s="161">
        <f t="shared" si="116"/>
        <v>0</v>
      </c>
      <c r="EC152" s="161">
        <f t="shared" si="117"/>
        <v>0</v>
      </c>
      <c r="ED152" s="161">
        <f t="shared" si="118"/>
        <v>0</v>
      </c>
      <c r="EE152" s="161">
        <f t="shared" si="119"/>
        <v>0</v>
      </c>
      <c r="EF152" s="161">
        <f t="shared" si="120"/>
        <v>0</v>
      </c>
      <c r="EG152" s="161">
        <f t="shared" si="121"/>
        <v>0</v>
      </c>
      <c r="EH152" s="161">
        <f t="shared" si="122"/>
        <v>0</v>
      </c>
      <c r="EI152" s="161">
        <f t="shared" si="123"/>
        <v>0</v>
      </c>
      <c r="EJ152" s="161">
        <f t="shared" si="124"/>
        <v>0</v>
      </c>
      <c r="EK152" s="147">
        <f t="shared" ref="EK152:EK183" si="174">IF(DF152="", "", SUM(DF152:EJ152))</f>
        <v>0</v>
      </c>
      <c r="EL152" s="149"/>
      <c r="EN152" s="151"/>
      <c r="EO152" s="151"/>
      <c r="EP152" s="139">
        <f t="shared" ref="EP152:EP183" si="175">IF(DF152="", "", DF152*G$36)</f>
        <v>0</v>
      </c>
      <c r="EQ152" s="139">
        <f t="shared" ref="EQ152:EQ183" si="176">IF(DG152="", "", DG152*H$36)</f>
        <v>0</v>
      </c>
      <c r="ER152" s="139">
        <f t="shared" ref="ER152:ER183" si="177">IF(DH152="", "", DH152*I$36)</f>
        <v>0</v>
      </c>
      <c r="ES152" s="139">
        <f t="shared" ref="ES152:ES183" si="178">IF(DI152="", "", DI152*J$36)</f>
        <v>0</v>
      </c>
      <c r="ET152" s="139">
        <f t="shared" ref="ET152:ET183" si="179">IF(DJ152="", "", DJ152*K$36)</f>
        <v>0</v>
      </c>
      <c r="EU152" s="139">
        <f t="shared" ref="EU152:EU183" si="180">IF(DK152="", "", DK152*L$36)</f>
        <v>0</v>
      </c>
      <c r="EV152" s="139">
        <f t="shared" ref="EV152:EV183" si="181">IF(DL152="", "", DL152*M$36)</f>
        <v>0</v>
      </c>
      <c r="EW152" s="139">
        <f t="shared" ref="EW152:EW183" si="182">IF(DM152="", "", DM152*N$36)</f>
        <v>0</v>
      </c>
      <c r="EX152" s="139">
        <f t="shared" ref="EX152:EX183" si="183">IF(DN152="", "", DN152*O$36)</f>
        <v>0</v>
      </c>
      <c r="EY152" s="139">
        <f t="shared" ref="EY152:EY183" si="184">IF(DO152="", "", DO152*P$36)</f>
        <v>0</v>
      </c>
      <c r="EZ152" s="139">
        <f t="shared" ref="EZ152:EZ183" si="185">IF(DP152="", "", DP152*Q$36)</f>
        <v>0</v>
      </c>
      <c r="FA152" s="139">
        <f t="shared" ref="FA152:FA183" si="186">IF(DQ152="", "", DQ152*R$36)</f>
        <v>0</v>
      </c>
      <c r="FB152" s="139">
        <f t="shared" ref="FB152:FB183" si="187">IF(DR152="", "", DR152*S$36)</f>
        <v>0</v>
      </c>
      <c r="FC152" s="139">
        <f t="shared" ref="FC152:FC183" si="188">IF(DS152="", "", DS152*T$36)</f>
        <v>0</v>
      </c>
      <c r="FD152" s="139">
        <f t="shared" ref="FD152:FD183" si="189">IF(DT152="", "", DT152*U$36)</f>
        <v>0</v>
      </c>
      <c r="FE152" s="139">
        <f t="shared" ref="FE152:FE183" si="190">IF(DU152="", "", DU152*V$36)</f>
        <v>0</v>
      </c>
      <c r="FF152" s="139">
        <f t="shared" ref="FF152:FF183" si="191">IF(DV152="", "", DV152*W$36)</f>
        <v>0</v>
      </c>
      <c r="FG152" s="139">
        <f t="shared" ref="FG152:FG183" si="192">IF(DW152="", "", DW152*X$36)</f>
        <v>0</v>
      </c>
      <c r="FH152" s="139">
        <f t="shared" ref="FH152:FH183" si="193">IF(DX152="", "", DX152*Y$36)</f>
        <v>0</v>
      </c>
      <c r="FI152" s="139">
        <f t="shared" ref="FI152:FI183" si="194">IF(DY152="", "", DY152*Z$36)</f>
        <v>0</v>
      </c>
      <c r="FJ152" s="139">
        <f t="shared" ref="FJ152:FJ183" si="195">IF(DZ152="", "", DZ152*AA$36)</f>
        <v>0</v>
      </c>
      <c r="FK152" s="139">
        <f t="shared" ref="FK152:FK183" si="196">IF(EA152="", "", EA152*AB$36)</f>
        <v>0</v>
      </c>
      <c r="FL152" s="139">
        <f t="shared" ref="FL152:FL183" si="197">IF(EB152="", "", EB152*AC$36)</f>
        <v>0</v>
      </c>
      <c r="FM152" s="139">
        <f t="shared" ref="FM152:FM183" si="198">IF(EC152="", "", EC152*AD$36)</f>
        <v>0</v>
      </c>
      <c r="FN152" s="139">
        <f t="shared" ref="FN152:FN183" si="199">IF(ED152="", "", ED152*AE$36)</f>
        <v>0</v>
      </c>
      <c r="FO152" s="139">
        <f t="shared" ref="FO152:FO183" si="200">IF(EE152="", "", EE152*AF$36)</f>
        <v>0</v>
      </c>
      <c r="FP152" s="139">
        <f t="shared" ref="FP152:FP183" si="201">IF(EF152="", "", EF152*AG$36)</f>
        <v>0</v>
      </c>
      <c r="FQ152" s="139">
        <f t="shared" ref="FQ152:FQ183" si="202">IF(EG152="", "", EG152*AH$36)</f>
        <v>0</v>
      </c>
      <c r="FR152" s="139">
        <f t="shared" ref="FR152:FR183" si="203">IF(EH152="", "", EH152*AI$36)</f>
        <v>0</v>
      </c>
      <c r="FS152" s="139">
        <f t="shared" ref="FS152:FS183" si="204">IF(EI152="", "", EI152*AJ$36)</f>
        <v>0</v>
      </c>
      <c r="FT152" s="139">
        <f t="shared" ref="FT152:FT183" si="205">IF(EJ152="", "", EJ152*AK$36)</f>
        <v>0</v>
      </c>
      <c r="FU152" s="148">
        <f t="shared" ref="FU152:FU183" si="206">IF(EP152="","",SUM(EP152:FT152))</f>
        <v>0</v>
      </c>
      <c r="FV152" s="149"/>
      <c r="FY152" s="210">
        <v>147</v>
      </c>
      <c r="FZ152" s="205"/>
      <c r="GA152" s="205"/>
      <c r="GB152" s="205"/>
      <c r="GC152" s="205"/>
      <c r="GD152" s="205"/>
      <c r="GE152" s="205"/>
      <c r="GF152" s="205"/>
      <c r="GG152" s="205"/>
      <c r="GH152" s="205"/>
      <c r="GI152" s="205"/>
      <c r="GJ152" s="205"/>
      <c r="GK152" s="205"/>
      <c r="GL152" s="205"/>
      <c r="GM152" s="205"/>
    </row>
    <row r="153" spans="1:195" s="7" customFormat="1">
      <c r="A153" s="77"/>
      <c r="B153" s="76">
        <f t="shared" ca="1" si="171"/>
        <v>0.6616632518158323</v>
      </c>
      <c r="C153">
        <v>2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34.722222222222221</v>
      </c>
      <c r="K153">
        <v>104.16666666666667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/>
      <c r="AO153"/>
      <c r="AP153"/>
      <c r="AQ153"/>
      <c r="AR153"/>
      <c r="AS153"/>
      <c r="AT153"/>
      <c r="AU153"/>
      <c r="AV153"/>
      <c r="AW153"/>
      <c r="AX153" s="151"/>
      <c r="AY153" s="76">
        <f t="shared" ca="1" si="172"/>
        <v>0.15898638656532027</v>
      </c>
      <c r="AZ153">
        <v>6</v>
      </c>
      <c r="BA153" s="129">
        <f t="shared" si="170"/>
        <v>39847</v>
      </c>
      <c r="BB153">
        <v>0</v>
      </c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 s="147"/>
      <c r="CH153" s="176"/>
      <c r="CJ153" s="151"/>
      <c r="CK153" s="76">
        <f t="shared" ref="CK153:CK207" ca="1" si="207">IF(AZ153="", "", RAND())</f>
        <v>0.90861626252208927</v>
      </c>
      <c r="CL153" s="179">
        <f t="shared" ref="CL153:CL207" si="208">IF(AZ153="", "", AZ153)</f>
        <v>6</v>
      </c>
      <c r="CM153" s="180">
        <f t="shared" ref="CM153:CM207" si="209">IF(AZ153="", "", BA153)</f>
        <v>39847</v>
      </c>
      <c r="CN153"/>
      <c r="CO153"/>
      <c r="CP153"/>
      <c r="CQ153"/>
      <c r="CR153"/>
      <c r="CS153"/>
      <c r="CT153"/>
      <c r="CU153"/>
      <c r="CV153" s="160"/>
      <c r="CW153">
        <v>1</v>
      </c>
      <c r="CX153">
        <v>1</v>
      </c>
      <c r="CY153" s="160"/>
      <c r="CZ153" s="177">
        <f t="shared" ref="CZ153:CZ207" si="210">IF(AZ153="", "", $G$15)</f>
        <v>9.6000000000000002E-2</v>
      </c>
      <c r="DB153" s="151"/>
      <c r="DC153" s="76">
        <f t="shared" ca="1" si="173"/>
        <v>0.60779900646444496</v>
      </c>
      <c r="DD153">
        <f t="shared" ref="DD153:DD207" si="211">IF(AZ153="", "", AZ153)</f>
        <v>6</v>
      </c>
      <c r="DE153" s="129">
        <f t="shared" si="169"/>
        <v>39847</v>
      </c>
      <c r="DF153" s="161">
        <f t="shared" ref="DF153:DF187" si="212">IF($AZ153="", "", ((BB153*$CW153)+(CN153*$CX153))/$CZ153)</f>
        <v>0</v>
      </c>
      <c r="DG153" s="161">
        <f t="shared" ref="DG153:DG187" si="213">IF($AZ153="", "", ((BC153*$CW153)+(CO153*$CX153))/$CZ153)</f>
        <v>0</v>
      </c>
      <c r="DH153" s="161">
        <f t="shared" ref="DH153:DH187" si="214">IF($AZ153="", "", ((BD153*$CW153)+(CP153*$CX153))/$CZ153)</f>
        <v>0</v>
      </c>
      <c r="DI153" s="161">
        <f t="shared" ref="DI153:DI187" si="215">IF($AZ153="", "", ((BE153*$CW153)+(CQ153*$CX153))/$CZ153)</f>
        <v>0</v>
      </c>
      <c r="DJ153" s="161">
        <f t="shared" ref="DJ153:DJ187" si="216">IF($AZ153="", "", ((BF153*$CW153)+(CR153*$CX153))/$CZ153)</f>
        <v>0</v>
      </c>
      <c r="DK153" s="161">
        <f t="shared" ref="DK153:DK187" si="217">IF($AZ153="", "", ((BG153*$CW153)+(CS153*$CX153))/$CZ153)</f>
        <v>0</v>
      </c>
      <c r="DL153" s="161">
        <f t="shared" ref="DL153:DL187" si="218">IF($AZ153="", "", ((BH153*$CW153)+(CT153*$CX153))/$CZ153)</f>
        <v>0</v>
      </c>
      <c r="DM153" s="161">
        <f t="shared" ref="DM153:DM187" si="219">IF($AZ153="", "", ((BI153*$CW153)+(CU153*$CX153))/$CZ153)</f>
        <v>0</v>
      </c>
      <c r="DN153" s="161">
        <f t="shared" ref="DN153:DN187" si="220">IF($AZ153="", "", (BJ153*$CW153)/$CZ153)</f>
        <v>0</v>
      </c>
      <c r="DO153" s="161">
        <f t="shared" ref="DO153:DO187" si="221">IF($AZ153="", "", (BK153*$CW153)/$CZ153)</f>
        <v>0</v>
      </c>
      <c r="DP153" s="161">
        <f t="shared" ref="DP153:DP187" si="222">IF($AZ153="", "", (BL153*$CW153)/$CZ153)</f>
        <v>0</v>
      </c>
      <c r="DQ153" s="161">
        <f t="shared" ref="DQ153:DQ187" si="223">IF($AZ153="", "", (BM153*$CW153)/$CZ153)</f>
        <v>0</v>
      </c>
      <c r="DR153" s="161">
        <f t="shared" ref="DR153:DR187" si="224">IF($AZ153="", "", (BN153*$CW153)/$CZ153)</f>
        <v>0</v>
      </c>
      <c r="DS153" s="161">
        <f t="shared" ref="DS153:DS187" si="225">IF($AZ153="", "", (BO153*$CW153)/$CZ153)</f>
        <v>0</v>
      </c>
      <c r="DT153" s="161">
        <f t="shared" ref="DT153:DT187" si="226">IF($AZ153="", "", (BP153*$CW153)/$CZ153)</f>
        <v>0</v>
      </c>
      <c r="DU153" s="161">
        <f t="shared" ref="DU153:DU187" si="227">IF($AZ153="", "", (BQ153*$CW153)/$CZ153)</f>
        <v>0</v>
      </c>
      <c r="DV153" s="161">
        <f t="shared" ref="DV153:DV187" si="228">IF($AZ153="", "", (BR153*$CW153)/$CZ153)</f>
        <v>0</v>
      </c>
      <c r="DW153" s="161">
        <f t="shared" ref="DW153:DW187" si="229">IF($AZ153="", "", (BS153*$CW153)/$CZ153)</f>
        <v>0</v>
      </c>
      <c r="DX153" s="161">
        <f t="shared" ref="DX153:DX187" si="230">IF($AZ153="", "", (BT153*$CW153)/$CZ153)</f>
        <v>0</v>
      </c>
      <c r="DY153" s="161">
        <f t="shared" ref="DY153:DY187" si="231">IF($AZ153="", "", (BU153*$CW153)/$CZ153)</f>
        <v>0</v>
      </c>
      <c r="DZ153" s="161">
        <f t="shared" ref="DZ153:DZ187" si="232">IF($AZ153="", "", (BV153*$CW153)/$CZ153)</f>
        <v>0</v>
      </c>
      <c r="EA153" s="161">
        <f t="shared" ref="EA153:EA187" si="233">IF($AZ153="", "", (BW153*$CW153)/$CZ153)</f>
        <v>0</v>
      </c>
      <c r="EB153" s="161">
        <f t="shared" ref="EB153:EB187" si="234">IF($AZ153="", "", (BX153*$CW153)/$CZ153)</f>
        <v>0</v>
      </c>
      <c r="EC153" s="161">
        <f t="shared" ref="EC153:EC187" si="235">IF($AZ153="", "", (BY153*$CW153)/$CZ153)</f>
        <v>0</v>
      </c>
      <c r="ED153" s="161">
        <f t="shared" ref="ED153:ED187" si="236">IF($AZ153="", "", (BZ153*$CW153)/$CZ153)</f>
        <v>0</v>
      </c>
      <c r="EE153" s="161">
        <f t="shared" ref="EE153:EE187" si="237">IF($AZ153="", "", (CA153*$CW153)/$CZ153)</f>
        <v>0</v>
      </c>
      <c r="EF153" s="161">
        <f t="shared" ref="EF153:EF187" si="238">IF($AZ153="", "", (CB153*$CW153)/$CZ153)</f>
        <v>0</v>
      </c>
      <c r="EG153" s="161">
        <f t="shared" ref="EG153:EG187" si="239">IF($AZ153="", "", (CC153*$CW153)/$CZ153)</f>
        <v>0</v>
      </c>
      <c r="EH153" s="161">
        <f t="shared" ref="EH153:EH187" si="240">IF($AZ153="", "", (CD153*$CW153)/$CZ153)</f>
        <v>0</v>
      </c>
      <c r="EI153" s="161">
        <f t="shared" ref="EI153:EI187" si="241">IF($AZ153="", "", (CE153*$CW153)/$CZ153)</f>
        <v>0</v>
      </c>
      <c r="EJ153" s="161">
        <f t="shared" ref="EJ153:EJ187" si="242">IF($AZ153="", "", (CF153*$CW153)/$CZ153)</f>
        <v>0</v>
      </c>
      <c r="EK153" s="147">
        <f t="shared" si="174"/>
        <v>0</v>
      </c>
      <c r="EL153" s="149"/>
      <c r="EN153" s="151"/>
      <c r="EO153" s="151"/>
      <c r="EP153" s="139">
        <f t="shared" si="175"/>
        <v>0</v>
      </c>
      <c r="EQ153" s="139">
        <f t="shared" si="176"/>
        <v>0</v>
      </c>
      <c r="ER153" s="139">
        <f t="shared" si="177"/>
        <v>0</v>
      </c>
      <c r="ES153" s="139">
        <f t="shared" si="178"/>
        <v>0</v>
      </c>
      <c r="ET153" s="139">
        <f t="shared" si="179"/>
        <v>0</v>
      </c>
      <c r="EU153" s="139">
        <f t="shared" si="180"/>
        <v>0</v>
      </c>
      <c r="EV153" s="139">
        <f t="shared" si="181"/>
        <v>0</v>
      </c>
      <c r="EW153" s="139">
        <f t="shared" si="182"/>
        <v>0</v>
      </c>
      <c r="EX153" s="139">
        <f t="shared" si="183"/>
        <v>0</v>
      </c>
      <c r="EY153" s="139">
        <f t="shared" si="184"/>
        <v>0</v>
      </c>
      <c r="EZ153" s="139">
        <f t="shared" si="185"/>
        <v>0</v>
      </c>
      <c r="FA153" s="139">
        <f t="shared" si="186"/>
        <v>0</v>
      </c>
      <c r="FB153" s="139">
        <f t="shared" si="187"/>
        <v>0</v>
      </c>
      <c r="FC153" s="139">
        <f t="shared" si="188"/>
        <v>0</v>
      </c>
      <c r="FD153" s="139">
        <f t="shared" si="189"/>
        <v>0</v>
      </c>
      <c r="FE153" s="139">
        <f t="shared" si="190"/>
        <v>0</v>
      </c>
      <c r="FF153" s="139">
        <f t="shared" si="191"/>
        <v>0</v>
      </c>
      <c r="FG153" s="139">
        <f t="shared" si="192"/>
        <v>0</v>
      </c>
      <c r="FH153" s="139">
        <f t="shared" si="193"/>
        <v>0</v>
      </c>
      <c r="FI153" s="139">
        <f t="shared" si="194"/>
        <v>0</v>
      </c>
      <c r="FJ153" s="139">
        <f t="shared" si="195"/>
        <v>0</v>
      </c>
      <c r="FK153" s="139">
        <f t="shared" si="196"/>
        <v>0</v>
      </c>
      <c r="FL153" s="139">
        <f t="shared" si="197"/>
        <v>0</v>
      </c>
      <c r="FM153" s="139">
        <f t="shared" si="198"/>
        <v>0</v>
      </c>
      <c r="FN153" s="139">
        <f t="shared" si="199"/>
        <v>0</v>
      </c>
      <c r="FO153" s="139">
        <f t="shared" si="200"/>
        <v>0</v>
      </c>
      <c r="FP153" s="139">
        <f t="shared" si="201"/>
        <v>0</v>
      </c>
      <c r="FQ153" s="139">
        <f t="shared" si="202"/>
        <v>0</v>
      </c>
      <c r="FR153" s="139">
        <f t="shared" si="203"/>
        <v>0</v>
      </c>
      <c r="FS153" s="139">
        <f t="shared" si="204"/>
        <v>0</v>
      </c>
      <c r="FT153" s="139">
        <f t="shared" si="205"/>
        <v>0</v>
      </c>
      <c r="FU153" s="148">
        <f t="shared" si="206"/>
        <v>0</v>
      </c>
      <c r="FV153" s="149"/>
      <c r="FY153" s="210">
        <v>148</v>
      </c>
      <c r="FZ153" s="205"/>
      <c r="GA153" s="205"/>
      <c r="GB153" s="205"/>
      <c r="GC153" s="205"/>
      <c r="GD153" s="205"/>
      <c r="GE153" s="205"/>
      <c r="GF153" s="205"/>
      <c r="GG153" s="205"/>
      <c r="GH153" s="205"/>
      <c r="GI153" s="205"/>
      <c r="GJ153" s="205"/>
      <c r="GK153" s="205"/>
      <c r="GL153" s="205"/>
      <c r="GM153" s="205"/>
    </row>
    <row r="154" spans="1:195" s="7" customFormat="1">
      <c r="A154" s="77"/>
      <c r="B154" s="76">
        <f t="shared" ca="1" si="171"/>
        <v>0.44433080936139469</v>
      </c>
      <c r="C154">
        <v>7</v>
      </c>
      <c r="D154">
        <v>39847</v>
      </c>
      <c r="E154">
        <v>0</v>
      </c>
      <c r="F154">
        <v>0</v>
      </c>
      <c r="G154">
        <v>10.416666666666666</v>
      </c>
      <c r="H154">
        <v>31.25</v>
      </c>
      <c r="I154">
        <v>0</v>
      </c>
      <c r="J154">
        <v>10.416666666666666</v>
      </c>
      <c r="K154">
        <v>31.25</v>
      </c>
      <c r="L154">
        <v>10.416666666666666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/>
      <c r="AO154"/>
      <c r="AP154"/>
      <c r="AQ154"/>
      <c r="AR154"/>
      <c r="AS154"/>
      <c r="AT154"/>
      <c r="AU154"/>
      <c r="AV154"/>
      <c r="AW154"/>
      <c r="AX154" s="151"/>
      <c r="AY154" s="76">
        <f t="shared" ca="1" si="172"/>
        <v>0.23231114094951422</v>
      </c>
      <c r="AZ154">
        <v>7</v>
      </c>
      <c r="BA154" s="129">
        <f t="shared" si="170"/>
        <v>39847</v>
      </c>
      <c r="BB154">
        <v>0</v>
      </c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 s="147"/>
      <c r="CH154" s="176"/>
      <c r="CJ154" s="151"/>
      <c r="CK154" s="76">
        <f t="shared" ca="1" si="207"/>
        <v>0.80777673276006401</v>
      </c>
      <c r="CL154" s="179">
        <f t="shared" si="208"/>
        <v>7</v>
      </c>
      <c r="CM154" s="180">
        <f t="shared" si="209"/>
        <v>39847</v>
      </c>
      <c r="CN154"/>
      <c r="CO154"/>
      <c r="CP154"/>
      <c r="CQ154"/>
      <c r="CR154"/>
      <c r="CS154"/>
      <c r="CT154"/>
      <c r="CU154"/>
      <c r="CV154" s="160"/>
      <c r="CW154">
        <v>1</v>
      </c>
      <c r="CX154">
        <v>1</v>
      </c>
      <c r="CY154" s="165"/>
      <c r="CZ154" s="177">
        <f t="shared" si="210"/>
        <v>9.6000000000000002E-2</v>
      </c>
      <c r="DB154" s="151"/>
      <c r="DC154" s="76">
        <f t="shared" ca="1" si="173"/>
        <v>0.58605644999708995</v>
      </c>
      <c r="DD154">
        <f t="shared" si="211"/>
        <v>7</v>
      </c>
      <c r="DE154" s="129">
        <f t="shared" si="169"/>
        <v>39847</v>
      </c>
      <c r="DF154" s="161">
        <f t="shared" si="212"/>
        <v>0</v>
      </c>
      <c r="DG154" s="161">
        <f t="shared" si="213"/>
        <v>0</v>
      </c>
      <c r="DH154" s="161">
        <f t="shared" si="214"/>
        <v>0</v>
      </c>
      <c r="DI154" s="161">
        <f t="shared" si="215"/>
        <v>0</v>
      </c>
      <c r="DJ154" s="161">
        <f t="shared" si="216"/>
        <v>0</v>
      </c>
      <c r="DK154" s="161">
        <f t="shared" si="217"/>
        <v>0</v>
      </c>
      <c r="DL154" s="161">
        <f t="shared" si="218"/>
        <v>0</v>
      </c>
      <c r="DM154" s="161">
        <f t="shared" si="219"/>
        <v>0</v>
      </c>
      <c r="DN154" s="161">
        <f t="shared" si="220"/>
        <v>0</v>
      </c>
      <c r="DO154" s="161">
        <f t="shared" si="221"/>
        <v>0</v>
      </c>
      <c r="DP154" s="161">
        <f t="shared" si="222"/>
        <v>0</v>
      </c>
      <c r="DQ154" s="161">
        <f t="shared" si="223"/>
        <v>0</v>
      </c>
      <c r="DR154" s="161">
        <f t="shared" si="224"/>
        <v>0</v>
      </c>
      <c r="DS154" s="161">
        <f t="shared" si="225"/>
        <v>0</v>
      </c>
      <c r="DT154" s="161">
        <f t="shared" si="226"/>
        <v>0</v>
      </c>
      <c r="DU154" s="161">
        <f t="shared" si="227"/>
        <v>0</v>
      </c>
      <c r="DV154" s="161">
        <f t="shared" si="228"/>
        <v>0</v>
      </c>
      <c r="DW154" s="161">
        <f t="shared" si="229"/>
        <v>0</v>
      </c>
      <c r="DX154" s="161">
        <f t="shared" si="230"/>
        <v>0</v>
      </c>
      <c r="DY154" s="161">
        <f t="shared" si="231"/>
        <v>0</v>
      </c>
      <c r="DZ154" s="161">
        <f t="shared" si="232"/>
        <v>0</v>
      </c>
      <c r="EA154" s="161">
        <f t="shared" si="233"/>
        <v>0</v>
      </c>
      <c r="EB154" s="161">
        <f t="shared" si="234"/>
        <v>0</v>
      </c>
      <c r="EC154" s="161">
        <f t="shared" si="235"/>
        <v>0</v>
      </c>
      <c r="ED154" s="161">
        <f t="shared" si="236"/>
        <v>0</v>
      </c>
      <c r="EE154" s="161">
        <f t="shared" si="237"/>
        <v>0</v>
      </c>
      <c r="EF154" s="161">
        <f t="shared" si="238"/>
        <v>0</v>
      </c>
      <c r="EG154" s="161">
        <f t="shared" si="239"/>
        <v>0</v>
      </c>
      <c r="EH154" s="161">
        <f t="shared" si="240"/>
        <v>0</v>
      </c>
      <c r="EI154" s="161">
        <f t="shared" si="241"/>
        <v>0</v>
      </c>
      <c r="EJ154" s="161">
        <f t="shared" si="242"/>
        <v>0</v>
      </c>
      <c r="EK154" s="147">
        <f t="shared" si="174"/>
        <v>0</v>
      </c>
      <c r="EL154" s="149"/>
      <c r="EN154" s="151"/>
      <c r="EO154" s="151"/>
      <c r="EP154" s="139">
        <f t="shared" si="175"/>
        <v>0</v>
      </c>
      <c r="EQ154" s="139">
        <f t="shared" si="176"/>
        <v>0</v>
      </c>
      <c r="ER154" s="139">
        <f t="shared" si="177"/>
        <v>0</v>
      </c>
      <c r="ES154" s="139">
        <f t="shared" si="178"/>
        <v>0</v>
      </c>
      <c r="ET154" s="139">
        <f t="shared" si="179"/>
        <v>0</v>
      </c>
      <c r="EU154" s="139">
        <f t="shared" si="180"/>
        <v>0</v>
      </c>
      <c r="EV154" s="139">
        <f t="shared" si="181"/>
        <v>0</v>
      </c>
      <c r="EW154" s="139">
        <f t="shared" si="182"/>
        <v>0</v>
      </c>
      <c r="EX154" s="139">
        <f t="shared" si="183"/>
        <v>0</v>
      </c>
      <c r="EY154" s="139">
        <f t="shared" si="184"/>
        <v>0</v>
      </c>
      <c r="EZ154" s="139">
        <f t="shared" si="185"/>
        <v>0</v>
      </c>
      <c r="FA154" s="139">
        <f t="shared" si="186"/>
        <v>0</v>
      </c>
      <c r="FB154" s="139">
        <f t="shared" si="187"/>
        <v>0</v>
      </c>
      <c r="FC154" s="139">
        <f t="shared" si="188"/>
        <v>0</v>
      </c>
      <c r="FD154" s="139">
        <f t="shared" si="189"/>
        <v>0</v>
      </c>
      <c r="FE154" s="139">
        <f t="shared" si="190"/>
        <v>0</v>
      </c>
      <c r="FF154" s="139">
        <f t="shared" si="191"/>
        <v>0</v>
      </c>
      <c r="FG154" s="139">
        <f t="shared" si="192"/>
        <v>0</v>
      </c>
      <c r="FH154" s="139">
        <f t="shared" si="193"/>
        <v>0</v>
      </c>
      <c r="FI154" s="139">
        <f t="shared" si="194"/>
        <v>0</v>
      </c>
      <c r="FJ154" s="139">
        <f t="shared" si="195"/>
        <v>0</v>
      </c>
      <c r="FK154" s="139">
        <f t="shared" si="196"/>
        <v>0</v>
      </c>
      <c r="FL154" s="139">
        <f t="shared" si="197"/>
        <v>0</v>
      </c>
      <c r="FM154" s="139">
        <f t="shared" si="198"/>
        <v>0</v>
      </c>
      <c r="FN154" s="139">
        <f t="shared" si="199"/>
        <v>0</v>
      </c>
      <c r="FO154" s="139">
        <f t="shared" si="200"/>
        <v>0</v>
      </c>
      <c r="FP154" s="139">
        <f t="shared" si="201"/>
        <v>0</v>
      </c>
      <c r="FQ154" s="139">
        <f t="shared" si="202"/>
        <v>0</v>
      </c>
      <c r="FR154" s="139">
        <f t="shared" si="203"/>
        <v>0</v>
      </c>
      <c r="FS154" s="139">
        <f t="shared" si="204"/>
        <v>0</v>
      </c>
      <c r="FT154" s="139">
        <f t="shared" si="205"/>
        <v>0</v>
      </c>
      <c r="FU154" s="148">
        <f t="shared" si="206"/>
        <v>0</v>
      </c>
      <c r="FV154" s="149"/>
      <c r="FY154" s="210">
        <v>149</v>
      </c>
      <c r="FZ154" s="205"/>
      <c r="GA154" s="205"/>
      <c r="GB154" s="205"/>
      <c r="GC154" s="205"/>
      <c r="GD154" s="205"/>
      <c r="GE154" s="205"/>
      <c r="GF154" s="205"/>
      <c r="GG154" s="205"/>
      <c r="GH154" s="205"/>
      <c r="GI154" s="205"/>
      <c r="GJ154" s="205"/>
      <c r="GK154" s="205"/>
      <c r="GL154" s="205"/>
      <c r="GM154" s="205"/>
    </row>
    <row r="155" spans="1:195" s="7" customFormat="1">
      <c r="A155" s="77"/>
      <c r="B155" s="76">
        <f t="shared" ca="1" si="171"/>
        <v>5.2119163758503007E-2</v>
      </c>
      <c r="C155">
        <v>8</v>
      </c>
      <c r="D155">
        <v>39847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/>
      <c r="AO155"/>
      <c r="AP155"/>
      <c r="AQ155"/>
      <c r="AR155"/>
      <c r="AS155"/>
      <c r="AT155"/>
      <c r="AU155"/>
      <c r="AV155"/>
      <c r="AW155"/>
      <c r="AX155" s="151"/>
      <c r="AY155" s="76">
        <f t="shared" ca="1" si="172"/>
        <v>0.87417728530876104</v>
      </c>
      <c r="AZ155">
        <v>8</v>
      </c>
      <c r="BA155" s="129">
        <f t="shared" si="170"/>
        <v>39847</v>
      </c>
      <c r="BB155">
        <v>0</v>
      </c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 s="147"/>
      <c r="CH155" s="176"/>
      <c r="CJ155" s="151"/>
      <c r="CK155" s="76">
        <f t="shared" ca="1" si="207"/>
        <v>0.49395474847316501</v>
      </c>
      <c r="CL155" s="179">
        <f t="shared" si="208"/>
        <v>8</v>
      </c>
      <c r="CM155" s="180">
        <f t="shared" si="209"/>
        <v>39847</v>
      </c>
      <c r="CN155">
        <v>0</v>
      </c>
      <c r="CO155"/>
      <c r="CP155"/>
      <c r="CQ155"/>
      <c r="CR155"/>
      <c r="CS155"/>
      <c r="CT155"/>
      <c r="CU155"/>
      <c r="CV155" s="160"/>
      <c r="CW155">
        <v>1</v>
      </c>
      <c r="CX155">
        <f>360/54</f>
        <v>6.666666666666667</v>
      </c>
      <c r="CY155" s="165"/>
      <c r="CZ155" s="177">
        <f t="shared" si="210"/>
        <v>9.6000000000000002E-2</v>
      </c>
      <c r="DB155" s="151"/>
      <c r="DC155" s="76">
        <f t="shared" ca="1" si="173"/>
        <v>0.29970930571440224</v>
      </c>
      <c r="DD155">
        <f t="shared" si="211"/>
        <v>8</v>
      </c>
      <c r="DE155" s="129">
        <f t="shared" si="169"/>
        <v>39847</v>
      </c>
      <c r="DF155" s="161">
        <f t="shared" si="212"/>
        <v>0</v>
      </c>
      <c r="DG155" s="161">
        <f t="shared" si="213"/>
        <v>0</v>
      </c>
      <c r="DH155" s="161">
        <f t="shared" si="214"/>
        <v>0</v>
      </c>
      <c r="DI155" s="161">
        <f t="shared" si="215"/>
        <v>0</v>
      </c>
      <c r="DJ155" s="161">
        <f t="shared" si="216"/>
        <v>0</v>
      </c>
      <c r="DK155" s="161">
        <f t="shared" si="217"/>
        <v>0</v>
      </c>
      <c r="DL155" s="161">
        <f t="shared" si="218"/>
        <v>0</v>
      </c>
      <c r="DM155" s="161">
        <f t="shared" si="219"/>
        <v>0</v>
      </c>
      <c r="DN155" s="161">
        <f t="shared" si="220"/>
        <v>0</v>
      </c>
      <c r="DO155" s="161">
        <f t="shared" si="221"/>
        <v>0</v>
      </c>
      <c r="DP155" s="161">
        <f t="shared" si="222"/>
        <v>0</v>
      </c>
      <c r="DQ155" s="161">
        <f t="shared" si="223"/>
        <v>0</v>
      </c>
      <c r="DR155" s="161">
        <f t="shared" si="224"/>
        <v>0</v>
      </c>
      <c r="DS155" s="161">
        <f t="shared" si="225"/>
        <v>0</v>
      </c>
      <c r="DT155" s="161">
        <f t="shared" si="226"/>
        <v>0</v>
      </c>
      <c r="DU155" s="161">
        <f t="shared" si="227"/>
        <v>0</v>
      </c>
      <c r="DV155" s="161">
        <f t="shared" si="228"/>
        <v>0</v>
      </c>
      <c r="DW155" s="161">
        <f t="shared" si="229"/>
        <v>0</v>
      </c>
      <c r="DX155" s="161">
        <f t="shared" si="230"/>
        <v>0</v>
      </c>
      <c r="DY155" s="161">
        <f t="shared" si="231"/>
        <v>0</v>
      </c>
      <c r="DZ155" s="161">
        <f t="shared" si="232"/>
        <v>0</v>
      </c>
      <c r="EA155" s="161">
        <f t="shared" si="233"/>
        <v>0</v>
      </c>
      <c r="EB155" s="161">
        <f t="shared" si="234"/>
        <v>0</v>
      </c>
      <c r="EC155" s="161">
        <f t="shared" si="235"/>
        <v>0</v>
      </c>
      <c r="ED155" s="161">
        <f t="shared" si="236"/>
        <v>0</v>
      </c>
      <c r="EE155" s="161">
        <f t="shared" si="237"/>
        <v>0</v>
      </c>
      <c r="EF155" s="161">
        <f t="shared" si="238"/>
        <v>0</v>
      </c>
      <c r="EG155" s="161">
        <f t="shared" si="239"/>
        <v>0</v>
      </c>
      <c r="EH155" s="161">
        <f t="shared" si="240"/>
        <v>0</v>
      </c>
      <c r="EI155" s="161">
        <f t="shared" si="241"/>
        <v>0</v>
      </c>
      <c r="EJ155" s="161">
        <f t="shared" si="242"/>
        <v>0</v>
      </c>
      <c r="EK155" s="147">
        <f t="shared" si="174"/>
        <v>0</v>
      </c>
      <c r="EL155" s="149"/>
      <c r="EN155" s="151"/>
      <c r="EO155" s="151"/>
      <c r="EP155" s="139">
        <f t="shared" si="175"/>
        <v>0</v>
      </c>
      <c r="EQ155" s="139">
        <f t="shared" si="176"/>
        <v>0</v>
      </c>
      <c r="ER155" s="139">
        <f t="shared" si="177"/>
        <v>0</v>
      </c>
      <c r="ES155" s="139">
        <f t="shared" si="178"/>
        <v>0</v>
      </c>
      <c r="ET155" s="139">
        <f t="shared" si="179"/>
        <v>0</v>
      </c>
      <c r="EU155" s="139">
        <f t="shared" si="180"/>
        <v>0</v>
      </c>
      <c r="EV155" s="139">
        <f t="shared" si="181"/>
        <v>0</v>
      </c>
      <c r="EW155" s="139">
        <f t="shared" si="182"/>
        <v>0</v>
      </c>
      <c r="EX155" s="139">
        <f t="shared" si="183"/>
        <v>0</v>
      </c>
      <c r="EY155" s="139">
        <f t="shared" si="184"/>
        <v>0</v>
      </c>
      <c r="EZ155" s="139">
        <f t="shared" si="185"/>
        <v>0</v>
      </c>
      <c r="FA155" s="139">
        <f t="shared" si="186"/>
        <v>0</v>
      </c>
      <c r="FB155" s="139">
        <f t="shared" si="187"/>
        <v>0</v>
      </c>
      <c r="FC155" s="139">
        <f t="shared" si="188"/>
        <v>0</v>
      </c>
      <c r="FD155" s="139">
        <f t="shared" si="189"/>
        <v>0</v>
      </c>
      <c r="FE155" s="139">
        <f t="shared" si="190"/>
        <v>0</v>
      </c>
      <c r="FF155" s="139">
        <f t="shared" si="191"/>
        <v>0</v>
      </c>
      <c r="FG155" s="139">
        <f t="shared" si="192"/>
        <v>0</v>
      </c>
      <c r="FH155" s="139">
        <f t="shared" si="193"/>
        <v>0</v>
      </c>
      <c r="FI155" s="139">
        <f t="shared" si="194"/>
        <v>0</v>
      </c>
      <c r="FJ155" s="139">
        <f t="shared" si="195"/>
        <v>0</v>
      </c>
      <c r="FK155" s="139">
        <f t="shared" si="196"/>
        <v>0</v>
      </c>
      <c r="FL155" s="139">
        <f t="shared" si="197"/>
        <v>0</v>
      </c>
      <c r="FM155" s="139">
        <f t="shared" si="198"/>
        <v>0</v>
      </c>
      <c r="FN155" s="139">
        <f t="shared" si="199"/>
        <v>0</v>
      </c>
      <c r="FO155" s="139">
        <f t="shared" si="200"/>
        <v>0</v>
      </c>
      <c r="FP155" s="139">
        <f t="shared" si="201"/>
        <v>0</v>
      </c>
      <c r="FQ155" s="139">
        <f t="shared" si="202"/>
        <v>0</v>
      </c>
      <c r="FR155" s="139">
        <f t="shared" si="203"/>
        <v>0</v>
      </c>
      <c r="FS155" s="139">
        <f t="shared" si="204"/>
        <v>0</v>
      </c>
      <c r="FT155" s="139">
        <f t="shared" si="205"/>
        <v>0</v>
      </c>
      <c r="FU155" s="148">
        <f t="shared" si="206"/>
        <v>0</v>
      </c>
      <c r="FV155" s="149"/>
      <c r="FY155" s="210">
        <v>150</v>
      </c>
      <c r="FZ155" s="205"/>
      <c r="GA155" s="205"/>
      <c r="GB155" s="205"/>
      <c r="GC155" s="205"/>
      <c r="GD155" s="205"/>
      <c r="GE155" s="205"/>
      <c r="GF155" s="205"/>
      <c r="GG155" s="205"/>
      <c r="GH155" s="205"/>
      <c r="GI155" s="205"/>
      <c r="GJ155" s="205"/>
      <c r="GK155" s="205"/>
      <c r="GL155" s="205"/>
      <c r="GM155" s="205"/>
    </row>
    <row r="156" spans="1:195" s="7" customFormat="1">
      <c r="A156" s="77"/>
      <c r="B156" s="76">
        <f t="shared" ca="1" si="171"/>
        <v>0.79819721556372536</v>
      </c>
      <c r="C156">
        <v>10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10.416666666666666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/>
      <c r="AO156"/>
      <c r="AP156"/>
      <c r="AQ156"/>
      <c r="AR156"/>
      <c r="AS156"/>
      <c r="AT156"/>
      <c r="AU156"/>
      <c r="AV156"/>
      <c r="AW156"/>
      <c r="AX156" s="151"/>
      <c r="AY156" s="76">
        <f t="shared" ca="1" si="172"/>
        <v>0.7258584486403874</v>
      </c>
      <c r="AZ156">
        <v>9</v>
      </c>
      <c r="BA156" s="129">
        <f t="shared" si="170"/>
        <v>39847</v>
      </c>
      <c r="BB156">
        <v>0</v>
      </c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 s="147"/>
      <c r="CH156" s="176"/>
      <c r="CJ156" s="151"/>
      <c r="CK156" s="76">
        <f t="shared" ca="1" si="207"/>
        <v>0.31328012735698563</v>
      </c>
      <c r="CL156" s="179">
        <f t="shared" si="208"/>
        <v>9</v>
      </c>
      <c r="CM156" s="180">
        <f t="shared" si="209"/>
        <v>39847</v>
      </c>
      <c r="CN156" s="219">
        <v>0</v>
      </c>
      <c r="CO156"/>
      <c r="CP156"/>
      <c r="CQ156"/>
      <c r="CR156"/>
      <c r="CS156"/>
      <c r="CT156"/>
      <c r="CU156"/>
      <c r="CV156" s="160"/>
      <c r="CW156">
        <v>1</v>
      </c>
      <c r="CX156">
        <f>350/56</f>
        <v>6.25</v>
      </c>
      <c r="CY156" s="165"/>
      <c r="CZ156" s="177">
        <f t="shared" si="210"/>
        <v>9.6000000000000002E-2</v>
      </c>
      <c r="DB156" s="151"/>
      <c r="DC156" s="76">
        <f t="shared" ca="1" si="173"/>
        <v>0.42484221523659293</v>
      </c>
      <c r="DD156">
        <f t="shared" si="211"/>
        <v>9</v>
      </c>
      <c r="DE156" s="129">
        <f t="shared" si="169"/>
        <v>39847</v>
      </c>
      <c r="DF156" s="161">
        <f t="shared" si="212"/>
        <v>0</v>
      </c>
      <c r="DG156" s="161">
        <f t="shared" si="213"/>
        <v>0</v>
      </c>
      <c r="DH156" s="161">
        <f t="shared" si="214"/>
        <v>0</v>
      </c>
      <c r="DI156" s="161">
        <f t="shared" si="215"/>
        <v>0</v>
      </c>
      <c r="DJ156" s="161">
        <f t="shared" si="216"/>
        <v>0</v>
      </c>
      <c r="DK156" s="161">
        <f t="shared" si="217"/>
        <v>0</v>
      </c>
      <c r="DL156" s="161">
        <f t="shared" si="218"/>
        <v>0</v>
      </c>
      <c r="DM156" s="161">
        <f t="shared" si="219"/>
        <v>0</v>
      </c>
      <c r="DN156" s="161">
        <f t="shared" si="220"/>
        <v>0</v>
      </c>
      <c r="DO156" s="161">
        <f t="shared" si="221"/>
        <v>0</v>
      </c>
      <c r="DP156" s="161">
        <f t="shared" si="222"/>
        <v>0</v>
      </c>
      <c r="DQ156" s="161">
        <f t="shared" si="223"/>
        <v>0</v>
      </c>
      <c r="DR156" s="161">
        <f t="shared" si="224"/>
        <v>0</v>
      </c>
      <c r="DS156" s="161">
        <f t="shared" si="225"/>
        <v>0</v>
      </c>
      <c r="DT156" s="161">
        <f t="shared" si="226"/>
        <v>0</v>
      </c>
      <c r="DU156" s="161">
        <f t="shared" si="227"/>
        <v>0</v>
      </c>
      <c r="DV156" s="161">
        <f t="shared" si="228"/>
        <v>0</v>
      </c>
      <c r="DW156" s="161">
        <f t="shared" si="229"/>
        <v>0</v>
      </c>
      <c r="DX156" s="161">
        <f t="shared" si="230"/>
        <v>0</v>
      </c>
      <c r="DY156" s="161">
        <f t="shared" si="231"/>
        <v>0</v>
      </c>
      <c r="DZ156" s="161">
        <f t="shared" si="232"/>
        <v>0</v>
      </c>
      <c r="EA156" s="161">
        <f t="shared" si="233"/>
        <v>0</v>
      </c>
      <c r="EB156" s="161">
        <f t="shared" si="234"/>
        <v>0</v>
      </c>
      <c r="EC156" s="161">
        <f t="shared" si="235"/>
        <v>0</v>
      </c>
      <c r="ED156" s="161">
        <f t="shared" si="236"/>
        <v>0</v>
      </c>
      <c r="EE156" s="161">
        <f t="shared" si="237"/>
        <v>0</v>
      </c>
      <c r="EF156" s="161">
        <f t="shared" si="238"/>
        <v>0</v>
      </c>
      <c r="EG156" s="161">
        <f t="shared" si="239"/>
        <v>0</v>
      </c>
      <c r="EH156" s="161">
        <f t="shared" si="240"/>
        <v>0</v>
      </c>
      <c r="EI156" s="161">
        <f t="shared" si="241"/>
        <v>0</v>
      </c>
      <c r="EJ156" s="161">
        <f t="shared" si="242"/>
        <v>0</v>
      </c>
      <c r="EK156" s="147">
        <f t="shared" si="174"/>
        <v>0</v>
      </c>
      <c r="EL156" s="149"/>
      <c r="EN156" s="151"/>
      <c r="EO156" s="151"/>
      <c r="EP156" s="139">
        <f t="shared" si="175"/>
        <v>0</v>
      </c>
      <c r="EQ156" s="139">
        <f t="shared" si="176"/>
        <v>0</v>
      </c>
      <c r="ER156" s="139">
        <f t="shared" si="177"/>
        <v>0</v>
      </c>
      <c r="ES156" s="139">
        <f t="shared" si="178"/>
        <v>0</v>
      </c>
      <c r="ET156" s="139">
        <f t="shared" si="179"/>
        <v>0</v>
      </c>
      <c r="EU156" s="139">
        <f t="shared" si="180"/>
        <v>0</v>
      </c>
      <c r="EV156" s="139">
        <f t="shared" si="181"/>
        <v>0</v>
      </c>
      <c r="EW156" s="139">
        <f t="shared" si="182"/>
        <v>0</v>
      </c>
      <c r="EX156" s="139">
        <f t="shared" si="183"/>
        <v>0</v>
      </c>
      <c r="EY156" s="139">
        <f t="shared" si="184"/>
        <v>0</v>
      </c>
      <c r="EZ156" s="139">
        <f t="shared" si="185"/>
        <v>0</v>
      </c>
      <c r="FA156" s="139">
        <f t="shared" si="186"/>
        <v>0</v>
      </c>
      <c r="FB156" s="139">
        <f t="shared" si="187"/>
        <v>0</v>
      </c>
      <c r="FC156" s="139">
        <f t="shared" si="188"/>
        <v>0</v>
      </c>
      <c r="FD156" s="139">
        <f t="shared" si="189"/>
        <v>0</v>
      </c>
      <c r="FE156" s="139">
        <f t="shared" si="190"/>
        <v>0</v>
      </c>
      <c r="FF156" s="139">
        <f t="shared" si="191"/>
        <v>0</v>
      </c>
      <c r="FG156" s="139">
        <f t="shared" si="192"/>
        <v>0</v>
      </c>
      <c r="FH156" s="139">
        <f t="shared" si="193"/>
        <v>0</v>
      </c>
      <c r="FI156" s="139">
        <f t="shared" si="194"/>
        <v>0</v>
      </c>
      <c r="FJ156" s="139">
        <f t="shared" si="195"/>
        <v>0</v>
      </c>
      <c r="FK156" s="139">
        <f t="shared" si="196"/>
        <v>0</v>
      </c>
      <c r="FL156" s="139">
        <f t="shared" si="197"/>
        <v>0</v>
      </c>
      <c r="FM156" s="139">
        <f t="shared" si="198"/>
        <v>0</v>
      </c>
      <c r="FN156" s="139">
        <f t="shared" si="199"/>
        <v>0</v>
      </c>
      <c r="FO156" s="139">
        <f t="shared" si="200"/>
        <v>0</v>
      </c>
      <c r="FP156" s="139">
        <f t="shared" si="201"/>
        <v>0</v>
      </c>
      <c r="FQ156" s="139">
        <f t="shared" si="202"/>
        <v>0</v>
      </c>
      <c r="FR156" s="139">
        <f t="shared" si="203"/>
        <v>0</v>
      </c>
      <c r="FS156" s="139">
        <f t="shared" si="204"/>
        <v>0</v>
      </c>
      <c r="FT156" s="139">
        <f t="shared" si="205"/>
        <v>0</v>
      </c>
      <c r="FU156" s="148">
        <f t="shared" si="206"/>
        <v>0</v>
      </c>
      <c r="FV156" s="149"/>
      <c r="FY156" s="210">
        <v>151</v>
      </c>
      <c r="FZ156" s="205"/>
      <c r="GA156" s="205"/>
      <c r="GB156" s="205"/>
      <c r="GC156" s="205"/>
      <c r="GD156" s="205"/>
      <c r="GE156" s="205"/>
      <c r="GF156" s="205"/>
      <c r="GG156" s="205"/>
      <c r="GH156" s="205"/>
      <c r="GI156" s="205"/>
      <c r="GJ156" s="205"/>
      <c r="GK156" s="205"/>
      <c r="GL156" s="205"/>
      <c r="GM156" s="205"/>
    </row>
    <row r="157" spans="1:195" s="7" customFormat="1">
      <c r="A157" s="77"/>
      <c r="B157" s="76">
        <f t="shared" ca="1" si="171"/>
        <v>0.91070263720769695</v>
      </c>
      <c r="C157">
        <v>1</v>
      </c>
      <c r="D157">
        <v>39847</v>
      </c>
      <c r="E157">
        <v>0</v>
      </c>
      <c r="F157">
        <v>0</v>
      </c>
      <c r="G157">
        <v>31.25</v>
      </c>
      <c r="H157">
        <v>0</v>
      </c>
      <c r="I157">
        <v>0</v>
      </c>
      <c r="J157">
        <v>72.916666666666671</v>
      </c>
      <c r="K157">
        <v>10.416666666666666</v>
      </c>
      <c r="L157">
        <v>20.833333333333332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/>
      <c r="AO157"/>
      <c r="AP157"/>
      <c r="AQ157"/>
      <c r="AR157"/>
      <c r="AS157"/>
      <c r="AT157"/>
      <c r="AU157"/>
      <c r="AV157"/>
      <c r="AW157"/>
      <c r="AX157" s="151"/>
      <c r="AY157" s="76">
        <f t="shared" ca="1" si="172"/>
        <v>6.4311616948183215E-2</v>
      </c>
      <c r="AZ157">
        <v>10</v>
      </c>
      <c r="BA157" s="129">
        <f t="shared" si="170"/>
        <v>39847</v>
      </c>
      <c r="BB157">
        <v>0</v>
      </c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 s="147"/>
      <c r="CH157" s="176"/>
      <c r="CJ157" s="151"/>
      <c r="CK157" s="76">
        <f t="shared" ca="1" si="207"/>
        <v>0.95554338242798931</v>
      </c>
      <c r="CL157" s="179">
        <f t="shared" si="208"/>
        <v>10</v>
      </c>
      <c r="CM157" s="180">
        <f t="shared" si="209"/>
        <v>39847</v>
      </c>
      <c r="CN157"/>
      <c r="CO157"/>
      <c r="CP157"/>
      <c r="CQ157"/>
      <c r="CR157"/>
      <c r="CS157"/>
      <c r="CT157"/>
      <c r="CU157"/>
      <c r="CV157" s="160"/>
      <c r="CW157">
        <v>1</v>
      </c>
      <c r="CX157">
        <v>1</v>
      </c>
      <c r="CY157" s="165"/>
      <c r="CZ157" s="177">
        <f t="shared" si="210"/>
        <v>9.6000000000000002E-2</v>
      </c>
      <c r="DB157" s="151"/>
      <c r="DC157" s="76">
        <f t="shared" ca="1" si="173"/>
        <v>0.18142243402076841</v>
      </c>
      <c r="DD157">
        <f t="shared" si="211"/>
        <v>10</v>
      </c>
      <c r="DE157" s="129">
        <f t="shared" si="169"/>
        <v>39847</v>
      </c>
      <c r="DF157" s="161">
        <f t="shared" si="212"/>
        <v>0</v>
      </c>
      <c r="DG157" s="161">
        <f t="shared" si="213"/>
        <v>0</v>
      </c>
      <c r="DH157" s="161">
        <f t="shared" si="214"/>
        <v>0</v>
      </c>
      <c r="DI157" s="161">
        <f t="shared" si="215"/>
        <v>0</v>
      </c>
      <c r="DJ157" s="161">
        <f t="shared" si="216"/>
        <v>0</v>
      </c>
      <c r="DK157" s="161">
        <f t="shared" si="217"/>
        <v>0</v>
      </c>
      <c r="DL157" s="161">
        <f t="shared" si="218"/>
        <v>0</v>
      </c>
      <c r="DM157" s="161">
        <f t="shared" si="219"/>
        <v>0</v>
      </c>
      <c r="DN157" s="161">
        <f t="shared" si="220"/>
        <v>0</v>
      </c>
      <c r="DO157" s="161">
        <f t="shared" si="221"/>
        <v>0</v>
      </c>
      <c r="DP157" s="161">
        <f t="shared" si="222"/>
        <v>0</v>
      </c>
      <c r="DQ157" s="161">
        <f t="shared" si="223"/>
        <v>0</v>
      </c>
      <c r="DR157" s="161">
        <f t="shared" si="224"/>
        <v>0</v>
      </c>
      <c r="DS157" s="161">
        <f t="shared" si="225"/>
        <v>0</v>
      </c>
      <c r="DT157" s="161">
        <f t="shared" si="226"/>
        <v>0</v>
      </c>
      <c r="DU157" s="161">
        <f t="shared" si="227"/>
        <v>0</v>
      </c>
      <c r="DV157" s="161">
        <f t="shared" si="228"/>
        <v>0</v>
      </c>
      <c r="DW157" s="161">
        <f t="shared" si="229"/>
        <v>0</v>
      </c>
      <c r="DX157" s="161">
        <f t="shared" si="230"/>
        <v>0</v>
      </c>
      <c r="DY157" s="161">
        <f t="shared" si="231"/>
        <v>0</v>
      </c>
      <c r="DZ157" s="161">
        <f t="shared" si="232"/>
        <v>0</v>
      </c>
      <c r="EA157" s="161">
        <f t="shared" si="233"/>
        <v>0</v>
      </c>
      <c r="EB157" s="161">
        <f t="shared" si="234"/>
        <v>0</v>
      </c>
      <c r="EC157" s="161">
        <f t="shared" si="235"/>
        <v>0</v>
      </c>
      <c r="ED157" s="161">
        <f t="shared" si="236"/>
        <v>0</v>
      </c>
      <c r="EE157" s="161">
        <f t="shared" si="237"/>
        <v>0</v>
      </c>
      <c r="EF157" s="161">
        <f t="shared" si="238"/>
        <v>0</v>
      </c>
      <c r="EG157" s="161">
        <f t="shared" si="239"/>
        <v>0</v>
      </c>
      <c r="EH157" s="161">
        <f t="shared" si="240"/>
        <v>0</v>
      </c>
      <c r="EI157" s="161">
        <f t="shared" si="241"/>
        <v>0</v>
      </c>
      <c r="EJ157" s="161">
        <f t="shared" si="242"/>
        <v>0</v>
      </c>
      <c r="EK157" s="147">
        <f t="shared" si="174"/>
        <v>0</v>
      </c>
      <c r="EL157" s="149"/>
      <c r="EN157" s="151"/>
      <c r="EO157" s="151"/>
      <c r="EP157" s="139">
        <f t="shared" si="175"/>
        <v>0</v>
      </c>
      <c r="EQ157" s="139">
        <f t="shared" si="176"/>
        <v>0</v>
      </c>
      <c r="ER157" s="139">
        <f t="shared" si="177"/>
        <v>0</v>
      </c>
      <c r="ES157" s="139">
        <f t="shared" si="178"/>
        <v>0</v>
      </c>
      <c r="ET157" s="139">
        <f t="shared" si="179"/>
        <v>0</v>
      </c>
      <c r="EU157" s="139">
        <f t="shared" si="180"/>
        <v>0</v>
      </c>
      <c r="EV157" s="139">
        <f t="shared" si="181"/>
        <v>0</v>
      </c>
      <c r="EW157" s="139">
        <f t="shared" si="182"/>
        <v>0</v>
      </c>
      <c r="EX157" s="139">
        <f t="shared" si="183"/>
        <v>0</v>
      </c>
      <c r="EY157" s="139">
        <f t="shared" si="184"/>
        <v>0</v>
      </c>
      <c r="EZ157" s="139">
        <f t="shared" si="185"/>
        <v>0</v>
      </c>
      <c r="FA157" s="139">
        <f t="shared" si="186"/>
        <v>0</v>
      </c>
      <c r="FB157" s="139">
        <f t="shared" si="187"/>
        <v>0</v>
      </c>
      <c r="FC157" s="139">
        <f t="shared" si="188"/>
        <v>0</v>
      </c>
      <c r="FD157" s="139">
        <f t="shared" si="189"/>
        <v>0</v>
      </c>
      <c r="FE157" s="139">
        <f t="shared" si="190"/>
        <v>0</v>
      </c>
      <c r="FF157" s="139">
        <f t="shared" si="191"/>
        <v>0</v>
      </c>
      <c r="FG157" s="139">
        <f t="shared" si="192"/>
        <v>0</v>
      </c>
      <c r="FH157" s="139">
        <f t="shared" si="193"/>
        <v>0</v>
      </c>
      <c r="FI157" s="139">
        <f t="shared" si="194"/>
        <v>0</v>
      </c>
      <c r="FJ157" s="139">
        <f t="shared" si="195"/>
        <v>0</v>
      </c>
      <c r="FK157" s="139">
        <f t="shared" si="196"/>
        <v>0</v>
      </c>
      <c r="FL157" s="139">
        <f t="shared" si="197"/>
        <v>0</v>
      </c>
      <c r="FM157" s="139">
        <f t="shared" si="198"/>
        <v>0</v>
      </c>
      <c r="FN157" s="139">
        <f t="shared" si="199"/>
        <v>0</v>
      </c>
      <c r="FO157" s="139">
        <f t="shared" si="200"/>
        <v>0</v>
      </c>
      <c r="FP157" s="139">
        <f t="shared" si="201"/>
        <v>0</v>
      </c>
      <c r="FQ157" s="139">
        <f t="shared" si="202"/>
        <v>0</v>
      </c>
      <c r="FR157" s="139">
        <f t="shared" si="203"/>
        <v>0</v>
      </c>
      <c r="FS157" s="139">
        <f t="shared" si="204"/>
        <v>0</v>
      </c>
      <c r="FT157" s="139">
        <f t="shared" si="205"/>
        <v>0</v>
      </c>
      <c r="FU157" s="148">
        <f t="shared" si="206"/>
        <v>0</v>
      </c>
      <c r="FV157" s="149"/>
      <c r="FY157" s="210">
        <v>152</v>
      </c>
      <c r="FZ157" s="205"/>
      <c r="GA157" s="205"/>
      <c r="GB157" s="205"/>
      <c r="GC157" s="205"/>
      <c r="GD157" s="205"/>
      <c r="GE157" s="205"/>
      <c r="GF157" s="205"/>
      <c r="GG157" s="205"/>
      <c r="GH157" s="205"/>
      <c r="GI157" s="205"/>
      <c r="GJ157" s="205"/>
      <c r="GK157" s="205"/>
      <c r="GL157" s="205"/>
      <c r="GM157" s="205"/>
    </row>
    <row r="158" spans="1:195" s="7" customFormat="1">
      <c r="A158" s="128"/>
      <c r="B158" s="76">
        <f t="shared" ca="1" si="171"/>
        <v>0.91702954127667469</v>
      </c>
      <c r="C158">
        <v>8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10.416666666666666</v>
      </c>
      <c r="M158">
        <v>10.416666666666666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/>
      <c r="AO158"/>
      <c r="AP158"/>
      <c r="AQ158"/>
      <c r="AR158"/>
      <c r="AS158"/>
      <c r="AT158"/>
      <c r="AU158"/>
      <c r="AV158"/>
      <c r="AW158"/>
      <c r="AX158" s="128"/>
      <c r="AY158" s="76">
        <f t="shared" ca="1" si="172"/>
        <v>0.73872327985220254</v>
      </c>
      <c r="AZ158">
        <v>1</v>
      </c>
      <c r="BA158" s="129">
        <f>IF(AZ158="", "",$C$11)</f>
        <v>39910</v>
      </c>
      <c r="BB158">
        <v>0</v>
      </c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 s="147"/>
      <c r="CH158" s="176"/>
      <c r="CJ158" s="128"/>
      <c r="CK158" s="76">
        <f t="shared" ca="1" si="207"/>
        <v>0.129442876096034</v>
      </c>
      <c r="CL158" s="179">
        <f t="shared" si="208"/>
        <v>1</v>
      </c>
      <c r="CM158" s="180">
        <f t="shared" si="209"/>
        <v>39910</v>
      </c>
      <c r="CN158"/>
      <c r="CO158"/>
      <c r="CP158"/>
      <c r="CQ158"/>
      <c r="CR158"/>
      <c r="CS158"/>
      <c r="CT158"/>
      <c r="CU158"/>
      <c r="CV158" s="160"/>
      <c r="CW158">
        <v>1</v>
      </c>
      <c r="CX158">
        <v>1</v>
      </c>
      <c r="CY158" s="160"/>
      <c r="CZ158" s="177">
        <f t="shared" si="210"/>
        <v>9.6000000000000002E-2</v>
      </c>
      <c r="DB158" s="128"/>
      <c r="DC158" s="76">
        <f t="shared" ca="1" si="173"/>
        <v>0.72006162590974143</v>
      </c>
      <c r="DD158">
        <f t="shared" si="211"/>
        <v>1</v>
      </c>
      <c r="DE158" s="129">
        <f t="shared" ref="DE158:DE167" si="243">IF((DD158)="", "", $C$11)</f>
        <v>39910</v>
      </c>
      <c r="DF158" s="161">
        <f t="shared" si="212"/>
        <v>0</v>
      </c>
      <c r="DG158" s="161">
        <f t="shared" si="213"/>
        <v>0</v>
      </c>
      <c r="DH158" s="161">
        <f t="shared" si="214"/>
        <v>0</v>
      </c>
      <c r="DI158" s="161">
        <f t="shared" si="215"/>
        <v>0</v>
      </c>
      <c r="DJ158" s="161">
        <f t="shared" si="216"/>
        <v>0</v>
      </c>
      <c r="DK158" s="161">
        <f t="shared" si="217"/>
        <v>0</v>
      </c>
      <c r="DL158" s="161">
        <f t="shared" si="218"/>
        <v>0</v>
      </c>
      <c r="DM158" s="161">
        <f t="shared" si="219"/>
        <v>0</v>
      </c>
      <c r="DN158" s="161">
        <f t="shared" si="220"/>
        <v>0</v>
      </c>
      <c r="DO158" s="161">
        <f t="shared" si="221"/>
        <v>0</v>
      </c>
      <c r="DP158" s="161">
        <f t="shared" si="222"/>
        <v>0</v>
      </c>
      <c r="DQ158" s="161">
        <f t="shared" si="223"/>
        <v>0</v>
      </c>
      <c r="DR158" s="161">
        <f t="shared" si="224"/>
        <v>0</v>
      </c>
      <c r="DS158" s="161">
        <f t="shared" si="225"/>
        <v>0</v>
      </c>
      <c r="DT158" s="161">
        <f t="shared" si="226"/>
        <v>0</v>
      </c>
      <c r="DU158" s="161">
        <f t="shared" si="227"/>
        <v>0</v>
      </c>
      <c r="DV158" s="161">
        <f t="shared" si="228"/>
        <v>0</v>
      </c>
      <c r="DW158" s="161">
        <f t="shared" si="229"/>
        <v>0</v>
      </c>
      <c r="DX158" s="161">
        <f t="shared" si="230"/>
        <v>0</v>
      </c>
      <c r="DY158" s="161">
        <f t="shared" si="231"/>
        <v>0</v>
      </c>
      <c r="DZ158" s="161">
        <f t="shared" si="232"/>
        <v>0</v>
      </c>
      <c r="EA158" s="161">
        <f t="shared" si="233"/>
        <v>0</v>
      </c>
      <c r="EB158" s="161">
        <f t="shared" si="234"/>
        <v>0</v>
      </c>
      <c r="EC158" s="161">
        <f t="shared" si="235"/>
        <v>0</v>
      </c>
      <c r="ED158" s="161">
        <f t="shared" si="236"/>
        <v>0</v>
      </c>
      <c r="EE158" s="161">
        <f t="shared" si="237"/>
        <v>0</v>
      </c>
      <c r="EF158" s="161">
        <f t="shared" si="238"/>
        <v>0</v>
      </c>
      <c r="EG158" s="161">
        <f t="shared" si="239"/>
        <v>0</v>
      </c>
      <c r="EH158" s="161">
        <f t="shared" si="240"/>
        <v>0</v>
      </c>
      <c r="EI158" s="161">
        <f t="shared" si="241"/>
        <v>0</v>
      </c>
      <c r="EJ158" s="161">
        <f t="shared" si="242"/>
        <v>0</v>
      </c>
      <c r="EK158" s="147">
        <f t="shared" si="174"/>
        <v>0</v>
      </c>
      <c r="EL158" s="149"/>
      <c r="EN158" s="146"/>
      <c r="EO158" s="146"/>
      <c r="EP158" s="139">
        <f t="shared" si="175"/>
        <v>0</v>
      </c>
      <c r="EQ158" s="139">
        <f t="shared" si="176"/>
        <v>0</v>
      </c>
      <c r="ER158" s="139">
        <f t="shared" si="177"/>
        <v>0</v>
      </c>
      <c r="ES158" s="139">
        <f t="shared" si="178"/>
        <v>0</v>
      </c>
      <c r="ET158" s="139">
        <f t="shared" si="179"/>
        <v>0</v>
      </c>
      <c r="EU158" s="139">
        <f t="shared" si="180"/>
        <v>0</v>
      </c>
      <c r="EV158" s="139">
        <f t="shared" si="181"/>
        <v>0</v>
      </c>
      <c r="EW158" s="139">
        <f t="shared" si="182"/>
        <v>0</v>
      </c>
      <c r="EX158" s="139">
        <f t="shared" si="183"/>
        <v>0</v>
      </c>
      <c r="EY158" s="139">
        <f t="shared" si="184"/>
        <v>0</v>
      </c>
      <c r="EZ158" s="139">
        <f t="shared" si="185"/>
        <v>0</v>
      </c>
      <c r="FA158" s="139">
        <f t="shared" si="186"/>
        <v>0</v>
      </c>
      <c r="FB158" s="139">
        <f t="shared" si="187"/>
        <v>0</v>
      </c>
      <c r="FC158" s="139">
        <f t="shared" si="188"/>
        <v>0</v>
      </c>
      <c r="FD158" s="139">
        <f t="shared" si="189"/>
        <v>0</v>
      </c>
      <c r="FE158" s="139">
        <f t="shared" si="190"/>
        <v>0</v>
      </c>
      <c r="FF158" s="139">
        <f t="shared" si="191"/>
        <v>0</v>
      </c>
      <c r="FG158" s="139">
        <f t="shared" si="192"/>
        <v>0</v>
      </c>
      <c r="FH158" s="139">
        <f t="shared" si="193"/>
        <v>0</v>
      </c>
      <c r="FI158" s="139">
        <f t="shared" si="194"/>
        <v>0</v>
      </c>
      <c r="FJ158" s="139">
        <f t="shared" si="195"/>
        <v>0</v>
      </c>
      <c r="FK158" s="139">
        <f t="shared" si="196"/>
        <v>0</v>
      </c>
      <c r="FL158" s="139">
        <f t="shared" si="197"/>
        <v>0</v>
      </c>
      <c r="FM158" s="139">
        <f t="shared" si="198"/>
        <v>0</v>
      </c>
      <c r="FN158" s="139">
        <f t="shared" si="199"/>
        <v>0</v>
      </c>
      <c r="FO158" s="139">
        <f t="shared" si="200"/>
        <v>0</v>
      </c>
      <c r="FP158" s="139">
        <f t="shared" si="201"/>
        <v>0</v>
      </c>
      <c r="FQ158" s="139">
        <f t="shared" si="202"/>
        <v>0</v>
      </c>
      <c r="FR158" s="139">
        <f t="shared" si="203"/>
        <v>0</v>
      </c>
      <c r="FS158" s="139">
        <f t="shared" si="204"/>
        <v>0</v>
      </c>
      <c r="FT158" s="139">
        <f t="shared" si="205"/>
        <v>0</v>
      </c>
      <c r="FU158" s="148">
        <f t="shared" si="206"/>
        <v>0</v>
      </c>
      <c r="FV158" s="149"/>
      <c r="FY158" s="210">
        <v>153</v>
      </c>
      <c r="FZ158" s="205"/>
      <c r="GA158" s="205"/>
      <c r="GB158" s="205"/>
      <c r="GC158" s="205"/>
      <c r="GD158" s="205"/>
      <c r="GE158" s="205"/>
      <c r="GF158" s="205"/>
      <c r="GG158" s="205"/>
      <c r="GH158" s="205"/>
      <c r="GI158" s="205"/>
      <c r="GJ158" s="205"/>
      <c r="GK158" s="205"/>
      <c r="GL158" s="205"/>
      <c r="GM158" s="205"/>
    </row>
    <row r="159" spans="1:195" s="7" customFormat="1">
      <c r="A159" s="1"/>
      <c r="B159" s="76">
        <f t="shared" ca="1" si="171"/>
        <v>0.15082869012219735</v>
      </c>
      <c r="C159">
        <v>1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20.833333333333332</v>
      </c>
      <c r="L159">
        <v>10.416666666666666</v>
      </c>
      <c r="M159">
        <v>62.5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/>
      <c r="AO159"/>
      <c r="AP159"/>
      <c r="AQ159"/>
      <c r="AR159"/>
      <c r="AS159"/>
      <c r="AT159"/>
      <c r="AU159"/>
      <c r="AV159"/>
      <c r="AW159"/>
      <c r="AX159" s="146"/>
      <c r="AY159" s="76">
        <f t="shared" ca="1" si="172"/>
        <v>4.0888456036667797E-2</v>
      </c>
      <c r="AZ159">
        <v>2</v>
      </c>
      <c r="BA159" s="129">
        <f t="shared" ref="BA159:BA167" si="244">IF(AZ159="", "",$C$11)</f>
        <v>39910</v>
      </c>
      <c r="BB159">
        <v>0</v>
      </c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 s="147"/>
      <c r="CH159" s="176"/>
      <c r="CJ159" s="146"/>
      <c r="CK159" s="76">
        <f t="shared" ca="1" si="207"/>
        <v>0.73373816243817824</v>
      </c>
      <c r="CL159" s="179">
        <f t="shared" si="208"/>
        <v>2</v>
      </c>
      <c r="CM159" s="180">
        <f t="shared" si="209"/>
        <v>39910</v>
      </c>
      <c r="CN159" s="220">
        <v>0</v>
      </c>
      <c r="CO159" s="220"/>
      <c r="CP159" s="220"/>
      <c r="CQ159" s="220"/>
      <c r="CR159" s="220"/>
      <c r="CS159"/>
      <c r="CT159"/>
      <c r="CU159"/>
      <c r="CV159" s="160"/>
      <c r="CW159">
        <v>1</v>
      </c>
      <c r="CX159">
        <f>256/23</f>
        <v>11.130434782608695</v>
      </c>
      <c r="CY159" s="160"/>
      <c r="CZ159" s="177">
        <f t="shared" si="210"/>
        <v>9.6000000000000002E-2</v>
      </c>
      <c r="DB159" s="146"/>
      <c r="DC159" s="76">
        <f t="shared" ca="1" si="173"/>
        <v>0.20914145818751373</v>
      </c>
      <c r="DD159">
        <f t="shared" si="211"/>
        <v>2</v>
      </c>
      <c r="DE159" s="129">
        <f t="shared" si="243"/>
        <v>39910</v>
      </c>
      <c r="DF159" s="161">
        <f t="shared" si="212"/>
        <v>0</v>
      </c>
      <c r="DG159" s="161">
        <f t="shared" si="213"/>
        <v>0</v>
      </c>
      <c r="DH159" s="161">
        <f t="shared" si="214"/>
        <v>0</v>
      </c>
      <c r="DI159" s="161">
        <f t="shared" si="215"/>
        <v>0</v>
      </c>
      <c r="DJ159" s="161">
        <f t="shared" si="216"/>
        <v>0</v>
      </c>
      <c r="DK159" s="161">
        <f t="shared" si="217"/>
        <v>0</v>
      </c>
      <c r="DL159" s="161">
        <f t="shared" si="218"/>
        <v>0</v>
      </c>
      <c r="DM159" s="161">
        <f t="shared" si="219"/>
        <v>0</v>
      </c>
      <c r="DN159" s="161">
        <f t="shared" si="220"/>
        <v>0</v>
      </c>
      <c r="DO159" s="161">
        <f t="shared" si="221"/>
        <v>0</v>
      </c>
      <c r="DP159" s="161">
        <f t="shared" si="222"/>
        <v>0</v>
      </c>
      <c r="DQ159" s="161">
        <f t="shared" si="223"/>
        <v>0</v>
      </c>
      <c r="DR159" s="161">
        <f t="shared" si="224"/>
        <v>0</v>
      </c>
      <c r="DS159" s="161">
        <f t="shared" si="225"/>
        <v>0</v>
      </c>
      <c r="DT159" s="161">
        <f t="shared" si="226"/>
        <v>0</v>
      </c>
      <c r="DU159" s="161">
        <f t="shared" si="227"/>
        <v>0</v>
      </c>
      <c r="DV159" s="161">
        <f t="shared" si="228"/>
        <v>0</v>
      </c>
      <c r="DW159" s="161">
        <f t="shared" si="229"/>
        <v>0</v>
      </c>
      <c r="DX159" s="161">
        <f t="shared" si="230"/>
        <v>0</v>
      </c>
      <c r="DY159" s="161">
        <f t="shared" si="231"/>
        <v>0</v>
      </c>
      <c r="DZ159" s="161">
        <f t="shared" si="232"/>
        <v>0</v>
      </c>
      <c r="EA159" s="161">
        <f t="shared" si="233"/>
        <v>0</v>
      </c>
      <c r="EB159" s="161">
        <f t="shared" si="234"/>
        <v>0</v>
      </c>
      <c r="EC159" s="161">
        <f t="shared" si="235"/>
        <v>0</v>
      </c>
      <c r="ED159" s="161">
        <f t="shared" si="236"/>
        <v>0</v>
      </c>
      <c r="EE159" s="161">
        <f t="shared" si="237"/>
        <v>0</v>
      </c>
      <c r="EF159" s="161">
        <f t="shared" si="238"/>
        <v>0</v>
      </c>
      <c r="EG159" s="161">
        <f t="shared" si="239"/>
        <v>0</v>
      </c>
      <c r="EH159" s="161">
        <f t="shared" si="240"/>
        <v>0</v>
      </c>
      <c r="EI159" s="161">
        <f t="shared" si="241"/>
        <v>0</v>
      </c>
      <c r="EJ159" s="161">
        <f t="shared" si="242"/>
        <v>0</v>
      </c>
      <c r="EK159" s="147">
        <f t="shared" si="174"/>
        <v>0</v>
      </c>
      <c r="EL159" s="149"/>
      <c r="EN159" s="146"/>
      <c r="EO159" s="146"/>
      <c r="EP159" s="139">
        <f t="shared" si="175"/>
        <v>0</v>
      </c>
      <c r="EQ159" s="139">
        <f t="shared" si="176"/>
        <v>0</v>
      </c>
      <c r="ER159" s="139">
        <f t="shared" si="177"/>
        <v>0</v>
      </c>
      <c r="ES159" s="139">
        <f t="shared" si="178"/>
        <v>0</v>
      </c>
      <c r="ET159" s="139">
        <f t="shared" si="179"/>
        <v>0</v>
      </c>
      <c r="EU159" s="139">
        <f t="shared" si="180"/>
        <v>0</v>
      </c>
      <c r="EV159" s="139">
        <f t="shared" si="181"/>
        <v>0</v>
      </c>
      <c r="EW159" s="139">
        <f t="shared" si="182"/>
        <v>0</v>
      </c>
      <c r="EX159" s="139">
        <f t="shared" si="183"/>
        <v>0</v>
      </c>
      <c r="EY159" s="139">
        <f t="shared" si="184"/>
        <v>0</v>
      </c>
      <c r="EZ159" s="139">
        <f t="shared" si="185"/>
        <v>0</v>
      </c>
      <c r="FA159" s="139">
        <f t="shared" si="186"/>
        <v>0</v>
      </c>
      <c r="FB159" s="139">
        <f t="shared" si="187"/>
        <v>0</v>
      </c>
      <c r="FC159" s="139">
        <f t="shared" si="188"/>
        <v>0</v>
      </c>
      <c r="FD159" s="139">
        <f t="shared" si="189"/>
        <v>0</v>
      </c>
      <c r="FE159" s="139">
        <f t="shared" si="190"/>
        <v>0</v>
      </c>
      <c r="FF159" s="139">
        <f t="shared" si="191"/>
        <v>0</v>
      </c>
      <c r="FG159" s="139">
        <f t="shared" si="192"/>
        <v>0</v>
      </c>
      <c r="FH159" s="139">
        <f t="shared" si="193"/>
        <v>0</v>
      </c>
      <c r="FI159" s="139">
        <f t="shared" si="194"/>
        <v>0</v>
      </c>
      <c r="FJ159" s="139">
        <f t="shared" si="195"/>
        <v>0</v>
      </c>
      <c r="FK159" s="139">
        <f t="shared" si="196"/>
        <v>0</v>
      </c>
      <c r="FL159" s="139">
        <f t="shared" si="197"/>
        <v>0</v>
      </c>
      <c r="FM159" s="139">
        <f t="shared" si="198"/>
        <v>0</v>
      </c>
      <c r="FN159" s="139">
        <f t="shared" si="199"/>
        <v>0</v>
      </c>
      <c r="FO159" s="139">
        <f t="shared" si="200"/>
        <v>0</v>
      </c>
      <c r="FP159" s="139">
        <f t="shared" si="201"/>
        <v>0</v>
      </c>
      <c r="FQ159" s="139">
        <f t="shared" si="202"/>
        <v>0</v>
      </c>
      <c r="FR159" s="139">
        <f t="shared" si="203"/>
        <v>0</v>
      </c>
      <c r="FS159" s="139">
        <f t="shared" si="204"/>
        <v>0</v>
      </c>
      <c r="FT159" s="139">
        <f t="shared" si="205"/>
        <v>0</v>
      </c>
      <c r="FU159" s="148">
        <f t="shared" si="206"/>
        <v>0</v>
      </c>
      <c r="FV159" s="149"/>
      <c r="FY159" s="210">
        <v>154</v>
      </c>
      <c r="FZ159" s="205"/>
      <c r="GA159" s="205"/>
      <c r="GB159" s="205"/>
      <c r="GC159" s="205"/>
      <c r="GD159" s="205"/>
      <c r="GE159" s="205"/>
      <c r="GF159" s="205"/>
      <c r="GG159" s="205"/>
      <c r="GH159" s="205"/>
      <c r="GI159" s="205"/>
      <c r="GJ159" s="205"/>
      <c r="GK159" s="205"/>
      <c r="GL159" s="205"/>
      <c r="GM159" s="205"/>
    </row>
    <row r="160" spans="1:195" s="7" customFormat="1">
      <c r="A160" s="1"/>
      <c r="B160" s="76">
        <f t="shared" ca="1" si="171"/>
        <v>0.99752340972327613</v>
      </c>
      <c r="C160">
        <v>4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/>
      <c r="AO160"/>
      <c r="AP160"/>
      <c r="AQ160"/>
      <c r="AR160"/>
      <c r="AS160"/>
      <c r="AT160"/>
      <c r="AU160"/>
      <c r="AV160"/>
      <c r="AW160"/>
      <c r="AX160" s="146"/>
      <c r="AY160" s="76">
        <f t="shared" ca="1" si="172"/>
        <v>0.83576901178444851</v>
      </c>
      <c r="AZ160">
        <v>3</v>
      </c>
      <c r="BA160" s="129">
        <f t="shared" si="244"/>
        <v>39910</v>
      </c>
      <c r="BB160">
        <v>0</v>
      </c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 s="147"/>
      <c r="CH160" s="176"/>
      <c r="CJ160" s="146"/>
      <c r="CK160" s="76">
        <f t="shared" ca="1" si="207"/>
        <v>0.89617080892393064</v>
      </c>
      <c r="CL160" s="179">
        <f t="shared" si="208"/>
        <v>3</v>
      </c>
      <c r="CM160" s="180">
        <f t="shared" si="209"/>
        <v>39910</v>
      </c>
      <c r="CN160">
        <v>0</v>
      </c>
      <c r="CO160"/>
      <c r="CP160"/>
      <c r="CQ160"/>
      <c r="CR160"/>
      <c r="CS160"/>
      <c r="CT160"/>
      <c r="CU160"/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10"/>
        <v>9.6000000000000002E-2</v>
      </c>
      <c r="DB160" s="146"/>
      <c r="DC160" s="76">
        <f t="shared" ca="1" si="173"/>
        <v>0.65908405085050603</v>
      </c>
      <c r="DD160">
        <f t="shared" si="211"/>
        <v>3</v>
      </c>
      <c r="DE160" s="129">
        <f t="shared" si="243"/>
        <v>39910</v>
      </c>
      <c r="DF160" s="161">
        <f t="shared" si="212"/>
        <v>0</v>
      </c>
      <c r="DG160" s="161">
        <f t="shared" si="213"/>
        <v>0</v>
      </c>
      <c r="DH160" s="161">
        <f t="shared" si="214"/>
        <v>0</v>
      </c>
      <c r="DI160" s="161">
        <f t="shared" si="215"/>
        <v>0</v>
      </c>
      <c r="DJ160" s="161">
        <f t="shared" si="216"/>
        <v>0</v>
      </c>
      <c r="DK160" s="161">
        <f t="shared" si="217"/>
        <v>0</v>
      </c>
      <c r="DL160" s="161">
        <f t="shared" si="218"/>
        <v>0</v>
      </c>
      <c r="DM160" s="161">
        <f t="shared" si="219"/>
        <v>0</v>
      </c>
      <c r="DN160" s="161">
        <f t="shared" si="220"/>
        <v>0</v>
      </c>
      <c r="DO160" s="161">
        <f t="shared" si="221"/>
        <v>0</v>
      </c>
      <c r="DP160" s="161">
        <f t="shared" si="222"/>
        <v>0</v>
      </c>
      <c r="DQ160" s="161">
        <f t="shared" si="223"/>
        <v>0</v>
      </c>
      <c r="DR160" s="161">
        <f t="shared" si="224"/>
        <v>0</v>
      </c>
      <c r="DS160" s="161">
        <f t="shared" si="225"/>
        <v>0</v>
      </c>
      <c r="DT160" s="161">
        <f t="shared" si="226"/>
        <v>0</v>
      </c>
      <c r="DU160" s="161">
        <f t="shared" si="227"/>
        <v>0</v>
      </c>
      <c r="DV160" s="161">
        <f t="shared" si="228"/>
        <v>0</v>
      </c>
      <c r="DW160" s="161">
        <f t="shared" si="229"/>
        <v>0</v>
      </c>
      <c r="DX160" s="161">
        <f t="shared" si="230"/>
        <v>0</v>
      </c>
      <c r="DY160" s="161">
        <f t="shared" si="231"/>
        <v>0</v>
      </c>
      <c r="DZ160" s="161">
        <f t="shared" si="232"/>
        <v>0</v>
      </c>
      <c r="EA160" s="161">
        <f t="shared" si="233"/>
        <v>0</v>
      </c>
      <c r="EB160" s="161">
        <f t="shared" si="234"/>
        <v>0</v>
      </c>
      <c r="EC160" s="161">
        <f t="shared" si="235"/>
        <v>0</v>
      </c>
      <c r="ED160" s="161">
        <f t="shared" si="236"/>
        <v>0</v>
      </c>
      <c r="EE160" s="161">
        <f t="shared" si="237"/>
        <v>0</v>
      </c>
      <c r="EF160" s="161">
        <f t="shared" si="238"/>
        <v>0</v>
      </c>
      <c r="EG160" s="161">
        <f t="shared" si="239"/>
        <v>0</v>
      </c>
      <c r="EH160" s="161">
        <f t="shared" si="240"/>
        <v>0</v>
      </c>
      <c r="EI160" s="161">
        <f t="shared" si="241"/>
        <v>0</v>
      </c>
      <c r="EJ160" s="161">
        <f t="shared" si="242"/>
        <v>0</v>
      </c>
      <c r="EK160" s="147">
        <f t="shared" si="174"/>
        <v>0</v>
      </c>
      <c r="EL160" s="149"/>
      <c r="EN160" s="146"/>
      <c r="EO160" s="146"/>
      <c r="EP160" s="139">
        <f t="shared" si="175"/>
        <v>0</v>
      </c>
      <c r="EQ160" s="139">
        <f t="shared" si="176"/>
        <v>0</v>
      </c>
      <c r="ER160" s="139">
        <f t="shared" si="177"/>
        <v>0</v>
      </c>
      <c r="ES160" s="139">
        <f t="shared" si="178"/>
        <v>0</v>
      </c>
      <c r="ET160" s="139">
        <f t="shared" si="179"/>
        <v>0</v>
      </c>
      <c r="EU160" s="139">
        <f t="shared" si="180"/>
        <v>0</v>
      </c>
      <c r="EV160" s="139">
        <f t="shared" si="181"/>
        <v>0</v>
      </c>
      <c r="EW160" s="139">
        <f t="shared" si="182"/>
        <v>0</v>
      </c>
      <c r="EX160" s="139">
        <f t="shared" si="183"/>
        <v>0</v>
      </c>
      <c r="EY160" s="139">
        <f t="shared" si="184"/>
        <v>0</v>
      </c>
      <c r="EZ160" s="139">
        <f t="shared" si="185"/>
        <v>0</v>
      </c>
      <c r="FA160" s="139">
        <f t="shared" si="186"/>
        <v>0</v>
      </c>
      <c r="FB160" s="139">
        <f t="shared" si="187"/>
        <v>0</v>
      </c>
      <c r="FC160" s="139">
        <f t="shared" si="188"/>
        <v>0</v>
      </c>
      <c r="FD160" s="139">
        <f t="shared" si="189"/>
        <v>0</v>
      </c>
      <c r="FE160" s="139">
        <f t="shared" si="190"/>
        <v>0</v>
      </c>
      <c r="FF160" s="139">
        <f t="shared" si="191"/>
        <v>0</v>
      </c>
      <c r="FG160" s="139">
        <f t="shared" si="192"/>
        <v>0</v>
      </c>
      <c r="FH160" s="139">
        <f t="shared" si="193"/>
        <v>0</v>
      </c>
      <c r="FI160" s="139">
        <f t="shared" si="194"/>
        <v>0</v>
      </c>
      <c r="FJ160" s="139">
        <f t="shared" si="195"/>
        <v>0</v>
      </c>
      <c r="FK160" s="139">
        <f t="shared" si="196"/>
        <v>0</v>
      </c>
      <c r="FL160" s="139">
        <f t="shared" si="197"/>
        <v>0</v>
      </c>
      <c r="FM160" s="139">
        <f t="shared" si="198"/>
        <v>0</v>
      </c>
      <c r="FN160" s="139">
        <f t="shared" si="199"/>
        <v>0</v>
      </c>
      <c r="FO160" s="139">
        <f t="shared" si="200"/>
        <v>0</v>
      </c>
      <c r="FP160" s="139">
        <f t="shared" si="201"/>
        <v>0</v>
      </c>
      <c r="FQ160" s="139">
        <f t="shared" si="202"/>
        <v>0</v>
      </c>
      <c r="FR160" s="139">
        <f t="shared" si="203"/>
        <v>0</v>
      </c>
      <c r="FS160" s="139">
        <f t="shared" si="204"/>
        <v>0</v>
      </c>
      <c r="FT160" s="139">
        <f t="shared" si="205"/>
        <v>0</v>
      </c>
      <c r="FU160" s="148">
        <f t="shared" si="206"/>
        <v>0</v>
      </c>
      <c r="FV160" s="149"/>
      <c r="FY160" s="210">
        <v>155</v>
      </c>
      <c r="FZ160" s="205"/>
      <c r="GA160" s="205"/>
      <c r="GB160" s="205"/>
      <c r="GC160" s="205"/>
      <c r="GD160" s="205"/>
      <c r="GE160" s="205"/>
      <c r="GF160" s="205"/>
      <c r="GG160" s="205"/>
      <c r="GH160" s="205"/>
      <c r="GI160" s="205"/>
      <c r="GJ160" s="205"/>
      <c r="GK160" s="205"/>
      <c r="GL160" s="205"/>
      <c r="GM160" s="205"/>
    </row>
    <row r="161" spans="1:195" s="7" customFormat="1">
      <c r="A161" s="1"/>
      <c r="B161" s="76">
        <f t="shared" ca="1" si="171"/>
        <v>0.28146311316518169</v>
      </c>
      <c r="C161">
        <v>2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/>
      <c r="AO161"/>
      <c r="AP161"/>
      <c r="AQ161"/>
      <c r="AR161"/>
      <c r="AS161"/>
      <c r="AT161"/>
      <c r="AU161"/>
      <c r="AV161"/>
      <c r="AW161"/>
      <c r="AX161" s="146"/>
      <c r="AY161" s="76">
        <f t="shared" ca="1" si="172"/>
        <v>0.58804250672757252</v>
      </c>
      <c r="AZ161">
        <v>4</v>
      </c>
      <c r="BA161" s="129">
        <f t="shared" si="244"/>
        <v>39910</v>
      </c>
      <c r="BB161">
        <v>0</v>
      </c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 s="147"/>
      <c r="CH161" s="176"/>
      <c r="CJ161" s="146"/>
      <c r="CK161" s="76">
        <f t="shared" ca="1" si="207"/>
        <v>0.50464488593237378</v>
      </c>
      <c r="CL161" s="179">
        <f t="shared" si="208"/>
        <v>4</v>
      </c>
      <c r="CM161" s="180">
        <f t="shared" si="209"/>
        <v>39910</v>
      </c>
      <c r="CN161">
        <v>0</v>
      </c>
      <c r="CO161"/>
      <c r="CP161"/>
      <c r="CQ161"/>
      <c r="CR161"/>
      <c r="CS161"/>
      <c r="CT161"/>
      <c r="CU161"/>
      <c r="CV161" s="160"/>
      <c r="CW161">
        <v>1</v>
      </c>
      <c r="CX161">
        <f>310/93</f>
        <v>3.3333333333333335</v>
      </c>
      <c r="CY161" s="160"/>
      <c r="CZ161" s="177">
        <f t="shared" si="210"/>
        <v>9.6000000000000002E-2</v>
      </c>
      <c r="DB161" s="146"/>
      <c r="DC161" s="76">
        <f t="shared" ca="1" si="173"/>
        <v>0.65365294314623057</v>
      </c>
      <c r="DD161">
        <f t="shared" si="211"/>
        <v>4</v>
      </c>
      <c r="DE161" s="129">
        <f t="shared" si="243"/>
        <v>39910</v>
      </c>
      <c r="DF161" s="161">
        <f t="shared" si="212"/>
        <v>0</v>
      </c>
      <c r="DG161" s="161">
        <f t="shared" si="213"/>
        <v>0</v>
      </c>
      <c r="DH161" s="161">
        <f t="shared" si="214"/>
        <v>0</v>
      </c>
      <c r="DI161" s="161">
        <f t="shared" si="215"/>
        <v>0</v>
      </c>
      <c r="DJ161" s="161">
        <f t="shared" si="216"/>
        <v>0</v>
      </c>
      <c r="DK161" s="161">
        <f t="shared" si="217"/>
        <v>0</v>
      </c>
      <c r="DL161" s="161">
        <f t="shared" si="218"/>
        <v>0</v>
      </c>
      <c r="DM161" s="161">
        <f t="shared" si="219"/>
        <v>0</v>
      </c>
      <c r="DN161" s="161">
        <f t="shared" si="220"/>
        <v>0</v>
      </c>
      <c r="DO161" s="161">
        <f t="shared" si="221"/>
        <v>0</v>
      </c>
      <c r="DP161" s="161">
        <f t="shared" si="222"/>
        <v>0</v>
      </c>
      <c r="DQ161" s="161">
        <f t="shared" si="223"/>
        <v>0</v>
      </c>
      <c r="DR161" s="161">
        <f t="shared" si="224"/>
        <v>0</v>
      </c>
      <c r="DS161" s="161">
        <f t="shared" si="225"/>
        <v>0</v>
      </c>
      <c r="DT161" s="161">
        <f t="shared" si="226"/>
        <v>0</v>
      </c>
      <c r="DU161" s="161">
        <f t="shared" si="227"/>
        <v>0</v>
      </c>
      <c r="DV161" s="161">
        <f t="shared" si="228"/>
        <v>0</v>
      </c>
      <c r="DW161" s="161">
        <f t="shared" si="229"/>
        <v>0</v>
      </c>
      <c r="DX161" s="161">
        <f t="shared" si="230"/>
        <v>0</v>
      </c>
      <c r="DY161" s="161">
        <f t="shared" si="231"/>
        <v>0</v>
      </c>
      <c r="DZ161" s="161">
        <f t="shared" si="232"/>
        <v>0</v>
      </c>
      <c r="EA161" s="161">
        <f t="shared" si="233"/>
        <v>0</v>
      </c>
      <c r="EB161" s="161">
        <f t="shared" si="234"/>
        <v>0</v>
      </c>
      <c r="EC161" s="161">
        <f t="shared" si="235"/>
        <v>0</v>
      </c>
      <c r="ED161" s="161">
        <f t="shared" si="236"/>
        <v>0</v>
      </c>
      <c r="EE161" s="161">
        <f t="shared" si="237"/>
        <v>0</v>
      </c>
      <c r="EF161" s="161">
        <f t="shared" si="238"/>
        <v>0</v>
      </c>
      <c r="EG161" s="161">
        <f t="shared" si="239"/>
        <v>0</v>
      </c>
      <c r="EH161" s="161">
        <f t="shared" si="240"/>
        <v>0</v>
      </c>
      <c r="EI161" s="161">
        <f t="shared" si="241"/>
        <v>0</v>
      </c>
      <c r="EJ161" s="161">
        <f t="shared" si="242"/>
        <v>0</v>
      </c>
      <c r="EK161" s="147">
        <f t="shared" si="174"/>
        <v>0</v>
      </c>
      <c r="EL161" s="149"/>
      <c r="EN161" s="146"/>
      <c r="EO161" s="146"/>
      <c r="EP161" s="139">
        <f t="shared" si="175"/>
        <v>0</v>
      </c>
      <c r="EQ161" s="139">
        <f t="shared" si="176"/>
        <v>0</v>
      </c>
      <c r="ER161" s="139">
        <f t="shared" si="177"/>
        <v>0</v>
      </c>
      <c r="ES161" s="139">
        <f t="shared" si="178"/>
        <v>0</v>
      </c>
      <c r="ET161" s="139">
        <f t="shared" si="179"/>
        <v>0</v>
      </c>
      <c r="EU161" s="139">
        <f t="shared" si="180"/>
        <v>0</v>
      </c>
      <c r="EV161" s="139">
        <f t="shared" si="181"/>
        <v>0</v>
      </c>
      <c r="EW161" s="139">
        <f t="shared" si="182"/>
        <v>0</v>
      </c>
      <c r="EX161" s="139">
        <f t="shared" si="183"/>
        <v>0</v>
      </c>
      <c r="EY161" s="139">
        <f t="shared" si="184"/>
        <v>0</v>
      </c>
      <c r="EZ161" s="139">
        <f t="shared" si="185"/>
        <v>0</v>
      </c>
      <c r="FA161" s="139">
        <f t="shared" si="186"/>
        <v>0</v>
      </c>
      <c r="FB161" s="139">
        <f t="shared" si="187"/>
        <v>0</v>
      </c>
      <c r="FC161" s="139">
        <f t="shared" si="188"/>
        <v>0</v>
      </c>
      <c r="FD161" s="139">
        <f t="shared" si="189"/>
        <v>0</v>
      </c>
      <c r="FE161" s="139">
        <f t="shared" si="190"/>
        <v>0</v>
      </c>
      <c r="FF161" s="139">
        <f t="shared" si="191"/>
        <v>0</v>
      </c>
      <c r="FG161" s="139">
        <f t="shared" si="192"/>
        <v>0</v>
      </c>
      <c r="FH161" s="139">
        <f t="shared" si="193"/>
        <v>0</v>
      </c>
      <c r="FI161" s="139">
        <f t="shared" si="194"/>
        <v>0</v>
      </c>
      <c r="FJ161" s="139">
        <f t="shared" si="195"/>
        <v>0</v>
      </c>
      <c r="FK161" s="139">
        <f t="shared" si="196"/>
        <v>0</v>
      </c>
      <c r="FL161" s="139">
        <f t="shared" si="197"/>
        <v>0</v>
      </c>
      <c r="FM161" s="139">
        <f t="shared" si="198"/>
        <v>0</v>
      </c>
      <c r="FN161" s="139">
        <f t="shared" si="199"/>
        <v>0</v>
      </c>
      <c r="FO161" s="139">
        <f t="shared" si="200"/>
        <v>0</v>
      </c>
      <c r="FP161" s="139">
        <f t="shared" si="201"/>
        <v>0</v>
      </c>
      <c r="FQ161" s="139">
        <f t="shared" si="202"/>
        <v>0</v>
      </c>
      <c r="FR161" s="139">
        <f t="shared" si="203"/>
        <v>0</v>
      </c>
      <c r="FS161" s="139">
        <f t="shared" si="204"/>
        <v>0</v>
      </c>
      <c r="FT161" s="139">
        <f t="shared" si="205"/>
        <v>0</v>
      </c>
      <c r="FU161" s="148">
        <f t="shared" si="206"/>
        <v>0</v>
      </c>
      <c r="FV161" s="149"/>
      <c r="FY161" s="210">
        <v>156</v>
      </c>
      <c r="FZ161" s="205"/>
      <c r="GA161" s="205"/>
      <c r="GB161" s="205"/>
      <c r="GC161" s="205"/>
      <c r="GD161" s="205"/>
      <c r="GE161" s="205"/>
      <c r="GF161" s="205"/>
      <c r="GG161" s="205"/>
      <c r="GH161" s="205"/>
      <c r="GI161" s="205"/>
      <c r="GJ161" s="205"/>
      <c r="GK161" s="205"/>
      <c r="GL161" s="205"/>
      <c r="GM161" s="205"/>
    </row>
    <row r="162" spans="1:195" s="7" customFormat="1">
      <c r="A162" s="1"/>
      <c r="B162" s="76">
        <f t="shared" ca="1" si="171"/>
        <v>0.6921083041755387</v>
      </c>
      <c r="C162">
        <v>3</v>
      </c>
      <c r="D162">
        <v>39910</v>
      </c>
      <c r="E162">
        <v>0</v>
      </c>
      <c r="F162">
        <v>0</v>
      </c>
      <c r="G162">
        <v>0</v>
      </c>
      <c r="H162">
        <v>86.805555555555557</v>
      </c>
      <c r="I162">
        <v>0</v>
      </c>
      <c r="J162">
        <v>0</v>
      </c>
      <c r="K162">
        <v>28.409090909090907</v>
      </c>
      <c r="L162">
        <v>56.818181818181813</v>
      </c>
      <c r="M162">
        <v>0</v>
      </c>
      <c r="N162">
        <v>113.63636363636363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/>
      <c r="AO162"/>
      <c r="AP162"/>
      <c r="AQ162"/>
      <c r="AR162"/>
      <c r="AS162"/>
      <c r="AT162"/>
      <c r="AU162"/>
      <c r="AV162"/>
      <c r="AW162"/>
      <c r="AX162" s="146"/>
      <c r="AY162" s="76">
        <f t="shared" ca="1" si="172"/>
        <v>0.23094253934051912</v>
      </c>
      <c r="AZ162">
        <v>5</v>
      </c>
      <c r="BA162" s="129">
        <f t="shared" si="244"/>
        <v>39910</v>
      </c>
      <c r="BB162">
        <v>0</v>
      </c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 s="147"/>
      <c r="CH162" s="176"/>
      <c r="CJ162" s="146"/>
      <c r="CK162" s="76">
        <f t="shared" ca="1" si="207"/>
        <v>0.71393188936457563</v>
      </c>
      <c r="CL162" s="179">
        <f t="shared" si="208"/>
        <v>5</v>
      </c>
      <c r="CM162" s="180">
        <f t="shared" si="209"/>
        <v>39910</v>
      </c>
      <c r="CN162"/>
      <c r="CO162"/>
      <c r="CP162"/>
      <c r="CQ162"/>
      <c r="CR162"/>
      <c r="CS162"/>
      <c r="CT162"/>
      <c r="CU162"/>
      <c r="CV162" s="160"/>
      <c r="CW162">
        <v>1</v>
      </c>
      <c r="CX162">
        <v>1</v>
      </c>
      <c r="CY162" s="160"/>
      <c r="CZ162" s="177">
        <f t="shared" si="210"/>
        <v>9.6000000000000002E-2</v>
      </c>
      <c r="DB162" s="146"/>
      <c r="DC162" s="76">
        <f t="shared" ca="1" si="173"/>
        <v>0.5045388944232041</v>
      </c>
      <c r="DD162">
        <f t="shared" si="211"/>
        <v>5</v>
      </c>
      <c r="DE162" s="129">
        <f t="shared" si="243"/>
        <v>39910</v>
      </c>
      <c r="DF162" s="161">
        <f t="shared" si="212"/>
        <v>0</v>
      </c>
      <c r="DG162" s="161">
        <f t="shared" si="213"/>
        <v>0</v>
      </c>
      <c r="DH162" s="161">
        <f t="shared" si="214"/>
        <v>0</v>
      </c>
      <c r="DI162" s="161">
        <f t="shared" si="215"/>
        <v>0</v>
      </c>
      <c r="DJ162" s="161">
        <f t="shared" si="216"/>
        <v>0</v>
      </c>
      <c r="DK162" s="161">
        <f t="shared" si="217"/>
        <v>0</v>
      </c>
      <c r="DL162" s="161">
        <f t="shared" si="218"/>
        <v>0</v>
      </c>
      <c r="DM162" s="161">
        <f t="shared" si="219"/>
        <v>0</v>
      </c>
      <c r="DN162" s="161">
        <f t="shared" si="220"/>
        <v>0</v>
      </c>
      <c r="DO162" s="161">
        <f t="shared" si="221"/>
        <v>0</v>
      </c>
      <c r="DP162" s="161">
        <f t="shared" si="222"/>
        <v>0</v>
      </c>
      <c r="DQ162" s="161">
        <f t="shared" si="223"/>
        <v>0</v>
      </c>
      <c r="DR162" s="161">
        <f t="shared" si="224"/>
        <v>0</v>
      </c>
      <c r="DS162" s="161">
        <f t="shared" si="225"/>
        <v>0</v>
      </c>
      <c r="DT162" s="161">
        <f t="shared" si="226"/>
        <v>0</v>
      </c>
      <c r="DU162" s="161">
        <f t="shared" si="227"/>
        <v>0</v>
      </c>
      <c r="DV162" s="161">
        <f t="shared" si="228"/>
        <v>0</v>
      </c>
      <c r="DW162" s="161">
        <f t="shared" si="229"/>
        <v>0</v>
      </c>
      <c r="DX162" s="161">
        <f t="shared" si="230"/>
        <v>0</v>
      </c>
      <c r="DY162" s="161">
        <f t="shared" si="231"/>
        <v>0</v>
      </c>
      <c r="DZ162" s="161">
        <f t="shared" si="232"/>
        <v>0</v>
      </c>
      <c r="EA162" s="161">
        <f t="shared" si="233"/>
        <v>0</v>
      </c>
      <c r="EB162" s="161">
        <f t="shared" si="234"/>
        <v>0</v>
      </c>
      <c r="EC162" s="161">
        <f t="shared" si="235"/>
        <v>0</v>
      </c>
      <c r="ED162" s="161">
        <f t="shared" si="236"/>
        <v>0</v>
      </c>
      <c r="EE162" s="161">
        <f t="shared" si="237"/>
        <v>0</v>
      </c>
      <c r="EF162" s="161">
        <f t="shared" si="238"/>
        <v>0</v>
      </c>
      <c r="EG162" s="161">
        <f t="shared" si="239"/>
        <v>0</v>
      </c>
      <c r="EH162" s="161">
        <f t="shared" si="240"/>
        <v>0</v>
      </c>
      <c r="EI162" s="161">
        <f t="shared" si="241"/>
        <v>0</v>
      </c>
      <c r="EJ162" s="161">
        <f t="shared" si="242"/>
        <v>0</v>
      </c>
      <c r="EK162" s="147">
        <f t="shared" si="174"/>
        <v>0</v>
      </c>
      <c r="EL162" s="149"/>
      <c r="EN162" s="146"/>
      <c r="EO162" s="146"/>
      <c r="EP162" s="139">
        <f t="shared" si="175"/>
        <v>0</v>
      </c>
      <c r="EQ162" s="139">
        <f t="shared" si="176"/>
        <v>0</v>
      </c>
      <c r="ER162" s="139">
        <f t="shared" si="177"/>
        <v>0</v>
      </c>
      <c r="ES162" s="139">
        <f t="shared" si="178"/>
        <v>0</v>
      </c>
      <c r="ET162" s="139">
        <f t="shared" si="179"/>
        <v>0</v>
      </c>
      <c r="EU162" s="139">
        <f t="shared" si="180"/>
        <v>0</v>
      </c>
      <c r="EV162" s="139">
        <f t="shared" si="181"/>
        <v>0</v>
      </c>
      <c r="EW162" s="139">
        <f t="shared" si="182"/>
        <v>0</v>
      </c>
      <c r="EX162" s="139">
        <f t="shared" si="183"/>
        <v>0</v>
      </c>
      <c r="EY162" s="139">
        <f t="shared" si="184"/>
        <v>0</v>
      </c>
      <c r="EZ162" s="139">
        <f t="shared" si="185"/>
        <v>0</v>
      </c>
      <c r="FA162" s="139">
        <f t="shared" si="186"/>
        <v>0</v>
      </c>
      <c r="FB162" s="139">
        <f t="shared" si="187"/>
        <v>0</v>
      </c>
      <c r="FC162" s="139">
        <f t="shared" si="188"/>
        <v>0</v>
      </c>
      <c r="FD162" s="139">
        <f t="shared" si="189"/>
        <v>0</v>
      </c>
      <c r="FE162" s="139">
        <f t="shared" si="190"/>
        <v>0</v>
      </c>
      <c r="FF162" s="139">
        <f t="shared" si="191"/>
        <v>0</v>
      </c>
      <c r="FG162" s="139">
        <f t="shared" si="192"/>
        <v>0</v>
      </c>
      <c r="FH162" s="139">
        <f t="shared" si="193"/>
        <v>0</v>
      </c>
      <c r="FI162" s="139">
        <f t="shared" si="194"/>
        <v>0</v>
      </c>
      <c r="FJ162" s="139">
        <f t="shared" si="195"/>
        <v>0</v>
      </c>
      <c r="FK162" s="139">
        <f t="shared" si="196"/>
        <v>0</v>
      </c>
      <c r="FL162" s="139">
        <f t="shared" si="197"/>
        <v>0</v>
      </c>
      <c r="FM162" s="139">
        <f t="shared" si="198"/>
        <v>0</v>
      </c>
      <c r="FN162" s="139">
        <f t="shared" si="199"/>
        <v>0</v>
      </c>
      <c r="FO162" s="139">
        <f t="shared" si="200"/>
        <v>0</v>
      </c>
      <c r="FP162" s="139">
        <f t="shared" si="201"/>
        <v>0</v>
      </c>
      <c r="FQ162" s="139">
        <f t="shared" si="202"/>
        <v>0</v>
      </c>
      <c r="FR162" s="139">
        <f t="shared" si="203"/>
        <v>0</v>
      </c>
      <c r="FS162" s="139">
        <f t="shared" si="204"/>
        <v>0</v>
      </c>
      <c r="FT162" s="139">
        <f t="shared" si="205"/>
        <v>0</v>
      </c>
      <c r="FU162" s="148">
        <f t="shared" si="206"/>
        <v>0</v>
      </c>
      <c r="FV162" s="149"/>
      <c r="FY162" s="210">
        <v>157</v>
      </c>
      <c r="FZ162" s="205"/>
      <c r="GA162" s="205"/>
      <c r="GB162" s="205"/>
      <c r="GC162" s="205"/>
      <c r="GD162" s="205"/>
      <c r="GE162" s="205"/>
      <c r="GF162" s="205"/>
      <c r="GG162" s="205"/>
      <c r="GH162" s="205"/>
      <c r="GI162" s="205"/>
      <c r="GJ162" s="205"/>
      <c r="GK162" s="205"/>
      <c r="GL162" s="205"/>
      <c r="GM162" s="205"/>
    </row>
    <row r="163" spans="1:195" s="7" customFormat="1">
      <c r="A163" s="1"/>
      <c r="B163" s="76">
        <f t="shared" ca="1" si="171"/>
        <v>0.18679604842287922</v>
      </c>
      <c r="C163">
        <v>7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10.416666666666666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/>
      <c r="AO163"/>
      <c r="AP163"/>
      <c r="AQ163"/>
      <c r="AR163"/>
      <c r="AS163"/>
      <c r="AT163"/>
      <c r="AU163"/>
      <c r="AV163"/>
      <c r="AW163"/>
      <c r="AX163" s="146"/>
      <c r="AY163" s="76">
        <f t="shared" ca="1" si="172"/>
        <v>0.82685125684341099</v>
      </c>
      <c r="AZ163">
        <v>6</v>
      </c>
      <c r="BA163" s="129">
        <f t="shared" si="244"/>
        <v>39910</v>
      </c>
      <c r="BB163">
        <v>0</v>
      </c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 s="147"/>
      <c r="CH163" s="176"/>
      <c r="CJ163" s="146"/>
      <c r="CK163" s="76">
        <f t="shared" ca="1" si="207"/>
        <v>0.25613503617457001</v>
      </c>
      <c r="CL163" s="179">
        <f t="shared" si="208"/>
        <v>6</v>
      </c>
      <c r="CM163" s="180">
        <f t="shared" si="209"/>
        <v>39910</v>
      </c>
      <c r="CN163"/>
      <c r="CO163"/>
      <c r="CP163"/>
      <c r="CQ163"/>
      <c r="CR163"/>
      <c r="CS163"/>
      <c r="CT163"/>
      <c r="CU163"/>
      <c r="CV163" s="160"/>
      <c r="CW163">
        <v>1</v>
      </c>
      <c r="CX163">
        <v>1</v>
      </c>
      <c r="CY163" s="160"/>
      <c r="CZ163" s="177">
        <f t="shared" si="210"/>
        <v>9.6000000000000002E-2</v>
      </c>
      <c r="DB163" s="146"/>
      <c r="DC163" s="76">
        <f t="shared" ca="1" si="173"/>
        <v>6.3668764002553502E-2</v>
      </c>
      <c r="DD163">
        <f t="shared" si="211"/>
        <v>6</v>
      </c>
      <c r="DE163" s="129">
        <f t="shared" si="243"/>
        <v>39910</v>
      </c>
      <c r="DF163" s="161">
        <f t="shared" si="212"/>
        <v>0</v>
      </c>
      <c r="DG163" s="161">
        <f t="shared" si="213"/>
        <v>0</v>
      </c>
      <c r="DH163" s="161">
        <f t="shared" si="214"/>
        <v>0</v>
      </c>
      <c r="DI163" s="161">
        <f t="shared" si="215"/>
        <v>0</v>
      </c>
      <c r="DJ163" s="161">
        <f t="shared" si="216"/>
        <v>0</v>
      </c>
      <c r="DK163" s="161">
        <f t="shared" si="217"/>
        <v>0</v>
      </c>
      <c r="DL163" s="161">
        <f t="shared" si="218"/>
        <v>0</v>
      </c>
      <c r="DM163" s="161">
        <f t="shared" si="219"/>
        <v>0</v>
      </c>
      <c r="DN163" s="161">
        <f t="shared" si="220"/>
        <v>0</v>
      </c>
      <c r="DO163" s="161">
        <f t="shared" si="221"/>
        <v>0</v>
      </c>
      <c r="DP163" s="161">
        <f t="shared" si="222"/>
        <v>0</v>
      </c>
      <c r="DQ163" s="161">
        <f t="shared" si="223"/>
        <v>0</v>
      </c>
      <c r="DR163" s="161">
        <f t="shared" si="224"/>
        <v>0</v>
      </c>
      <c r="DS163" s="161">
        <f t="shared" si="225"/>
        <v>0</v>
      </c>
      <c r="DT163" s="161">
        <f t="shared" si="226"/>
        <v>0</v>
      </c>
      <c r="DU163" s="161">
        <f t="shared" si="227"/>
        <v>0</v>
      </c>
      <c r="DV163" s="161">
        <f t="shared" si="228"/>
        <v>0</v>
      </c>
      <c r="DW163" s="161">
        <f t="shared" si="229"/>
        <v>0</v>
      </c>
      <c r="DX163" s="161">
        <f t="shared" si="230"/>
        <v>0</v>
      </c>
      <c r="DY163" s="161">
        <f t="shared" si="231"/>
        <v>0</v>
      </c>
      <c r="DZ163" s="161">
        <f t="shared" si="232"/>
        <v>0</v>
      </c>
      <c r="EA163" s="161">
        <f t="shared" si="233"/>
        <v>0</v>
      </c>
      <c r="EB163" s="161">
        <f t="shared" si="234"/>
        <v>0</v>
      </c>
      <c r="EC163" s="161">
        <f t="shared" si="235"/>
        <v>0</v>
      </c>
      <c r="ED163" s="161">
        <f t="shared" si="236"/>
        <v>0</v>
      </c>
      <c r="EE163" s="161">
        <f t="shared" si="237"/>
        <v>0</v>
      </c>
      <c r="EF163" s="161">
        <f t="shared" si="238"/>
        <v>0</v>
      </c>
      <c r="EG163" s="161">
        <f t="shared" si="239"/>
        <v>0</v>
      </c>
      <c r="EH163" s="161">
        <f t="shared" si="240"/>
        <v>0</v>
      </c>
      <c r="EI163" s="161">
        <f t="shared" si="241"/>
        <v>0</v>
      </c>
      <c r="EJ163" s="161">
        <f t="shared" si="242"/>
        <v>0</v>
      </c>
      <c r="EK163" s="147">
        <f t="shared" si="174"/>
        <v>0</v>
      </c>
      <c r="EL163" s="149"/>
      <c r="EN163" s="146"/>
      <c r="EO163" s="146"/>
      <c r="EP163" s="139">
        <f t="shared" si="175"/>
        <v>0</v>
      </c>
      <c r="EQ163" s="139">
        <f t="shared" si="176"/>
        <v>0</v>
      </c>
      <c r="ER163" s="139">
        <f t="shared" si="177"/>
        <v>0</v>
      </c>
      <c r="ES163" s="139">
        <f t="shared" si="178"/>
        <v>0</v>
      </c>
      <c r="ET163" s="139">
        <f t="shared" si="179"/>
        <v>0</v>
      </c>
      <c r="EU163" s="139">
        <f t="shared" si="180"/>
        <v>0</v>
      </c>
      <c r="EV163" s="139">
        <f t="shared" si="181"/>
        <v>0</v>
      </c>
      <c r="EW163" s="139">
        <f t="shared" si="182"/>
        <v>0</v>
      </c>
      <c r="EX163" s="139">
        <f t="shared" si="183"/>
        <v>0</v>
      </c>
      <c r="EY163" s="139">
        <f t="shared" si="184"/>
        <v>0</v>
      </c>
      <c r="EZ163" s="139">
        <f t="shared" si="185"/>
        <v>0</v>
      </c>
      <c r="FA163" s="139">
        <f t="shared" si="186"/>
        <v>0</v>
      </c>
      <c r="FB163" s="139">
        <f t="shared" si="187"/>
        <v>0</v>
      </c>
      <c r="FC163" s="139">
        <f t="shared" si="188"/>
        <v>0</v>
      </c>
      <c r="FD163" s="139">
        <f t="shared" si="189"/>
        <v>0</v>
      </c>
      <c r="FE163" s="139">
        <f t="shared" si="190"/>
        <v>0</v>
      </c>
      <c r="FF163" s="139">
        <f t="shared" si="191"/>
        <v>0</v>
      </c>
      <c r="FG163" s="139">
        <f t="shared" si="192"/>
        <v>0</v>
      </c>
      <c r="FH163" s="139">
        <f t="shared" si="193"/>
        <v>0</v>
      </c>
      <c r="FI163" s="139">
        <f t="shared" si="194"/>
        <v>0</v>
      </c>
      <c r="FJ163" s="139">
        <f t="shared" si="195"/>
        <v>0</v>
      </c>
      <c r="FK163" s="139">
        <f t="shared" si="196"/>
        <v>0</v>
      </c>
      <c r="FL163" s="139">
        <f t="shared" si="197"/>
        <v>0</v>
      </c>
      <c r="FM163" s="139">
        <f t="shared" si="198"/>
        <v>0</v>
      </c>
      <c r="FN163" s="139">
        <f t="shared" si="199"/>
        <v>0</v>
      </c>
      <c r="FO163" s="139">
        <f t="shared" si="200"/>
        <v>0</v>
      </c>
      <c r="FP163" s="139">
        <f t="shared" si="201"/>
        <v>0</v>
      </c>
      <c r="FQ163" s="139">
        <f t="shared" si="202"/>
        <v>0</v>
      </c>
      <c r="FR163" s="139">
        <f t="shared" si="203"/>
        <v>0</v>
      </c>
      <c r="FS163" s="139">
        <f t="shared" si="204"/>
        <v>0</v>
      </c>
      <c r="FT163" s="139">
        <f t="shared" si="205"/>
        <v>0</v>
      </c>
      <c r="FU163" s="148">
        <f t="shared" si="206"/>
        <v>0</v>
      </c>
      <c r="FV163" s="149"/>
      <c r="FY163" s="210">
        <v>158</v>
      </c>
      <c r="FZ163" s="205"/>
      <c r="GA163" s="205"/>
      <c r="GB163" s="205"/>
      <c r="GC163" s="205"/>
      <c r="GD163" s="205"/>
      <c r="GE163" s="205"/>
      <c r="GF163" s="205"/>
      <c r="GG163" s="205"/>
      <c r="GH163" s="205"/>
      <c r="GI163" s="205"/>
      <c r="GJ163" s="205"/>
      <c r="GK163" s="205"/>
      <c r="GL163" s="205"/>
      <c r="GM163" s="205"/>
    </row>
    <row r="164" spans="1:195" s="7" customFormat="1">
      <c r="A164" s="1"/>
      <c r="B164" s="76">
        <f t="shared" ca="1" si="171"/>
        <v>0.77353150330417275</v>
      </c>
      <c r="C164">
        <v>9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68.75</v>
      </c>
      <c r="L164">
        <v>0</v>
      </c>
      <c r="M164">
        <v>34.375</v>
      </c>
      <c r="N164">
        <v>103.12499999999999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/>
      <c r="AO164"/>
      <c r="AP164"/>
      <c r="AQ164"/>
      <c r="AR164"/>
      <c r="AS164"/>
      <c r="AT164"/>
      <c r="AU164"/>
      <c r="AV164"/>
      <c r="AW164"/>
      <c r="AX164" s="146"/>
      <c r="AY164" s="76">
        <f t="shared" ca="1" si="172"/>
        <v>0.67345728495942581</v>
      </c>
      <c r="AZ164">
        <v>7</v>
      </c>
      <c r="BA164" s="129">
        <f t="shared" si="244"/>
        <v>39910</v>
      </c>
      <c r="BB164">
        <v>0</v>
      </c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 s="147"/>
      <c r="CH164" s="176"/>
      <c r="CJ164" s="146"/>
      <c r="CK164" s="76">
        <f t="shared" ca="1" si="207"/>
        <v>0.53115282232783922</v>
      </c>
      <c r="CL164" s="179">
        <f t="shared" si="208"/>
        <v>7</v>
      </c>
      <c r="CM164" s="180">
        <f t="shared" si="209"/>
        <v>39910</v>
      </c>
      <c r="CN164"/>
      <c r="CO164"/>
      <c r="CP164"/>
      <c r="CQ164"/>
      <c r="CR164"/>
      <c r="CS164"/>
      <c r="CT164"/>
      <c r="CU164"/>
      <c r="CV164" s="160"/>
      <c r="CW164">
        <v>1</v>
      </c>
      <c r="CX164">
        <v>1</v>
      </c>
      <c r="CY164" s="165"/>
      <c r="CZ164" s="177">
        <f t="shared" si="210"/>
        <v>9.6000000000000002E-2</v>
      </c>
      <c r="DB164" s="146"/>
      <c r="DC164" s="76">
        <f t="shared" ca="1" si="173"/>
        <v>0.66185864642554426</v>
      </c>
      <c r="DD164">
        <f t="shared" si="211"/>
        <v>7</v>
      </c>
      <c r="DE164" s="129">
        <f t="shared" si="243"/>
        <v>39910</v>
      </c>
      <c r="DF164" s="161">
        <f t="shared" si="212"/>
        <v>0</v>
      </c>
      <c r="DG164" s="161">
        <f t="shared" si="213"/>
        <v>0</v>
      </c>
      <c r="DH164" s="161">
        <f t="shared" si="214"/>
        <v>0</v>
      </c>
      <c r="DI164" s="161">
        <f t="shared" si="215"/>
        <v>0</v>
      </c>
      <c r="DJ164" s="161">
        <f t="shared" si="216"/>
        <v>0</v>
      </c>
      <c r="DK164" s="161">
        <f t="shared" si="217"/>
        <v>0</v>
      </c>
      <c r="DL164" s="161">
        <f t="shared" si="218"/>
        <v>0</v>
      </c>
      <c r="DM164" s="161">
        <f t="shared" si="219"/>
        <v>0</v>
      </c>
      <c r="DN164" s="161">
        <f t="shared" si="220"/>
        <v>0</v>
      </c>
      <c r="DO164" s="161">
        <f t="shared" si="221"/>
        <v>0</v>
      </c>
      <c r="DP164" s="161">
        <f t="shared" si="222"/>
        <v>0</v>
      </c>
      <c r="DQ164" s="161">
        <f t="shared" si="223"/>
        <v>0</v>
      </c>
      <c r="DR164" s="161">
        <f t="shared" si="224"/>
        <v>0</v>
      </c>
      <c r="DS164" s="161">
        <f t="shared" si="225"/>
        <v>0</v>
      </c>
      <c r="DT164" s="161">
        <f t="shared" si="226"/>
        <v>0</v>
      </c>
      <c r="DU164" s="161">
        <f t="shared" si="227"/>
        <v>0</v>
      </c>
      <c r="DV164" s="161">
        <f t="shared" si="228"/>
        <v>0</v>
      </c>
      <c r="DW164" s="161">
        <f t="shared" si="229"/>
        <v>0</v>
      </c>
      <c r="DX164" s="161">
        <f t="shared" si="230"/>
        <v>0</v>
      </c>
      <c r="DY164" s="161">
        <f t="shared" si="231"/>
        <v>0</v>
      </c>
      <c r="DZ164" s="161">
        <f t="shared" si="232"/>
        <v>0</v>
      </c>
      <c r="EA164" s="161">
        <f t="shared" si="233"/>
        <v>0</v>
      </c>
      <c r="EB164" s="161">
        <f t="shared" si="234"/>
        <v>0</v>
      </c>
      <c r="EC164" s="161">
        <f t="shared" si="235"/>
        <v>0</v>
      </c>
      <c r="ED164" s="161">
        <f t="shared" si="236"/>
        <v>0</v>
      </c>
      <c r="EE164" s="161">
        <f t="shared" si="237"/>
        <v>0</v>
      </c>
      <c r="EF164" s="161">
        <f t="shared" si="238"/>
        <v>0</v>
      </c>
      <c r="EG164" s="161">
        <f t="shared" si="239"/>
        <v>0</v>
      </c>
      <c r="EH164" s="161">
        <f t="shared" si="240"/>
        <v>0</v>
      </c>
      <c r="EI164" s="161">
        <f t="shared" si="241"/>
        <v>0</v>
      </c>
      <c r="EJ164" s="161">
        <f t="shared" si="242"/>
        <v>0</v>
      </c>
      <c r="EK164" s="147">
        <f t="shared" si="174"/>
        <v>0</v>
      </c>
      <c r="EL164" s="149"/>
      <c r="EN164" s="146"/>
      <c r="EO164" s="146"/>
      <c r="EP164" s="139">
        <f t="shared" si="175"/>
        <v>0</v>
      </c>
      <c r="EQ164" s="139">
        <f t="shared" si="176"/>
        <v>0</v>
      </c>
      <c r="ER164" s="139">
        <f t="shared" si="177"/>
        <v>0</v>
      </c>
      <c r="ES164" s="139">
        <f t="shared" si="178"/>
        <v>0</v>
      </c>
      <c r="ET164" s="139">
        <f t="shared" si="179"/>
        <v>0</v>
      </c>
      <c r="EU164" s="139">
        <f t="shared" si="180"/>
        <v>0</v>
      </c>
      <c r="EV164" s="139">
        <f t="shared" si="181"/>
        <v>0</v>
      </c>
      <c r="EW164" s="139">
        <f t="shared" si="182"/>
        <v>0</v>
      </c>
      <c r="EX164" s="139">
        <f t="shared" si="183"/>
        <v>0</v>
      </c>
      <c r="EY164" s="139">
        <f t="shared" si="184"/>
        <v>0</v>
      </c>
      <c r="EZ164" s="139">
        <f t="shared" si="185"/>
        <v>0</v>
      </c>
      <c r="FA164" s="139">
        <f t="shared" si="186"/>
        <v>0</v>
      </c>
      <c r="FB164" s="139">
        <f t="shared" si="187"/>
        <v>0</v>
      </c>
      <c r="FC164" s="139">
        <f t="shared" si="188"/>
        <v>0</v>
      </c>
      <c r="FD164" s="139">
        <f t="shared" si="189"/>
        <v>0</v>
      </c>
      <c r="FE164" s="139">
        <f t="shared" si="190"/>
        <v>0</v>
      </c>
      <c r="FF164" s="139">
        <f t="shared" si="191"/>
        <v>0</v>
      </c>
      <c r="FG164" s="139">
        <f t="shared" si="192"/>
        <v>0</v>
      </c>
      <c r="FH164" s="139">
        <f t="shared" si="193"/>
        <v>0</v>
      </c>
      <c r="FI164" s="139">
        <f t="shared" si="194"/>
        <v>0</v>
      </c>
      <c r="FJ164" s="139">
        <f t="shared" si="195"/>
        <v>0</v>
      </c>
      <c r="FK164" s="139">
        <f t="shared" si="196"/>
        <v>0</v>
      </c>
      <c r="FL164" s="139">
        <f t="shared" si="197"/>
        <v>0</v>
      </c>
      <c r="FM164" s="139">
        <f t="shared" si="198"/>
        <v>0</v>
      </c>
      <c r="FN164" s="139">
        <f t="shared" si="199"/>
        <v>0</v>
      </c>
      <c r="FO164" s="139">
        <f t="shared" si="200"/>
        <v>0</v>
      </c>
      <c r="FP164" s="139">
        <f t="shared" si="201"/>
        <v>0</v>
      </c>
      <c r="FQ164" s="139">
        <f t="shared" si="202"/>
        <v>0</v>
      </c>
      <c r="FR164" s="139">
        <f t="shared" si="203"/>
        <v>0</v>
      </c>
      <c r="FS164" s="139">
        <f t="shared" si="204"/>
        <v>0</v>
      </c>
      <c r="FT164" s="139">
        <f t="shared" si="205"/>
        <v>0</v>
      </c>
      <c r="FU164" s="148">
        <f t="shared" si="206"/>
        <v>0</v>
      </c>
      <c r="FV164" s="149"/>
      <c r="FY164" s="210">
        <v>159</v>
      </c>
      <c r="FZ164" s="205"/>
      <c r="GA164" s="205"/>
      <c r="GB164" s="205"/>
      <c r="GC164" s="205"/>
      <c r="GD164" s="205"/>
      <c r="GE164" s="205"/>
      <c r="GF164" s="205"/>
      <c r="GG164" s="205"/>
      <c r="GH164" s="205"/>
      <c r="GI164" s="205"/>
      <c r="GJ164" s="205"/>
      <c r="GK164" s="205"/>
      <c r="GL164" s="205"/>
      <c r="GM164" s="205"/>
    </row>
    <row r="165" spans="1:195" s="7" customFormat="1">
      <c r="A165" s="1"/>
      <c r="B165" s="76">
        <f t="shared" ca="1" si="171"/>
        <v>0.51883518603945333</v>
      </c>
      <c r="C165">
        <v>5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/>
      <c r="AO165"/>
      <c r="AP165"/>
      <c r="AQ165"/>
      <c r="AR165"/>
      <c r="AS165"/>
      <c r="AT165"/>
      <c r="AU165"/>
      <c r="AV165"/>
      <c r="AW165"/>
      <c r="AX165" s="146"/>
      <c r="AY165" s="76">
        <f t="shared" ca="1" si="172"/>
        <v>0.80838151729168151</v>
      </c>
      <c r="AZ165">
        <v>8</v>
      </c>
      <c r="BA165" s="129">
        <f t="shared" si="244"/>
        <v>39910</v>
      </c>
      <c r="BB165">
        <v>0</v>
      </c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>
        <v>1</v>
      </c>
      <c r="CF165"/>
      <c r="CG165" s="147"/>
      <c r="CH165" s="176"/>
      <c r="CJ165" s="146"/>
      <c r="CK165" s="76">
        <f t="shared" ca="1" si="207"/>
        <v>0.82814929207963983</v>
      </c>
      <c r="CL165" s="179">
        <f t="shared" si="208"/>
        <v>8</v>
      </c>
      <c r="CM165" s="180">
        <f t="shared" si="209"/>
        <v>39910</v>
      </c>
      <c r="CN165"/>
      <c r="CO165"/>
      <c r="CP165"/>
      <c r="CQ165"/>
      <c r="CR165"/>
      <c r="CS165"/>
      <c r="CT165"/>
      <c r="CU165"/>
      <c r="CV165" s="160"/>
      <c r="CW165">
        <v>1</v>
      </c>
      <c r="CX165">
        <v>1</v>
      </c>
      <c r="CY165" s="165"/>
      <c r="CZ165" s="177">
        <f t="shared" si="210"/>
        <v>9.6000000000000002E-2</v>
      </c>
      <c r="DB165" s="146"/>
      <c r="DC165" s="76">
        <f t="shared" ca="1" si="173"/>
        <v>0.94941822122419617</v>
      </c>
      <c r="DD165">
        <f t="shared" si="211"/>
        <v>8</v>
      </c>
      <c r="DE165" s="129">
        <f t="shared" si="243"/>
        <v>39910</v>
      </c>
      <c r="DF165" s="161">
        <f t="shared" si="212"/>
        <v>0</v>
      </c>
      <c r="DG165" s="161">
        <f t="shared" si="213"/>
        <v>0</v>
      </c>
      <c r="DH165" s="161">
        <f t="shared" si="214"/>
        <v>0</v>
      </c>
      <c r="DI165" s="161">
        <f t="shared" si="215"/>
        <v>0</v>
      </c>
      <c r="DJ165" s="161">
        <f t="shared" si="216"/>
        <v>0</v>
      </c>
      <c r="DK165" s="161">
        <f t="shared" si="217"/>
        <v>0</v>
      </c>
      <c r="DL165" s="161">
        <f t="shared" si="218"/>
        <v>0</v>
      </c>
      <c r="DM165" s="161">
        <f t="shared" si="219"/>
        <v>0</v>
      </c>
      <c r="DN165" s="161">
        <f t="shared" si="220"/>
        <v>0</v>
      </c>
      <c r="DO165" s="161">
        <f t="shared" si="221"/>
        <v>0</v>
      </c>
      <c r="DP165" s="161">
        <f t="shared" si="222"/>
        <v>0</v>
      </c>
      <c r="DQ165" s="161">
        <f t="shared" si="223"/>
        <v>0</v>
      </c>
      <c r="DR165" s="161">
        <f t="shared" si="224"/>
        <v>0</v>
      </c>
      <c r="DS165" s="161">
        <f t="shared" si="225"/>
        <v>0</v>
      </c>
      <c r="DT165" s="161">
        <f t="shared" si="226"/>
        <v>0</v>
      </c>
      <c r="DU165" s="161">
        <f t="shared" si="227"/>
        <v>0</v>
      </c>
      <c r="DV165" s="161">
        <f t="shared" si="228"/>
        <v>0</v>
      </c>
      <c r="DW165" s="161">
        <f t="shared" si="229"/>
        <v>0</v>
      </c>
      <c r="DX165" s="161">
        <f t="shared" si="230"/>
        <v>0</v>
      </c>
      <c r="DY165" s="161">
        <f t="shared" si="231"/>
        <v>0</v>
      </c>
      <c r="DZ165" s="161">
        <f t="shared" si="232"/>
        <v>0</v>
      </c>
      <c r="EA165" s="161">
        <f t="shared" si="233"/>
        <v>0</v>
      </c>
      <c r="EB165" s="161">
        <f t="shared" si="234"/>
        <v>0</v>
      </c>
      <c r="EC165" s="161">
        <f t="shared" si="235"/>
        <v>0</v>
      </c>
      <c r="ED165" s="161">
        <f t="shared" si="236"/>
        <v>0</v>
      </c>
      <c r="EE165" s="161">
        <f t="shared" si="237"/>
        <v>0</v>
      </c>
      <c r="EF165" s="161">
        <f t="shared" si="238"/>
        <v>0</v>
      </c>
      <c r="EG165" s="161">
        <f t="shared" si="239"/>
        <v>0</v>
      </c>
      <c r="EH165" s="161">
        <f t="shared" si="240"/>
        <v>0</v>
      </c>
      <c r="EI165" s="161">
        <f t="shared" si="241"/>
        <v>10.416666666666666</v>
      </c>
      <c r="EJ165" s="161">
        <f t="shared" si="242"/>
        <v>0</v>
      </c>
      <c r="EK165" s="147">
        <f t="shared" si="174"/>
        <v>10.416666666666666</v>
      </c>
      <c r="EL165" s="149"/>
      <c r="EN165" s="146"/>
      <c r="EO165" s="146"/>
      <c r="EP165" s="139">
        <f t="shared" si="175"/>
        <v>0</v>
      </c>
      <c r="EQ165" s="139">
        <f t="shared" si="176"/>
        <v>0</v>
      </c>
      <c r="ER165" s="139">
        <f t="shared" si="177"/>
        <v>0</v>
      </c>
      <c r="ES165" s="139">
        <f t="shared" si="178"/>
        <v>0</v>
      </c>
      <c r="ET165" s="139">
        <f t="shared" si="179"/>
        <v>0</v>
      </c>
      <c r="EU165" s="139">
        <f t="shared" si="180"/>
        <v>0</v>
      </c>
      <c r="EV165" s="139">
        <f t="shared" si="181"/>
        <v>0</v>
      </c>
      <c r="EW165" s="139">
        <f t="shared" si="182"/>
        <v>0</v>
      </c>
      <c r="EX165" s="139">
        <f t="shared" si="183"/>
        <v>0</v>
      </c>
      <c r="EY165" s="139">
        <f t="shared" si="184"/>
        <v>0</v>
      </c>
      <c r="EZ165" s="139">
        <f t="shared" si="185"/>
        <v>0</v>
      </c>
      <c r="FA165" s="139">
        <f t="shared" si="186"/>
        <v>0</v>
      </c>
      <c r="FB165" s="139">
        <f t="shared" si="187"/>
        <v>0</v>
      </c>
      <c r="FC165" s="139">
        <f t="shared" si="188"/>
        <v>0</v>
      </c>
      <c r="FD165" s="139">
        <f t="shared" si="189"/>
        <v>0</v>
      </c>
      <c r="FE165" s="139">
        <f t="shared" si="190"/>
        <v>0</v>
      </c>
      <c r="FF165" s="139">
        <f t="shared" si="191"/>
        <v>0</v>
      </c>
      <c r="FG165" s="139">
        <f t="shared" si="192"/>
        <v>0</v>
      </c>
      <c r="FH165" s="139">
        <f t="shared" si="193"/>
        <v>0</v>
      </c>
      <c r="FI165" s="139">
        <f t="shared" si="194"/>
        <v>0</v>
      </c>
      <c r="FJ165" s="139">
        <f t="shared" si="195"/>
        <v>0</v>
      </c>
      <c r="FK165" s="139">
        <f t="shared" si="196"/>
        <v>0</v>
      </c>
      <c r="FL165" s="139">
        <f t="shared" si="197"/>
        <v>0</v>
      </c>
      <c r="FM165" s="139">
        <f t="shared" si="198"/>
        <v>0</v>
      </c>
      <c r="FN165" s="139">
        <f t="shared" si="199"/>
        <v>0</v>
      </c>
      <c r="FO165" s="139">
        <f t="shared" si="200"/>
        <v>0</v>
      </c>
      <c r="FP165" s="139">
        <f t="shared" si="201"/>
        <v>0</v>
      </c>
      <c r="FQ165" s="139">
        <f t="shared" si="202"/>
        <v>0</v>
      </c>
      <c r="FR165" s="139">
        <f t="shared" si="203"/>
        <v>0</v>
      </c>
      <c r="FS165" s="139">
        <f t="shared" si="204"/>
        <v>0.85794195557452491</v>
      </c>
      <c r="FT165" s="139">
        <f t="shared" si="205"/>
        <v>0</v>
      </c>
      <c r="FU165" s="148">
        <f t="shared" si="206"/>
        <v>0.85794195557452491</v>
      </c>
      <c r="FV165" s="149"/>
      <c r="FY165" s="210">
        <v>160</v>
      </c>
      <c r="FZ165" s="205"/>
      <c r="GA165" s="205"/>
      <c r="GB165" s="205"/>
      <c r="GC165" s="205"/>
      <c r="GD165" s="205"/>
      <c r="GE165" s="205"/>
      <c r="GF165" s="205"/>
      <c r="GG165" s="205"/>
      <c r="GH165" s="205"/>
      <c r="GI165" s="205"/>
      <c r="GJ165" s="205"/>
      <c r="GK165" s="205"/>
      <c r="GL165" s="205"/>
      <c r="GM165" s="205"/>
    </row>
    <row r="166" spans="1:195" s="7" customFormat="1">
      <c r="A166" s="1"/>
      <c r="B166" s="76">
        <f t="shared" ca="1" si="171"/>
        <v>0.98324154182667733</v>
      </c>
      <c r="C166">
        <v>10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20.833333333333332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/>
      <c r="AO166"/>
      <c r="AP166"/>
      <c r="AQ166"/>
      <c r="AR166"/>
      <c r="AS166"/>
      <c r="AT166"/>
      <c r="AU166"/>
      <c r="AV166"/>
      <c r="AW166"/>
      <c r="AX166" s="146"/>
      <c r="AY166" s="76">
        <f t="shared" ca="1" si="172"/>
        <v>0.47003138174003323</v>
      </c>
      <c r="AZ166">
        <v>9</v>
      </c>
      <c r="BA166" s="129">
        <f t="shared" si="244"/>
        <v>39910</v>
      </c>
      <c r="BB166">
        <v>0</v>
      </c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 s="147"/>
      <c r="CH166" s="176"/>
      <c r="CJ166" s="146"/>
      <c r="CK166" s="76">
        <f t="shared" ca="1" si="207"/>
        <v>0.41252525016977426</v>
      </c>
      <c r="CL166" s="179">
        <f t="shared" si="208"/>
        <v>9</v>
      </c>
      <c r="CM166" s="180">
        <f t="shared" si="209"/>
        <v>39910</v>
      </c>
      <c r="CN166">
        <v>0</v>
      </c>
      <c r="CO166"/>
      <c r="CP166"/>
      <c r="CQ166"/>
      <c r="CR166"/>
      <c r="CS166"/>
      <c r="CT166"/>
      <c r="CU166"/>
      <c r="CV166" s="160"/>
      <c r="CW166">
        <f>33/10</f>
        <v>3.3</v>
      </c>
      <c r="CX166">
        <f>350/36</f>
        <v>9.7222222222222214</v>
      </c>
      <c r="CY166" s="165"/>
      <c r="CZ166" s="177">
        <f t="shared" si="210"/>
        <v>9.6000000000000002E-2</v>
      </c>
      <c r="DB166" s="146"/>
      <c r="DC166" s="76">
        <f t="shared" ca="1" si="173"/>
        <v>0.77329289093223963</v>
      </c>
      <c r="DD166">
        <f t="shared" si="211"/>
        <v>9</v>
      </c>
      <c r="DE166" s="129">
        <f t="shared" si="243"/>
        <v>39910</v>
      </c>
      <c r="DF166" s="161">
        <f t="shared" si="212"/>
        <v>0</v>
      </c>
      <c r="DG166" s="161">
        <f t="shared" si="213"/>
        <v>0</v>
      </c>
      <c r="DH166" s="161">
        <f t="shared" si="214"/>
        <v>0</v>
      </c>
      <c r="DI166" s="161">
        <f t="shared" si="215"/>
        <v>0</v>
      </c>
      <c r="DJ166" s="161">
        <f t="shared" si="216"/>
        <v>0</v>
      </c>
      <c r="DK166" s="161">
        <f t="shared" si="217"/>
        <v>0</v>
      </c>
      <c r="DL166" s="161">
        <f t="shared" si="218"/>
        <v>0</v>
      </c>
      <c r="DM166" s="161">
        <f t="shared" si="219"/>
        <v>0</v>
      </c>
      <c r="DN166" s="161">
        <f t="shared" si="220"/>
        <v>0</v>
      </c>
      <c r="DO166" s="161">
        <f t="shared" si="221"/>
        <v>0</v>
      </c>
      <c r="DP166" s="161">
        <f t="shared" si="222"/>
        <v>0</v>
      </c>
      <c r="DQ166" s="161">
        <f t="shared" si="223"/>
        <v>0</v>
      </c>
      <c r="DR166" s="161">
        <f t="shared" si="224"/>
        <v>0</v>
      </c>
      <c r="DS166" s="161">
        <f t="shared" si="225"/>
        <v>0</v>
      </c>
      <c r="DT166" s="161">
        <f t="shared" si="226"/>
        <v>0</v>
      </c>
      <c r="DU166" s="161">
        <f t="shared" si="227"/>
        <v>0</v>
      </c>
      <c r="DV166" s="161">
        <f t="shared" si="228"/>
        <v>0</v>
      </c>
      <c r="DW166" s="161">
        <f t="shared" si="229"/>
        <v>0</v>
      </c>
      <c r="DX166" s="161">
        <f t="shared" si="230"/>
        <v>0</v>
      </c>
      <c r="DY166" s="161">
        <f t="shared" si="231"/>
        <v>0</v>
      </c>
      <c r="DZ166" s="161">
        <f t="shared" si="232"/>
        <v>0</v>
      </c>
      <c r="EA166" s="161">
        <f t="shared" si="233"/>
        <v>0</v>
      </c>
      <c r="EB166" s="161">
        <f t="shared" si="234"/>
        <v>0</v>
      </c>
      <c r="EC166" s="161">
        <f t="shared" si="235"/>
        <v>0</v>
      </c>
      <c r="ED166" s="161">
        <f t="shared" si="236"/>
        <v>0</v>
      </c>
      <c r="EE166" s="161">
        <f t="shared" si="237"/>
        <v>0</v>
      </c>
      <c r="EF166" s="161">
        <f t="shared" si="238"/>
        <v>0</v>
      </c>
      <c r="EG166" s="161">
        <f t="shared" si="239"/>
        <v>0</v>
      </c>
      <c r="EH166" s="161">
        <f t="shared" si="240"/>
        <v>0</v>
      </c>
      <c r="EI166" s="161">
        <f t="shared" si="241"/>
        <v>0</v>
      </c>
      <c r="EJ166" s="161">
        <f t="shared" si="242"/>
        <v>0</v>
      </c>
      <c r="EK166" s="147">
        <f t="shared" si="174"/>
        <v>0</v>
      </c>
      <c r="EL166" s="149"/>
      <c r="EN166" s="146"/>
      <c r="EO166" s="146"/>
      <c r="EP166" s="139">
        <f t="shared" si="175"/>
        <v>0</v>
      </c>
      <c r="EQ166" s="139">
        <f t="shared" si="176"/>
        <v>0</v>
      </c>
      <c r="ER166" s="139">
        <f t="shared" si="177"/>
        <v>0</v>
      </c>
      <c r="ES166" s="139">
        <f t="shared" si="178"/>
        <v>0</v>
      </c>
      <c r="ET166" s="139">
        <f t="shared" si="179"/>
        <v>0</v>
      </c>
      <c r="EU166" s="139">
        <f t="shared" si="180"/>
        <v>0</v>
      </c>
      <c r="EV166" s="139">
        <f t="shared" si="181"/>
        <v>0</v>
      </c>
      <c r="EW166" s="139">
        <f t="shared" si="182"/>
        <v>0</v>
      </c>
      <c r="EX166" s="139">
        <f t="shared" si="183"/>
        <v>0</v>
      </c>
      <c r="EY166" s="139">
        <f t="shared" si="184"/>
        <v>0</v>
      </c>
      <c r="EZ166" s="139">
        <f t="shared" si="185"/>
        <v>0</v>
      </c>
      <c r="FA166" s="139">
        <f t="shared" si="186"/>
        <v>0</v>
      </c>
      <c r="FB166" s="139">
        <f t="shared" si="187"/>
        <v>0</v>
      </c>
      <c r="FC166" s="139">
        <f t="shared" si="188"/>
        <v>0</v>
      </c>
      <c r="FD166" s="139">
        <f t="shared" si="189"/>
        <v>0</v>
      </c>
      <c r="FE166" s="139">
        <f t="shared" si="190"/>
        <v>0</v>
      </c>
      <c r="FF166" s="139">
        <f t="shared" si="191"/>
        <v>0</v>
      </c>
      <c r="FG166" s="139">
        <f t="shared" si="192"/>
        <v>0</v>
      </c>
      <c r="FH166" s="139">
        <f t="shared" si="193"/>
        <v>0</v>
      </c>
      <c r="FI166" s="139">
        <f t="shared" si="194"/>
        <v>0</v>
      </c>
      <c r="FJ166" s="139">
        <f t="shared" si="195"/>
        <v>0</v>
      </c>
      <c r="FK166" s="139">
        <f t="shared" si="196"/>
        <v>0</v>
      </c>
      <c r="FL166" s="139">
        <f t="shared" si="197"/>
        <v>0</v>
      </c>
      <c r="FM166" s="139">
        <f t="shared" si="198"/>
        <v>0</v>
      </c>
      <c r="FN166" s="139">
        <f t="shared" si="199"/>
        <v>0</v>
      </c>
      <c r="FO166" s="139">
        <f t="shared" si="200"/>
        <v>0</v>
      </c>
      <c r="FP166" s="139">
        <f t="shared" si="201"/>
        <v>0</v>
      </c>
      <c r="FQ166" s="139">
        <f t="shared" si="202"/>
        <v>0</v>
      </c>
      <c r="FR166" s="139">
        <f t="shared" si="203"/>
        <v>0</v>
      </c>
      <c r="FS166" s="139">
        <f t="shared" si="204"/>
        <v>0</v>
      </c>
      <c r="FT166" s="139">
        <f t="shared" si="205"/>
        <v>0</v>
      </c>
      <c r="FU166" s="148">
        <f t="shared" si="206"/>
        <v>0</v>
      </c>
      <c r="FV166" s="149"/>
      <c r="FY166" s="210">
        <v>161</v>
      </c>
      <c r="FZ166" s="205"/>
      <c r="GA166" s="205"/>
      <c r="GB166" s="205"/>
      <c r="GC166" s="205"/>
      <c r="GD166" s="205"/>
      <c r="GE166" s="205"/>
      <c r="GF166" s="205"/>
      <c r="GG166" s="205"/>
      <c r="GH166" s="205"/>
      <c r="GI166" s="205"/>
      <c r="GJ166" s="205"/>
      <c r="GK166" s="205"/>
      <c r="GL166" s="205"/>
      <c r="GM166" s="205"/>
    </row>
    <row r="167" spans="1:195" s="7" customFormat="1">
      <c r="A167" s="1"/>
      <c r="B167" s="76">
        <f t="shared" ca="1" si="171"/>
        <v>0.85257109272359566</v>
      </c>
      <c r="C167">
        <v>6</v>
      </c>
      <c r="D167">
        <v>39910</v>
      </c>
      <c r="E167">
        <v>0</v>
      </c>
      <c r="F167">
        <v>0</v>
      </c>
      <c r="G167">
        <v>0</v>
      </c>
      <c r="H167">
        <v>20.833333333333332</v>
      </c>
      <c r="I167">
        <v>0</v>
      </c>
      <c r="J167">
        <v>0</v>
      </c>
      <c r="K167">
        <v>31.25</v>
      </c>
      <c r="L167">
        <v>31.25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/>
      <c r="AO167"/>
      <c r="AP167"/>
      <c r="AQ167"/>
      <c r="AR167"/>
      <c r="AS167"/>
      <c r="AT167"/>
      <c r="AU167"/>
      <c r="AV167"/>
      <c r="AW167"/>
      <c r="AX167" s="146"/>
      <c r="AY167" s="76">
        <f t="shared" ca="1" si="172"/>
        <v>0.23311822273350113</v>
      </c>
      <c r="AZ167">
        <v>10</v>
      </c>
      <c r="BA167" s="129">
        <f t="shared" si="244"/>
        <v>39910</v>
      </c>
      <c r="BB167">
        <v>0</v>
      </c>
      <c r="BC167"/>
      <c r="BD167"/>
      <c r="BE167"/>
      <c r="BF167"/>
      <c r="BG167"/>
      <c r="BH167"/>
      <c r="BI167"/>
      <c r="BJ167"/>
      <c r="BK167"/>
      <c r="BL167">
        <v>1</v>
      </c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 s="147"/>
      <c r="CH167" s="176"/>
      <c r="CJ167" s="146"/>
      <c r="CK167" s="76">
        <f t="shared" ca="1" si="207"/>
        <v>0.62627474638063152</v>
      </c>
      <c r="CL167" s="179">
        <f t="shared" si="208"/>
        <v>10</v>
      </c>
      <c r="CM167" s="180">
        <f t="shared" si="209"/>
        <v>39910</v>
      </c>
      <c r="CN167" s="221">
        <v>0</v>
      </c>
      <c r="CO167" s="221"/>
      <c r="CP167" s="221"/>
      <c r="CQ167" s="221"/>
      <c r="CR167" s="221"/>
      <c r="CS167"/>
      <c r="CT167"/>
      <c r="CU167"/>
      <c r="CV167" s="160"/>
      <c r="CW167">
        <v>1</v>
      </c>
      <c r="CX167">
        <f>350/35</f>
        <v>10</v>
      </c>
      <c r="CY167" s="165"/>
      <c r="CZ167" s="177">
        <f t="shared" si="210"/>
        <v>9.6000000000000002E-2</v>
      </c>
      <c r="DB167" s="146"/>
      <c r="DC167" s="76">
        <f t="shared" ca="1" si="173"/>
        <v>0.14990198187357673</v>
      </c>
      <c r="DD167">
        <f t="shared" si="211"/>
        <v>10</v>
      </c>
      <c r="DE167" s="129">
        <f t="shared" si="243"/>
        <v>39910</v>
      </c>
      <c r="DF167" s="161">
        <f t="shared" si="212"/>
        <v>0</v>
      </c>
      <c r="DG167" s="161">
        <f t="shared" si="213"/>
        <v>0</v>
      </c>
      <c r="DH167" s="161">
        <f t="shared" si="214"/>
        <v>0</v>
      </c>
      <c r="DI167" s="161">
        <f t="shared" si="215"/>
        <v>0</v>
      </c>
      <c r="DJ167" s="161">
        <f t="shared" si="216"/>
        <v>0</v>
      </c>
      <c r="DK167" s="161">
        <f t="shared" si="217"/>
        <v>0</v>
      </c>
      <c r="DL167" s="161">
        <f t="shared" si="218"/>
        <v>0</v>
      </c>
      <c r="DM167" s="161">
        <f t="shared" si="219"/>
        <v>0</v>
      </c>
      <c r="DN167" s="161">
        <f t="shared" si="220"/>
        <v>0</v>
      </c>
      <c r="DO167" s="161">
        <f t="shared" si="221"/>
        <v>0</v>
      </c>
      <c r="DP167" s="161">
        <f t="shared" si="222"/>
        <v>10.416666666666666</v>
      </c>
      <c r="DQ167" s="161">
        <f t="shared" si="223"/>
        <v>0</v>
      </c>
      <c r="DR167" s="161">
        <f t="shared" si="224"/>
        <v>0</v>
      </c>
      <c r="DS167" s="161">
        <f t="shared" si="225"/>
        <v>0</v>
      </c>
      <c r="DT167" s="161">
        <f t="shared" si="226"/>
        <v>0</v>
      </c>
      <c r="DU167" s="161">
        <f t="shared" si="227"/>
        <v>0</v>
      </c>
      <c r="DV167" s="161">
        <f t="shared" si="228"/>
        <v>0</v>
      </c>
      <c r="DW167" s="161">
        <f t="shared" si="229"/>
        <v>0</v>
      </c>
      <c r="DX167" s="161">
        <f t="shared" si="230"/>
        <v>0</v>
      </c>
      <c r="DY167" s="161">
        <f t="shared" si="231"/>
        <v>0</v>
      </c>
      <c r="DZ167" s="161">
        <f t="shared" si="232"/>
        <v>0</v>
      </c>
      <c r="EA167" s="161">
        <f t="shared" si="233"/>
        <v>0</v>
      </c>
      <c r="EB167" s="161">
        <f t="shared" si="234"/>
        <v>0</v>
      </c>
      <c r="EC167" s="161">
        <f t="shared" si="235"/>
        <v>0</v>
      </c>
      <c r="ED167" s="161">
        <f t="shared" si="236"/>
        <v>0</v>
      </c>
      <c r="EE167" s="161">
        <f t="shared" si="237"/>
        <v>0</v>
      </c>
      <c r="EF167" s="161">
        <f t="shared" si="238"/>
        <v>0</v>
      </c>
      <c r="EG167" s="161">
        <f t="shared" si="239"/>
        <v>0</v>
      </c>
      <c r="EH167" s="161">
        <f t="shared" si="240"/>
        <v>0</v>
      </c>
      <c r="EI167" s="161">
        <f t="shared" si="241"/>
        <v>0</v>
      </c>
      <c r="EJ167" s="161">
        <f t="shared" si="242"/>
        <v>0</v>
      </c>
      <c r="EK167" s="147">
        <f t="shared" si="174"/>
        <v>10.416666666666666</v>
      </c>
      <c r="EL167" s="149"/>
      <c r="EN167" s="146"/>
      <c r="EO167" s="146"/>
      <c r="EP167" s="139">
        <f t="shared" si="175"/>
        <v>0</v>
      </c>
      <c r="EQ167" s="139">
        <f t="shared" si="176"/>
        <v>0</v>
      </c>
      <c r="ER167" s="139">
        <f t="shared" si="177"/>
        <v>0</v>
      </c>
      <c r="ES167" s="139">
        <f t="shared" si="178"/>
        <v>0</v>
      </c>
      <c r="ET167" s="139">
        <f t="shared" si="179"/>
        <v>0</v>
      </c>
      <c r="EU167" s="139">
        <f t="shared" si="180"/>
        <v>0</v>
      </c>
      <c r="EV167" s="139">
        <f t="shared" si="181"/>
        <v>0</v>
      </c>
      <c r="EW167" s="139">
        <f t="shared" si="182"/>
        <v>0</v>
      </c>
      <c r="EX167" s="139">
        <f t="shared" si="183"/>
        <v>0</v>
      </c>
      <c r="EY167" s="139">
        <f t="shared" si="184"/>
        <v>0</v>
      </c>
      <c r="EZ167" s="139">
        <f t="shared" si="185"/>
        <v>0.28050461357549084</v>
      </c>
      <c r="FA167" s="139">
        <f t="shared" si="186"/>
        <v>0</v>
      </c>
      <c r="FB167" s="139">
        <f t="shared" si="187"/>
        <v>0</v>
      </c>
      <c r="FC167" s="139">
        <f t="shared" si="188"/>
        <v>0</v>
      </c>
      <c r="FD167" s="139">
        <f t="shared" si="189"/>
        <v>0</v>
      </c>
      <c r="FE167" s="139">
        <f t="shared" si="190"/>
        <v>0</v>
      </c>
      <c r="FF167" s="139">
        <f t="shared" si="191"/>
        <v>0</v>
      </c>
      <c r="FG167" s="139">
        <f t="shared" si="192"/>
        <v>0</v>
      </c>
      <c r="FH167" s="139">
        <f t="shared" si="193"/>
        <v>0</v>
      </c>
      <c r="FI167" s="139">
        <f t="shared" si="194"/>
        <v>0</v>
      </c>
      <c r="FJ167" s="139">
        <f t="shared" si="195"/>
        <v>0</v>
      </c>
      <c r="FK167" s="139">
        <f t="shared" si="196"/>
        <v>0</v>
      </c>
      <c r="FL167" s="139">
        <f t="shared" si="197"/>
        <v>0</v>
      </c>
      <c r="FM167" s="139">
        <f t="shared" si="198"/>
        <v>0</v>
      </c>
      <c r="FN167" s="139">
        <f t="shared" si="199"/>
        <v>0</v>
      </c>
      <c r="FO167" s="139">
        <f t="shared" si="200"/>
        <v>0</v>
      </c>
      <c r="FP167" s="139">
        <f t="shared" si="201"/>
        <v>0</v>
      </c>
      <c r="FQ167" s="139">
        <f t="shared" si="202"/>
        <v>0</v>
      </c>
      <c r="FR167" s="139">
        <f t="shared" si="203"/>
        <v>0</v>
      </c>
      <c r="FS167" s="139">
        <f t="shared" si="204"/>
        <v>0</v>
      </c>
      <c r="FT167" s="139">
        <f t="shared" si="205"/>
        <v>0</v>
      </c>
      <c r="FU167" s="148">
        <f t="shared" si="206"/>
        <v>0.28050461357549084</v>
      </c>
      <c r="FV167" s="149"/>
      <c r="FY167" s="210">
        <v>162</v>
      </c>
      <c r="FZ167" s="205"/>
      <c r="GA167" s="205"/>
      <c r="GB167" s="205"/>
      <c r="GC167" s="205"/>
      <c r="GD167" s="205"/>
      <c r="GE167" s="205"/>
      <c r="GF167" s="205"/>
      <c r="GG167" s="205"/>
      <c r="GH167" s="205"/>
      <c r="GI167" s="205"/>
      <c r="GJ167" s="205"/>
      <c r="GK167" s="205"/>
      <c r="GL167" s="205"/>
      <c r="GM167" s="205"/>
    </row>
    <row r="168" spans="1:195" s="7" customFormat="1">
      <c r="A168" s="128"/>
      <c r="B168" s="76">
        <f t="shared" ca="1" si="171"/>
        <v>0.57294975622912148</v>
      </c>
      <c r="C168">
        <v>6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/>
      <c r="AO168"/>
      <c r="AP168"/>
      <c r="AQ168"/>
      <c r="AR168"/>
      <c r="AS168"/>
      <c r="AT168"/>
      <c r="AU168"/>
      <c r="AV168"/>
      <c r="AW168"/>
      <c r="AX168" s="128"/>
      <c r="AY168" s="76">
        <f t="shared" ca="1" si="172"/>
        <v>0.27371152914351526</v>
      </c>
      <c r="AZ168">
        <v>1</v>
      </c>
      <c r="BA168" s="129">
        <f>IF(AZ168="", "",$C$12)</f>
        <v>39949</v>
      </c>
      <c r="BB168">
        <v>0</v>
      </c>
      <c r="BC168"/>
      <c r="BD168"/>
      <c r="BE168"/>
      <c r="BF168"/>
      <c r="BG168">
        <v>1</v>
      </c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 s="147"/>
      <c r="CH168" s="176"/>
      <c r="CJ168" s="128"/>
      <c r="CK168" s="76">
        <f t="shared" ca="1" si="207"/>
        <v>0.39453561298718709</v>
      </c>
      <c r="CL168" s="179">
        <f t="shared" si="208"/>
        <v>1</v>
      </c>
      <c r="CM168" s="180">
        <f t="shared" si="209"/>
        <v>39949</v>
      </c>
      <c r="CN168">
        <v>0</v>
      </c>
      <c r="CO168"/>
      <c r="CP168"/>
      <c r="CQ168"/>
      <c r="CR168"/>
      <c r="CS168"/>
      <c r="CT168"/>
      <c r="CU168"/>
      <c r="CV168" s="160"/>
      <c r="CW168">
        <v>1</v>
      </c>
      <c r="CX168">
        <f>325/83</f>
        <v>3.9156626506024095</v>
      </c>
      <c r="CY168" s="160"/>
      <c r="CZ168" s="177">
        <f t="shared" si="210"/>
        <v>9.6000000000000002E-2</v>
      </c>
      <c r="DB168" s="128"/>
      <c r="DC168" s="76">
        <f t="shared" ca="1" si="173"/>
        <v>0.46719167362311231</v>
      </c>
      <c r="DD168">
        <f t="shared" si="211"/>
        <v>1</v>
      </c>
      <c r="DE168" s="129">
        <f t="shared" ref="DE168:DE177" si="245">IF((DD168)="", "", $C$12)</f>
        <v>39949</v>
      </c>
      <c r="DF168" s="161">
        <f t="shared" si="212"/>
        <v>0</v>
      </c>
      <c r="DG168" s="161">
        <f t="shared" si="213"/>
        <v>0</v>
      </c>
      <c r="DH168" s="161">
        <f t="shared" si="214"/>
        <v>0</v>
      </c>
      <c r="DI168" s="161">
        <f t="shared" si="215"/>
        <v>0</v>
      </c>
      <c r="DJ168" s="161">
        <f t="shared" si="216"/>
        <v>0</v>
      </c>
      <c r="DK168" s="161">
        <f t="shared" si="217"/>
        <v>10.416666666666666</v>
      </c>
      <c r="DL168" s="161">
        <f t="shared" si="218"/>
        <v>0</v>
      </c>
      <c r="DM168" s="161">
        <f t="shared" si="219"/>
        <v>0</v>
      </c>
      <c r="DN168" s="161">
        <f t="shared" si="220"/>
        <v>0</v>
      </c>
      <c r="DO168" s="161">
        <f t="shared" si="221"/>
        <v>0</v>
      </c>
      <c r="DP168" s="161">
        <f t="shared" si="222"/>
        <v>0</v>
      </c>
      <c r="DQ168" s="161">
        <f t="shared" si="223"/>
        <v>0</v>
      </c>
      <c r="DR168" s="161">
        <f t="shared" si="224"/>
        <v>0</v>
      </c>
      <c r="DS168" s="161">
        <f t="shared" si="225"/>
        <v>0</v>
      </c>
      <c r="DT168" s="161">
        <f t="shared" si="226"/>
        <v>0</v>
      </c>
      <c r="DU168" s="161">
        <f t="shared" si="227"/>
        <v>0</v>
      </c>
      <c r="DV168" s="161">
        <f t="shared" si="228"/>
        <v>0</v>
      </c>
      <c r="DW168" s="161">
        <f t="shared" si="229"/>
        <v>0</v>
      </c>
      <c r="DX168" s="161">
        <f t="shared" si="230"/>
        <v>0</v>
      </c>
      <c r="DY168" s="161">
        <f t="shared" si="231"/>
        <v>0</v>
      </c>
      <c r="DZ168" s="161">
        <f t="shared" si="232"/>
        <v>0</v>
      </c>
      <c r="EA168" s="161">
        <f t="shared" si="233"/>
        <v>0</v>
      </c>
      <c r="EB168" s="161">
        <f t="shared" si="234"/>
        <v>0</v>
      </c>
      <c r="EC168" s="161">
        <f t="shared" si="235"/>
        <v>0</v>
      </c>
      <c r="ED168" s="161">
        <f t="shared" si="236"/>
        <v>0</v>
      </c>
      <c r="EE168" s="161">
        <f t="shared" si="237"/>
        <v>0</v>
      </c>
      <c r="EF168" s="161">
        <f t="shared" si="238"/>
        <v>0</v>
      </c>
      <c r="EG168" s="161">
        <f t="shared" si="239"/>
        <v>0</v>
      </c>
      <c r="EH168" s="161">
        <f t="shared" si="240"/>
        <v>0</v>
      </c>
      <c r="EI168" s="161">
        <f t="shared" si="241"/>
        <v>0</v>
      </c>
      <c r="EJ168" s="161">
        <f t="shared" si="242"/>
        <v>0</v>
      </c>
      <c r="EK168" s="147">
        <f t="shared" si="174"/>
        <v>10.416666666666666</v>
      </c>
      <c r="EL168" s="149"/>
      <c r="EN168" s="146"/>
      <c r="EO168" s="146"/>
      <c r="EP168" s="139">
        <f t="shared" si="175"/>
        <v>0</v>
      </c>
      <c r="EQ168" s="139">
        <f t="shared" si="176"/>
        <v>0</v>
      </c>
      <c r="ER168" s="139">
        <f t="shared" si="177"/>
        <v>0</v>
      </c>
      <c r="ES168" s="139">
        <f t="shared" si="178"/>
        <v>0</v>
      </c>
      <c r="ET168" s="139">
        <f t="shared" si="179"/>
        <v>0</v>
      </c>
      <c r="EU168" s="139">
        <f t="shared" si="180"/>
        <v>0.13547479834179599</v>
      </c>
      <c r="EV168" s="139">
        <f t="shared" si="181"/>
        <v>0</v>
      </c>
      <c r="EW168" s="139">
        <f t="shared" si="182"/>
        <v>0</v>
      </c>
      <c r="EX168" s="139">
        <f t="shared" si="183"/>
        <v>0</v>
      </c>
      <c r="EY168" s="139">
        <f t="shared" si="184"/>
        <v>0</v>
      </c>
      <c r="EZ168" s="139">
        <f t="shared" si="185"/>
        <v>0</v>
      </c>
      <c r="FA168" s="139">
        <f t="shared" si="186"/>
        <v>0</v>
      </c>
      <c r="FB168" s="139">
        <f t="shared" si="187"/>
        <v>0</v>
      </c>
      <c r="FC168" s="139">
        <f t="shared" si="188"/>
        <v>0</v>
      </c>
      <c r="FD168" s="139">
        <f t="shared" si="189"/>
        <v>0</v>
      </c>
      <c r="FE168" s="139">
        <f t="shared" si="190"/>
        <v>0</v>
      </c>
      <c r="FF168" s="139">
        <f t="shared" si="191"/>
        <v>0</v>
      </c>
      <c r="FG168" s="139">
        <f t="shared" si="192"/>
        <v>0</v>
      </c>
      <c r="FH168" s="139">
        <f t="shared" si="193"/>
        <v>0</v>
      </c>
      <c r="FI168" s="139">
        <f t="shared" si="194"/>
        <v>0</v>
      </c>
      <c r="FJ168" s="139">
        <f t="shared" si="195"/>
        <v>0</v>
      </c>
      <c r="FK168" s="139">
        <f t="shared" si="196"/>
        <v>0</v>
      </c>
      <c r="FL168" s="139">
        <f t="shared" si="197"/>
        <v>0</v>
      </c>
      <c r="FM168" s="139">
        <f t="shared" si="198"/>
        <v>0</v>
      </c>
      <c r="FN168" s="139">
        <f t="shared" si="199"/>
        <v>0</v>
      </c>
      <c r="FO168" s="139">
        <f t="shared" si="200"/>
        <v>0</v>
      </c>
      <c r="FP168" s="139">
        <f t="shared" si="201"/>
        <v>0</v>
      </c>
      <c r="FQ168" s="139">
        <f t="shared" si="202"/>
        <v>0</v>
      </c>
      <c r="FR168" s="139">
        <f t="shared" si="203"/>
        <v>0</v>
      </c>
      <c r="FS168" s="139">
        <f t="shared" si="204"/>
        <v>0</v>
      </c>
      <c r="FT168" s="139">
        <f t="shared" si="205"/>
        <v>0</v>
      </c>
      <c r="FU168" s="148">
        <f t="shared" si="206"/>
        <v>0.13547479834179599</v>
      </c>
      <c r="FV168" s="149"/>
      <c r="FY168" s="210">
        <v>163</v>
      </c>
      <c r="FZ168" s="205"/>
      <c r="GA168" s="205"/>
      <c r="GB168" s="205"/>
      <c r="GC168" s="205"/>
      <c r="GD168" s="205"/>
      <c r="GE168" s="205"/>
      <c r="GF168" s="205"/>
      <c r="GG168" s="205"/>
      <c r="GH168" s="205"/>
      <c r="GI168" s="205"/>
      <c r="GJ168" s="205"/>
      <c r="GK168" s="205"/>
      <c r="GL168" s="205"/>
      <c r="GM168" s="205"/>
    </row>
    <row r="169" spans="1:195" s="7" customFormat="1">
      <c r="A169" s="1"/>
      <c r="B169" s="76">
        <f t="shared" ca="1" si="171"/>
        <v>0.42058866151779739</v>
      </c>
      <c r="C169">
        <v>3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10.416666666666666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/>
      <c r="AO169"/>
      <c r="AP169"/>
      <c r="AQ169"/>
      <c r="AR169"/>
      <c r="AS169"/>
      <c r="AT169"/>
      <c r="AU169"/>
      <c r="AV169"/>
      <c r="AW169"/>
      <c r="AX169" s="146"/>
      <c r="AY169" s="76">
        <f t="shared" ca="1" si="172"/>
        <v>9.9909009535304349E-2</v>
      </c>
      <c r="AZ169">
        <v>2</v>
      </c>
      <c r="BA169" s="129">
        <f t="shared" ref="BA169:BA177" si="246">IF(AZ169="", "",$C$12)</f>
        <v>39949</v>
      </c>
      <c r="BB169">
        <v>0</v>
      </c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>
        <v>1</v>
      </c>
      <c r="BW169"/>
      <c r="BX169"/>
      <c r="BY169"/>
      <c r="BZ169"/>
      <c r="CA169"/>
      <c r="CB169"/>
      <c r="CC169"/>
      <c r="CD169"/>
      <c r="CE169"/>
      <c r="CF169"/>
      <c r="CG169" s="147"/>
      <c r="CH169" s="176"/>
      <c r="CJ169" s="146"/>
      <c r="CK169" s="76">
        <f t="shared" ca="1" si="207"/>
        <v>0.21567576567649249</v>
      </c>
      <c r="CL169" s="179">
        <f t="shared" si="208"/>
        <v>2</v>
      </c>
      <c r="CM169" s="180">
        <f t="shared" si="209"/>
        <v>39949</v>
      </c>
      <c r="CN169"/>
      <c r="CO169"/>
      <c r="CP169"/>
      <c r="CQ169"/>
      <c r="CR169"/>
      <c r="CS169"/>
      <c r="CT169"/>
      <c r="CU169"/>
      <c r="CV169" s="160"/>
      <c r="CW169">
        <v>1</v>
      </c>
      <c r="CX169">
        <v>1</v>
      </c>
      <c r="CY169" s="160"/>
      <c r="CZ169" s="177">
        <f t="shared" si="210"/>
        <v>9.6000000000000002E-2</v>
      </c>
      <c r="DB169" s="146"/>
      <c r="DC169" s="76">
        <f t="shared" ca="1" si="173"/>
        <v>0.30918860514494062</v>
      </c>
      <c r="DD169">
        <f t="shared" si="211"/>
        <v>2</v>
      </c>
      <c r="DE169" s="129">
        <f t="shared" si="245"/>
        <v>39949</v>
      </c>
      <c r="DF169" s="161">
        <f t="shared" si="212"/>
        <v>0</v>
      </c>
      <c r="DG169" s="161">
        <f t="shared" si="213"/>
        <v>0</v>
      </c>
      <c r="DH169" s="161">
        <f t="shared" si="214"/>
        <v>0</v>
      </c>
      <c r="DI169" s="161">
        <f t="shared" si="215"/>
        <v>0</v>
      </c>
      <c r="DJ169" s="161">
        <f t="shared" si="216"/>
        <v>0</v>
      </c>
      <c r="DK169" s="161">
        <f t="shared" si="217"/>
        <v>0</v>
      </c>
      <c r="DL169" s="161">
        <f t="shared" si="218"/>
        <v>0</v>
      </c>
      <c r="DM169" s="161">
        <f t="shared" si="219"/>
        <v>0</v>
      </c>
      <c r="DN169" s="161">
        <f t="shared" si="220"/>
        <v>0</v>
      </c>
      <c r="DO169" s="161">
        <f t="shared" si="221"/>
        <v>0</v>
      </c>
      <c r="DP169" s="161">
        <f t="shared" si="222"/>
        <v>0</v>
      </c>
      <c r="DQ169" s="161">
        <f t="shared" si="223"/>
        <v>0</v>
      </c>
      <c r="DR169" s="161">
        <f t="shared" si="224"/>
        <v>0</v>
      </c>
      <c r="DS169" s="161">
        <f t="shared" si="225"/>
        <v>0</v>
      </c>
      <c r="DT169" s="161">
        <f t="shared" si="226"/>
        <v>0</v>
      </c>
      <c r="DU169" s="161">
        <f t="shared" si="227"/>
        <v>0</v>
      </c>
      <c r="DV169" s="161">
        <f t="shared" si="228"/>
        <v>0</v>
      </c>
      <c r="DW169" s="161">
        <f t="shared" si="229"/>
        <v>0</v>
      </c>
      <c r="DX169" s="161">
        <f t="shared" si="230"/>
        <v>0</v>
      </c>
      <c r="DY169" s="161">
        <f t="shared" si="231"/>
        <v>0</v>
      </c>
      <c r="DZ169" s="161">
        <f t="shared" si="232"/>
        <v>10.416666666666666</v>
      </c>
      <c r="EA169" s="161">
        <f t="shared" si="233"/>
        <v>0</v>
      </c>
      <c r="EB169" s="161">
        <f t="shared" si="234"/>
        <v>0</v>
      </c>
      <c r="EC169" s="161">
        <f t="shared" si="235"/>
        <v>0</v>
      </c>
      <c r="ED169" s="161">
        <f t="shared" si="236"/>
        <v>0</v>
      </c>
      <c r="EE169" s="161">
        <f t="shared" si="237"/>
        <v>0</v>
      </c>
      <c r="EF169" s="161">
        <f t="shared" si="238"/>
        <v>0</v>
      </c>
      <c r="EG169" s="161">
        <f t="shared" si="239"/>
        <v>0</v>
      </c>
      <c r="EH169" s="161">
        <f t="shared" si="240"/>
        <v>0</v>
      </c>
      <c r="EI169" s="161">
        <f t="shared" si="241"/>
        <v>0</v>
      </c>
      <c r="EJ169" s="161">
        <f t="shared" si="242"/>
        <v>0</v>
      </c>
      <c r="EK169" s="147">
        <f t="shared" si="174"/>
        <v>10.416666666666666</v>
      </c>
      <c r="EL169" s="149"/>
      <c r="EN169" s="146"/>
      <c r="EO169" s="146"/>
      <c r="EP169" s="139">
        <f t="shared" si="175"/>
        <v>0</v>
      </c>
      <c r="EQ169" s="139">
        <f t="shared" si="176"/>
        <v>0</v>
      </c>
      <c r="ER169" s="139">
        <f t="shared" si="177"/>
        <v>0</v>
      </c>
      <c r="ES169" s="139">
        <f t="shared" si="178"/>
        <v>0</v>
      </c>
      <c r="ET169" s="139">
        <f t="shared" si="179"/>
        <v>0</v>
      </c>
      <c r="EU169" s="139">
        <f t="shared" si="180"/>
        <v>0</v>
      </c>
      <c r="EV169" s="139">
        <f t="shared" si="181"/>
        <v>0</v>
      </c>
      <c r="EW169" s="139">
        <f t="shared" si="182"/>
        <v>0</v>
      </c>
      <c r="EX169" s="139">
        <f t="shared" si="183"/>
        <v>0</v>
      </c>
      <c r="EY169" s="139">
        <f t="shared" si="184"/>
        <v>0</v>
      </c>
      <c r="EZ169" s="139">
        <f t="shared" si="185"/>
        <v>0</v>
      </c>
      <c r="FA169" s="139">
        <f t="shared" si="186"/>
        <v>0</v>
      </c>
      <c r="FB169" s="139">
        <f t="shared" si="187"/>
        <v>0</v>
      </c>
      <c r="FC169" s="139">
        <f t="shared" si="188"/>
        <v>0</v>
      </c>
      <c r="FD169" s="139">
        <f t="shared" si="189"/>
        <v>0</v>
      </c>
      <c r="FE169" s="139">
        <f t="shared" si="190"/>
        <v>0</v>
      </c>
      <c r="FF169" s="139">
        <f t="shared" si="191"/>
        <v>0</v>
      </c>
      <c r="FG169" s="139">
        <f t="shared" si="192"/>
        <v>0</v>
      </c>
      <c r="FH169" s="139">
        <f t="shared" si="193"/>
        <v>0</v>
      </c>
      <c r="FI169" s="139">
        <f t="shared" si="194"/>
        <v>0</v>
      </c>
      <c r="FJ169" s="139">
        <f t="shared" si="195"/>
        <v>0.58079317482077097</v>
      </c>
      <c r="FK169" s="139">
        <f t="shared" si="196"/>
        <v>0</v>
      </c>
      <c r="FL169" s="139">
        <f t="shared" si="197"/>
        <v>0</v>
      </c>
      <c r="FM169" s="139">
        <f t="shared" si="198"/>
        <v>0</v>
      </c>
      <c r="FN169" s="139">
        <f t="shared" si="199"/>
        <v>0</v>
      </c>
      <c r="FO169" s="139">
        <f t="shared" si="200"/>
        <v>0</v>
      </c>
      <c r="FP169" s="139">
        <f t="shared" si="201"/>
        <v>0</v>
      </c>
      <c r="FQ169" s="139">
        <f t="shared" si="202"/>
        <v>0</v>
      </c>
      <c r="FR169" s="139">
        <f t="shared" si="203"/>
        <v>0</v>
      </c>
      <c r="FS169" s="139">
        <f t="shared" si="204"/>
        <v>0</v>
      </c>
      <c r="FT169" s="139">
        <f t="shared" si="205"/>
        <v>0</v>
      </c>
      <c r="FU169" s="148">
        <f t="shared" si="206"/>
        <v>0.58079317482077097</v>
      </c>
      <c r="FV169" s="149"/>
      <c r="FY169" s="210">
        <v>164</v>
      </c>
      <c r="FZ169" s="205"/>
      <c r="GA169" s="205"/>
      <c r="GB169" s="205"/>
      <c r="GC169" s="205"/>
      <c r="GD169" s="205"/>
      <c r="GE169" s="205"/>
      <c r="GF169" s="205"/>
      <c r="GG169" s="205"/>
      <c r="GH169" s="205"/>
      <c r="GI169" s="205"/>
      <c r="GJ169" s="205"/>
      <c r="GK169" s="205"/>
      <c r="GL169" s="205"/>
      <c r="GM169" s="205"/>
    </row>
    <row r="170" spans="1:195" s="7" customFormat="1">
      <c r="A170" s="1"/>
      <c r="B170" s="76">
        <f t="shared" ca="1" si="171"/>
        <v>0.92541953137533017</v>
      </c>
      <c r="C170">
        <v>2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20.833333333333332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/>
      <c r="AO170"/>
      <c r="AP170"/>
      <c r="AQ170"/>
      <c r="AR170"/>
      <c r="AS170"/>
      <c r="AT170"/>
      <c r="AU170"/>
      <c r="AV170"/>
      <c r="AW170"/>
      <c r="AX170" s="146"/>
      <c r="AY170" s="76">
        <f t="shared" ca="1" si="172"/>
        <v>0.2860922240327739</v>
      </c>
      <c r="AZ170">
        <v>3</v>
      </c>
      <c r="BA170" s="129">
        <f t="shared" si="246"/>
        <v>39949</v>
      </c>
      <c r="BB170">
        <v>0</v>
      </c>
      <c r="BC170" s="224"/>
      <c r="BD170" s="224"/>
      <c r="BE170" s="224"/>
      <c r="BF170" s="224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 s="147"/>
      <c r="CH170" s="176"/>
      <c r="CJ170" s="146"/>
      <c r="CK170" s="76">
        <f t="shared" ca="1" si="207"/>
        <v>0.77502210522140524</v>
      </c>
      <c r="CL170" s="179">
        <f t="shared" si="208"/>
        <v>3</v>
      </c>
      <c r="CM170" s="180">
        <f t="shared" si="209"/>
        <v>39949</v>
      </c>
      <c r="CN170">
        <v>0</v>
      </c>
      <c r="CO170"/>
      <c r="CP170"/>
      <c r="CQ170"/>
      <c r="CR170"/>
      <c r="CS170"/>
      <c r="CT170"/>
      <c r="CU170"/>
      <c r="CV170" s="160"/>
      <c r="CW170">
        <v>1</v>
      </c>
      <c r="CX170">
        <f>350/45</f>
        <v>7.7777777777777777</v>
      </c>
      <c r="CY170" s="160"/>
      <c r="CZ170" s="177">
        <f t="shared" si="210"/>
        <v>9.6000000000000002E-2</v>
      </c>
      <c r="DB170" s="146"/>
      <c r="DC170" s="76">
        <f t="shared" ca="1" si="173"/>
        <v>0.67907465830062996</v>
      </c>
      <c r="DD170">
        <f t="shared" si="211"/>
        <v>3</v>
      </c>
      <c r="DE170" s="129">
        <f t="shared" si="245"/>
        <v>39949</v>
      </c>
      <c r="DF170" s="161">
        <f t="shared" si="212"/>
        <v>0</v>
      </c>
      <c r="DG170" s="161">
        <f t="shared" si="213"/>
        <v>0</v>
      </c>
      <c r="DH170" s="161">
        <f t="shared" si="214"/>
        <v>0</v>
      </c>
      <c r="DI170" s="161">
        <f t="shared" si="215"/>
        <v>0</v>
      </c>
      <c r="DJ170" s="161">
        <f t="shared" si="216"/>
        <v>0</v>
      </c>
      <c r="DK170" s="161">
        <f t="shared" si="217"/>
        <v>0</v>
      </c>
      <c r="DL170" s="161">
        <f t="shared" si="218"/>
        <v>0</v>
      </c>
      <c r="DM170" s="161">
        <f t="shared" si="219"/>
        <v>0</v>
      </c>
      <c r="DN170" s="161">
        <f t="shared" si="220"/>
        <v>0</v>
      </c>
      <c r="DO170" s="161">
        <f t="shared" si="221"/>
        <v>0</v>
      </c>
      <c r="DP170" s="161">
        <f t="shared" si="222"/>
        <v>0</v>
      </c>
      <c r="DQ170" s="161">
        <f t="shared" si="223"/>
        <v>0</v>
      </c>
      <c r="DR170" s="161">
        <f t="shared" si="224"/>
        <v>0</v>
      </c>
      <c r="DS170" s="161">
        <f t="shared" si="225"/>
        <v>0</v>
      </c>
      <c r="DT170" s="161">
        <f t="shared" si="226"/>
        <v>0</v>
      </c>
      <c r="DU170" s="161">
        <f t="shared" si="227"/>
        <v>0</v>
      </c>
      <c r="DV170" s="161">
        <f t="shared" si="228"/>
        <v>0</v>
      </c>
      <c r="DW170" s="161">
        <f t="shared" si="229"/>
        <v>0</v>
      </c>
      <c r="DX170" s="161">
        <f t="shared" si="230"/>
        <v>0</v>
      </c>
      <c r="DY170" s="161">
        <f t="shared" si="231"/>
        <v>0</v>
      </c>
      <c r="DZ170" s="161">
        <f t="shared" si="232"/>
        <v>0</v>
      </c>
      <c r="EA170" s="161">
        <f t="shared" si="233"/>
        <v>0</v>
      </c>
      <c r="EB170" s="161">
        <f t="shared" si="234"/>
        <v>0</v>
      </c>
      <c r="EC170" s="161">
        <f t="shared" si="235"/>
        <v>0</v>
      </c>
      <c r="ED170" s="161">
        <f t="shared" si="236"/>
        <v>0</v>
      </c>
      <c r="EE170" s="161">
        <f t="shared" si="237"/>
        <v>0</v>
      </c>
      <c r="EF170" s="161">
        <f t="shared" si="238"/>
        <v>0</v>
      </c>
      <c r="EG170" s="161">
        <f t="shared" si="239"/>
        <v>0</v>
      </c>
      <c r="EH170" s="161">
        <f t="shared" si="240"/>
        <v>0</v>
      </c>
      <c r="EI170" s="161">
        <f t="shared" si="241"/>
        <v>0</v>
      </c>
      <c r="EJ170" s="161">
        <f t="shared" si="242"/>
        <v>0</v>
      </c>
      <c r="EK170" s="147">
        <f t="shared" si="174"/>
        <v>0</v>
      </c>
      <c r="EL170" s="149"/>
      <c r="EN170" s="146"/>
      <c r="EO170" s="146"/>
      <c r="EP170" s="139">
        <f t="shared" si="175"/>
        <v>0</v>
      </c>
      <c r="EQ170" s="139">
        <f t="shared" si="176"/>
        <v>0</v>
      </c>
      <c r="ER170" s="139">
        <f t="shared" si="177"/>
        <v>0</v>
      </c>
      <c r="ES170" s="139">
        <f t="shared" si="178"/>
        <v>0</v>
      </c>
      <c r="ET170" s="139">
        <f t="shared" si="179"/>
        <v>0</v>
      </c>
      <c r="EU170" s="139">
        <f t="shared" si="180"/>
        <v>0</v>
      </c>
      <c r="EV170" s="139">
        <f t="shared" si="181"/>
        <v>0</v>
      </c>
      <c r="EW170" s="139">
        <f t="shared" si="182"/>
        <v>0</v>
      </c>
      <c r="EX170" s="139">
        <f t="shared" si="183"/>
        <v>0</v>
      </c>
      <c r="EY170" s="139">
        <f t="shared" si="184"/>
        <v>0</v>
      </c>
      <c r="EZ170" s="139">
        <f t="shared" si="185"/>
        <v>0</v>
      </c>
      <c r="FA170" s="139">
        <f t="shared" si="186"/>
        <v>0</v>
      </c>
      <c r="FB170" s="139">
        <f t="shared" si="187"/>
        <v>0</v>
      </c>
      <c r="FC170" s="139">
        <f t="shared" si="188"/>
        <v>0</v>
      </c>
      <c r="FD170" s="139">
        <f t="shared" si="189"/>
        <v>0</v>
      </c>
      <c r="FE170" s="139">
        <f t="shared" si="190"/>
        <v>0</v>
      </c>
      <c r="FF170" s="139">
        <f t="shared" si="191"/>
        <v>0</v>
      </c>
      <c r="FG170" s="139">
        <f t="shared" si="192"/>
        <v>0</v>
      </c>
      <c r="FH170" s="139">
        <f t="shared" si="193"/>
        <v>0</v>
      </c>
      <c r="FI170" s="139">
        <f t="shared" si="194"/>
        <v>0</v>
      </c>
      <c r="FJ170" s="139">
        <f t="shared" si="195"/>
        <v>0</v>
      </c>
      <c r="FK170" s="139">
        <f t="shared" si="196"/>
        <v>0</v>
      </c>
      <c r="FL170" s="139">
        <f t="shared" si="197"/>
        <v>0</v>
      </c>
      <c r="FM170" s="139">
        <f t="shared" si="198"/>
        <v>0</v>
      </c>
      <c r="FN170" s="139">
        <f t="shared" si="199"/>
        <v>0</v>
      </c>
      <c r="FO170" s="139">
        <f t="shared" si="200"/>
        <v>0</v>
      </c>
      <c r="FP170" s="139">
        <f t="shared" si="201"/>
        <v>0</v>
      </c>
      <c r="FQ170" s="139">
        <f t="shared" si="202"/>
        <v>0</v>
      </c>
      <c r="FR170" s="139">
        <f t="shared" si="203"/>
        <v>0</v>
      </c>
      <c r="FS170" s="139">
        <f t="shared" si="204"/>
        <v>0</v>
      </c>
      <c r="FT170" s="139">
        <f t="shared" si="205"/>
        <v>0</v>
      </c>
      <c r="FU170" s="148">
        <f t="shared" si="206"/>
        <v>0</v>
      </c>
      <c r="FV170" s="149"/>
      <c r="FY170" s="210">
        <v>165</v>
      </c>
      <c r="FZ170" s="205"/>
      <c r="GA170" s="205"/>
      <c r="GB170" s="205"/>
      <c r="GC170" s="205"/>
      <c r="GD170" s="205"/>
      <c r="GE170" s="205"/>
      <c r="GF170" s="205"/>
      <c r="GG170" s="205"/>
      <c r="GH170" s="205"/>
      <c r="GI170" s="205"/>
      <c r="GJ170" s="205"/>
      <c r="GK170" s="205"/>
      <c r="GL170" s="205"/>
      <c r="GM170" s="205"/>
    </row>
    <row r="171" spans="1:195" s="7" customFormat="1">
      <c r="A171" s="1"/>
      <c r="B171" s="76">
        <f t="shared" ca="1" si="171"/>
        <v>0.4074701327685899</v>
      </c>
      <c r="C171">
        <v>5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/>
      <c r="AO171"/>
      <c r="AP171"/>
      <c r="AQ171"/>
      <c r="AR171"/>
      <c r="AS171"/>
      <c r="AT171"/>
      <c r="AU171"/>
      <c r="AV171"/>
      <c r="AW171"/>
      <c r="AX171" s="146"/>
      <c r="AY171" s="76">
        <f t="shared" ca="1" si="172"/>
        <v>0.31326487324203134</v>
      </c>
      <c r="AZ171">
        <v>4</v>
      </c>
      <c r="BA171" s="129">
        <f t="shared" si="246"/>
        <v>39949</v>
      </c>
      <c r="BB171">
        <v>0</v>
      </c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 s="147"/>
      <c r="CH171" s="176"/>
      <c r="CJ171" s="146"/>
      <c r="CK171" s="76">
        <f t="shared" ca="1" si="207"/>
        <v>0.23507979884728458</v>
      </c>
      <c r="CL171" s="179">
        <f t="shared" si="208"/>
        <v>4</v>
      </c>
      <c r="CM171" s="180">
        <f t="shared" si="209"/>
        <v>39949</v>
      </c>
      <c r="CN171">
        <v>0</v>
      </c>
      <c r="CO171"/>
      <c r="CP171"/>
      <c r="CQ171"/>
      <c r="CR171"/>
      <c r="CS171"/>
      <c r="CT171"/>
      <c r="CU171"/>
      <c r="CV171" s="160"/>
      <c r="CW171">
        <v>1</v>
      </c>
      <c r="CX171">
        <f>320/73</f>
        <v>4.3835616438356162</v>
      </c>
      <c r="CY171" s="160"/>
      <c r="CZ171" s="177">
        <f t="shared" si="210"/>
        <v>9.6000000000000002E-2</v>
      </c>
      <c r="DB171" s="146"/>
      <c r="DC171" s="76">
        <f t="shared" ca="1" si="173"/>
        <v>0.30287795900575887</v>
      </c>
      <c r="DD171">
        <f t="shared" si="211"/>
        <v>4</v>
      </c>
      <c r="DE171" s="129">
        <f t="shared" si="245"/>
        <v>39949</v>
      </c>
      <c r="DF171" s="161">
        <f t="shared" si="212"/>
        <v>0</v>
      </c>
      <c r="DG171" s="161">
        <f t="shared" si="213"/>
        <v>0</v>
      </c>
      <c r="DH171" s="161">
        <f t="shared" si="214"/>
        <v>0</v>
      </c>
      <c r="DI171" s="161">
        <f t="shared" si="215"/>
        <v>0</v>
      </c>
      <c r="DJ171" s="161">
        <f t="shared" si="216"/>
        <v>0</v>
      </c>
      <c r="DK171" s="161">
        <f t="shared" si="217"/>
        <v>0</v>
      </c>
      <c r="DL171" s="161">
        <f t="shared" si="218"/>
        <v>0</v>
      </c>
      <c r="DM171" s="161">
        <f t="shared" si="219"/>
        <v>0</v>
      </c>
      <c r="DN171" s="161">
        <f t="shared" si="220"/>
        <v>0</v>
      </c>
      <c r="DO171" s="161">
        <f t="shared" si="221"/>
        <v>0</v>
      </c>
      <c r="DP171" s="161">
        <f t="shared" si="222"/>
        <v>0</v>
      </c>
      <c r="DQ171" s="161">
        <f t="shared" si="223"/>
        <v>0</v>
      </c>
      <c r="DR171" s="161">
        <f t="shared" si="224"/>
        <v>0</v>
      </c>
      <c r="DS171" s="161">
        <f t="shared" si="225"/>
        <v>0</v>
      </c>
      <c r="DT171" s="161">
        <f t="shared" si="226"/>
        <v>0</v>
      </c>
      <c r="DU171" s="161">
        <f t="shared" si="227"/>
        <v>0</v>
      </c>
      <c r="DV171" s="161">
        <f t="shared" si="228"/>
        <v>0</v>
      </c>
      <c r="DW171" s="161">
        <f t="shared" si="229"/>
        <v>0</v>
      </c>
      <c r="DX171" s="161">
        <f t="shared" si="230"/>
        <v>0</v>
      </c>
      <c r="DY171" s="161">
        <f t="shared" si="231"/>
        <v>0</v>
      </c>
      <c r="DZ171" s="161">
        <f t="shared" si="232"/>
        <v>0</v>
      </c>
      <c r="EA171" s="161">
        <f t="shared" si="233"/>
        <v>0</v>
      </c>
      <c r="EB171" s="161">
        <f t="shared" si="234"/>
        <v>0</v>
      </c>
      <c r="EC171" s="161">
        <f t="shared" si="235"/>
        <v>0</v>
      </c>
      <c r="ED171" s="161">
        <f t="shared" si="236"/>
        <v>0</v>
      </c>
      <c r="EE171" s="161">
        <f t="shared" si="237"/>
        <v>0</v>
      </c>
      <c r="EF171" s="161">
        <f t="shared" si="238"/>
        <v>0</v>
      </c>
      <c r="EG171" s="161">
        <f t="shared" si="239"/>
        <v>0</v>
      </c>
      <c r="EH171" s="161">
        <f t="shared" si="240"/>
        <v>0</v>
      </c>
      <c r="EI171" s="161">
        <f t="shared" si="241"/>
        <v>0</v>
      </c>
      <c r="EJ171" s="161">
        <f t="shared" si="242"/>
        <v>0</v>
      </c>
      <c r="EK171" s="147">
        <f t="shared" si="174"/>
        <v>0</v>
      </c>
      <c r="EL171" s="149"/>
      <c r="EN171" s="146"/>
      <c r="EO171" s="146"/>
      <c r="EP171" s="139">
        <f t="shared" si="175"/>
        <v>0</v>
      </c>
      <c r="EQ171" s="139">
        <f t="shared" si="176"/>
        <v>0</v>
      </c>
      <c r="ER171" s="139">
        <f t="shared" si="177"/>
        <v>0</v>
      </c>
      <c r="ES171" s="139">
        <f t="shared" si="178"/>
        <v>0</v>
      </c>
      <c r="ET171" s="139">
        <f t="shared" si="179"/>
        <v>0</v>
      </c>
      <c r="EU171" s="139">
        <f t="shared" si="180"/>
        <v>0</v>
      </c>
      <c r="EV171" s="139">
        <f t="shared" si="181"/>
        <v>0</v>
      </c>
      <c r="EW171" s="139">
        <f t="shared" si="182"/>
        <v>0</v>
      </c>
      <c r="EX171" s="139">
        <f t="shared" si="183"/>
        <v>0</v>
      </c>
      <c r="EY171" s="139">
        <f t="shared" si="184"/>
        <v>0</v>
      </c>
      <c r="EZ171" s="139">
        <f t="shared" si="185"/>
        <v>0</v>
      </c>
      <c r="FA171" s="139">
        <f t="shared" si="186"/>
        <v>0</v>
      </c>
      <c r="FB171" s="139">
        <f t="shared" si="187"/>
        <v>0</v>
      </c>
      <c r="FC171" s="139">
        <f t="shared" si="188"/>
        <v>0</v>
      </c>
      <c r="FD171" s="139">
        <f t="shared" si="189"/>
        <v>0</v>
      </c>
      <c r="FE171" s="139">
        <f t="shared" si="190"/>
        <v>0</v>
      </c>
      <c r="FF171" s="139">
        <f t="shared" si="191"/>
        <v>0</v>
      </c>
      <c r="FG171" s="139">
        <f t="shared" si="192"/>
        <v>0</v>
      </c>
      <c r="FH171" s="139">
        <f t="shared" si="193"/>
        <v>0</v>
      </c>
      <c r="FI171" s="139">
        <f t="shared" si="194"/>
        <v>0</v>
      </c>
      <c r="FJ171" s="139">
        <f t="shared" si="195"/>
        <v>0</v>
      </c>
      <c r="FK171" s="139">
        <f t="shared" si="196"/>
        <v>0</v>
      </c>
      <c r="FL171" s="139">
        <f t="shared" si="197"/>
        <v>0</v>
      </c>
      <c r="FM171" s="139">
        <f t="shared" si="198"/>
        <v>0</v>
      </c>
      <c r="FN171" s="139">
        <f t="shared" si="199"/>
        <v>0</v>
      </c>
      <c r="FO171" s="139">
        <f t="shared" si="200"/>
        <v>0</v>
      </c>
      <c r="FP171" s="139">
        <f t="shared" si="201"/>
        <v>0</v>
      </c>
      <c r="FQ171" s="139">
        <f t="shared" si="202"/>
        <v>0</v>
      </c>
      <c r="FR171" s="139">
        <f t="shared" si="203"/>
        <v>0</v>
      </c>
      <c r="FS171" s="139">
        <f t="shared" si="204"/>
        <v>0</v>
      </c>
      <c r="FT171" s="139">
        <f t="shared" si="205"/>
        <v>0</v>
      </c>
      <c r="FU171" s="148">
        <f t="shared" si="206"/>
        <v>0</v>
      </c>
      <c r="FV171" s="149"/>
      <c r="FY171" s="210">
        <v>166</v>
      </c>
      <c r="FZ171" s="205"/>
      <c r="GA171" s="205"/>
      <c r="GB171" s="205"/>
      <c r="GC171" s="205"/>
      <c r="GD171" s="205"/>
      <c r="GE171" s="205"/>
      <c r="GF171" s="205"/>
      <c r="GG171" s="205"/>
      <c r="GH171" s="205"/>
      <c r="GI171" s="205"/>
      <c r="GJ171" s="205"/>
      <c r="GK171" s="205"/>
      <c r="GL171" s="205"/>
      <c r="GM171" s="205"/>
    </row>
    <row r="172" spans="1:195" s="7" customFormat="1">
      <c r="A172" s="1"/>
      <c r="B172" s="76">
        <f t="shared" ca="1" si="171"/>
        <v>0.94845491036745067</v>
      </c>
      <c r="C172">
        <v>4</v>
      </c>
      <c r="D172">
        <v>39949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/>
      <c r="AO172"/>
      <c r="AP172"/>
      <c r="AQ172"/>
      <c r="AR172"/>
      <c r="AS172"/>
      <c r="AT172"/>
      <c r="AU172"/>
      <c r="AV172"/>
      <c r="AW172"/>
      <c r="AX172" s="146"/>
      <c r="AY172" s="76">
        <f t="shared" ca="1" si="172"/>
        <v>0.85900331270075281</v>
      </c>
      <c r="AZ172">
        <v>5</v>
      </c>
      <c r="BA172" s="129">
        <f t="shared" si="246"/>
        <v>39949</v>
      </c>
      <c r="BB172">
        <v>0</v>
      </c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 s="147"/>
      <c r="CH172" s="176"/>
      <c r="CJ172" s="146"/>
      <c r="CK172" s="76">
        <f t="shared" ca="1" si="207"/>
        <v>0.64442219358195452</v>
      </c>
      <c r="CL172" s="179">
        <f t="shared" si="208"/>
        <v>5</v>
      </c>
      <c r="CM172" s="180">
        <f t="shared" si="209"/>
        <v>39949</v>
      </c>
      <c r="CN172"/>
      <c r="CO172"/>
      <c r="CP172"/>
      <c r="CQ172"/>
      <c r="CR172"/>
      <c r="CS172"/>
      <c r="CT172"/>
      <c r="CU172"/>
      <c r="CV172" s="160"/>
      <c r="CW172">
        <v>1</v>
      </c>
      <c r="CX172">
        <v>1</v>
      </c>
      <c r="CY172" s="160"/>
      <c r="CZ172" s="177">
        <f t="shared" si="210"/>
        <v>9.6000000000000002E-2</v>
      </c>
      <c r="DB172" s="146"/>
      <c r="DC172" s="76">
        <f t="shared" ca="1" si="173"/>
        <v>0.7428311313181406</v>
      </c>
      <c r="DD172">
        <f t="shared" si="211"/>
        <v>5</v>
      </c>
      <c r="DE172" s="129">
        <f t="shared" si="245"/>
        <v>39949</v>
      </c>
      <c r="DF172" s="161">
        <f t="shared" si="212"/>
        <v>0</v>
      </c>
      <c r="DG172" s="161">
        <f t="shared" si="213"/>
        <v>0</v>
      </c>
      <c r="DH172" s="161">
        <f t="shared" si="214"/>
        <v>0</v>
      </c>
      <c r="DI172" s="161">
        <f t="shared" si="215"/>
        <v>0</v>
      </c>
      <c r="DJ172" s="161">
        <f t="shared" si="216"/>
        <v>0</v>
      </c>
      <c r="DK172" s="161">
        <f t="shared" si="217"/>
        <v>0</v>
      </c>
      <c r="DL172" s="161">
        <f t="shared" si="218"/>
        <v>0</v>
      </c>
      <c r="DM172" s="161">
        <f t="shared" si="219"/>
        <v>0</v>
      </c>
      <c r="DN172" s="161">
        <f t="shared" si="220"/>
        <v>0</v>
      </c>
      <c r="DO172" s="161">
        <f t="shared" si="221"/>
        <v>0</v>
      </c>
      <c r="DP172" s="161">
        <f t="shared" si="222"/>
        <v>0</v>
      </c>
      <c r="DQ172" s="161">
        <f t="shared" si="223"/>
        <v>0</v>
      </c>
      <c r="DR172" s="161">
        <f t="shared" si="224"/>
        <v>0</v>
      </c>
      <c r="DS172" s="161">
        <f t="shared" si="225"/>
        <v>0</v>
      </c>
      <c r="DT172" s="161">
        <f t="shared" si="226"/>
        <v>0</v>
      </c>
      <c r="DU172" s="161">
        <f t="shared" si="227"/>
        <v>0</v>
      </c>
      <c r="DV172" s="161">
        <f t="shared" si="228"/>
        <v>0</v>
      </c>
      <c r="DW172" s="161">
        <f t="shared" si="229"/>
        <v>0</v>
      </c>
      <c r="DX172" s="161">
        <f t="shared" si="230"/>
        <v>0</v>
      </c>
      <c r="DY172" s="161">
        <f t="shared" si="231"/>
        <v>0</v>
      </c>
      <c r="DZ172" s="161">
        <f t="shared" si="232"/>
        <v>0</v>
      </c>
      <c r="EA172" s="161">
        <f t="shared" si="233"/>
        <v>0</v>
      </c>
      <c r="EB172" s="161">
        <f t="shared" si="234"/>
        <v>0</v>
      </c>
      <c r="EC172" s="161">
        <f t="shared" si="235"/>
        <v>0</v>
      </c>
      <c r="ED172" s="161">
        <f t="shared" si="236"/>
        <v>0</v>
      </c>
      <c r="EE172" s="161">
        <f t="shared" si="237"/>
        <v>0</v>
      </c>
      <c r="EF172" s="161">
        <f t="shared" si="238"/>
        <v>0</v>
      </c>
      <c r="EG172" s="161">
        <f t="shared" si="239"/>
        <v>0</v>
      </c>
      <c r="EH172" s="161">
        <f t="shared" si="240"/>
        <v>0</v>
      </c>
      <c r="EI172" s="161">
        <f t="shared" si="241"/>
        <v>0</v>
      </c>
      <c r="EJ172" s="161">
        <f t="shared" si="242"/>
        <v>0</v>
      </c>
      <c r="EK172" s="147">
        <f t="shared" si="174"/>
        <v>0</v>
      </c>
      <c r="EL172" s="149"/>
      <c r="EN172" s="146"/>
      <c r="EO172" s="146"/>
      <c r="EP172" s="139">
        <f t="shared" si="175"/>
        <v>0</v>
      </c>
      <c r="EQ172" s="139">
        <f t="shared" si="176"/>
        <v>0</v>
      </c>
      <c r="ER172" s="139">
        <f t="shared" si="177"/>
        <v>0</v>
      </c>
      <c r="ES172" s="139">
        <f t="shared" si="178"/>
        <v>0</v>
      </c>
      <c r="ET172" s="139">
        <f t="shared" si="179"/>
        <v>0</v>
      </c>
      <c r="EU172" s="139">
        <f t="shared" si="180"/>
        <v>0</v>
      </c>
      <c r="EV172" s="139">
        <f t="shared" si="181"/>
        <v>0</v>
      </c>
      <c r="EW172" s="139">
        <f t="shared" si="182"/>
        <v>0</v>
      </c>
      <c r="EX172" s="139">
        <f t="shared" si="183"/>
        <v>0</v>
      </c>
      <c r="EY172" s="139">
        <f t="shared" si="184"/>
        <v>0</v>
      </c>
      <c r="EZ172" s="139">
        <f t="shared" si="185"/>
        <v>0</v>
      </c>
      <c r="FA172" s="139">
        <f t="shared" si="186"/>
        <v>0</v>
      </c>
      <c r="FB172" s="139">
        <f t="shared" si="187"/>
        <v>0</v>
      </c>
      <c r="FC172" s="139">
        <f t="shared" si="188"/>
        <v>0</v>
      </c>
      <c r="FD172" s="139">
        <f t="shared" si="189"/>
        <v>0</v>
      </c>
      <c r="FE172" s="139">
        <f t="shared" si="190"/>
        <v>0</v>
      </c>
      <c r="FF172" s="139">
        <f t="shared" si="191"/>
        <v>0</v>
      </c>
      <c r="FG172" s="139">
        <f t="shared" si="192"/>
        <v>0</v>
      </c>
      <c r="FH172" s="139">
        <f t="shared" si="193"/>
        <v>0</v>
      </c>
      <c r="FI172" s="139">
        <f t="shared" si="194"/>
        <v>0</v>
      </c>
      <c r="FJ172" s="139">
        <f t="shared" si="195"/>
        <v>0</v>
      </c>
      <c r="FK172" s="139">
        <f t="shared" si="196"/>
        <v>0</v>
      </c>
      <c r="FL172" s="139">
        <f t="shared" si="197"/>
        <v>0</v>
      </c>
      <c r="FM172" s="139">
        <f t="shared" si="198"/>
        <v>0</v>
      </c>
      <c r="FN172" s="139">
        <f t="shared" si="199"/>
        <v>0</v>
      </c>
      <c r="FO172" s="139">
        <f t="shared" si="200"/>
        <v>0</v>
      </c>
      <c r="FP172" s="139">
        <f t="shared" si="201"/>
        <v>0</v>
      </c>
      <c r="FQ172" s="139">
        <f t="shared" si="202"/>
        <v>0</v>
      </c>
      <c r="FR172" s="139">
        <f t="shared" si="203"/>
        <v>0</v>
      </c>
      <c r="FS172" s="139">
        <f t="shared" si="204"/>
        <v>0</v>
      </c>
      <c r="FT172" s="139">
        <f t="shared" si="205"/>
        <v>0</v>
      </c>
      <c r="FU172" s="148">
        <f t="shared" si="206"/>
        <v>0</v>
      </c>
      <c r="FV172" s="149"/>
      <c r="FY172" s="210">
        <v>167</v>
      </c>
      <c r="FZ172" s="205"/>
      <c r="GA172" s="205"/>
      <c r="GB172" s="205"/>
      <c r="GC172" s="205"/>
      <c r="GD172" s="205"/>
      <c r="GE172" s="205"/>
      <c r="GF172" s="205"/>
      <c r="GG172" s="205"/>
      <c r="GH172" s="205"/>
      <c r="GI172" s="205"/>
      <c r="GJ172" s="205"/>
      <c r="GK172" s="205"/>
      <c r="GL172" s="205"/>
      <c r="GM172" s="205"/>
    </row>
    <row r="173" spans="1:195" s="7" customFormat="1">
      <c r="A173" s="1"/>
      <c r="B173" s="76">
        <f t="shared" ca="1" si="171"/>
        <v>0.96501017895029739</v>
      </c>
      <c r="C173">
        <v>10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/>
      <c r="AO173"/>
      <c r="AP173"/>
      <c r="AQ173"/>
      <c r="AR173"/>
      <c r="AS173"/>
      <c r="AT173"/>
      <c r="AU173"/>
      <c r="AV173"/>
      <c r="AW173"/>
      <c r="AX173" s="146"/>
      <c r="AY173" s="76">
        <f t="shared" ca="1" si="172"/>
        <v>0.11978445895062384</v>
      </c>
      <c r="AZ173">
        <v>6</v>
      </c>
      <c r="BA173" s="129">
        <f t="shared" si="246"/>
        <v>39949</v>
      </c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 s="147"/>
      <c r="CH173" s="176"/>
      <c r="CJ173" s="146"/>
      <c r="CK173" s="76">
        <f t="shared" ca="1" si="207"/>
        <v>7.6874169913478951E-3</v>
      </c>
      <c r="CL173" s="179">
        <f t="shared" si="208"/>
        <v>6</v>
      </c>
      <c r="CM173" s="180">
        <f t="shared" si="209"/>
        <v>39949</v>
      </c>
      <c r="CN173"/>
      <c r="CO173"/>
      <c r="CP173"/>
      <c r="CQ173"/>
      <c r="CR173"/>
      <c r="CS173"/>
      <c r="CT173"/>
      <c r="CU173"/>
      <c r="CV173" s="160"/>
      <c r="CW173">
        <v>1</v>
      </c>
      <c r="CX173">
        <v>1</v>
      </c>
      <c r="CY173" s="160"/>
      <c r="CZ173" s="177">
        <f t="shared" si="210"/>
        <v>9.6000000000000002E-2</v>
      </c>
      <c r="DB173" s="146"/>
      <c r="DC173" s="76">
        <f t="shared" ca="1" si="173"/>
        <v>0.44075971651713464</v>
      </c>
      <c r="DD173">
        <f t="shared" si="211"/>
        <v>6</v>
      </c>
      <c r="DE173" s="129">
        <f t="shared" si="245"/>
        <v>39949</v>
      </c>
      <c r="DF173" s="161">
        <f t="shared" si="212"/>
        <v>0</v>
      </c>
      <c r="DG173" s="161">
        <f t="shared" si="213"/>
        <v>0</v>
      </c>
      <c r="DH173" s="161">
        <f t="shared" si="214"/>
        <v>0</v>
      </c>
      <c r="DI173" s="161">
        <f t="shared" si="215"/>
        <v>0</v>
      </c>
      <c r="DJ173" s="161">
        <f t="shared" si="216"/>
        <v>0</v>
      </c>
      <c r="DK173" s="161">
        <f t="shared" si="217"/>
        <v>0</v>
      </c>
      <c r="DL173" s="161">
        <f t="shared" si="218"/>
        <v>0</v>
      </c>
      <c r="DM173" s="161">
        <f t="shared" si="219"/>
        <v>0</v>
      </c>
      <c r="DN173" s="161">
        <f t="shared" si="220"/>
        <v>0</v>
      </c>
      <c r="DO173" s="161">
        <f t="shared" si="221"/>
        <v>0</v>
      </c>
      <c r="DP173" s="161">
        <f t="shared" si="222"/>
        <v>0</v>
      </c>
      <c r="DQ173" s="161">
        <f t="shared" si="223"/>
        <v>0</v>
      </c>
      <c r="DR173" s="161">
        <f t="shared" si="224"/>
        <v>0</v>
      </c>
      <c r="DS173" s="161">
        <f t="shared" si="225"/>
        <v>0</v>
      </c>
      <c r="DT173" s="161">
        <f t="shared" si="226"/>
        <v>0</v>
      </c>
      <c r="DU173" s="161">
        <f t="shared" si="227"/>
        <v>0</v>
      </c>
      <c r="DV173" s="161">
        <f t="shared" si="228"/>
        <v>0</v>
      </c>
      <c r="DW173" s="161">
        <f t="shared" si="229"/>
        <v>0</v>
      </c>
      <c r="DX173" s="161">
        <f t="shared" si="230"/>
        <v>0</v>
      </c>
      <c r="DY173" s="161">
        <f t="shared" si="231"/>
        <v>0</v>
      </c>
      <c r="DZ173" s="161">
        <f t="shared" si="232"/>
        <v>0</v>
      </c>
      <c r="EA173" s="161">
        <f t="shared" si="233"/>
        <v>0</v>
      </c>
      <c r="EB173" s="161">
        <f t="shared" si="234"/>
        <v>0</v>
      </c>
      <c r="EC173" s="161">
        <f t="shared" si="235"/>
        <v>0</v>
      </c>
      <c r="ED173" s="161">
        <f t="shared" si="236"/>
        <v>0</v>
      </c>
      <c r="EE173" s="161">
        <f t="shared" si="237"/>
        <v>0</v>
      </c>
      <c r="EF173" s="161">
        <f t="shared" si="238"/>
        <v>0</v>
      </c>
      <c r="EG173" s="161">
        <f t="shared" si="239"/>
        <v>0</v>
      </c>
      <c r="EH173" s="161">
        <f t="shared" si="240"/>
        <v>0</v>
      </c>
      <c r="EI173" s="161">
        <f t="shared" si="241"/>
        <v>0</v>
      </c>
      <c r="EJ173" s="161">
        <f t="shared" si="242"/>
        <v>0</v>
      </c>
      <c r="EK173" s="147">
        <f t="shared" si="174"/>
        <v>0</v>
      </c>
      <c r="EL173" s="149"/>
      <c r="EN173" s="146"/>
      <c r="EO173" s="146"/>
      <c r="EP173" s="139">
        <f t="shared" si="175"/>
        <v>0</v>
      </c>
      <c r="EQ173" s="139">
        <f t="shared" si="176"/>
        <v>0</v>
      </c>
      <c r="ER173" s="139">
        <f t="shared" si="177"/>
        <v>0</v>
      </c>
      <c r="ES173" s="139">
        <f t="shared" si="178"/>
        <v>0</v>
      </c>
      <c r="ET173" s="139">
        <f t="shared" si="179"/>
        <v>0</v>
      </c>
      <c r="EU173" s="139">
        <f t="shared" si="180"/>
        <v>0</v>
      </c>
      <c r="EV173" s="139">
        <f t="shared" si="181"/>
        <v>0</v>
      </c>
      <c r="EW173" s="139">
        <f t="shared" si="182"/>
        <v>0</v>
      </c>
      <c r="EX173" s="139">
        <f t="shared" si="183"/>
        <v>0</v>
      </c>
      <c r="EY173" s="139">
        <f t="shared" si="184"/>
        <v>0</v>
      </c>
      <c r="EZ173" s="139">
        <f t="shared" si="185"/>
        <v>0</v>
      </c>
      <c r="FA173" s="139">
        <f t="shared" si="186"/>
        <v>0</v>
      </c>
      <c r="FB173" s="139">
        <f t="shared" si="187"/>
        <v>0</v>
      </c>
      <c r="FC173" s="139">
        <f t="shared" si="188"/>
        <v>0</v>
      </c>
      <c r="FD173" s="139">
        <f t="shared" si="189"/>
        <v>0</v>
      </c>
      <c r="FE173" s="139">
        <f t="shared" si="190"/>
        <v>0</v>
      </c>
      <c r="FF173" s="139">
        <f t="shared" si="191"/>
        <v>0</v>
      </c>
      <c r="FG173" s="139">
        <f t="shared" si="192"/>
        <v>0</v>
      </c>
      <c r="FH173" s="139">
        <f t="shared" si="193"/>
        <v>0</v>
      </c>
      <c r="FI173" s="139">
        <f t="shared" si="194"/>
        <v>0</v>
      </c>
      <c r="FJ173" s="139">
        <f t="shared" si="195"/>
        <v>0</v>
      </c>
      <c r="FK173" s="139">
        <f t="shared" si="196"/>
        <v>0</v>
      </c>
      <c r="FL173" s="139">
        <f t="shared" si="197"/>
        <v>0</v>
      </c>
      <c r="FM173" s="139">
        <f t="shared" si="198"/>
        <v>0</v>
      </c>
      <c r="FN173" s="139">
        <f t="shared" si="199"/>
        <v>0</v>
      </c>
      <c r="FO173" s="139">
        <f t="shared" si="200"/>
        <v>0</v>
      </c>
      <c r="FP173" s="139">
        <f t="shared" si="201"/>
        <v>0</v>
      </c>
      <c r="FQ173" s="139">
        <f t="shared" si="202"/>
        <v>0</v>
      </c>
      <c r="FR173" s="139">
        <f t="shared" si="203"/>
        <v>0</v>
      </c>
      <c r="FS173" s="139">
        <f t="shared" si="204"/>
        <v>0</v>
      </c>
      <c r="FT173" s="139">
        <f t="shared" si="205"/>
        <v>0</v>
      </c>
      <c r="FU173" s="148">
        <f t="shared" si="206"/>
        <v>0</v>
      </c>
      <c r="FV173" s="149"/>
      <c r="FY173" s="210">
        <v>168</v>
      </c>
      <c r="FZ173" s="205"/>
      <c r="GA173" s="205"/>
      <c r="GB173" s="205"/>
      <c r="GC173" s="205"/>
      <c r="GD173" s="205"/>
      <c r="GE173" s="205"/>
      <c r="GF173" s="205"/>
      <c r="GG173" s="205"/>
      <c r="GH173" s="205"/>
      <c r="GI173" s="205"/>
      <c r="GJ173" s="205"/>
      <c r="GK173" s="205"/>
      <c r="GL173" s="205"/>
      <c r="GM173" s="205"/>
    </row>
    <row r="174" spans="1:195" s="7" customFormat="1">
      <c r="A174" s="1"/>
      <c r="B174" s="76">
        <f t="shared" ca="1" si="171"/>
        <v>0.31450766489234727</v>
      </c>
      <c r="C174">
        <v>1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/>
      <c r="AO174"/>
      <c r="AP174"/>
      <c r="AQ174"/>
      <c r="AR174"/>
      <c r="AS174"/>
      <c r="AT174"/>
      <c r="AU174"/>
      <c r="AV174"/>
      <c r="AW174"/>
      <c r="AX174" s="146"/>
      <c r="AY174" s="76">
        <f t="shared" ca="1" si="172"/>
        <v>0.91055265177638001</v>
      </c>
      <c r="AZ174">
        <v>7</v>
      </c>
      <c r="BA174" s="129">
        <f t="shared" si="246"/>
        <v>39949</v>
      </c>
      <c r="BB174" s="216">
        <v>0</v>
      </c>
      <c r="BC174" s="216"/>
      <c r="BD174" s="216"/>
      <c r="BE174" s="216"/>
      <c r="BF174" s="216"/>
      <c r="BG174" s="216"/>
      <c r="BH174" s="216"/>
      <c r="BI174" s="216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>
        <v>1</v>
      </c>
      <c r="BZ174"/>
      <c r="CA174"/>
      <c r="CB174"/>
      <c r="CC174"/>
      <c r="CD174"/>
      <c r="CE174"/>
      <c r="CF174"/>
      <c r="CG174" s="147"/>
      <c r="CH174" s="176"/>
      <c r="CJ174" s="146"/>
      <c r="CK174" s="76">
        <f t="shared" ca="1" si="207"/>
        <v>0.74035631632052312</v>
      </c>
      <c r="CL174" s="179">
        <f t="shared" si="208"/>
        <v>7</v>
      </c>
      <c r="CM174" s="180">
        <f t="shared" si="209"/>
        <v>39949</v>
      </c>
      <c r="CN174"/>
      <c r="CO174"/>
      <c r="CP174"/>
      <c r="CQ174"/>
      <c r="CR174"/>
      <c r="CS174"/>
      <c r="CT174"/>
      <c r="CU174"/>
      <c r="CV174" s="160"/>
      <c r="CW174">
        <v>1</v>
      </c>
      <c r="CX174">
        <v>1</v>
      </c>
      <c r="CY174" s="165"/>
      <c r="CZ174" s="177">
        <f t="shared" si="210"/>
        <v>9.6000000000000002E-2</v>
      </c>
      <c r="DB174" s="146"/>
      <c r="DC174" s="76">
        <f t="shared" ca="1" si="173"/>
        <v>2.4391671338136911E-2</v>
      </c>
      <c r="DD174">
        <f t="shared" si="211"/>
        <v>7</v>
      </c>
      <c r="DE174" s="129">
        <f t="shared" si="245"/>
        <v>39949</v>
      </c>
      <c r="DF174" s="161">
        <f t="shared" si="212"/>
        <v>0</v>
      </c>
      <c r="DG174" s="161">
        <f t="shared" si="213"/>
        <v>0</v>
      </c>
      <c r="DH174" s="161">
        <f t="shared" si="214"/>
        <v>0</v>
      </c>
      <c r="DI174" s="161">
        <f t="shared" si="215"/>
        <v>0</v>
      </c>
      <c r="DJ174" s="161">
        <f t="shared" si="216"/>
        <v>0</v>
      </c>
      <c r="DK174" s="161">
        <f t="shared" si="217"/>
        <v>0</v>
      </c>
      <c r="DL174" s="161">
        <f t="shared" si="218"/>
        <v>0</v>
      </c>
      <c r="DM174" s="161">
        <f t="shared" si="219"/>
        <v>0</v>
      </c>
      <c r="DN174" s="161">
        <f t="shared" si="220"/>
        <v>0</v>
      </c>
      <c r="DO174" s="161">
        <f t="shared" si="221"/>
        <v>0</v>
      </c>
      <c r="DP174" s="161">
        <f t="shared" si="222"/>
        <v>0</v>
      </c>
      <c r="DQ174" s="161">
        <f t="shared" si="223"/>
        <v>0</v>
      </c>
      <c r="DR174" s="161">
        <f t="shared" si="224"/>
        <v>0</v>
      </c>
      <c r="DS174" s="161">
        <f t="shared" si="225"/>
        <v>0</v>
      </c>
      <c r="DT174" s="161">
        <f t="shared" si="226"/>
        <v>0</v>
      </c>
      <c r="DU174" s="161">
        <f t="shared" si="227"/>
        <v>0</v>
      </c>
      <c r="DV174" s="161">
        <f t="shared" si="228"/>
        <v>0</v>
      </c>
      <c r="DW174" s="161">
        <f t="shared" si="229"/>
        <v>0</v>
      </c>
      <c r="DX174" s="161">
        <f t="shared" si="230"/>
        <v>0</v>
      </c>
      <c r="DY174" s="161">
        <f t="shared" si="231"/>
        <v>0</v>
      </c>
      <c r="DZ174" s="161">
        <f t="shared" si="232"/>
        <v>0</v>
      </c>
      <c r="EA174" s="161">
        <f t="shared" si="233"/>
        <v>0</v>
      </c>
      <c r="EB174" s="161">
        <f t="shared" si="234"/>
        <v>0</v>
      </c>
      <c r="EC174" s="161">
        <f t="shared" si="235"/>
        <v>10.416666666666666</v>
      </c>
      <c r="ED174" s="161">
        <f t="shared" si="236"/>
        <v>0</v>
      </c>
      <c r="EE174" s="161">
        <f t="shared" si="237"/>
        <v>0</v>
      </c>
      <c r="EF174" s="161">
        <f t="shared" si="238"/>
        <v>0</v>
      </c>
      <c r="EG174" s="161">
        <f t="shared" si="239"/>
        <v>0</v>
      </c>
      <c r="EH174" s="161">
        <f t="shared" si="240"/>
        <v>0</v>
      </c>
      <c r="EI174" s="161">
        <f t="shared" si="241"/>
        <v>0</v>
      </c>
      <c r="EJ174" s="161">
        <f t="shared" si="242"/>
        <v>0</v>
      </c>
      <c r="EK174" s="147">
        <f t="shared" si="174"/>
        <v>10.416666666666666</v>
      </c>
      <c r="EL174" s="149"/>
      <c r="EN174" s="146"/>
      <c r="EO174" s="146"/>
      <c r="EP174" s="139">
        <f t="shared" si="175"/>
        <v>0</v>
      </c>
      <c r="EQ174" s="139">
        <f t="shared" si="176"/>
        <v>0</v>
      </c>
      <c r="ER174" s="139">
        <f t="shared" si="177"/>
        <v>0</v>
      </c>
      <c r="ES174" s="139">
        <f t="shared" si="178"/>
        <v>0</v>
      </c>
      <c r="ET174" s="139">
        <f t="shared" si="179"/>
        <v>0</v>
      </c>
      <c r="EU174" s="139">
        <f t="shared" si="180"/>
        <v>0</v>
      </c>
      <c r="EV174" s="139">
        <f t="shared" si="181"/>
        <v>0</v>
      </c>
      <c r="EW174" s="139">
        <f t="shared" si="182"/>
        <v>0</v>
      </c>
      <c r="EX174" s="139">
        <f t="shared" si="183"/>
        <v>0</v>
      </c>
      <c r="EY174" s="139">
        <f t="shared" si="184"/>
        <v>0</v>
      </c>
      <c r="EZ174" s="139">
        <f t="shared" si="185"/>
        <v>0</v>
      </c>
      <c r="FA174" s="139">
        <f t="shared" si="186"/>
        <v>0</v>
      </c>
      <c r="FB174" s="139">
        <f t="shared" si="187"/>
        <v>0</v>
      </c>
      <c r="FC174" s="139">
        <f t="shared" si="188"/>
        <v>0</v>
      </c>
      <c r="FD174" s="139">
        <f t="shared" si="189"/>
        <v>0</v>
      </c>
      <c r="FE174" s="139">
        <f t="shared" si="190"/>
        <v>0</v>
      </c>
      <c r="FF174" s="139">
        <f t="shared" si="191"/>
        <v>0</v>
      </c>
      <c r="FG174" s="139">
        <f t="shared" si="192"/>
        <v>0</v>
      </c>
      <c r="FH174" s="139">
        <f t="shared" si="193"/>
        <v>0</v>
      </c>
      <c r="FI174" s="139">
        <f t="shared" si="194"/>
        <v>0</v>
      </c>
      <c r="FJ174" s="139">
        <f t="shared" si="195"/>
        <v>0</v>
      </c>
      <c r="FK174" s="139">
        <f t="shared" si="196"/>
        <v>0</v>
      </c>
      <c r="FL174" s="139">
        <f t="shared" si="197"/>
        <v>0</v>
      </c>
      <c r="FM174" s="139">
        <f t="shared" si="198"/>
        <v>0.67259593232096582</v>
      </c>
      <c r="FN174" s="139">
        <f t="shared" si="199"/>
        <v>0</v>
      </c>
      <c r="FO174" s="139">
        <f t="shared" si="200"/>
        <v>0</v>
      </c>
      <c r="FP174" s="139">
        <f t="shared" si="201"/>
        <v>0</v>
      </c>
      <c r="FQ174" s="139">
        <f t="shared" si="202"/>
        <v>0</v>
      </c>
      <c r="FR174" s="139">
        <f t="shared" si="203"/>
        <v>0</v>
      </c>
      <c r="FS174" s="139">
        <f t="shared" si="204"/>
        <v>0</v>
      </c>
      <c r="FT174" s="139">
        <f t="shared" si="205"/>
        <v>0</v>
      </c>
      <c r="FU174" s="148">
        <f t="shared" si="206"/>
        <v>0.67259593232096582</v>
      </c>
      <c r="FV174" s="149"/>
      <c r="FY174" s="210">
        <v>169</v>
      </c>
      <c r="FZ174" s="205"/>
      <c r="GA174" s="205"/>
      <c r="GB174" s="205"/>
      <c r="GC174" s="205"/>
      <c r="GD174" s="205"/>
      <c r="GE174" s="205"/>
      <c r="GF174" s="205"/>
      <c r="GG174" s="205"/>
      <c r="GH174" s="205"/>
      <c r="GI174" s="205"/>
      <c r="GJ174" s="205"/>
      <c r="GK174" s="205"/>
      <c r="GL174" s="205"/>
      <c r="GM174" s="205"/>
    </row>
    <row r="175" spans="1:195" s="7" customFormat="1">
      <c r="A175" s="1"/>
      <c r="B175" s="76">
        <f t="shared" ca="1" si="171"/>
        <v>0.28296773725834767</v>
      </c>
      <c r="C175">
        <v>8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10.416666666666666</v>
      </c>
      <c r="K175">
        <v>0</v>
      </c>
      <c r="L175">
        <v>52.083333333333336</v>
      </c>
      <c r="M175">
        <v>41.666666666666664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/>
      <c r="AO175"/>
      <c r="AP175"/>
      <c r="AQ175"/>
      <c r="AR175"/>
      <c r="AS175"/>
      <c r="AT175"/>
      <c r="AU175"/>
      <c r="AV175"/>
      <c r="AW175"/>
      <c r="AX175" s="146"/>
      <c r="AY175" s="76">
        <f t="shared" ca="1" si="172"/>
        <v>0.60854770791975854</v>
      </c>
      <c r="AZ175">
        <v>8</v>
      </c>
      <c r="BA175" s="129">
        <f t="shared" si="246"/>
        <v>39949</v>
      </c>
      <c r="BB175">
        <v>0</v>
      </c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 s="147"/>
      <c r="CH175" s="176"/>
      <c r="CJ175" s="146"/>
      <c r="CK175" s="76">
        <f t="shared" ca="1" si="207"/>
        <v>0.45245505265498309</v>
      </c>
      <c r="CL175" s="179">
        <f t="shared" si="208"/>
        <v>8</v>
      </c>
      <c r="CM175" s="180">
        <f t="shared" si="209"/>
        <v>39949</v>
      </c>
      <c r="CN175"/>
      <c r="CO175"/>
      <c r="CP175"/>
      <c r="CQ175"/>
      <c r="CR175"/>
      <c r="CS175"/>
      <c r="CT175"/>
      <c r="CU175"/>
      <c r="CV175" s="160"/>
      <c r="CW175">
        <v>1</v>
      </c>
      <c r="CX175">
        <v>1</v>
      </c>
      <c r="CY175" s="165"/>
      <c r="CZ175" s="177">
        <f t="shared" si="210"/>
        <v>9.6000000000000002E-2</v>
      </c>
      <c r="DB175" s="146"/>
      <c r="DC175" s="76">
        <f t="shared" ca="1" si="173"/>
        <v>5.5849190658295633E-2</v>
      </c>
      <c r="DD175">
        <f t="shared" si="211"/>
        <v>8</v>
      </c>
      <c r="DE175" s="129">
        <f t="shared" si="245"/>
        <v>39949</v>
      </c>
      <c r="DF175" s="161">
        <f t="shared" si="212"/>
        <v>0</v>
      </c>
      <c r="DG175" s="161">
        <f t="shared" si="213"/>
        <v>0</v>
      </c>
      <c r="DH175" s="161">
        <f t="shared" si="214"/>
        <v>0</v>
      </c>
      <c r="DI175" s="161">
        <f t="shared" si="215"/>
        <v>0</v>
      </c>
      <c r="DJ175" s="161">
        <f t="shared" si="216"/>
        <v>0</v>
      </c>
      <c r="DK175" s="161">
        <f t="shared" si="217"/>
        <v>0</v>
      </c>
      <c r="DL175" s="161">
        <f t="shared" si="218"/>
        <v>0</v>
      </c>
      <c r="DM175" s="161">
        <f t="shared" si="219"/>
        <v>0</v>
      </c>
      <c r="DN175" s="161">
        <f t="shared" si="220"/>
        <v>0</v>
      </c>
      <c r="DO175" s="161">
        <f t="shared" si="221"/>
        <v>0</v>
      </c>
      <c r="DP175" s="161">
        <f t="shared" si="222"/>
        <v>0</v>
      </c>
      <c r="DQ175" s="161">
        <f t="shared" si="223"/>
        <v>0</v>
      </c>
      <c r="DR175" s="161">
        <f t="shared" si="224"/>
        <v>0</v>
      </c>
      <c r="DS175" s="161">
        <f t="shared" si="225"/>
        <v>0</v>
      </c>
      <c r="DT175" s="161">
        <f t="shared" si="226"/>
        <v>0</v>
      </c>
      <c r="DU175" s="161">
        <f t="shared" si="227"/>
        <v>0</v>
      </c>
      <c r="DV175" s="161">
        <f t="shared" si="228"/>
        <v>0</v>
      </c>
      <c r="DW175" s="161">
        <f t="shared" si="229"/>
        <v>0</v>
      </c>
      <c r="DX175" s="161">
        <f t="shared" si="230"/>
        <v>0</v>
      </c>
      <c r="DY175" s="161">
        <f t="shared" si="231"/>
        <v>0</v>
      </c>
      <c r="DZ175" s="161">
        <f t="shared" si="232"/>
        <v>0</v>
      </c>
      <c r="EA175" s="161">
        <f t="shared" si="233"/>
        <v>0</v>
      </c>
      <c r="EB175" s="161">
        <f t="shared" si="234"/>
        <v>0</v>
      </c>
      <c r="EC175" s="161">
        <f t="shared" si="235"/>
        <v>0</v>
      </c>
      <c r="ED175" s="161">
        <f t="shared" si="236"/>
        <v>0</v>
      </c>
      <c r="EE175" s="161">
        <f t="shared" si="237"/>
        <v>0</v>
      </c>
      <c r="EF175" s="161">
        <f t="shared" si="238"/>
        <v>0</v>
      </c>
      <c r="EG175" s="161">
        <f t="shared" si="239"/>
        <v>0</v>
      </c>
      <c r="EH175" s="161">
        <f t="shared" si="240"/>
        <v>0</v>
      </c>
      <c r="EI175" s="161">
        <f t="shared" si="241"/>
        <v>0</v>
      </c>
      <c r="EJ175" s="161">
        <f t="shared" si="242"/>
        <v>0</v>
      </c>
      <c r="EK175" s="147">
        <f t="shared" si="174"/>
        <v>0</v>
      </c>
      <c r="EL175" s="149"/>
      <c r="EN175" s="146"/>
      <c r="EO175" s="146"/>
      <c r="EP175" s="139">
        <f t="shared" si="175"/>
        <v>0</v>
      </c>
      <c r="EQ175" s="139">
        <f t="shared" si="176"/>
        <v>0</v>
      </c>
      <c r="ER175" s="139">
        <f t="shared" si="177"/>
        <v>0</v>
      </c>
      <c r="ES175" s="139">
        <f t="shared" si="178"/>
        <v>0</v>
      </c>
      <c r="ET175" s="139">
        <f t="shared" si="179"/>
        <v>0</v>
      </c>
      <c r="EU175" s="139">
        <f t="shared" si="180"/>
        <v>0</v>
      </c>
      <c r="EV175" s="139">
        <f t="shared" si="181"/>
        <v>0</v>
      </c>
      <c r="EW175" s="139">
        <f t="shared" si="182"/>
        <v>0</v>
      </c>
      <c r="EX175" s="139">
        <f t="shared" si="183"/>
        <v>0</v>
      </c>
      <c r="EY175" s="139">
        <f t="shared" si="184"/>
        <v>0</v>
      </c>
      <c r="EZ175" s="139">
        <f t="shared" si="185"/>
        <v>0</v>
      </c>
      <c r="FA175" s="139">
        <f t="shared" si="186"/>
        <v>0</v>
      </c>
      <c r="FB175" s="139">
        <f t="shared" si="187"/>
        <v>0</v>
      </c>
      <c r="FC175" s="139">
        <f t="shared" si="188"/>
        <v>0</v>
      </c>
      <c r="FD175" s="139">
        <f t="shared" si="189"/>
        <v>0</v>
      </c>
      <c r="FE175" s="139">
        <f t="shared" si="190"/>
        <v>0</v>
      </c>
      <c r="FF175" s="139">
        <f t="shared" si="191"/>
        <v>0</v>
      </c>
      <c r="FG175" s="139">
        <f t="shared" si="192"/>
        <v>0</v>
      </c>
      <c r="FH175" s="139">
        <f t="shared" si="193"/>
        <v>0</v>
      </c>
      <c r="FI175" s="139">
        <f t="shared" si="194"/>
        <v>0</v>
      </c>
      <c r="FJ175" s="139">
        <f t="shared" si="195"/>
        <v>0</v>
      </c>
      <c r="FK175" s="139">
        <f t="shared" si="196"/>
        <v>0</v>
      </c>
      <c r="FL175" s="139">
        <f t="shared" si="197"/>
        <v>0</v>
      </c>
      <c r="FM175" s="139">
        <f t="shared" si="198"/>
        <v>0</v>
      </c>
      <c r="FN175" s="139">
        <f t="shared" si="199"/>
        <v>0</v>
      </c>
      <c r="FO175" s="139">
        <f t="shared" si="200"/>
        <v>0</v>
      </c>
      <c r="FP175" s="139">
        <f t="shared" si="201"/>
        <v>0</v>
      </c>
      <c r="FQ175" s="139">
        <f t="shared" si="202"/>
        <v>0</v>
      </c>
      <c r="FR175" s="139">
        <f t="shared" si="203"/>
        <v>0</v>
      </c>
      <c r="FS175" s="139">
        <f t="shared" si="204"/>
        <v>0</v>
      </c>
      <c r="FT175" s="139">
        <f t="shared" si="205"/>
        <v>0</v>
      </c>
      <c r="FU175" s="148">
        <f t="shared" si="206"/>
        <v>0</v>
      </c>
      <c r="FV175" s="149"/>
      <c r="FY175" s="210">
        <v>170</v>
      </c>
      <c r="FZ175" s="205"/>
      <c r="GA175" s="205"/>
      <c r="GB175" s="205"/>
      <c r="GC175" s="205"/>
      <c r="GD175" s="205"/>
      <c r="GE175" s="205"/>
      <c r="GF175" s="205"/>
      <c r="GG175" s="205"/>
      <c r="GH175" s="205"/>
      <c r="GI175" s="205"/>
      <c r="GJ175" s="205"/>
      <c r="GK175" s="205"/>
      <c r="GL175" s="205"/>
      <c r="GM175" s="205"/>
    </row>
    <row r="176" spans="1:195" s="7" customFormat="1">
      <c r="A176" s="1"/>
      <c r="B176" s="76">
        <f t="shared" ca="1" si="171"/>
        <v>0.60851601361685437</v>
      </c>
      <c r="C176">
        <v>9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/>
      <c r="AO176"/>
      <c r="AP176"/>
      <c r="AQ176"/>
      <c r="AR176"/>
      <c r="AS176"/>
      <c r="AT176"/>
      <c r="AU176"/>
      <c r="AV176"/>
      <c r="AW176"/>
      <c r="AX176" s="146"/>
      <c r="AY176" s="76">
        <f t="shared" ca="1" si="172"/>
        <v>0.70671427446011092</v>
      </c>
      <c r="AZ176">
        <v>9</v>
      </c>
      <c r="BA176" s="129">
        <f t="shared" si="246"/>
        <v>39949</v>
      </c>
      <c r="BB176">
        <v>0</v>
      </c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>
        <v>1</v>
      </c>
      <c r="CD176"/>
      <c r="CE176"/>
      <c r="CF176">
        <v>1</v>
      </c>
      <c r="CG176" s="147"/>
      <c r="CH176" s="176"/>
      <c r="CJ176" s="146"/>
      <c r="CK176" s="76">
        <f t="shared" ca="1" si="207"/>
        <v>0.60620020651893469</v>
      </c>
      <c r="CL176" s="179">
        <f t="shared" si="208"/>
        <v>9</v>
      </c>
      <c r="CM176" s="180">
        <f t="shared" si="209"/>
        <v>39949</v>
      </c>
      <c r="CN176"/>
      <c r="CO176"/>
      <c r="CP176"/>
      <c r="CQ176"/>
      <c r="CR176"/>
      <c r="CS176"/>
      <c r="CT176"/>
      <c r="CU176"/>
      <c r="CV176" s="160"/>
      <c r="CW176">
        <v>1</v>
      </c>
      <c r="CX176">
        <v>1</v>
      </c>
      <c r="CY176" s="165"/>
      <c r="CZ176" s="177">
        <f t="shared" si="210"/>
        <v>9.6000000000000002E-2</v>
      </c>
      <c r="DB176" s="146"/>
      <c r="DC176" s="76">
        <f t="shared" ca="1" si="173"/>
        <v>0.11101571686246636</v>
      </c>
      <c r="DD176">
        <f t="shared" si="211"/>
        <v>9</v>
      </c>
      <c r="DE176" s="129">
        <f t="shared" si="245"/>
        <v>39949</v>
      </c>
      <c r="DF176" s="161">
        <f t="shared" si="212"/>
        <v>0</v>
      </c>
      <c r="DG176" s="161">
        <f t="shared" si="213"/>
        <v>0</v>
      </c>
      <c r="DH176" s="161">
        <f t="shared" si="214"/>
        <v>0</v>
      </c>
      <c r="DI176" s="161">
        <f t="shared" si="215"/>
        <v>0</v>
      </c>
      <c r="DJ176" s="161">
        <f t="shared" si="216"/>
        <v>0</v>
      </c>
      <c r="DK176" s="161">
        <f t="shared" si="217"/>
        <v>0</v>
      </c>
      <c r="DL176" s="161">
        <f t="shared" si="218"/>
        <v>0</v>
      </c>
      <c r="DM176" s="161">
        <f t="shared" si="219"/>
        <v>0</v>
      </c>
      <c r="DN176" s="161">
        <f t="shared" si="220"/>
        <v>0</v>
      </c>
      <c r="DO176" s="161">
        <f t="shared" si="221"/>
        <v>0</v>
      </c>
      <c r="DP176" s="161">
        <f t="shared" si="222"/>
        <v>0</v>
      </c>
      <c r="DQ176" s="161">
        <f t="shared" si="223"/>
        <v>0</v>
      </c>
      <c r="DR176" s="161">
        <f t="shared" si="224"/>
        <v>0</v>
      </c>
      <c r="DS176" s="161">
        <f t="shared" si="225"/>
        <v>0</v>
      </c>
      <c r="DT176" s="161">
        <f t="shared" si="226"/>
        <v>0</v>
      </c>
      <c r="DU176" s="161">
        <f t="shared" si="227"/>
        <v>0</v>
      </c>
      <c r="DV176" s="161">
        <f t="shared" si="228"/>
        <v>0</v>
      </c>
      <c r="DW176" s="161">
        <f t="shared" si="229"/>
        <v>0</v>
      </c>
      <c r="DX176" s="161">
        <f t="shared" si="230"/>
        <v>0</v>
      </c>
      <c r="DY176" s="161">
        <f t="shared" si="231"/>
        <v>0</v>
      </c>
      <c r="DZ176" s="161">
        <f t="shared" si="232"/>
        <v>0</v>
      </c>
      <c r="EA176" s="161">
        <f t="shared" si="233"/>
        <v>0</v>
      </c>
      <c r="EB176" s="161">
        <f t="shared" si="234"/>
        <v>0</v>
      </c>
      <c r="EC176" s="161">
        <f t="shared" si="235"/>
        <v>0</v>
      </c>
      <c r="ED176" s="161">
        <f t="shared" si="236"/>
        <v>0</v>
      </c>
      <c r="EE176" s="161">
        <f t="shared" si="237"/>
        <v>0</v>
      </c>
      <c r="EF176" s="161">
        <f t="shared" si="238"/>
        <v>0</v>
      </c>
      <c r="EG176" s="161">
        <f t="shared" si="239"/>
        <v>10.416666666666666</v>
      </c>
      <c r="EH176" s="161">
        <f t="shared" si="240"/>
        <v>0</v>
      </c>
      <c r="EI176" s="161">
        <f t="shared" si="241"/>
        <v>0</v>
      </c>
      <c r="EJ176" s="161">
        <f t="shared" si="242"/>
        <v>10.416666666666666</v>
      </c>
      <c r="EK176" s="147">
        <f t="shared" si="174"/>
        <v>20.833333333333332</v>
      </c>
      <c r="EL176" s="149"/>
      <c r="EN176" s="146"/>
      <c r="EO176" s="146"/>
      <c r="EP176" s="139">
        <f t="shared" si="175"/>
        <v>0</v>
      </c>
      <c r="EQ176" s="139">
        <f t="shared" si="176"/>
        <v>0</v>
      </c>
      <c r="ER176" s="139">
        <f t="shared" si="177"/>
        <v>0</v>
      </c>
      <c r="ES176" s="139">
        <f t="shared" si="178"/>
        <v>0</v>
      </c>
      <c r="ET176" s="139">
        <f t="shared" si="179"/>
        <v>0</v>
      </c>
      <c r="EU176" s="139">
        <f t="shared" si="180"/>
        <v>0</v>
      </c>
      <c r="EV176" s="139">
        <f t="shared" si="181"/>
        <v>0</v>
      </c>
      <c r="EW176" s="139">
        <f t="shared" si="182"/>
        <v>0</v>
      </c>
      <c r="EX176" s="139">
        <f t="shared" si="183"/>
        <v>0</v>
      </c>
      <c r="EY176" s="139">
        <f t="shared" si="184"/>
        <v>0</v>
      </c>
      <c r="EZ176" s="139">
        <f t="shared" si="185"/>
        <v>0</v>
      </c>
      <c r="FA176" s="139">
        <f t="shared" si="186"/>
        <v>0</v>
      </c>
      <c r="FB176" s="139">
        <f t="shared" si="187"/>
        <v>0</v>
      </c>
      <c r="FC176" s="139">
        <f t="shared" si="188"/>
        <v>0</v>
      </c>
      <c r="FD176" s="139">
        <f t="shared" si="189"/>
        <v>0</v>
      </c>
      <c r="FE176" s="139">
        <f t="shared" si="190"/>
        <v>0</v>
      </c>
      <c r="FF176" s="139">
        <f t="shared" si="191"/>
        <v>0</v>
      </c>
      <c r="FG176" s="139">
        <f t="shared" si="192"/>
        <v>0</v>
      </c>
      <c r="FH176" s="139">
        <f t="shared" si="193"/>
        <v>0</v>
      </c>
      <c r="FI176" s="139">
        <f t="shared" si="194"/>
        <v>0</v>
      </c>
      <c r="FJ176" s="139">
        <f t="shared" si="195"/>
        <v>0</v>
      </c>
      <c r="FK176" s="139">
        <f t="shared" si="196"/>
        <v>0</v>
      </c>
      <c r="FL176" s="139">
        <f t="shared" si="197"/>
        <v>0</v>
      </c>
      <c r="FM176" s="139">
        <f t="shared" si="198"/>
        <v>0</v>
      </c>
      <c r="FN176" s="139">
        <f t="shared" si="199"/>
        <v>0</v>
      </c>
      <c r="FO176" s="139">
        <f t="shared" si="200"/>
        <v>0</v>
      </c>
      <c r="FP176" s="139">
        <f t="shared" si="201"/>
        <v>0</v>
      </c>
      <c r="FQ176" s="139">
        <f t="shared" si="202"/>
        <v>0.7959246608349223</v>
      </c>
      <c r="FR176" s="139">
        <f t="shared" si="203"/>
        <v>0</v>
      </c>
      <c r="FS176" s="139">
        <f t="shared" si="204"/>
        <v>0</v>
      </c>
      <c r="FT176" s="139">
        <f t="shared" si="205"/>
        <v>0.88903186241948107</v>
      </c>
      <c r="FU176" s="148">
        <f t="shared" si="206"/>
        <v>1.6849565232544035</v>
      </c>
      <c r="FV176" s="149"/>
      <c r="FY176" s="210">
        <v>171</v>
      </c>
      <c r="FZ176" s="205"/>
      <c r="GA176" s="205"/>
      <c r="GB176" s="205"/>
      <c r="GC176" s="205"/>
      <c r="GD176" s="205"/>
      <c r="GE176" s="205"/>
      <c r="GF176" s="205"/>
      <c r="GG176" s="205"/>
      <c r="GH176" s="205"/>
      <c r="GI176" s="205"/>
      <c r="GJ176" s="205"/>
      <c r="GK176" s="205"/>
      <c r="GL176" s="205"/>
      <c r="GM176" s="205"/>
    </row>
    <row r="177" spans="1:195" s="7" customFormat="1">
      <c r="A177" s="1"/>
      <c r="B177" s="76">
        <f t="shared" ca="1" si="171"/>
        <v>0.78667168371022544</v>
      </c>
      <c r="C177">
        <v>7</v>
      </c>
      <c r="D177">
        <v>39949</v>
      </c>
      <c r="E177">
        <v>0</v>
      </c>
      <c r="F177">
        <v>0</v>
      </c>
      <c r="G177">
        <v>0</v>
      </c>
      <c r="H177">
        <v>10.416666666666666</v>
      </c>
      <c r="I177">
        <v>0</v>
      </c>
      <c r="J177">
        <v>0</v>
      </c>
      <c r="K177">
        <v>0</v>
      </c>
      <c r="L177">
        <v>0</v>
      </c>
      <c r="M177">
        <v>10.416666666666666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/>
      <c r="AO177"/>
      <c r="AP177"/>
      <c r="AQ177"/>
      <c r="AR177"/>
      <c r="AS177"/>
      <c r="AT177"/>
      <c r="AU177"/>
      <c r="AV177"/>
      <c r="AW177"/>
      <c r="AX177" s="146"/>
      <c r="AY177" s="76">
        <f t="shared" ca="1" si="172"/>
        <v>0.39604237684350041</v>
      </c>
      <c r="AZ177">
        <v>10</v>
      </c>
      <c r="BA177" s="129">
        <f t="shared" si="246"/>
        <v>39949</v>
      </c>
      <c r="BB177">
        <v>0</v>
      </c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 s="147"/>
      <c r="CH177" s="176"/>
      <c r="CJ177" s="146"/>
      <c r="CK177" s="76">
        <f t="shared" ca="1" si="207"/>
        <v>0.29434886400211813</v>
      </c>
      <c r="CL177" s="179">
        <f t="shared" si="208"/>
        <v>10</v>
      </c>
      <c r="CM177" s="180">
        <f t="shared" si="209"/>
        <v>39949</v>
      </c>
      <c r="CN177">
        <v>0</v>
      </c>
      <c r="CO177"/>
      <c r="CP177"/>
      <c r="CQ177"/>
      <c r="CR177"/>
      <c r="CS177"/>
      <c r="CT177"/>
      <c r="CU177"/>
      <c r="CV177" s="160"/>
      <c r="CW177">
        <v>1</v>
      </c>
      <c r="CX177">
        <f>500/87</f>
        <v>5.7471264367816088</v>
      </c>
      <c r="CY177" s="165"/>
      <c r="CZ177" s="177">
        <f t="shared" si="210"/>
        <v>9.6000000000000002E-2</v>
      </c>
      <c r="DB177" s="146"/>
      <c r="DC177" s="76">
        <f t="shared" ca="1" si="173"/>
        <v>8.7456808911645645E-2</v>
      </c>
      <c r="DD177">
        <f t="shared" si="211"/>
        <v>10</v>
      </c>
      <c r="DE177" s="129">
        <f t="shared" si="245"/>
        <v>39949</v>
      </c>
      <c r="DF177" s="161">
        <f t="shared" si="212"/>
        <v>0</v>
      </c>
      <c r="DG177" s="161">
        <f t="shared" si="213"/>
        <v>0</v>
      </c>
      <c r="DH177" s="161">
        <f t="shared" si="214"/>
        <v>0</v>
      </c>
      <c r="DI177" s="161">
        <f t="shared" si="215"/>
        <v>0</v>
      </c>
      <c r="DJ177" s="161">
        <f t="shared" si="216"/>
        <v>0</v>
      </c>
      <c r="DK177" s="161">
        <f t="shared" si="217"/>
        <v>0</v>
      </c>
      <c r="DL177" s="161">
        <f t="shared" si="218"/>
        <v>0</v>
      </c>
      <c r="DM177" s="161">
        <f t="shared" si="219"/>
        <v>0</v>
      </c>
      <c r="DN177" s="161">
        <f t="shared" si="220"/>
        <v>0</v>
      </c>
      <c r="DO177" s="161">
        <f t="shared" si="221"/>
        <v>0</v>
      </c>
      <c r="DP177" s="161">
        <f t="shared" si="222"/>
        <v>0</v>
      </c>
      <c r="DQ177" s="161">
        <f t="shared" si="223"/>
        <v>0</v>
      </c>
      <c r="DR177" s="161">
        <f t="shared" si="224"/>
        <v>0</v>
      </c>
      <c r="DS177" s="161">
        <f t="shared" si="225"/>
        <v>0</v>
      </c>
      <c r="DT177" s="161">
        <f t="shared" si="226"/>
        <v>0</v>
      </c>
      <c r="DU177" s="161">
        <f t="shared" si="227"/>
        <v>0</v>
      </c>
      <c r="DV177" s="161">
        <f t="shared" si="228"/>
        <v>0</v>
      </c>
      <c r="DW177" s="161">
        <f t="shared" si="229"/>
        <v>0</v>
      </c>
      <c r="DX177" s="161">
        <f t="shared" si="230"/>
        <v>0</v>
      </c>
      <c r="DY177" s="161">
        <f t="shared" si="231"/>
        <v>0</v>
      </c>
      <c r="DZ177" s="161">
        <f t="shared" si="232"/>
        <v>0</v>
      </c>
      <c r="EA177" s="161">
        <f t="shared" si="233"/>
        <v>0</v>
      </c>
      <c r="EB177" s="161">
        <f t="shared" si="234"/>
        <v>0</v>
      </c>
      <c r="EC177" s="161">
        <f t="shared" si="235"/>
        <v>0</v>
      </c>
      <c r="ED177" s="161">
        <f t="shared" si="236"/>
        <v>0</v>
      </c>
      <c r="EE177" s="161">
        <f t="shared" si="237"/>
        <v>0</v>
      </c>
      <c r="EF177" s="161">
        <f t="shared" si="238"/>
        <v>0</v>
      </c>
      <c r="EG177" s="161">
        <f t="shared" si="239"/>
        <v>0</v>
      </c>
      <c r="EH177" s="161">
        <f t="shared" si="240"/>
        <v>0</v>
      </c>
      <c r="EI177" s="161">
        <f t="shared" si="241"/>
        <v>0</v>
      </c>
      <c r="EJ177" s="161">
        <f t="shared" si="242"/>
        <v>0</v>
      </c>
      <c r="EK177" s="147">
        <f t="shared" si="174"/>
        <v>0</v>
      </c>
      <c r="EL177" s="149"/>
      <c r="EN177" s="146"/>
      <c r="EO177" s="146"/>
      <c r="EP177" s="139">
        <f t="shared" si="175"/>
        <v>0</v>
      </c>
      <c r="EQ177" s="139">
        <f t="shared" si="176"/>
        <v>0</v>
      </c>
      <c r="ER177" s="139">
        <f t="shared" si="177"/>
        <v>0</v>
      </c>
      <c r="ES177" s="139">
        <f t="shared" si="178"/>
        <v>0</v>
      </c>
      <c r="ET177" s="139">
        <f t="shared" si="179"/>
        <v>0</v>
      </c>
      <c r="EU177" s="139">
        <f t="shared" si="180"/>
        <v>0</v>
      </c>
      <c r="EV177" s="139">
        <f t="shared" si="181"/>
        <v>0</v>
      </c>
      <c r="EW177" s="139">
        <f t="shared" si="182"/>
        <v>0</v>
      </c>
      <c r="EX177" s="139">
        <f t="shared" si="183"/>
        <v>0</v>
      </c>
      <c r="EY177" s="139">
        <f t="shared" si="184"/>
        <v>0</v>
      </c>
      <c r="EZ177" s="139">
        <f t="shared" si="185"/>
        <v>0</v>
      </c>
      <c r="FA177" s="139">
        <f t="shared" si="186"/>
        <v>0</v>
      </c>
      <c r="FB177" s="139">
        <f t="shared" si="187"/>
        <v>0</v>
      </c>
      <c r="FC177" s="139">
        <f t="shared" si="188"/>
        <v>0</v>
      </c>
      <c r="FD177" s="139">
        <f t="shared" si="189"/>
        <v>0</v>
      </c>
      <c r="FE177" s="139">
        <f t="shared" si="190"/>
        <v>0</v>
      </c>
      <c r="FF177" s="139">
        <f t="shared" si="191"/>
        <v>0</v>
      </c>
      <c r="FG177" s="139">
        <f t="shared" si="192"/>
        <v>0</v>
      </c>
      <c r="FH177" s="139">
        <f t="shared" si="193"/>
        <v>0</v>
      </c>
      <c r="FI177" s="139">
        <f t="shared" si="194"/>
        <v>0</v>
      </c>
      <c r="FJ177" s="139">
        <f t="shared" si="195"/>
        <v>0</v>
      </c>
      <c r="FK177" s="139">
        <f t="shared" si="196"/>
        <v>0</v>
      </c>
      <c r="FL177" s="139">
        <f t="shared" si="197"/>
        <v>0</v>
      </c>
      <c r="FM177" s="139">
        <f t="shared" si="198"/>
        <v>0</v>
      </c>
      <c r="FN177" s="139">
        <f t="shared" si="199"/>
        <v>0</v>
      </c>
      <c r="FO177" s="139">
        <f t="shared" si="200"/>
        <v>0</v>
      </c>
      <c r="FP177" s="139">
        <f t="shared" si="201"/>
        <v>0</v>
      </c>
      <c r="FQ177" s="139">
        <f t="shared" si="202"/>
        <v>0</v>
      </c>
      <c r="FR177" s="139">
        <f t="shared" si="203"/>
        <v>0</v>
      </c>
      <c r="FS177" s="139">
        <f t="shared" si="204"/>
        <v>0</v>
      </c>
      <c r="FT177" s="139">
        <f t="shared" si="205"/>
        <v>0</v>
      </c>
      <c r="FU177" s="148">
        <f t="shared" si="206"/>
        <v>0</v>
      </c>
      <c r="FV177" s="149"/>
      <c r="FY177" s="210">
        <v>172</v>
      </c>
      <c r="FZ177" s="205"/>
      <c r="GA177" s="205"/>
      <c r="GB177" s="205"/>
      <c r="GC177" s="205"/>
      <c r="GD177" s="205"/>
      <c r="GE177" s="205"/>
      <c r="GF177" s="205"/>
      <c r="GG177" s="205"/>
      <c r="GH177" s="205"/>
      <c r="GI177" s="205"/>
      <c r="GJ177" s="205"/>
      <c r="GK177" s="205"/>
      <c r="GL177" s="205"/>
      <c r="GM177" s="205"/>
    </row>
    <row r="178" spans="1:195" s="7" customFormat="1">
      <c r="A178" s="128"/>
      <c r="B178" s="76">
        <f t="shared" ca="1" si="171"/>
        <v>0.99576228365418573</v>
      </c>
      <c r="C178">
        <v>6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/>
      <c r="AO178"/>
      <c r="AP178"/>
      <c r="AQ178"/>
      <c r="AR178"/>
      <c r="AS178"/>
      <c r="AT178"/>
      <c r="AU178"/>
      <c r="AV178"/>
      <c r="AW178"/>
      <c r="AX178" s="128"/>
      <c r="AY178" s="76">
        <f t="shared" ca="1" si="172"/>
        <v>0.33417153541186995</v>
      </c>
      <c r="AZ178">
        <v>1</v>
      </c>
      <c r="BA178" s="129">
        <f>IF(AZ178="", "",$C$13)</f>
        <v>39987</v>
      </c>
      <c r="BB178">
        <v>0</v>
      </c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 s="147"/>
      <c r="CH178" s="176"/>
      <c r="CJ178" s="128"/>
      <c r="CK178" s="76">
        <f t="shared" ca="1" si="207"/>
        <v>0.99541347962214921</v>
      </c>
      <c r="CL178" s="179">
        <f t="shared" si="208"/>
        <v>1</v>
      </c>
      <c r="CM178" s="180">
        <f t="shared" si="209"/>
        <v>39987</v>
      </c>
      <c r="CN178">
        <v>0</v>
      </c>
      <c r="CO178"/>
      <c r="CP178"/>
      <c r="CQ178"/>
      <c r="CR178"/>
      <c r="CS178"/>
      <c r="CT178"/>
      <c r="CU178"/>
      <c r="CV178" s="160"/>
      <c r="CW178">
        <v>1</v>
      </c>
      <c r="CX178">
        <f>350/47</f>
        <v>7.4468085106382977</v>
      </c>
      <c r="CY178" s="160"/>
      <c r="CZ178" s="177">
        <f t="shared" si="210"/>
        <v>9.6000000000000002E-2</v>
      </c>
      <c r="DB178" s="128"/>
      <c r="DC178" s="76">
        <f t="shared" ca="1" si="173"/>
        <v>0.24830760436201427</v>
      </c>
      <c r="DD178">
        <f t="shared" si="211"/>
        <v>1</v>
      </c>
      <c r="DE178" s="129">
        <f t="shared" ref="DE178:DE187" si="247">IF((DD178)="", "", $C$13)</f>
        <v>39987</v>
      </c>
      <c r="DF178" s="161">
        <f t="shared" si="212"/>
        <v>0</v>
      </c>
      <c r="DG178" s="161">
        <f t="shared" si="213"/>
        <v>0</v>
      </c>
      <c r="DH178" s="161">
        <f t="shared" si="214"/>
        <v>0</v>
      </c>
      <c r="DI178" s="161">
        <f t="shared" si="215"/>
        <v>0</v>
      </c>
      <c r="DJ178" s="161">
        <f t="shared" si="216"/>
        <v>0</v>
      </c>
      <c r="DK178" s="161">
        <f t="shared" si="217"/>
        <v>0</v>
      </c>
      <c r="DL178" s="161">
        <f t="shared" si="218"/>
        <v>0</v>
      </c>
      <c r="DM178" s="161">
        <f t="shared" si="219"/>
        <v>0</v>
      </c>
      <c r="DN178" s="161">
        <f t="shared" si="220"/>
        <v>0</v>
      </c>
      <c r="DO178" s="161">
        <f t="shared" si="221"/>
        <v>0</v>
      </c>
      <c r="DP178" s="161">
        <f t="shared" si="222"/>
        <v>0</v>
      </c>
      <c r="DQ178" s="161">
        <f t="shared" si="223"/>
        <v>0</v>
      </c>
      <c r="DR178" s="161">
        <f t="shared" si="224"/>
        <v>0</v>
      </c>
      <c r="DS178" s="161">
        <f t="shared" si="225"/>
        <v>0</v>
      </c>
      <c r="DT178" s="161">
        <f t="shared" si="226"/>
        <v>0</v>
      </c>
      <c r="DU178" s="161">
        <f t="shared" si="227"/>
        <v>0</v>
      </c>
      <c r="DV178" s="161">
        <f t="shared" si="228"/>
        <v>0</v>
      </c>
      <c r="DW178" s="161">
        <f t="shared" si="229"/>
        <v>0</v>
      </c>
      <c r="DX178" s="161">
        <f t="shared" si="230"/>
        <v>0</v>
      </c>
      <c r="DY178" s="161">
        <f t="shared" si="231"/>
        <v>0</v>
      </c>
      <c r="DZ178" s="161">
        <f t="shared" si="232"/>
        <v>0</v>
      </c>
      <c r="EA178" s="161">
        <f t="shared" si="233"/>
        <v>0</v>
      </c>
      <c r="EB178" s="161">
        <f t="shared" si="234"/>
        <v>0</v>
      </c>
      <c r="EC178" s="161">
        <f t="shared" si="235"/>
        <v>0</v>
      </c>
      <c r="ED178" s="161">
        <f t="shared" si="236"/>
        <v>0</v>
      </c>
      <c r="EE178" s="161">
        <f t="shared" si="237"/>
        <v>0</v>
      </c>
      <c r="EF178" s="161">
        <f t="shared" si="238"/>
        <v>0</v>
      </c>
      <c r="EG178" s="161">
        <f t="shared" si="239"/>
        <v>0</v>
      </c>
      <c r="EH178" s="161">
        <f t="shared" si="240"/>
        <v>0</v>
      </c>
      <c r="EI178" s="161">
        <f t="shared" si="241"/>
        <v>0</v>
      </c>
      <c r="EJ178" s="161">
        <f t="shared" si="242"/>
        <v>0</v>
      </c>
      <c r="EK178" s="147">
        <f t="shared" si="174"/>
        <v>0</v>
      </c>
      <c r="EL178" s="149"/>
      <c r="EN178" s="146"/>
      <c r="EO178" s="146"/>
      <c r="EP178" s="139">
        <f t="shared" si="175"/>
        <v>0</v>
      </c>
      <c r="EQ178" s="139">
        <f t="shared" si="176"/>
        <v>0</v>
      </c>
      <c r="ER178" s="139">
        <f t="shared" si="177"/>
        <v>0</v>
      </c>
      <c r="ES178" s="139">
        <f t="shared" si="178"/>
        <v>0</v>
      </c>
      <c r="ET178" s="139">
        <f t="shared" si="179"/>
        <v>0</v>
      </c>
      <c r="EU178" s="139">
        <f t="shared" si="180"/>
        <v>0</v>
      </c>
      <c r="EV178" s="139">
        <f t="shared" si="181"/>
        <v>0</v>
      </c>
      <c r="EW178" s="139">
        <f t="shared" si="182"/>
        <v>0</v>
      </c>
      <c r="EX178" s="139">
        <f t="shared" si="183"/>
        <v>0</v>
      </c>
      <c r="EY178" s="139">
        <f t="shared" si="184"/>
        <v>0</v>
      </c>
      <c r="EZ178" s="139">
        <f t="shared" si="185"/>
        <v>0</v>
      </c>
      <c r="FA178" s="139">
        <f t="shared" si="186"/>
        <v>0</v>
      </c>
      <c r="FB178" s="139">
        <f t="shared" si="187"/>
        <v>0</v>
      </c>
      <c r="FC178" s="139">
        <f t="shared" si="188"/>
        <v>0</v>
      </c>
      <c r="FD178" s="139">
        <f t="shared" si="189"/>
        <v>0</v>
      </c>
      <c r="FE178" s="139">
        <f t="shared" si="190"/>
        <v>0</v>
      </c>
      <c r="FF178" s="139">
        <f t="shared" si="191"/>
        <v>0</v>
      </c>
      <c r="FG178" s="139">
        <f t="shared" si="192"/>
        <v>0</v>
      </c>
      <c r="FH178" s="139">
        <f t="shared" si="193"/>
        <v>0</v>
      </c>
      <c r="FI178" s="139">
        <f t="shared" si="194"/>
        <v>0</v>
      </c>
      <c r="FJ178" s="139">
        <f t="shared" si="195"/>
        <v>0</v>
      </c>
      <c r="FK178" s="139">
        <f t="shared" si="196"/>
        <v>0</v>
      </c>
      <c r="FL178" s="139">
        <f t="shared" si="197"/>
        <v>0</v>
      </c>
      <c r="FM178" s="139">
        <f t="shared" si="198"/>
        <v>0</v>
      </c>
      <c r="FN178" s="139">
        <f t="shared" si="199"/>
        <v>0</v>
      </c>
      <c r="FO178" s="139">
        <f t="shared" si="200"/>
        <v>0</v>
      </c>
      <c r="FP178" s="139">
        <f t="shared" si="201"/>
        <v>0</v>
      </c>
      <c r="FQ178" s="139">
        <f t="shared" si="202"/>
        <v>0</v>
      </c>
      <c r="FR178" s="139">
        <f t="shared" si="203"/>
        <v>0</v>
      </c>
      <c r="FS178" s="139">
        <f t="shared" si="204"/>
        <v>0</v>
      </c>
      <c r="FT178" s="139">
        <f t="shared" si="205"/>
        <v>0</v>
      </c>
      <c r="FU178" s="148">
        <f t="shared" si="206"/>
        <v>0</v>
      </c>
      <c r="FV178" s="149"/>
      <c r="FY178" s="210">
        <v>173</v>
      </c>
      <c r="FZ178" s="205"/>
      <c r="GA178" s="205"/>
      <c r="GB178" s="205"/>
      <c r="GC178" s="205"/>
      <c r="GD178" s="205"/>
      <c r="GE178" s="205"/>
      <c r="GF178" s="205"/>
      <c r="GG178" s="205"/>
      <c r="GH178" s="205"/>
      <c r="GI178" s="205"/>
      <c r="GJ178" s="205"/>
      <c r="GK178" s="205"/>
      <c r="GL178" s="205"/>
      <c r="GM178" s="205"/>
    </row>
    <row r="179" spans="1:195" s="7" customFormat="1">
      <c r="A179" s="1"/>
      <c r="B179" s="76">
        <f t="shared" ca="1" si="171"/>
        <v>0.17842931838553788</v>
      </c>
      <c r="C179">
        <v>3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10.416666666666666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/>
      <c r="AO179"/>
      <c r="AP179"/>
      <c r="AQ179"/>
      <c r="AR179"/>
      <c r="AS179"/>
      <c r="AT179"/>
      <c r="AU179"/>
      <c r="AV179"/>
      <c r="AW179"/>
      <c r="AX179" s="146"/>
      <c r="AY179" s="76">
        <f t="shared" ca="1" si="172"/>
        <v>9.7128279753603941E-2</v>
      </c>
      <c r="AZ179">
        <v>2</v>
      </c>
      <c r="BA179" s="129">
        <f t="shared" ref="BA179:BA187" si="248">IF(AZ179="", "",$C$13)</f>
        <v>39987</v>
      </c>
      <c r="BB179">
        <v>0</v>
      </c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 s="147"/>
      <c r="CH179" s="176"/>
      <c r="CJ179" s="146"/>
      <c r="CK179" s="76">
        <f t="shared" ca="1" si="207"/>
        <v>0.92543301076035833</v>
      </c>
      <c r="CL179" s="179">
        <f t="shared" si="208"/>
        <v>2</v>
      </c>
      <c r="CM179" s="180">
        <f t="shared" si="209"/>
        <v>39987</v>
      </c>
      <c r="CN179">
        <v>0</v>
      </c>
      <c r="CO179"/>
      <c r="CP179"/>
      <c r="CQ179"/>
      <c r="CR179"/>
      <c r="CS179"/>
      <c r="CT179"/>
      <c r="CU179"/>
      <c r="CV179" s="160"/>
      <c r="CW179">
        <v>1</v>
      </c>
      <c r="CX179">
        <f>355/64</f>
        <v>5.546875</v>
      </c>
      <c r="CY179" s="160"/>
      <c r="CZ179" s="177">
        <f t="shared" si="210"/>
        <v>9.6000000000000002E-2</v>
      </c>
      <c r="DB179" s="146"/>
      <c r="DC179" s="76">
        <f t="shared" ca="1" si="173"/>
        <v>0.93292222875075326</v>
      </c>
      <c r="DD179">
        <f t="shared" si="211"/>
        <v>2</v>
      </c>
      <c r="DE179" s="129">
        <f t="shared" si="247"/>
        <v>39987</v>
      </c>
      <c r="DF179" s="161">
        <f t="shared" si="212"/>
        <v>0</v>
      </c>
      <c r="DG179" s="161">
        <f t="shared" si="213"/>
        <v>0</v>
      </c>
      <c r="DH179" s="161">
        <f t="shared" si="214"/>
        <v>0</v>
      </c>
      <c r="DI179" s="161">
        <f t="shared" si="215"/>
        <v>0</v>
      </c>
      <c r="DJ179" s="161">
        <f t="shared" si="216"/>
        <v>0</v>
      </c>
      <c r="DK179" s="161">
        <f t="shared" si="217"/>
        <v>0</v>
      </c>
      <c r="DL179" s="161">
        <f t="shared" si="218"/>
        <v>0</v>
      </c>
      <c r="DM179" s="161">
        <f t="shared" si="219"/>
        <v>0</v>
      </c>
      <c r="DN179" s="161">
        <f t="shared" si="220"/>
        <v>0</v>
      </c>
      <c r="DO179" s="161">
        <f t="shared" si="221"/>
        <v>0</v>
      </c>
      <c r="DP179" s="161">
        <f t="shared" si="222"/>
        <v>0</v>
      </c>
      <c r="DQ179" s="161">
        <f t="shared" si="223"/>
        <v>0</v>
      </c>
      <c r="DR179" s="161">
        <f t="shared" si="224"/>
        <v>0</v>
      </c>
      <c r="DS179" s="161">
        <f t="shared" si="225"/>
        <v>0</v>
      </c>
      <c r="DT179" s="161">
        <f t="shared" si="226"/>
        <v>0</v>
      </c>
      <c r="DU179" s="161">
        <f t="shared" si="227"/>
        <v>0</v>
      </c>
      <c r="DV179" s="161">
        <f t="shared" si="228"/>
        <v>0</v>
      </c>
      <c r="DW179" s="161">
        <f t="shared" si="229"/>
        <v>0</v>
      </c>
      <c r="DX179" s="161">
        <f t="shared" si="230"/>
        <v>0</v>
      </c>
      <c r="DY179" s="161">
        <f t="shared" si="231"/>
        <v>0</v>
      </c>
      <c r="DZ179" s="161">
        <f t="shared" si="232"/>
        <v>0</v>
      </c>
      <c r="EA179" s="161">
        <f t="shared" si="233"/>
        <v>0</v>
      </c>
      <c r="EB179" s="161">
        <f t="shared" si="234"/>
        <v>0</v>
      </c>
      <c r="EC179" s="161">
        <f t="shared" si="235"/>
        <v>0</v>
      </c>
      <c r="ED179" s="161">
        <f t="shared" si="236"/>
        <v>0</v>
      </c>
      <c r="EE179" s="161">
        <f t="shared" si="237"/>
        <v>0</v>
      </c>
      <c r="EF179" s="161">
        <f t="shared" si="238"/>
        <v>0</v>
      </c>
      <c r="EG179" s="161">
        <f t="shared" si="239"/>
        <v>0</v>
      </c>
      <c r="EH179" s="161">
        <f t="shared" si="240"/>
        <v>0</v>
      </c>
      <c r="EI179" s="161">
        <f t="shared" si="241"/>
        <v>0</v>
      </c>
      <c r="EJ179" s="161">
        <f t="shared" si="242"/>
        <v>0</v>
      </c>
      <c r="EK179" s="147">
        <f t="shared" si="174"/>
        <v>0</v>
      </c>
      <c r="EL179" s="149"/>
      <c r="EN179" s="146"/>
      <c r="EO179" s="146"/>
      <c r="EP179" s="139">
        <f t="shared" si="175"/>
        <v>0</v>
      </c>
      <c r="EQ179" s="139">
        <f t="shared" si="176"/>
        <v>0</v>
      </c>
      <c r="ER179" s="139">
        <f t="shared" si="177"/>
        <v>0</v>
      </c>
      <c r="ES179" s="139">
        <f t="shared" si="178"/>
        <v>0</v>
      </c>
      <c r="ET179" s="139">
        <f t="shared" si="179"/>
        <v>0</v>
      </c>
      <c r="EU179" s="139">
        <f t="shared" si="180"/>
        <v>0</v>
      </c>
      <c r="EV179" s="139">
        <f t="shared" si="181"/>
        <v>0</v>
      </c>
      <c r="EW179" s="139">
        <f t="shared" si="182"/>
        <v>0</v>
      </c>
      <c r="EX179" s="139">
        <f t="shared" si="183"/>
        <v>0</v>
      </c>
      <c r="EY179" s="139">
        <f t="shared" si="184"/>
        <v>0</v>
      </c>
      <c r="EZ179" s="139">
        <f t="shared" si="185"/>
        <v>0</v>
      </c>
      <c r="FA179" s="139">
        <f t="shared" si="186"/>
        <v>0</v>
      </c>
      <c r="FB179" s="139">
        <f t="shared" si="187"/>
        <v>0</v>
      </c>
      <c r="FC179" s="139">
        <f t="shared" si="188"/>
        <v>0</v>
      </c>
      <c r="FD179" s="139">
        <f t="shared" si="189"/>
        <v>0</v>
      </c>
      <c r="FE179" s="139">
        <f t="shared" si="190"/>
        <v>0</v>
      </c>
      <c r="FF179" s="139">
        <f t="shared" si="191"/>
        <v>0</v>
      </c>
      <c r="FG179" s="139">
        <f t="shared" si="192"/>
        <v>0</v>
      </c>
      <c r="FH179" s="139">
        <f t="shared" si="193"/>
        <v>0</v>
      </c>
      <c r="FI179" s="139">
        <f t="shared" si="194"/>
        <v>0</v>
      </c>
      <c r="FJ179" s="139">
        <f t="shared" si="195"/>
        <v>0</v>
      </c>
      <c r="FK179" s="139">
        <f t="shared" si="196"/>
        <v>0</v>
      </c>
      <c r="FL179" s="139">
        <f t="shared" si="197"/>
        <v>0</v>
      </c>
      <c r="FM179" s="139">
        <f t="shared" si="198"/>
        <v>0</v>
      </c>
      <c r="FN179" s="139">
        <f t="shared" si="199"/>
        <v>0</v>
      </c>
      <c r="FO179" s="139">
        <f t="shared" si="200"/>
        <v>0</v>
      </c>
      <c r="FP179" s="139">
        <f t="shared" si="201"/>
        <v>0</v>
      </c>
      <c r="FQ179" s="139">
        <f t="shared" si="202"/>
        <v>0</v>
      </c>
      <c r="FR179" s="139">
        <f t="shared" si="203"/>
        <v>0</v>
      </c>
      <c r="FS179" s="139">
        <f t="shared" si="204"/>
        <v>0</v>
      </c>
      <c r="FT179" s="139">
        <f t="shared" si="205"/>
        <v>0</v>
      </c>
      <c r="FU179" s="148">
        <f t="shared" si="206"/>
        <v>0</v>
      </c>
      <c r="FV179" s="149"/>
      <c r="FY179" s="210">
        <v>174</v>
      </c>
      <c r="FZ179" s="205"/>
      <c r="GA179" s="205"/>
      <c r="GB179" s="205"/>
      <c r="GC179" s="205"/>
      <c r="GD179" s="205"/>
      <c r="GE179" s="205"/>
      <c r="GF179" s="205"/>
      <c r="GG179" s="205"/>
      <c r="GH179" s="205"/>
      <c r="GI179" s="205"/>
      <c r="GJ179" s="205"/>
      <c r="GK179" s="205"/>
      <c r="GL179" s="205"/>
      <c r="GM179" s="205"/>
    </row>
    <row r="180" spans="1:195" s="7" customFormat="1">
      <c r="A180" s="1"/>
      <c r="B180" s="76">
        <f t="shared" ca="1" si="171"/>
        <v>0.99043846673878466</v>
      </c>
      <c r="C180">
        <v>1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/>
      <c r="AO180"/>
      <c r="AP180"/>
      <c r="AQ180"/>
      <c r="AR180"/>
      <c r="AS180"/>
      <c r="AT180"/>
      <c r="AU180"/>
      <c r="AV180"/>
      <c r="AW180"/>
      <c r="AX180" s="146"/>
      <c r="AY180" s="76">
        <f t="shared" ca="1" si="172"/>
        <v>0.78858351570307317</v>
      </c>
      <c r="AZ180">
        <v>3</v>
      </c>
      <c r="BA180" s="129">
        <f t="shared" si="248"/>
        <v>39987</v>
      </c>
      <c r="BB180">
        <v>0</v>
      </c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 s="147"/>
      <c r="CH180" s="176"/>
      <c r="CJ180" s="146"/>
      <c r="CK180" s="76">
        <f t="shared" ca="1" si="207"/>
        <v>0.35820536651988477</v>
      </c>
      <c r="CL180" s="179">
        <f t="shared" si="208"/>
        <v>3</v>
      </c>
      <c r="CM180" s="180">
        <f t="shared" si="209"/>
        <v>39987</v>
      </c>
      <c r="CN180">
        <v>0</v>
      </c>
      <c r="CO180"/>
      <c r="CP180"/>
      <c r="CQ180"/>
      <c r="CR180"/>
      <c r="CS180"/>
      <c r="CT180"/>
      <c r="CU180"/>
      <c r="CV180" s="160"/>
      <c r="CW180">
        <v>1</v>
      </c>
      <c r="CX180">
        <f>350/54</f>
        <v>6.4814814814814818</v>
      </c>
      <c r="CY180" s="160"/>
      <c r="CZ180" s="177">
        <f t="shared" si="210"/>
        <v>9.6000000000000002E-2</v>
      </c>
      <c r="DB180" s="146"/>
      <c r="DC180" s="76">
        <f t="shared" ca="1" si="173"/>
        <v>0.69118085653940997</v>
      </c>
      <c r="DD180">
        <f t="shared" si="211"/>
        <v>3</v>
      </c>
      <c r="DE180" s="129">
        <f t="shared" si="247"/>
        <v>39987</v>
      </c>
      <c r="DF180" s="161">
        <f t="shared" si="212"/>
        <v>0</v>
      </c>
      <c r="DG180" s="161">
        <f t="shared" si="213"/>
        <v>0</v>
      </c>
      <c r="DH180" s="161">
        <f t="shared" si="214"/>
        <v>0</v>
      </c>
      <c r="DI180" s="161">
        <f t="shared" si="215"/>
        <v>0</v>
      </c>
      <c r="DJ180" s="161">
        <f t="shared" si="216"/>
        <v>0</v>
      </c>
      <c r="DK180" s="161">
        <f t="shared" si="217"/>
        <v>0</v>
      </c>
      <c r="DL180" s="161">
        <f t="shared" si="218"/>
        <v>0</v>
      </c>
      <c r="DM180" s="161">
        <f t="shared" si="219"/>
        <v>0</v>
      </c>
      <c r="DN180" s="161">
        <f t="shared" si="220"/>
        <v>0</v>
      </c>
      <c r="DO180" s="161">
        <f t="shared" si="221"/>
        <v>0</v>
      </c>
      <c r="DP180" s="161">
        <f t="shared" si="222"/>
        <v>0</v>
      </c>
      <c r="DQ180" s="161">
        <f t="shared" si="223"/>
        <v>0</v>
      </c>
      <c r="DR180" s="161">
        <f t="shared" si="224"/>
        <v>0</v>
      </c>
      <c r="DS180" s="161">
        <f t="shared" si="225"/>
        <v>0</v>
      </c>
      <c r="DT180" s="161">
        <f t="shared" si="226"/>
        <v>0</v>
      </c>
      <c r="DU180" s="161">
        <f t="shared" si="227"/>
        <v>0</v>
      </c>
      <c r="DV180" s="161">
        <f t="shared" si="228"/>
        <v>0</v>
      </c>
      <c r="DW180" s="161">
        <f t="shared" si="229"/>
        <v>0</v>
      </c>
      <c r="DX180" s="161">
        <f t="shared" si="230"/>
        <v>0</v>
      </c>
      <c r="DY180" s="161">
        <f t="shared" si="231"/>
        <v>0</v>
      </c>
      <c r="DZ180" s="161">
        <f t="shared" si="232"/>
        <v>0</v>
      </c>
      <c r="EA180" s="161">
        <f t="shared" si="233"/>
        <v>0</v>
      </c>
      <c r="EB180" s="161">
        <f t="shared" si="234"/>
        <v>0</v>
      </c>
      <c r="EC180" s="161">
        <f t="shared" si="235"/>
        <v>0</v>
      </c>
      <c r="ED180" s="161">
        <f t="shared" si="236"/>
        <v>0</v>
      </c>
      <c r="EE180" s="161">
        <f t="shared" si="237"/>
        <v>0</v>
      </c>
      <c r="EF180" s="161">
        <f t="shared" si="238"/>
        <v>0</v>
      </c>
      <c r="EG180" s="161">
        <f t="shared" si="239"/>
        <v>0</v>
      </c>
      <c r="EH180" s="161">
        <f t="shared" si="240"/>
        <v>0</v>
      </c>
      <c r="EI180" s="161">
        <f t="shared" si="241"/>
        <v>0</v>
      </c>
      <c r="EJ180" s="161">
        <f t="shared" si="242"/>
        <v>0</v>
      </c>
      <c r="EK180" s="147">
        <f t="shared" si="174"/>
        <v>0</v>
      </c>
      <c r="EL180" s="149"/>
      <c r="EN180" s="146"/>
      <c r="EO180" s="146"/>
      <c r="EP180" s="139">
        <f t="shared" si="175"/>
        <v>0</v>
      </c>
      <c r="EQ180" s="139">
        <f t="shared" si="176"/>
        <v>0</v>
      </c>
      <c r="ER180" s="139">
        <f t="shared" si="177"/>
        <v>0</v>
      </c>
      <c r="ES180" s="139">
        <f t="shared" si="178"/>
        <v>0</v>
      </c>
      <c r="ET180" s="139">
        <f t="shared" si="179"/>
        <v>0</v>
      </c>
      <c r="EU180" s="139">
        <f t="shared" si="180"/>
        <v>0</v>
      </c>
      <c r="EV180" s="139">
        <f t="shared" si="181"/>
        <v>0</v>
      </c>
      <c r="EW180" s="139">
        <f t="shared" si="182"/>
        <v>0</v>
      </c>
      <c r="EX180" s="139">
        <f t="shared" si="183"/>
        <v>0</v>
      </c>
      <c r="EY180" s="139">
        <f t="shared" si="184"/>
        <v>0</v>
      </c>
      <c r="EZ180" s="139">
        <f t="shared" si="185"/>
        <v>0</v>
      </c>
      <c r="FA180" s="139">
        <f t="shared" si="186"/>
        <v>0</v>
      </c>
      <c r="FB180" s="139">
        <f t="shared" si="187"/>
        <v>0</v>
      </c>
      <c r="FC180" s="139">
        <f t="shared" si="188"/>
        <v>0</v>
      </c>
      <c r="FD180" s="139">
        <f t="shared" si="189"/>
        <v>0</v>
      </c>
      <c r="FE180" s="139">
        <f t="shared" si="190"/>
        <v>0</v>
      </c>
      <c r="FF180" s="139">
        <f t="shared" si="191"/>
        <v>0</v>
      </c>
      <c r="FG180" s="139">
        <f t="shared" si="192"/>
        <v>0</v>
      </c>
      <c r="FH180" s="139">
        <f t="shared" si="193"/>
        <v>0</v>
      </c>
      <c r="FI180" s="139">
        <f t="shared" si="194"/>
        <v>0</v>
      </c>
      <c r="FJ180" s="139">
        <f t="shared" si="195"/>
        <v>0</v>
      </c>
      <c r="FK180" s="139">
        <f t="shared" si="196"/>
        <v>0</v>
      </c>
      <c r="FL180" s="139">
        <f t="shared" si="197"/>
        <v>0</v>
      </c>
      <c r="FM180" s="139">
        <f t="shared" si="198"/>
        <v>0</v>
      </c>
      <c r="FN180" s="139">
        <f t="shared" si="199"/>
        <v>0</v>
      </c>
      <c r="FO180" s="139">
        <f t="shared" si="200"/>
        <v>0</v>
      </c>
      <c r="FP180" s="139">
        <f t="shared" si="201"/>
        <v>0</v>
      </c>
      <c r="FQ180" s="139">
        <f t="shared" si="202"/>
        <v>0</v>
      </c>
      <c r="FR180" s="139">
        <f t="shared" si="203"/>
        <v>0</v>
      </c>
      <c r="FS180" s="139">
        <f t="shared" si="204"/>
        <v>0</v>
      </c>
      <c r="FT180" s="139">
        <f t="shared" si="205"/>
        <v>0</v>
      </c>
      <c r="FU180" s="148">
        <f t="shared" si="206"/>
        <v>0</v>
      </c>
      <c r="FV180" s="149"/>
      <c r="FY180" s="210">
        <v>175</v>
      </c>
      <c r="FZ180" s="205"/>
      <c r="GA180" s="205"/>
      <c r="GB180" s="205"/>
      <c r="GC180" s="205"/>
      <c r="GD180" s="205"/>
      <c r="GE180" s="205"/>
      <c r="GF180" s="205"/>
      <c r="GG180" s="205"/>
      <c r="GH180" s="205"/>
      <c r="GI180" s="205"/>
      <c r="GJ180" s="205"/>
      <c r="GK180" s="205"/>
      <c r="GL180" s="205"/>
      <c r="GM180" s="205"/>
    </row>
    <row r="181" spans="1:195" s="7" customFormat="1">
      <c r="A181" s="1"/>
      <c r="B181" s="76">
        <f t="shared" ca="1" si="171"/>
        <v>0.84371745328643577</v>
      </c>
      <c r="C181">
        <v>10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/>
      <c r="AO181"/>
      <c r="AP181"/>
      <c r="AQ181"/>
      <c r="AR181"/>
      <c r="AS181"/>
      <c r="AT181"/>
      <c r="AU181"/>
      <c r="AV181"/>
      <c r="AW181"/>
      <c r="AX181" s="146"/>
      <c r="AY181" s="76">
        <f t="shared" ca="1" si="172"/>
        <v>0.50639600114271488</v>
      </c>
      <c r="AZ181">
        <v>4</v>
      </c>
      <c r="BA181" s="129">
        <f t="shared" si="248"/>
        <v>39987</v>
      </c>
      <c r="BB181">
        <v>0</v>
      </c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 s="147"/>
      <c r="CH181" s="176"/>
      <c r="CJ181" s="146"/>
      <c r="CK181" s="76">
        <f t="shared" ca="1" si="207"/>
        <v>0.35437305402584363</v>
      </c>
      <c r="CL181" s="179">
        <f t="shared" si="208"/>
        <v>4</v>
      </c>
      <c r="CM181" s="180">
        <f t="shared" si="209"/>
        <v>39987</v>
      </c>
      <c r="CN181">
        <v>0</v>
      </c>
      <c r="CO181"/>
      <c r="CP181"/>
      <c r="CQ181"/>
      <c r="CR181"/>
      <c r="CS181"/>
      <c r="CT181"/>
      <c r="CU181"/>
      <c r="CV181" s="160"/>
      <c r="CW181">
        <v>1</v>
      </c>
      <c r="CX181">
        <f>350/41</f>
        <v>8.536585365853659</v>
      </c>
      <c r="CY181" s="160"/>
      <c r="CZ181" s="177">
        <f t="shared" si="210"/>
        <v>9.6000000000000002E-2</v>
      </c>
      <c r="DB181" s="146"/>
      <c r="DC181" s="76">
        <f t="shared" ca="1" si="173"/>
        <v>0.89204368345198759</v>
      </c>
      <c r="DD181">
        <f t="shared" si="211"/>
        <v>4</v>
      </c>
      <c r="DE181" s="129">
        <f t="shared" si="247"/>
        <v>39987</v>
      </c>
      <c r="DF181" s="161">
        <f t="shared" si="212"/>
        <v>0</v>
      </c>
      <c r="DG181" s="161">
        <f t="shared" si="213"/>
        <v>0</v>
      </c>
      <c r="DH181" s="161">
        <f t="shared" si="214"/>
        <v>0</v>
      </c>
      <c r="DI181" s="161">
        <f t="shared" si="215"/>
        <v>0</v>
      </c>
      <c r="DJ181" s="161">
        <f t="shared" si="216"/>
        <v>0</v>
      </c>
      <c r="DK181" s="161">
        <f t="shared" si="217"/>
        <v>0</v>
      </c>
      <c r="DL181" s="161">
        <f t="shared" si="218"/>
        <v>0</v>
      </c>
      <c r="DM181" s="161">
        <f t="shared" si="219"/>
        <v>0</v>
      </c>
      <c r="DN181" s="161">
        <f t="shared" si="220"/>
        <v>0</v>
      </c>
      <c r="DO181" s="161">
        <f t="shared" si="221"/>
        <v>0</v>
      </c>
      <c r="DP181" s="161">
        <f t="shared" si="222"/>
        <v>0</v>
      </c>
      <c r="DQ181" s="161">
        <f t="shared" si="223"/>
        <v>0</v>
      </c>
      <c r="DR181" s="161">
        <f t="shared" si="224"/>
        <v>0</v>
      </c>
      <c r="DS181" s="161">
        <f t="shared" si="225"/>
        <v>0</v>
      </c>
      <c r="DT181" s="161">
        <f t="shared" si="226"/>
        <v>0</v>
      </c>
      <c r="DU181" s="161">
        <f t="shared" si="227"/>
        <v>0</v>
      </c>
      <c r="DV181" s="161">
        <f t="shared" si="228"/>
        <v>0</v>
      </c>
      <c r="DW181" s="161">
        <f t="shared" si="229"/>
        <v>0</v>
      </c>
      <c r="DX181" s="161">
        <f t="shared" si="230"/>
        <v>0</v>
      </c>
      <c r="DY181" s="161">
        <f t="shared" si="231"/>
        <v>0</v>
      </c>
      <c r="DZ181" s="161">
        <f t="shared" si="232"/>
        <v>0</v>
      </c>
      <c r="EA181" s="161">
        <f t="shared" si="233"/>
        <v>0</v>
      </c>
      <c r="EB181" s="161">
        <f t="shared" si="234"/>
        <v>0</v>
      </c>
      <c r="EC181" s="161">
        <f t="shared" si="235"/>
        <v>0</v>
      </c>
      <c r="ED181" s="161">
        <f t="shared" si="236"/>
        <v>0</v>
      </c>
      <c r="EE181" s="161">
        <f t="shared" si="237"/>
        <v>0</v>
      </c>
      <c r="EF181" s="161">
        <f t="shared" si="238"/>
        <v>0</v>
      </c>
      <c r="EG181" s="161">
        <f t="shared" si="239"/>
        <v>0</v>
      </c>
      <c r="EH181" s="161">
        <f t="shared" si="240"/>
        <v>0</v>
      </c>
      <c r="EI181" s="161">
        <f t="shared" si="241"/>
        <v>0</v>
      </c>
      <c r="EJ181" s="161">
        <f t="shared" si="242"/>
        <v>0</v>
      </c>
      <c r="EK181" s="147">
        <f t="shared" si="174"/>
        <v>0</v>
      </c>
      <c r="EL181" s="149"/>
      <c r="EN181" s="146"/>
      <c r="EO181" s="146"/>
      <c r="EP181" s="139">
        <f t="shared" si="175"/>
        <v>0</v>
      </c>
      <c r="EQ181" s="139">
        <f t="shared" si="176"/>
        <v>0</v>
      </c>
      <c r="ER181" s="139">
        <f t="shared" si="177"/>
        <v>0</v>
      </c>
      <c r="ES181" s="139">
        <f t="shared" si="178"/>
        <v>0</v>
      </c>
      <c r="ET181" s="139">
        <f t="shared" si="179"/>
        <v>0</v>
      </c>
      <c r="EU181" s="139">
        <f t="shared" si="180"/>
        <v>0</v>
      </c>
      <c r="EV181" s="139">
        <f t="shared" si="181"/>
        <v>0</v>
      </c>
      <c r="EW181" s="139">
        <f t="shared" si="182"/>
        <v>0</v>
      </c>
      <c r="EX181" s="139">
        <f t="shared" si="183"/>
        <v>0</v>
      </c>
      <c r="EY181" s="139">
        <f t="shared" si="184"/>
        <v>0</v>
      </c>
      <c r="EZ181" s="139">
        <f t="shared" si="185"/>
        <v>0</v>
      </c>
      <c r="FA181" s="139">
        <f t="shared" si="186"/>
        <v>0</v>
      </c>
      <c r="FB181" s="139">
        <f t="shared" si="187"/>
        <v>0</v>
      </c>
      <c r="FC181" s="139">
        <f t="shared" si="188"/>
        <v>0</v>
      </c>
      <c r="FD181" s="139">
        <f t="shared" si="189"/>
        <v>0</v>
      </c>
      <c r="FE181" s="139">
        <f t="shared" si="190"/>
        <v>0</v>
      </c>
      <c r="FF181" s="139">
        <f t="shared" si="191"/>
        <v>0</v>
      </c>
      <c r="FG181" s="139">
        <f t="shared" si="192"/>
        <v>0</v>
      </c>
      <c r="FH181" s="139">
        <f t="shared" si="193"/>
        <v>0</v>
      </c>
      <c r="FI181" s="139">
        <f t="shared" si="194"/>
        <v>0</v>
      </c>
      <c r="FJ181" s="139">
        <f t="shared" si="195"/>
        <v>0</v>
      </c>
      <c r="FK181" s="139">
        <f t="shared" si="196"/>
        <v>0</v>
      </c>
      <c r="FL181" s="139">
        <f t="shared" si="197"/>
        <v>0</v>
      </c>
      <c r="FM181" s="139">
        <f t="shared" si="198"/>
        <v>0</v>
      </c>
      <c r="FN181" s="139">
        <f t="shared" si="199"/>
        <v>0</v>
      </c>
      <c r="FO181" s="139">
        <f t="shared" si="200"/>
        <v>0</v>
      </c>
      <c r="FP181" s="139">
        <f t="shared" si="201"/>
        <v>0</v>
      </c>
      <c r="FQ181" s="139">
        <f t="shared" si="202"/>
        <v>0</v>
      </c>
      <c r="FR181" s="139">
        <f t="shared" si="203"/>
        <v>0</v>
      </c>
      <c r="FS181" s="139">
        <f t="shared" si="204"/>
        <v>0</v>
      </c>
      <c r="FT181" s="139">
        <f t="shared" si="205"/>
        <v>0</v>
      </c>
      <c r="FU181" s="148">
        <f t="shared" si="206"/>
        <v>0</v>
      </c>
      <c r="FV181" s="149"/>
      <c r="FY181" s="210">
        <v>176</v>
      </c>
      <c r="FZ181" s="205"/>
      <c r="GA181" s="205"/>
      <c r="GB181" s="205"/>
      <c r="GC181" s="205"/>
      <c r="GD181" s="205"/>
      <c r="GE181" s="205"/>
      <c r="GF181" s="205"/>
      <c r="GG181" s="205"/>
      <c r="GH181" s="205"/>
      <c r="GI181" s="205"/>
      <c r="GJ181" s="205"/>
      <c r="GK181" s="205"/>
      <c r="GL181" s="205"/>
      <c r="GM181" s="205"/>
    </row>
    <row r="182" spans="1:195" s="7" customFormat="1">
      <c r="A182" s="1"/>
      <c r="B182" s="76">
        <f t="shared" ca="1" si="171"/>
        <v>0.6795787463698244</v>
      </c>
      <c r="C182">
        <v>9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/>
      <c r="AO182"/>
      <c r="AP182"/>
      <c r="AQ182"/>
      <c r="AR182"/>
      <c r="AS182"/>
      <c r="AT182"/>
      <c r="AU182"/>
      <c r="AV182"/>
      <c r="AW182"/>
      <c r="AX182" s="146"/>
      <c r="AY182" s="76">
        <f t="shared" ca="1" si="172"/>
        <v>0.32482702541119668</v>
      </c>
      <c r="AZ182">
        <v>5</v>
      </c>
      <c r="BA182" s="129">
        <f t="shared" si="248"/>
        <v>39987</v>
      </c>
      <c r="BB182">
        <v>0</v>
      </c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 s="147"/>
      <c r="CH182" s="176"/>
      <c r="CJ182" s="146"/>
      <c r="CK182" s="76">
        <f t="shared" ca="1" si="207"/>
        <v>0.98127952741394098</v>
      </c>
      <c r="CL182" s="179">
        <f t="shared" si="208"/>
        <v>5</v>
      </c>
      <c r="CM182" s="180">
        <f t="shared" si="209"/>
        <v>39987</v>
      </c>
      <c r="CN182">
        <v>0</v>
      </c>
      <c r="CO182"/>
      <c r="CP182"/>
      <c r="CQ182"/>
      <c r="CR182"/>
      <c r="CS182"/>
      <c r="CT182"/>
      <c r="CU182"/>
      <c r="CV182" s="160"/>
      <c r="CW182">
        <v>1</v>
      </c>
      <c r="CX182">
        <f>350/60</f>
        <v>5.833333333333333</v>
      </c>
      <c r="CY182" s="160"/>
      <c r="CZ182" s="177">
        <f t="shared" si="210"/>
        <v>9.6000000000000002E-2</v>
      </c>
      <c r="DB182" s="146"/>
      <c r="DC182" s="76">
        <f t="shared" ca="1" si="173"/>
        <v>0.11407208610388353</v>
      </c>
      <c r="DD182">
        <f t="shared" si="211"/>
        <v>5</v>
      </c>
      <c r="DE182" s="129">
        <f t="shared" si="247"/>
        <v>39987</v>
      </c>
      <c r="DF182" s="161">
        <f t="shared" si="212"/>
        <v>0</v>
      </c>
      <c r="DG182" s="161">
        <f t="shared" si="213"/>
        <v>0</v>
      </c>
      <c r="DH182" s="161">
        <f t="shared" si="214"/>
        <v>0</v>
      </c>
      <c r="DI182" s="161">
        <f t="shared" si="215"/>
        <v>0</v>
      </c>
      <c r="DJ182" s="161">
        <f t="shared" si="216"/>
        <v>0</v>
      </c>
      <c r="DK182" s="161">
        <f t="shared" si="217"/>
        <v>0</v>
      </c>
      <c r="DL182" s="161">
        <f t="shared" si="218"/>
        <v>0</v>
      </c>
      <c r="DM182" s="161">
        <f t="shared" si="219"/>
        <v>0</v>
      </c>
      <c r="DN182" s="161">
        <f t="shared" si="220"/>
        <v>0</v>
      </c>
      <c r="DO182" s="161">
        <f t="shared" si="221"/>
        <v>0</v>
      </c>
      <c r="DP182" s="161">
        <f t="shared" si="222"/>
        <v>0</v>
      </c>
      <c r="DQ182" s="161">
        <f t="shared" si="223"/>
        <v>0</v>
      </c>
      <c r="DR182" s="161">
        <f t="shared" si="224"/>
        <v>0</v>
      </c>
      <c r="DS182" s="161">
        <f t="shared" si="225"/>
        <v>0</v>
      </c>
      <c r="DT182" s="161">
        <f t="shared" si="226"/>
        <v>0</v>
      </c>
      <c r="DU182" s="161">
        <f t="shared" si="227"/>
        <v>0</v>
      </c>
      <c r="DV182" s="161">
        <f t="shared" si="228"/>
        <v>0</v>
      </c>
      <c r="DW182" s="161">
        <f t="shared" si="229"/>
        <v>0</v>
      </c>
      <c r="DX182" s="161">
        <f t="shared" si="230"/>
        <v>0</v>
      </c>
      <c r="DY182" s="161">
        <f t="shared" si="231"/>
        <v>0</v>
      </c>
      <c r="DZ182" s="161">
        <f t="shared" si="232"/>
        <v>0</v>
      </c>
      <c r="EA182" s="161">
        <f t="shared" si="233"/>
        <v>0</v>
      </c>
      <c r="EB182" s="161">
        <f t="shared" si="234"/>
        <v>0</v>
      </c>
      <c r="EC182" s="161">
        <f t="shared" si="235"/>
        <v>0</v>
      </c>
      <c r="ED182" s="161">
        <f t="shared" si="236"/>
        <v>0</v>
      </c>
      <c r="EE182" s="161">
        <f t="shared" si="237"/>
        <v>0</v>
      </c>
      <c r="EF182" s="161">
        <f t="shared" si="238"/>
        <v>0</v>
      </c>
      <c r="EG182" s="161">
        <f t="shared" si="239"/>
        <v>0</v>
      </c>
      <c r="EH182" s="161">
        <f t="shared" si="240"/>
        <v>0</v>
      </c>
      <c r="EI182" s="161">
        <f t="shared" si="241"/>
        <v>0</v>
      </c>
      <c r="EJ182" s="161">
        <f t="shared" si="242"/>
        <v>0</v>
      </c>
      <c r="EK182" s="147">
        <f t="shared" si="174"/>
        <v>0</v>
      </c>
      <c r="EL182" s="149"/>
      <c r="EN182" s="146"/>
      <c r="EO182" s="146"/>
      <c r="EP182" s="139">
        <f t="shared" si="175"/>
        <v>0</v>
      </c>
      <c r="EQ182" s="139">
        <f t="shared" si="176"/>
        <v>0</v>
      </c>
      <c r="ER182" s="139">
        <f t="shared" si="177"/>
        <v>0</v>
      </c>
      <c r="ES182" s="139">
        <f t="shared" si="178"/>
        <v>0</v>
      </c>
      <c r="ET182" s="139">
        <f t="shared" si="179"/>
        <v>0</v>
      </c>
      <c r="EU182" s="139">
        <f t="shared" si="180"/>
        <v>0</v>
      </c>
      <c r="EV182" s="139">
        <f t="shared" si="181"/>
        <v>0</v>
      </c>
      <c r="EW182" s="139">
        <f t="shared" si="182"/>
        <v>0</v>
      </c>
      <c r="EX182" s="139">
        <f t="shared" si="183"/>
        <v>0</v>
      </c>
      <c r="EY182" s="139">
        <f t="shared" si="184"/>
        <v>0</v>
      </c>
      <c r="EZ182" s="139">
        <f t="shared" si="185"/>
        <v>0</v>
      </c>
      <c r="FA182" s="139">
        <f t="shared" si="186"/>
        <v>0</v>
      </c>
      <c r="FB182" s="139">
        <f t="shared" si="187"/>
        <v>0</v>
      </c>
      <c r="FC182" s="139">
        <f t="shared" si="188"/>
        <v>0</v>
      </c>
      <c r="FD182" s="139">
        <f t="shared" si="189"/>
        <v>0</v>
      </c>
      <c r="FE182" s="139">
        <f t="shared" si="190"/>
        <v>0</v>
      </c>
      <c r="FF182" s="139">
        <f t="shared" si="191"/>
        <v>0</v>
      </c>
      <c r="FG182" s="139">
        <f t="shared" si="192"/>
        <v>0</v>
      </c>
      <c r="FH182" s="139">
        <f t="shared" si="193"/>
        <v>0</v>
      </c>
      <c r="FI182" s="139">
        <f t="shared" si="194"/>
        <v>0</v>
      </c>
      <c r="FJ182" s="139">
        <f t="shared" si="195"/>
        <v>0</v>
      </c>
      <c r="FK182" s="139">
        <f t="shared" si="196"/>
        <v>0</v>
      </c>
      <c r="FL182" s="139">
        <f t="shared" si="197"/>
        <v>0</v>
      </c>
      <c r="FM182" s="139">
        <f t="shared" si="198"/>
        <v>0</v>
      </c>
      <c r="FN182" s="139">
        <f t="shared" si="199"/>
        <v>0</v>
      </c>
      <c r="FO182" s="139">
        <f t="shared" si="200"/>
        <v>0</v>
      </c>
      <c r="FP182" s="139">
        <f t="shared" si="201"/>
        <v>0</v>
      </c>
      <c r="FQ182" s="139">
        <f t="shared" si="202"/>
        <v>0</v>
      </c>
      <c r="FR182" s="139">
        <f t="shared" si="203"/>
        <v>0</v>
      </c>
      <c r="FS182" s="139">
        <f t="shared" si="204"/>
        <v>0</v>
      </c>
      <c r="FT182" s="139">
        <f t="shared" si="205"/>
        <v>0</v>
      </c>
      <c r="FU182" s="148">
        <f t="shared" si="206"/>
        <v>0</v>
      </c>
      <c r="FV182" s="149"/>
      <c r="FY182" s="210">
        <v>177</v>
      </c>
      <c r="FZ182" s="205"/>
      <c r="GA182" s="205"/>
      <c r="GB182" s="205"/>
      <c r="GC182" s="205"/>
      <c r="GD182" s="205"/>
      <c r="GE182" s="205"/>
      <c r="GF182" s="205"/>
      <c r="GG182" s="205"/>
      <c r="GH182" s="205"/>
      <c r="GI182" s="205"/>
      <c r="GJ182" s="205"/>
      <c r="GK182" s="205"/>
      <c r="GL182" s="205"/>
      <c r="GM182" s="205"/>
    </row>
    <row r="183" spans="1:195" s="7" customFormat="1">
      <c r="A183" s="1"/>
      <c r="B183" s="76">
        <f t="shared" ca="1" si="171"/>
        <v>0.84853594049828396</v>
      </c>
      <c r="C183">
        <v>4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/>
      <c r="AO183"/>
      <c r="AP183"/>
      <c r="AQ183"/>
      <c r="AR183"/>
      <c r="AS183"/>
      <c r="AT183"/>
      <c r="AU183"/>
      <c r="AV183"/>
      <c r="AW183"/>
      <c r="AX183" s="146"/>
      <c r="AY183" s="76">
        <f t="shared" ca="1" si="172"/>
        <v>0.91285894089350528</v>
      </c>
      <c r="AZ183">
        <v>6</v>
      </c>
      <c r="BA183" s="129">
        <f t="shared" si="248"/>
        <v>39987</v>
      </c>
      <c r="BB183">
        <v>0</v>
      </c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 s="147"/>
      <c r="CH183" s="176"/>
      <c r="CJ183" s="146"/>
      <c r="CK183" s="76">
        <f t="shared" ca="1" si="207"/>
        <v>0.29629348325932181</v>
      </c>
      <c r="CL183" s="179">
        <f t="shared" si="208"/>
        <v>6</v>
      </c>
      <c r="CM183" s="180">
        <f t="shared" si="209"/>
        <v>39987</v>
      </c>
      <c r="CN183">
        <v>0</v>
      </c>
      <c r="CO183"/>
      <c r="CP183"/>
      <c r="CQ183"/>
      <c r="CR183"/>
      <c r="CS183"/>
      <c r="CT183"/>
      <c r="CU183"/>
      <c r="CV183" s="160"/>
      <c r="CW183">
        <v>1</v>
      </c>
      <c r="CX183">
        <f>350/50</f>
        <v>7</v>
      </c>
      <c r="CY183" s="160"/>
      <c r="CZ183" s="177">
        <f t="shared" si="210"/>
        <v>9.6000000000000002E-2</v>
      </c>
      <c r="DB183" s="146"/>
      <c r="DC183" s="76">
        <f t="shared" ca="1" si="173"/>
        <v>0.45222018272083631</v>
      </c>
      <c r="DD183">
        <f t="shared" si="211"/>
        <v>6</v>
      </c>
      <c r="DE183" s="129">
        <f t="shared" si="247"/>
        <v>39987</v>
      </c>
      <c r="DF183" s="161">
        <f t="shared" si="212"/>
        <v>0</v>
      </c>
      <c r="DG183" s="161">
        <f t="shared" si="213"/>
        <v>0</v>
      </c>
      <c r="DH183" s="161">
        <f t="shared" si="214"/>
        <v>0</v>
      </c>
      <c r="DI183" s="161">
        <f t="shared" si="215"/>
        <v>0</v>
      </c>
      <c r="DJ183" s="161">
        <f t="shared" si="216"/>
        <v>0</v>
      </c>
      <c r="DK183" s="161">
        <f t="shared" si="217"/>
        <v>0</v>
      </c>
      <c r="DL183" s="161">
        <f t="shared" si="218"/>
        <v>0</v>
      </c>
      <c r="DM183" s="161">
        <f t="shared" si="219"/>
        <v>0</v>
      </c>
      <c r="DN183" s="161">
        <f t="shared" si="220"/>
        <v>0</v>
      </c>
      <c r="DO183" s="161">
        <f t="shared" si="221"/>
        <v>0</v>
      </c>
      <c r="DP183" s="161">
        <f t="shared" si="222"/>
        <v>0</v>
      </c>
      <c r="DQ183" s="161">
        <f t="shared" si="223"/>
        <v>0</v>
      </c>
      <c r="DR183" s="161">
        <f t="shared" si="224"/>
        <v>0</v>
      </c>
      <c r="DS183" s="161">
        <f t="shared" si="225"/>
        <v>0</v>
      </c>
      <c r="DT183" s="161">
        <f t="shared" si="226"/>
        <v>0</v>
      </c>
      <c r="DU183" s="161">
        <f t="shared" si="227"/>
        <v>0</v>
      </c>
      <c r="DV183" s="161">
        <f t="shared" si="228"/>
        <v>0</v>
      </c>
      <c r="DW183" s="161">
        <f t="shared" si="229"/>
        <v>0</v>
      </c>
      <c r="DX183" s="161">
        <f t="shared" si="230"/>
        <v>0</v>
      </c>
      <c r="DY183" s="161">
        <f t="shared" si="231"/>
        <v>0</v>
      </c>
      <c r="DZ183" s="161">
        <f t="shared" si="232"/>
        <v>0</v>
      </c>
      <c r="EA183" s="161">
        <f t="shared" si="233"/>
        <v>0</v>
      </c>
      <c r="EB183" s="161">
        <f t="shared" si="234"/>
        <v>0</v>
      </c>
      <c r="EC183" s="161">
        <f t="shared" si="235"/>
        <v>0</v>
      </c>
      <c r="ED183" s="161">
        <f t="shared" si="236"/>
        <v>0</v>
      </c>
      <c r="EE183" s="161">
        <f t="shared" si="237"/>
        <v>0</v>
      </c>
      <c r="EF183" s="161">
        <f t="shared" si="238"/>
        <v>0</v>
      </c>
      <c r="EG183" s="161">
        <f t="shared" si="239"/>
        <v>0</v>
      </c>
      <c r="EH183" s="161">
        <f t="shared" si="240"/>
        <v>0</v>
      </c>
      <c r="EI183" s="161">
        <f t="shared" si="241"/>
        <v>0</v>
      </c>
      <c r="EJ183" s="161">
        <f t="shared" si="242"/>
        <v>0</v>
      </c>
      <c r="EK183" s="147">
        <f t="shared" si="174"/>
        <v>0</v>
      </c>
      <c r="EL183" s="149"/>
      <c r="EN183" s="146"/>
      <c r="EO183" s="146"/>
      <c r="EP183" s="139">
        <f t="shared" si="175"/>
        <v>0</v>
      </c>
      <c r="EQ183" s="139">
        <f t="shared" si="176"/>
        <v>0</v>
      </c>
      <c r="ER183" s="139">
        <f t="shared" si="177"/>
        <v>0</v>
      </c>
      <c r="ES183" s="139">
        <f t="shared" si="178"/>
        <v>0</v>
      </c>
      <c r="ET183" s="139">
        <f t="shared" si="179"/>
        <v>0</v>
      </c>
      <c r="EU183" s="139">
        <f t="shared" si="180"/>
        <v>0</v>
      </c>
      <c r="EV183" s="139">
        <f t="shared" si="181"/>
        <v>0</v>
      </c>
      <c r="EW183" s="139">
        <f t="shared" si="182"/>
        <v>0</v>
      </c>
      <c r="EX183" s="139">
        <f t="shared" si="183"/>
        <v>0</v>
      </c>
      <c r="EY183" s="139">
        <f t="shared" si="184"/>
        <v>0</v>
      </c>
      <c r="EZ183" s="139">
        <f t="shared" si="185"/>
        <v>0</v>
      </c>
      <c r="FA183" s="139">
        <f t="shared" si="186"/>
        <v>0</v>
      </c>
      <c r="FB183" s="139">
        <f t="shared" si="187"/>
        <v>0</v>
      </c>
      <c r="FC183" s="139">
        <f t="shared" si="188"/>
        <v>0</v>
      </c>
      <c r="FD183" s="139">
        <f t="shared" si="189"/>
        <v>0</v>
      </c>
      <c r="FE183" s="139">
        <f t="shared" si="190"/>
        <v>0</v>
      </c>
      <c r="FF183" s="139">
        <f t="shared" si="191"/>
        <v>0</v>
      </c>
      <c r="FG183" s="139">
        <f t="shared" si="192"/>
        <v>0</v>
      </c>
      <c r="FH183" s="139">
        <f t="shared" si="193"/>
        <v>0</v>
      </c>
      <c r="FI183" s="139">
        <f t="shared" si="194"/>
        <v>0</v>
      </c>
      <c r="FJ183" s="139">
        <f t="shared" si="195"/>
        <v>0</v>
      </c>
      <c r="FK183" s="139">
        <f t="shared" si="196"/>
        <v>0</v>
      </c>
      <c r="FL183" s="139">
        <f t="shared" si="197"/>
        <v>0</v>
      </c>
      <c r="FM183" s="139">
        <f t="shared" si="198"/>
        <v>0</v>
      </c>
      <c r="FN183" s="139">
        <f t="shared" si="199"/>
        <v>0</v>
      </c>
      <c r="FO183" s="139">
        <f t="shared" si="200"/>
        <v>0</v>
      </c>
      <c r="FP183" s="139">
        <f t="shared" si="201"/>
        <v>0</v>
      </c>
      <c r="FQ183" s="139">
        <f t="shared" si="202"/>
        <v>0</v>
      </c>
      <c r="FR183" s="139">
        <f t="shared" si="203"/>
        <v>0</v>
      </c>
      <c r="FS183" s="139">
        <f t="shared" si="204"/>
        <v>0</v>
      </c>
      <c r="FT183" s="139">
        <f t="shared" si="205"/>
        <v>0</v>
      </c>
      <c r="FU183" s="148">
        <f t="shared" si="206"/>
        <v>0</v>
      </c>
      <c r="FV183" s="149"/>
      <c r="FY183" s="210">
        <v>178</v>
      </c>
      <c r="FZ183" s="205"/>
      <c r="GA183" s="205"/>
      <c r="GB183" s="205"/>
      <c r="GC183" s="205"/>
      <c r="GD183" s="205"/>
      <c r="GE183" s="205"/>
      <c r="GF183" s="205"/>
      <c r="GG183" s="205"/>
      <c r="GH183" s="205"/>
      <c r="GI183" s="205"/>
      <c r="GJ183" s="205"/>
      <c r="GK183" s="205"/>
      <c r="GL183" s="205"/>
      <c r="GM183" s="205"/>
    </row>
    <row r="184" spans="1:195" s="7" customFormat="1">
      <c r="A184" s="1"/>
      <c r="B184" s="76">
        <f t="shared" ref="B184:B207" ca="1" si="249">IF(C184="", "", RAND())</f>
        <v>0.59392362956838518</v>
      </c>
      <c r="C184">
        <v>2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10.416666666666666</v>
      </c>
      <c r="P184">
        <v>0</v>
      </c>
      <c r="Q184">
        <v>0</v>
      </c>
      <c r="R184">
        <v>0</v>
      </c>
      <c r="S184">
        <v>10.416666666666666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/>
      <c r="AO184"/>
      <c r="AP184"/>
      <c r="AQ184"/>
      <c r="AR184"/>
      <c r="AS184"/>
      <c r="AT184"/>
      <c r="AU184"/>
      <c r="AV184"/>
      <c r="AW184"/>
      <c r="AX184" s="146"/>
      <c r="AY184" s="76">
        <f t="shared" ca="1" si="172"/>
        <v>0.16680769315906385</v>
      </c>
      <c r="AZ184">
        <v>7</v>
      </c>
      <c r="BA184" s="129">
        <f t="shared" si="248"/>
        <v>39987</v>
      </c>
      <c r="BB184">
        <v>0</v>
      </c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 s="147"/>
      <c r="CH184" s="176"/>
      <c r="CJ184" s="146"/>
      <c r="CK184" s="76">
        <f t="shared" ca="1" si="207"/>
        <v>0.97401317156273759</v>
      </c>
      <c r="CL184" s="179">
        <f t="shared" si="208"/>
        <v>7</v>
      </c>
      <c r="CM184" s="180">
        <f t="shared" si="209"/>
        <v>39987</v>
      </c>
      <c r="CN184">
        <v>0</v>
      </c>
      <c r="CO184"/>
      <c r="CP184"/>
      <c r="CQ184"/>
      <c r="CR184"/>
      <c r="CS184"/>
      <c r="CT184"/>
      <c r="CU184"/>
      <c r="CV184" s="160"/>
      <c r="CW184">
        <v>1</v>
      </c>
      <c r="CX184">
        <f>350/51</f>
        <v>6.8627450980392153</v>
      </c>
      <c r="CY184" s="165"/>
      <c r="CZ184" s="177">
        <f t="shared" si="210"/>
        <v>9.6000000000000002E-2</v>
      </c>
      <c r="DB184" s="146"/>
      <c r="DC184" s="76">
        <f t="shared" ca="1" si="173"/>
        <v>0.58773077495065262</v>
      </c>
      <c r="DD184">
        <f t="shared" si="211"/>
        <v>7</v>
      </c>
      <c r="DE184" s="129">
        <f t="shared" si="247"/>
        <v>39987</v>
      </c>
      <c r="DF184" s="161">
        <f t="shared" si="212"/>
        <v>0</v>
      </c>
      <c r="DG184" s="161">
        <f t="shared" si="213"/>
        <v>0</v>
      </c>
      <c r="DH184" s="161">
        <f t="shared" si="214"/>
        <v>0</v>
      </c>
      <c r="DI184" s="161">
        <f t="shared" si="215"/>
        <v>0</v>
      </c>
      <c r="DJ184" s="161">
        <f t="shared" si="216"/>
        <v>0</v>
      </c>
      <c r="DK184" s="161">
        <f t="shared" si="217"/>
        <v>0</v>
      </c>
      <c r="DL184" s="161">
        <f t="shared" si="218"/>
        <v>0</v>
      </c>
      <c r="DM184" s="161">
        <f t="shared" si="219"/>
        <v>0</v>
      </c>
      <c r="DN184" s="161">
        <f t="shared" si="220"/>
        <v>0</v>
      </c>
      <c r="DO184" s="161">
        <f t="shared" si="221"/>
        <v>0</v>
      </c>
      <c r="DP184" s="161">
        <f t="shared" si="222"/>
        <v>0</v>
      </c>
      <c r="DQ184" s="161">
        <f t="shared" si="223"/>
        <v>0</v>
      </c>
      <c r="DR184" s="161">
        <f t="shared" si="224"/>
        <v>0</v>
      </c>
      <c r="DS184" s="161">
        <f t="shared" si="225"/>
        <v>0</v>
      </c>
      <c r="DT184" s="161">
        <f t="shared" si="226"/>
        <v>0</v>
      </c>
      <c r="DU184" s="161">
        <f t="shared" si="227"/>
        <v>0</v>
      </c>
      <c r="DV184" s="161">
        <f t="shared" si="228"/>
        <v>0</v>
      </c>
      <c r="DW184" s="161">
        <f t="shared" si="229"/>
        <v>0</v>
      </c>
      <c r="DX184" s="161">
        <f t="shared" si="230"/>
        <v>0</v>
      </c>
      <c r="DY184" s="161">
        <f t="shared" si="231"/>
        <v>0</v>
      </c>
      <c r="DZ184" s="161">
        <f t="shared" si="232"/>
        <v>0</v>
      </c>
      <c r="EA184" s="161">
        <f t="shared" si="233"/>
        <v>0</v>
      </c>
      <c r="EB184" s="161">
        <f t="shared" si="234"/>
        <v>0</v>
      </c>
      <c r="EC184" s="161">
        <f t="shared" si="235"/>
        <v>0</v>
      </c>
      <c r="ED184" s="161">
        <f t="shared" si="236"/>
        <v>0</v>
      </c>
      <c r="EE184" s="161">
        <f t="shared" si="237"/>
        <v>0</v>
      </c>
      <c r="EF184" s="161">
        <f t="shared" si="238"/>
        <v>0</v>
      </c>
      <c r="EG184" s="161">
        <f t="shared" si="239"/>
        <v>0</v>
      </c>
      <c r="EH184" s="161">
        <f t="shared" si="240"/>
        <v>0</v>
      </c>
      <c r="EI184" s="161">
        <f t="shared" si="241"/>
        <v>0</v>
      </c>
      <c r="EJ184" s="161">
        <f t="shared" si="242"/>
        <v>0</v>
      </c>
      <c r="EK184" s="147">
        <f t="shared" ref="EK184:EK207" si="250">IF(DF184="", "", SUM(DF184:EJ184))</f>
        <v>0</v>
      </c>
      <c r="EL184" s="149"/>
      <c r="EN184" s="146"/>
      <c r="EO184" s="146"/>
      <c r="EP184" s="139">
        <f t="shared" ref="EP184:EP207" si="251">IF(DF184="", "", DF184*G$36)</f>
        <v>0</v>
      </c>
      <c r="EQ184" s="139">
        <f t="shared" ref="EQ184:EQ207" si="252">IF(DG184="", "", DG184*H$36)</f>
        <v>0</v>
      </c>
      <c r="ER184" s="139">
        <f t="shared" ref="ER184:ER207" si="253">IF(DH184="", "", DH184*I$36)</f>
        <v>0</v>
      </c>
      <c r="ES184" s="139">
        <f t="shared" ref="ES184:ES207" si="254">IF(DI184="", "", DI184*J$36)</f>
        <v>0</v>
      </c>
      <c r="ET184" s="139">
        <f t="shared" ref="ET184:ET207" si="255">IF(DJ184="", "", DJ184*K$36)</f>
        <v>0</v>
      </c>
      <c r="EU184" s="139">
        <f t="shared" ref="EU184:EU207" si="256">IF(DK184="", "", DK184*L$36)</f>
        <v>0</v>
      </c>
      <c r="EV184" s="139">
        <f t="shared" ref="EV184:EV207" si="257">IF(DL184="", "", DL184*M$36)</f>
        <v>0</v>
      </c>
      <c r="EW184" s="139">
        <f t="shared" ref="EW184:EW207" si="258">IF(DM184="", "", DM184*N$36)</f>
        <v>0</v>
      </c>
      <c r="EX184" s="139">
        <f t="shared" ref="EX184:EX207" si="259">IF(DN184="", "", DN184*O$36)</f>
        <v>0</v>
      </c>
      <c r="EY184" s="139">
        <f t="shared" ref="EY184:EY207" si="260">IF(DO184="", "", DO184*P$36)</f>
        <v>0</v>
      </c>
      <c r="EZ184" s="139">
        <f t="shared" ref="EZ184:EZ207" si="261">IF(DP184="", "", DP184*Q$36)</f>
        <v>0</v>
      </c>
      <c r="FA184" s="139">
        <f t="shared" ref="FA184:FA207" si="262">IF(DQ184="", "", DQ184*R$36)</f>
        <v>0</v>
      </c>
      <c r="FB184" s="139">
        <f t="shared" ref="FB184:FB207" si="263">IF(DR184="", "", DR184*S$36)</f>
        <v>0</v>
      </c>
      <c r="FC184" s="139">
        <f t="shared" ref="FC184:FC207" si="264">IF(DS184="", "", DS184*T$36)</f>
        <v>0</v>
      </c>
      <c r="FD184" s="139">
        <f t="shared" ref="FD184:FD207" si="265">IF(DT184="", "", DT184*U$36)</f>
        <v>0</v>
      </c>
      <c r="FE184" s="139">
        <f t="shared" ref="FE184:FE207" si="266">IF(DU184="", "", DU184*V$36)</f>
        <v>0</v>
      </c>
      <c r="FF184" s="139">
        <f t="shared" ref="FF184:FF207" si="267">IF(DV184="", "", DV184*W$36)</f>
        <v>0</v>
      </c>
      <c r="FG184" s="139">
        <f t="shared" ref="FG184:FG207" si="268">IF(DW184="", "", DW184*X$36)</f>
        <v>0</v>
      </c>
      <c r="FH184" s="139">
        <f t="shared" ref="FH184:FH207" si="269">IF(DX184="", "", DX184*Y$36)</f>
        <v>0</v>
      </c>
      <c r="FI184" s="139">
        <f t="shared" ref="FI184:FI207" si="270">IF(DY184="", "", DY184*Z$36)</f>
        <v>0</v>
      </c>
      <c r="FJ184" s="139">
        <f t="shared" ref="FJ184:FJ207" si="271">IF(DZ184="", "", DZ184*AA$36)</f>
        <v>0</v>
      </c>
      <c r="FK184" s="139">
        <f t="shared" ref="FK184:FK207" si="272">IF(EA184="", "", EA184*AB$36)</f>
        <v>0</v>
      </c>
      <c r="FL184" s="139">
        <f t="shared" ref="FL184:FL207" si="273">IF(EB184="", "", EB184*AC$36)</f>
        <v>0</v>
      </c>
      <c r="FM184" s="139">
        <f t="shared" ref="FM184:FM207" si="274">IF(EC184="", "", EC184*AD$36)</f>
        <v>0</v>
      </c>
      <c r="FN184" s="139">
        <f t="shared" ref="FN184:FN207" si="275">IF(ED184="", "", ED184*AE$36)</f>
        <v>0</v>
      </c>
      <c r="FO184" s="139">
        <f t="shared" ref="FO184:FO207" si="276">IF(EE184="", "", EE184*AF$36)</f>
        <v>0</v>
      </c>
      <c r="FP184" s="139">
        <f t="shared" ref="FP184:FP207" si="277">IF(EF184="", "", EF184*AG$36)</f>
        <v>0</v>
      </c>
      <c r="FQ184" s="139">
        <f t="shared" ref="FQ184:FQ207" si="278">IF(EG184="", "", EG184*AH$36)</f>
        <v>0</v>
      </c>
      <c r="FR184" s="139">
        <f t="shared" ref="FR184:FR207" si="279">IF(EH184="", "", EH184*AI$36)</f>
        <v>0</v>
      </c>
      <c r="FS184" s="139">
        <f t="shared" ref="FS184:FS207" si="280">IF(EI184="", "", EI184*AJ$36)</f>
        <v>0</v>
      </c>
      <c r="FT184" s="139">
        <f t="shared" ref="FT184:FT207" si="281">IF(EJ184="", "", EJ184*AK$36)</f>
        <v>0</v>
      </c>
      <c r="FU184" s="148">
        <f t="shared" ref="FU184:FU207" si="282">IF(EP184="","",SUM(EP184:FT184))</f>
        <v>0</v>
      </c>
      <c r="FV184" s="149"/>
      <c r="FY184" s="210">
        <v>179</v>
      </c>
      <c r="FZ184" s="205"/>
      <c r="GA184" s="205"/>
      <c r="GB184" s="205"/>
      <c r="GC184" s="205"/>
      <c r="GD184" s="205"/>
      <c r="GE184" s="205"/>
      <c r="GF184" s="205"/>
      <c r="GG184" s="205"/>
      <c r="GH184" s="205"/>
      <c r="GI184" s="205"/>
      <c r="GJ184" s="205"/>
      <c r="GK184" s="205"/>
      <c r="GL184" s="205"/>
      <c r="GM184" s="205"/>
    </row>
    <row r="185" spans="1:195" s="7" customFormat="1">
      <c r="A185" s="1"/>
      <c r="B185" s="76">
        <f t="shared" ca="1" si="249"/>
        <v>0.43059568138477178</v>
      </c>
      <c r="C185">
        <v>5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/>
      <c r="AO185"/>
      <c r="AP185"/>
      <c r="AQ185"/>
      <c r="AR185"/>
      <c r="AS185"/>
      <c r="AT185"/>
      <c r="AU185"/>
      <c r="AV185"/>
      <c r="AW185"/>
      <c r="AX185" s="146"/>
      <c r="AY185" s="76">
        <f t="shared" ca="1" si="172"/>
        <v>0.95010250831633081</v>
      </c>
      <c r="AZ185">
        <v>8</v>
      </c>
      <c r="BA185" s="129">
        <f t="shared" si="248"/>
        <v>39987</v>
      </c>
      <c r="BB185">
        <v>0</v>
      </c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 s="147"/>
      <c r="CH185" s="176"/>
      <c r="CJ185" s="146"/>
      <c r="CK185" s="76">
        <f t="shared" ca="1" si="207"/>
        <v>0.42498877288702541</v>
      </c>
      <c r="CL185" s="179">
        <f t="shared" si="208"/>
        <v>8</v>
      </c>
      <c r="CM185" s="180">
        <f t="shared" si="209"/>
        <v>39987</v>
      </c>
      <c r="CN185">
        <v>0</v>
      </c>
      <c r="CO185"/>
      <c r="CP185"/>
      <c r="CQ185"/>
      <c r="CR185"/>
      <c r="CS185"/>
      <c r="CT185"/>
      <c r="CU185"/>
      <c r="CV185" s="160"/>
      <c r="CW185">
        <v>1</v>
      </c>
      <c r="CX185">
        <f>350/65</f>
        <v>5.384615384615385</v>
      </c>
      <c r="CY185" s="165"/>
      <c r="CZ185" s="177">
        <f t="shared" si="210"/>
        <v>9.6000000000000002E-2</v>
      </c>
      <c r="DB185" s="146"/>
      <c r="DC185" s="76">
        <f t="shared" ca="1" si="173"/>
        <v>0.97976646817029422</v>
      </c>
      <c r="DD185">
        <f t="shared" si="211"/>
        <v>8</v>
      </c>
      <c r="DE185" s="129">
        <f t="shared" si="247"/>
        <v>39987</v>
      </c>
      <c r="DF185" s="161">
        <f t="shared" si="212"/>
        <v>0</v>
      </c>
      <c r="DG185" s="161">
        <f t="shared" si="213"/>
        <v>0</v>
      </c>
      <c r="DH185" s="161">
        <f t="shared" si="214"/>
        <v>0</v>
      </c>
      <c r="DI185" s="161">
        <f t="shared" si="215"/>
        <v>0</v>
      </c>
      <c r="DJ185" s="161">
        <f t="shared" si="216"/>
        <v>0</v>
      </c>
      <c r="DK185" s="161">
        <f t="shared" si="217"/>
        <v>0</v>
      </c>
      <c r="DL185" s="161">
        <f t="shared" si="218"/>
        <v>0</v>
      </c>
      <c r="DM185" s="161">
        <f t="shared" si="219"/>
        <v>0</v>
      </c>
      <c r="DN185" s="161">
        <f t="shared" si="220"/>
        <v>0</v>
      </c>
      <c r="DO185" s="161">
        <f t="shared" si="221"/>
        <v>0</v>
      </c>
      <c r="DP185" s="161">
        <f t="shared" si="222"/>
        <v>0</v>
      </c>
      <c r="DQ185" s="161">
        <f t="shared" si="223"/>
        <v>0</v>
      </c>
      <c r="DR185" s="161">
        <f t="shared" si="224"/>
        <v>0</v>
      </c>
      <c r="DS185" s="161">
        <f t="shared" si="225"/>
        <v>0</v>
      </c>
      <c r="DT185" s="161">
        <f t="shared" si="226"/>
        <v>0</v>
      </c>
      <c r="DU185" s="161">
        <f t="shared" si="227"/>
        <v>0</v>
      </c>
      <c r="DV185" s="161">
        <f t="shared" si="228"/>
        <v>0</v>
      </c>
      <c r="DW185" s="161">
        <f t="shared" si="229"/>
        <v>0</v>
      </c>
      <c r="DX185" s="161">
        <f t="shared" si="230"/>
        <v>0</v>
      </c>
      <c r="DY185" s="161">
        <f t="shared" si="231"/>
        <v>0</v>
      </c>
      <c r="DZ185" s="161">
        <f t="shared" si="232"/>
        <v>0</v>
      </c>
      <c r="EA185" s="161">
        <f t="shared" si="233"/>
        <v>0</v>
      </c>
      <c r="EB185" s="161">
        <f t="shared" si="234"/>
        <v>0</v>
      </c>
      <c r="EC185" s="161">
        <f t="shared" si="235"/>
        <v>0</v>
      </c>
      <c r="ED185" s="161">
        <f t="shared" si="236"/>
        <v>0</v>
      </c>
      <c r="EE185" s="161">
        <f t="shared" si="237"/>
        <v>0</v>
      </c>
      <c r="EF185" s="161">
        <f t="shared" si="238"/>
        <v>0</v>
      </c>
      <c r="EG185" s="161">
        <f t="shared" si="239"/>
        <v>0</v>
      </c>
      <c r="EH185" s="161">
        <f t="shared" si="240"/>
        <v>0</v>
      </c>
      <c r="EI185" s="161">
        <f t="shared" si="241"/>
        <v>0</v>
      </c>
      <c r="EJ185" s="161">
        <f t="shared" si="242"/>
        <v>0</v>
      </c>
      <c r="EK185" s="147">
        <f t="shared" si="250"/>
        <v>0</v>
      </c>
      <c r="EL185" s="149"/>
      <c r="EN185" s="146"/>
      <c r="EO185" s="146"/>
      <c r="EP185" s="139">
        <f t="shared" si="251"/>
        <v>0</v>
      </c>
      <c r="EQ185" s="139">
        <f t="shared" si="252"/>
        <v>0</v>
      </c>
      <c r="ER185" s="139">
        <f t="shared" si="253"/>
        <v>0</v>
      </c>
      <c r="ES185" s="139">
        <f t="shared" si="254"/>
        <v>0</v>
      </c>
      <c r="ET185" s="139">
        <f t="shared" si="255"/>
        <v>0</v>
      </c>
      <c r="EU185" s="139">
        <f t="shared" si="256"/>
        <v>0</v>
      </c>
      <c r="EV185" s="139">
        <f t="shared" si="257"/>
        <v>0</v>
      </c>
      <c r="EW185" s="139">
        <f t="shared" si="258"/>
        <v>0</v>
      </c>
      <c r="EX185" s="139">
        <f t="shared" si="259"/>
        <v>0</v>
      </c>
      <c r="EY185" s="139">
        <f t="shared" si="260"/>
        <v>0</v>
      </c>
      <c r="EZ185" s="139">
        <f t="shared" si="261"/>
        <v>0</v>
      </c>
      <c r="FA185" s="139">
        <f t="shared" si="262"/>
        <v>0</v>
      </c>
      <c r="FB185" s="139">
        <f t="shared" si="263"/>
        <v>0</v>
      </c>
      <c r="FC185" s="139">
        <f t="shared" si="264"/>
        <v>0</v>
      </c>
      <c r="FD185" s="139">
        <f t="shared" si="265"/>
        <v>0</v>
      </c>
      <c r="FE185" s="139">
        <f t="shared" si="266"/>
        <v>0</v>
      </c>
      <c r="FF185" s="139">
        <f t="shared" si="267"/>
        <v>0</v>
      </c>
      <c r="FG185" s="139">
        <f t="shared" si="268"/>
        <v>0</v>
      </c>
      <c r="FH185" s="139">
        <f t="shared" si="269"/>
        <v>0</v>
      </c>
      <c r="FI185" s="139">
        <f t="shared" si="270"/>
        <v>0</v>
      </c>
      <c r="FJ185" s="139">
        <f t="shared" si="271"/>
        <v>0</v>
      </c>
      <c r="FK185" s="139">
        <f t="shared" si="272"/>
        <v>0</v>
      </c>
      <c r="FL185" s="139">
        <f t="shared" si="273"/>
        <v>0</v>
      </c>
      <c r="FM185" s="139">
        <f t="shared" si="274"/>
        <v>0</v>
      </c>
      <c r="FN185" s="139">
        <f t="shared" si="275"/>
        <v>0</v>
      </c>
      <c r="FO185" s="139">
        <f t="shared" si="276"/>
        <v>0</v>
      </c>
      <c r="FP185" s="139">
        <f t="shared" si="277"/>
        <v>0</v>
      </c>
      <c r="FQ185" s="139">
        <f t="shared" si="278"/>
        <v>0</v>
      </c>
      <c r="FR185" s="139">
        <f t="shared" si="279"/>
        <v>0</v>
      </c>
      <c r="FS185" s="139">
        <f t="shared" si="280"/>
        <v>0</v>
      </c>
      <c r="FT185" s="139">
        <f t="shared" si="281"/>
        <v>0</v>
      </c>
      <c r="FU185" s="148">
        <f t="shared" si="282"/>
        <v>0</v>
      </c>
      <c r="FV185" s="149"/>
      <c r="FY185" s="210">
        <v>180</v>
      </c>
      <c r="FZ185" s="205"/>
      <c r="GA185" s="205"/>
      <c r="GB185" s="205"/>
      <c r="GC185" s="205"/>
      <c r="GD185" s="205"/>
      <c r="GE185" s="205"/>
      <c r="GF185" s="205"/>
      <c r="GG185" s="205"/>
      <c r="GH185" s="205"/>
      <c r="GI185" s="205"/>
      <c r="GJ185" s="205"/>
      <c r="GK185" s="205"/>
      <c r="GL185" s="205"/>
      <c r="GM185" s="205"/>
    </row>
    <row r="186" spans="1:195" s="7" customFormat="1">
      <c r="A186" s="1"/>
      <c r="B186" s="76">
        <f t="shared" ca="1" si="249"/>
        <v>0.30315954432939862</v>
      </c>
      <c r="C186">
        <v>8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/>
      <c r="AO186"/>
      <c r="AP186"/>
      <c r="AQ186"/>
      <c r="AR186"/>
      <c r="AS186"/>
      <c r="AT186"/>
      <c r="AU186"/>
      <c r="AV186"/>
      <c r="AW186"/>
      <c r="AX186" s="146"/>
      <c r="AY186" s="76">
        <f t="shared" ca="1" si="172"/>
        <v>0.72801563788963275</v>
      </c>
      <c r="AZ186">
        <v>9</v>
      </c>
      <c r="BA186" s="129">
        <f t="shared" si="248"/>
        <v>39987</v>
      </c>
      <c r="BB186">
        <v>0</v>
      </c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 s="147"/>
      <c r="CH186" s="176"/>
      <c r="CJ186" s="146"/>
      <c r="CK186" s="76">
        <f t="shared" ca="1" si="207"/>
        <v>0.66970420342255021</v>
      </c>
      <c r="CL186" s="179">
        <f t="shared" si="208"/>
        <v>9</v>
      </c>
      <c r="CM186" s="180">
        <f t="shared" si="209"/>
        <v>39987</v>
      </c>
      <c r="CN186">
        <v>0</v>
      </c>
      <c r="CO186"/>
      <c r="CP186"/>
      <c r="CQ186"/>
      <c r="CR186"/>
      <c r="CS186"/>
      <c r="CT186"/>
      <c r="CU186"/>
      <c r="CV186" s="160"/>
      <c r="CW186">
        <v>1</v>
      </c>
      <c r="CX186">
        <f>350/52</f>
        <v>6.7307692307692308</v>
      </c>
      <c r="CY186" s="165"/>
      <c r="CZ186" s="177">
        <f t="shared" si="210"/>
        <v>9.6000000000000002E-2</v>
      </c>
      <c r="DB186" s="146"/>
      <c r="DC186" s="76">
        <f t="shared" ca="1" si="173"/>
        <v>0.43941187869740594</v>
      </c>
      <c r="DD186">
        <f t="shared" si="211"/>
        <v>9</v>
      </c>
      <c r="DE186" s="129">
        <f t="shared" si="247"/>
        <v>39987</v>
      </c>
      <c r="DF186" s="161">
        <f t="shared" si="212"/>
        <v>0</v>
      </c>
      <c r="DG186" s="161">
        <f t="shared" si="213"/>
        <v>0</v>
      </c>
      <c r="DH186" s="161">
        <f t="shared" si="214"/>
        <v>0</v>
      </c>
      <c r="DI186" s="161">
        <f t="shared" si="215"/>
        <v>0</v>
      </c>
      <c r="DJ186" s="161">
        <f t="shared" si="216"/>
        <v>0</v>
      </c>
      <c r="DK186" s="161">
        <f t="shared" si="217"/>
        <v>0</v>
      </c>
      <c r="DL186" s="161">
        <f t="shared" si="218"/>
        <v>0</v>
      </c>
      <c r="DM186" s="161">
        <f t="shared" si="219"/>
        <v>0</v>
      </c>
      <c r="DN186" s="161">
        <f t="shared" si="220"/>
        <v>0</v>
      </c>
      <c r="DO186" s="161">
        <f t="shared" si="221"/>
        <v>0</v>
      </c>
      <c r="DP186" s="161">
        <f t="shared" si="222"/>
        <v>0</v>
      </c>
      <c r="DQ186" s="161">
        <f t="shared" si="223"/>
        <v>0</v>
      </c>
      <c r="DR186" s="161">
        <f t="shared" si="224"/>
        <v>0</v>
      </c>
      <c r="DS186" s="161">
        <f t="shared" si="225"/>
        <v>0</v>
      </c>
      <c r="DT186" s="161">
        <f t="shared" si="226"/>
        <v>0</v>
      </c>
      <c r="DU186" s="161">
        <f t="shared" si="227"/>
        <v>0</v>
      </c>
      <c r="DV186" s="161">
        <f t="shared" si="228"/>
        <v>0</v>
      </c>
      <c r="DW186" s="161">
        <f t="shared" si="229"/>
        <v>0</v>
      </c>
      <c r="DX186" s="161">
        <f t="shared" si="230"/>
        <v>0</v>
      </c>
      <c r="DY186" s="161">
        <f t="shared" si="231"/>
        <v>0</v>
      </c>
      <c r="DZ186" s="161">
        <f t="shared" si="232"/>
        <v>0</v>
      </c>
      <c r="EA186" s="161">
        <f t="shared" si="233"/>
        <v>0</v>
      </c>
      <c r="EB186" s="161">
        <f t="shared" si="234"/>
        <v>0</v>
      </c>
      <c r="EC186" s="161">
        <f t="shared" si="235"/>
        <v>0</v>
      </c>
      <c r="ED186" s="161">
        <f t="shared" si="236"/>
        <v>0</v>
      </c>
      <c r="EE186" s="161">
        <f t="shared" si="237"/>
        <v>0</v>
      </c>
      <c r="EF186" s="161">
        <f t="shared" si="238"/>
        <v>0</v>
      </c>
      <c r="EG186" s="161">
        <f t="shared" si="239"/>
        <v>0</v>
      </c>
      <c r="EH186" s="161">
        <f t="shared" si="240"/>
        <v>0</v>
      </c>
      <c r="EI186" s="161">
        <f t="shared" si="241"/>
        <v>0</v>
      </c>
      <c r="EJ186" s="161">
        <f t="shared" si="242"/>
        <v>0</v>
      </c>
      <c r="EK186" s="147">
        <f t="shared" si="250"/>
        <v>0</v>
      </c>
      <c r="EL186" s="149"/>
      <c r="EN186" s="146"/>
      <c r="EO186" s="146"/>
      <c r="EP186" s="139">
        <f t="shared" si="251"/>
        <v>0</v>
      </c>
      <c r="EQ186" s="139">
        <f t="shared" si="252"/>
        <v>0</v>
      </c>
      <c r="ER186" s="139">
        <f t="shared" si="253"/>
        <v>0</v>
      </c>
      <c r="ES186" s="139">
        <f t="shared" si="254"/>
        <v>0</v>
      </c>
      <c r="ET186" s="139">
        <f t="shared" si="255"/>
        <v>0</v>
      </c>
      <c r="EU186" s="139">
        <f t="shared" si="256"/>
        <v>0</v>
      </c>
      <c r="EV186" s="139">
        <f t="shared" si="257"/>
        <v>0</v>
      </c>
      <c r="EW186" s="139">
        <f t="shared" si="258"/>
        <v>0</v>
      </c>
      <c r="EX186" s="139">
        <f t="shared" si="259"/>
        <v>0</v>
      </c>
      <c r="EY186" s="139">
        <f t="shared" si="260"/>
        <v>0</v>
      </c>
      <c r="EZ186" s="139">
        <f t="shared" si="261"/>
        <v>0</v>
      </c>
      <c r="FA186" s="139">
        <f t="shared" si="262"/>
        <v>0</v>
      </c>
      <c r="FB186" s="139">
        <f t="shared" si="263"/>
        <v>0</v>
      </c>
      <c r="FC186" s="139">
        <f t="shared" si="264"/>
        <v>0</v>
      </c>
      <c r="FD186" s="139">
        <f t="shared" si="265"/>
        <v>0</v>
      </c>
      <c r="FE186" s="139">
        <f t="shared" si="266"/>
        <v>0</v>
      </c>
      <c r="FF186" s="139">
        <f t="shared" si="267"/>
        <v>0</v>
      </c>
      <c r="FG186" s="139">
        <f t="shared" si="268"/>
        <v>0</v>
      </c>
      <c r="FH186" s="139">
        <f t="shared" si="269"/>
        <v>0</v>
      </c>
      <c r="FI186" s="139">
        <f t="shared" si="270"/>
        <v>0</v>
      </c>
      <c r="FJ186" s="139">
        <f t="shared" si="271"/>
        <v>0</v>
      </c>
      <c r="FK186" s="139">
        <f t="shared" si="272"/>
        <v>0</v>
      </c>
      <c r="FL186" s="139">
        <f t="shared" si="273"/>
        <v>0</v>
      </c>
      <c r="FM186" s="139">
        <f t="shared" si="274"/>
        <v>0</v>
      </c>
      <c r="FN186" s="139">
        <f t="shared" si="275"/>
        <v>0</v>
      </c>
      <c r="FO186" s="139">
        <f t="shared" si="276"/>
        <v>0</v>
      </c>
      <c r="FP186" s="139">
        <f t="shared" si="277"/>
        <v>0</v>
      </c>
      <c r="FQ186" s="139">
        <f t="shared" si="278"/>
        <v>0</v>
      </c>
      <c r="FR186" s="139">
        <f t="shared" si="279"/>
        <v>0</v>
      </c>
      <c r="FS186" s="139">
        <f t="shared" si="280"/>
        <v>0</v>
      </c>
      <c r="FT186" s="139">
        <f t="shared" si="281"/>
        <v>0</v>
      </c>
      <c r="FU186" s="148">
        <f t="shared" si="282"/>
        <v>0</v>
      </c>
      <c r="FV186" s="149"/>
      <c r="FY186" s="210">
        <v>181</v>
      </c>
      <c r="FZ186" s="205"/>
      <c r="GA186" s="205"/>
      <c r="GB186" s="205"/>
      <c r="GC186" s="205"/>
      <c r="GD186" s="205"/>
      <c r="GE186" s="205"/>
      <c r="GF186" s="205"/>
      <c r="GG186" s="205"/>
      <c r="GH186" s="205"/>
      <c r="GI186" s="205"/>
      <c r="GJ186" s="205"/>
      <c r="GK186" s="205"/>
      <c r="GL186" s="205"/>
      <c r="GM186" s="205"/>
    </row>
    <row r="187" spans="1:195" s="7" customFormat="1">
      <c r="A187" s="1"/>
      <c r="B187" s="76">
        <f t="shared" ca="1" si="249"/>
        <v>0.28006873936481913</v>
      </c>
      <c r="C187">
        <v>7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10.416666666666666</v>
      </c>
      <c r="N187">
        <v>0</v>
      </c>
      <c r="O187">
        <v>0</v>
      </c>
      <c r="P187">
        <v>10.416666666666666</v>
      </c>
      <c r="Q187">
        <v>0</v>
      </c>
      <c r="R187">
        <v>10.416666666666666</v>
      </c>
      <c r="S187">
        <v>10.416666666666666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/>
      <c r="AO187"/>
      <c r="AP187"/>
      <c r="AQ187"/>
      <c r="AR187"/>
      <c r="AS187"/>
      <c r="AT187"/>
      <c r="AU187"/>
      <c r="AV187"/>
      <c r="AW187"/>
      <c r="AX187" s="146"/>
      <c r="AY187" s="76">
        <f t="shared" ca="1" si="172"/>
        <v>0.77240434927450252</v>
      </c>
      <c r="AZ187">
        <v>10</v>
      </c>
      <c r="BA187" s="129">
        <f t="shared" si="248"/>
        <v>39987</v>
      </c>
      <c r="BB187">
        <v>0</v>
      </c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 s="147"/>
      <c r="CH187" s="176"/>
      <c r="CJ187" s="146"/>
      <c r="CK187" s="76">
        <f t="shared" ca="1" si="207"/>
        <v>2.2268704115746552E-2</v>
      </c>
      <c r="CL187" s="179">
        <f t="shared" si="208"/>
        <v>10</v>
      </c>
      <c r="CM187" s="180">
        <f t="shared" si="209"/>
        <v>39987</v>
      </c>
      <c r="CN187">
        <v>0</v>
      </c>
      <c r="CO187"/>
      <c r="CP187"/>
      <c r="CQ187"/>
      <c r="CR187"/>
      <c r="CS187"/>
      <c r="CT187"/>
      <c r="CU187"/>
      <c r="CV187" s="160"/>
      <c r="CW187">
        <v>1</v>
      </c>
      <c r="CX187">
        <f>350/73</f>
        <v>4.7945205479452051</v>
      </c>
      <c r="CY187" s="165"/>
      <c r="CZ187" s="177">
        <f t="shared" si="210"/>
        <v>9.6000000000000002E-2</v>
      </c>
      <c r="DB187" s="146"/>
      <c r="DC187" s="76">
        <f t="shared" ca="1" si="173"/>
        <v>0.96658646347642385</v>
      </c>
      <c r="DD187">
        <f t="shared" si="211"/>
        <v>10</v>
      </c>
      <c r="DE187" s="129">
        <f t="shared" si="247"/>
        <v>39987</v>
      </c>
      <c r="DF187" s="161">
        <f t="shared" si="212"/>
        <v>0</v>
      </c>
      <c r="DG187" s="161">
        <f t="shared" si="213"/>
        <v>0</v>
      </c>
      <c r="DH187" s="161">
        <f t="shared" si="214"/>
        <v>0</v>
      </c>
      <c r="DI187" s="161">
        <f t="shared" si="215"/>
        <v>0</v>
      </c>
      <c r="DJ187" s="161">
        <f t="shared" si="216"/>
        <v>0</v>
      </c>
      <c r="DK187" s="161">
        <f t="shared" si="217"/>
        <v>0</v>
      </c>
      <c r="DL187" s="161">
        <f t="shared" si="218"/>
        <v>0</v>
      </c>
      <c r="DM187" s="161">
        <f t="shared" si="219"/>
        <v>0</v>
      </c>
      <c r="DN187" s="161">
        <f t="shared" si="220"/>
        <v>0</v>
      </c>
      <c r="DO187" s="161">
        <f t="shared" si="221"/>
        <v>0</v>
      </c>
      <c r="DP187" s="161">
        <f t="shared" si="222"/>
        <v>0</v>
      </c>
      <c r="DQ187" s="161">
        <f t="shared" si="223"/>
        <v>0</v>
      </c>
      <c r="DR187" s="161">
        <f t="shared" si="224"/>
        <v>0</v>
      </c>
      <c r="DS187" s="161">
        <f t="shared" si="225"/>
        <v>0</v>
      </c>
      <c r="DT187" s="161">
        <f t="shared" si="226"/>
        <v>0</v>
      </c>
      <c r="DU187" s="161">
        <f t="shared" si="227"/>
        <v>0</v>
      </c>
      <c r="DV187" s="161">
        <f t="shared" si="228"/>
        <v>0</v>
      </c>
      <c r="DW187" s="161">
        <f t="shared" si="229"/>
        <v>0</v>
      </c>
      <c r="DX187" s="161">
        <f t="shared" si="230"/>
        <v>0</v>
      </c>
      <c r="DY187" s="161">
        <f t="shared" si="231"/>
        <v>0</v>
      </c>
      <c r="DZ187" s="161">
        <f t="shared" si="232"/>
        <v>0</v>
      </c>
      <c r="EA187" s="161">
        <f t="shared" si="233"/>
        <v>0</v>
      </c>
      <c r="EB187" s="161">
        <f t="shared" si="234"/>
        <v>0</v>
      </c>
      <c r="EC187" s="161">
        <f t="shared" si="235"/>
        <v>0</v>
      </c>
      <c r="ED187" s="161">
        <f t="shared" si="236"/>
        <v>0</v>
      </c>
      <c r="EE187" s="161">
        <f t="shared" si="237"/>
        <v>0</v>
      </c>
      <c r="EF187" s="161">
        <f t="shared" si="238"/>
        <v>0</v>
      </c>
      <c r="EG187" s="161">
        <f t="shared" si="239"/>
        <v>0</v>
      </c>
      <c r="EH187" s="161">
        <f t="shared" si="240"/>
        <v>0</v>
      </c>
      <c r="EI187" s="161">
        <f t="shared" si="241"/>
        <v>0</v>
      </c>
      <c r="EJ187" s="161">
        <f t="shared" si="242"/>
        <v>0</v>
      </c>
      <c r="EK187" s="147">
        <f t="shared" si="250"/>
        <v>0</v>
      </c>
      <c r="EL187" s="149"/>
      <c r="EN187" s="146"/>
      <c r="EO187" s="146"/>
      <c r="EP187" s="139">
        <f t="shared" si="251"/>
        <v>0</v>
      </c>
      <c r="EQ187" s="139">
        <f t="shared" si="252"/>
        <v>0</v>
      </c>
      <c r="ER187" s="139">
        <f t="shared" si="253"/>
        <v>0</v>
      </c>
      <c r="ES187" s="139">
        <f t="shared" si="254"/>
        <v>0</v>
      </c>
      <c r="ET187" s="139">
        <f t="shared" si="255"/>
        <v>0</v>
      </c>
      <c r="EU187" s="139">
        <f t="shared" si="256"/>
        <v>0</v>
      </c>
      <c r="EV187" s="139">
        <f t="shared" si="257"/>
        <v>0</v>
      </c>
      <c r="EW187" s="139">
        <f t="shared" si="258"/>
        <v>0</v>
      </c>
      <c r="EX187" s="139">
        <f t="shared" si="259"/>
        <v>0</v>
      </c>
      <c r="EY187" s="139">
        <f t="shared" si="260"/>
        <v>0</v>
      </c>
      <c r="EZ187" s="139">
        <f t="shared" si="261"/>
        <v>0</v>
      </c>
      <c r="FA187" s="139">
        <f t="shared" si="262"/>
        <v>0</v>
      </c>
      <c r="FB187" s="139">
        <f t="shared" si="263"/>
        <v>0</v>
      </c>
      <c r="FC187" s="139">
        <f t="shared" si="264"/>
        <v>0</v>
      </c>
      <c r="FD187" s="139">
        <f t="shared" si="265"/>
        <v>0</v>
      </c>
      <c r="FE187" s="139">
        <f t="shared" si="266"/>
        <v>0</v>
      </c>
      <c r="FF187" s="139">
        <f t="shared" si="267"/>
        <v>0</v>
      </c>
      <c r="FG187" s="139">
        <f t="shared" si="268"/>
        <v>0</v>
      </c>
      <c r="FH187" s="139">
        <f t="shared" si="269"/>
        <v>0</v>
      </c>
      <c r="FI187" s="139">
        <f t="shared" si="270"/>
        <v>0</v>
      </c>
      <c r="FJ187" s="139">
        <f t="shared" si="271"/>
        <v>0</v>
      </c>
      <c r="FK187" s="139">
        <f t="shared" si="272"/>
        <v>0</v>
      </c>
      <c r="FL187" s="139">
        <f t="shared" si="273"/>
        <v>0</v>
      </c>
      <c r="FM187" s="139">
        <f t="shared" si="274"/>
        <v>0</v>
      </c>
      <c r="FN187" s="139">
        <f t="shared" si="275"/>
        <v>0</v>
      </c>
      <c r="FO187" s="139">
        <f t="shared" si="276"/>
        <v>0</v>
      </c>
      <c r="FP187" s="139">
        <f t="shared" si="277"/>
        <v>0</v>
      </c>
      <c r="FQ187" s="139">
        <f t="shared" si="278"/>
        <v>0</v>
      </c>
      <c r="FR187" s="139">
        <f t="shared" si="279"/>
        <v>0</v>
      </c>
      <c r="FS187" s="139">
        <f t="shared" si="280"/>
        <v>0</v>
      </c>
      <c r="FT187" s="139">
        <f t="shared" si="281"/>
        <v>0</v>
      </c>
      <c r="FU187" s="148">
        <f t="shared" si="282"/>
        <v>0</v>
      </c>
      <c r="FV187" s="149"/>
      <c r="FY187" s="210">
        <v>182</v>
      </c>
      <c r="FZ187" s="205"/>
      <c r="GA187" s="205"/>
      <c r="GB187" s="205"/>
      <c r="GC187" s="205"/>
      <c r="GD187" s="205"/>
      <c r="GE187" s="205"/>
      <c r="GF187" s="205"/>
      <c r="GG187" s="205"/>
      <c r="GH187" s="205"/>
      <c r="GI187" s="205"/>
      <c r="GJ187" s="205"/>
      <c r="GK187" s="205"/>
      <c r="GL187" s="205"/>
      <c r="GM187" s="205"/>
    </row>
    <row r="188" spans="1:195" s="7" customFormat="1">
      <c r="A188" s="128"/>
      <c r="B188" s="76" t="str">
        <f t="shared" ca="1" si="249"/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/>
      <c r="AO188"/>
      <c r="AP188"/>
      <c r="AQ188"/>
      <c r="AR188"/>
      <c r="AS188"/>
      <c r="AT188"/>
      <c r="AU188"/>
      <c r="AV188"/>
      <c r="AW188"/>
      <c r="AX188" s="128"/>
      <c r="AY188" s="76" t="str">
        <f t="shared" ca="1" si="172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7"/>
        <v/>
      </c>
      <c r="CL188" s="179" t="str">
        <f t="shared" si="208"/>
        <v/>
      </c>
      <c r="CM188" s="180" t="str">
        <f t="shared" si="209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10"/>
        <v/>
      </c>
      <c r="DB188" s="128"/>
      <c r="DC188" s="76" t="str">
        <f t="shared" ca="1" si="173"/>
        <v/>
      </c>
      <c r="DD188" t="str">
        <f t="shared" si="211"/>
        <v/>
      </c>
      <c r="DE188" s="129" t="str">
        <f t="shared" ref="DE188:DE197" si="283">IF((DD188)="", "", $C$14)</f>
        <v/>
      </c>
      <c r="DF188" s="161" t="str">
        <f t="shared" ref="DF188:DF207" si="284">IF($AZ188="", "", ((BB188*$CW188)+(CN188*$CX188))/$CZ188)</f>
        <v/>
      </c>
      <c r="DG188" s="161" t="str">
        <f t="shared" ref="DG188:DG207" si="285">IF($AZ188="", "", ((BC188*$CW188)+(CO188*$CX188))/$CZ188)</f>
        <v/>
      </c>
      <c r="DH188" s="161" t="str">
        <f t="shared" ref="DH188:DH207" si="286">IF($AZ188="", "", ((BD188*$CW188)+(CP188*$CX188))/$CZ188)</f>
        <v/>
      </c>
      <c r="DI188" s="161" t="str">
        <f t="shared" ref="DI188:DI207" si="287">IF($AZ188="", "", ((BE188*$CW188)+(CQ188*$CX188))/$CZ188)</f>
        <v/>
      </c>
      <c r="DJ188" s="161" t="str">
        <f t="shared" ref="DJ188:DJ207" si="288">IF($AZ188="", "", ((BF188*$CW188)+(CR188*$CX188))/$CZ188)</f>
        <v/>
      </c>
      <c r="DK188" s="161" t="str">
        <f t="shared" ref="DK188:DK207" si="289">IF($AZ188="", "", ((BG188*$CW188)+(CS188*$CX188))/$CZ188)</f>
        <v/>
      </c>
      <c r="DL188" s="161" t="str">
        <f t="shared" ref="DL188:DL207" si="290">IF($AZ188="", "", ((BH188*$CW188)+(CT188*$CX188))/$CZ188)</f>
        <v/>
      </c>
      <c r="DM188" s="161" t="str">
        <f t="shared" ref="DM188:DM207" si="291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92">IF($AZ188="", "", (BK187*$CW188)/$CZ188)</f>
        <v/>
      </c>
      <c r="DP188" s="161" t="str">
        <f t="shared" ref="DP188:DP193" si="293">IF($AZ188="", "", (BL187*$CW188)/$CZ188)</f>
        <v/>
      </c>
      <c r="DQ188" s="161" t="str">
        <f t="shared" ref="DQ188:DQ193" si="294">IF($AZ188="", "", (BM187*$CW188)/$CZ188)</f>
        <v/>
      </c>
      <c r="DR188" s="161" t="str">
        <f t="shared" ref="DR188:DR193" si="295">IF($AZ188="", "", (BN187*$CW188)/$CZ188)</f>
        <v/>
      </c>
      <c r="DS188" s="161" t="str">
        <f t="shared" ref="DS188:DS193" si="296">IF($AZ188="", "", (BO187*$CW188)/$CZ188)</f>
        <v/>
      </c>
      <c r="DT188" s="161" t="str">
        <f t="shared" ref="DT188:DT193" si="297">IF($AZ188="", "", (BP187*$CW188)/$CZ188)</f>
        <v/>
      </c>
      <c r="DU188" s="161" t="str">
        <f t="shared" ref="DU188:DU193" si="298">IF($AZ188="", "", (BQ187*$CW188)/$CZ188)</f>
        <v/>
      </c>
      <c r="DV188" s="161" t="str">
        <f t="shared" ref="DV188:DV193" si="299">IF($AZ188="", "", (BR187*$CW188)/$CZ188)</f>
        <v/>
      </c>
      <c r="DW188" s="161" t="str">
        <f t="shared" ref="DW188:DW193" si="300">IF($AZ188="", "", (BS187*$CW188)/$CZ188)</f>
        <v/>
      </c>
      <c r="DX188" s="161" t="str">
        <f t="shared" ref="DX188:DX193" si="301">IF($AZ188="", "", (BT187*$CW188)/$CZ188)</f>
        <v/>
      </c>
      <c r="DY188" s="161" t="str">
        <f t="shared" ref="DY188:DY193" si="302">IF($AZ188="", "", (BU187*$CW188)/$CZ188)</f>
        <v/>
      </c>
      <c r="DZ188" s="161" t="str">
        <f t="shared" ref="DZ188:DZ193" si="303">IF($AZ188="", "", (BV187*$CW188)/$CZ188)</f>
        <v/>
      </c>
      <c r="EA188" s="161" t="str">
        <f t="shared" ref="EA188:EA193" si="304">IF($AZ188="", "", (BW187*$CW188)/$CZ188)</f>
        <v/>
      </c>
      <c r="EB188" s="161" t="str">
        <f t="shared" ref="EB188:EB193" si="305">IF($AZ188="", "", (BX187*$CW188)/$CZ188)</f>
        <v/>
      </c>
      <c r="EC188" s="161" t="str">
        <f t="shared" ref="EC188:EC193" si="306">IF($AZ188="", "", (BY187*$CW188)/$CZ188)</f>
        <v/>
      </c>
      <c r="ED188" s="161" t="str">
        <f t="shared" ref="ED188:ED193" si="307">IF($AZ188="", "", (BZ187*$CW188)/$CZ188)</f>
        <v/>
      </c>
      <c r="EE188" s="161" t="str">
        <f t="shared" ref="EE188:EE193" si="308">IF($AZ188="", "", (CA187*$CW188)/$CZ188)</f>
        <v/>
      </c>
      <c r="EF188" s="161" t="str">
        <f t="shared" ref="EF188:EF193" si="309">IF($AZ188="", "", (CB187*$CW188)/$CZ188)</f>
        <v/>
      </c>
      <c r="EG188" s="161" t="str">
        <f t="shared" ref="EG188:EG193" si="310">IF($AZ188="", "", (CC187*$CW188)/$CZ188)</f>
        <v/>
      </c>
      <c r="EH188" s="161" t="str">
        <f t="shared" ref="EH188:EH193" si="311">IF($AZ188="", "", (CD187*$CW188)/$CZ188)</f>
        <v/>
      </c>
      <c r="EI188" s="161" t="str">
        <f t="shared" ref="EI188:EI193" si="312">IF($AZ188="", "", (CE187*$CW188)/$CZ188)</f>
        <v/>
      </c>
      <c r="EJ188" s="161" t="str">
        <f t="shared" ref="EJ188:EJ193" si="313">IF($AZ188="", "", (CF187*$CW188)/$CZ188)</f>
        <v/>
      </c>
      <c r="EK188" s="147" t="str">
        <f t="shared" si="250"/>
        <v/>
      </c>
      <c r="EL188" s="149"/>
      <c r="EN188" s="146"/>
      <c r="EO188" s="146"/>
      <c r="EP188" s="139" t="str">
        <f t="shared" si="251"/>
        <v/>
      </c>
      <c r="EQ188" s="139" t="str">
        <f t="shared" si="252"/>
        <v/>
      </c>
      <c r="ER188" s="139" t="str">
        <f t="shared" si="253"/>
        <v/>
      </c>
      <c r="ES188" s="139" t="str">
        <f t="shared" si="254"/>
        <v/>
      </c>
      <c r="ET188" s="139" t="str">
        <f t="shared" si="255"/>
        <v/>
      </c>
      <c r="EU188" s="139" t="str">
        <f t="shared" si="256"/>
        <v/>
      </c>
      <c r="EV188" s="139" t="str">
        <f t="shared" si="257"/>
        <v/>
      </c>
      <c r="EW188" s="139" t="str">
        <f t="shared" si="258"/>
        <v/>
      </c>
      <c r="EX188" s="139" t="str">
        <f t="shared" si="259"/>
        <v/>
      </c>
      <c r="EY188" s="139" t="str">
        <f t="shared" si="260"/>
        <v/>
      </c>
      <c r="EZ188" s="139" t="str">
        <f t="shared" si="261"/>
        <v/>
      </c>
      <c r="FA188" s="139" t="str">
        <f t="shared" si="262"/>
        <v/>
      </c>
      <c r="FB188" s="139" t="str">
        <f t="shared" si="263"/>
        <v/>
      </c>
      <c r="FC188" s="139" t="str">
        <f t="shared" si="264"/>
        <v/>
      </c>
      <c r="FD188" s="139" t="str">
        <f t="shared" si="265"/>
        <v/>
      </c>
      <c r="FE188" s="139" t="str">
        <f t="shared" si="266"/>
        <v/>
      </c>
      <c r="FF188" s="139" t="str">
        <f t="shared" si="267"/>
        <v/>
      </c>
      <c r="FG188" s="139" t="str">
        <f t="shared" si="268"/>
        <v/>
      </c>
      <c r="FH188" s="139" t="str">
        <f t="shared" si="269"/>
        <v/>
      </c>
      <c r="FI188" s="139" t="str">
        <f t="shared" si="270"/>
        <v/>
      </c>
      <c r="FJ188" s="139" t="str">
        <f t="shared" si="271"/>
        <v/>
      </c>
      <c r="FK188" s="139" t="str">
        <f t="shared" si="272"/>
        <v/>
      </c>
      <c r="FL188" s="139" t="str">
        <f t="shared" si="273"/>
        <v/>
      </c>
      <c r="FM188" s="139" t="str">
        <f t="shared" si="274"/>
        <v/>
      </c>
      <c r="FN188" s="139" t="str">
        <f t="shared" si="275"/>
        <v/>
      </c>
      <c r="FO188" s="139" t="str">
        <f t="shared" si="276"/>
        <v/>
      </c>
      <c r="FP188" s="139" t="str">
        <f t="shared" si="277"/>
        <v/>
      </c>
      <c r="FQ188" s="139" t="str">
        <f t="shared" si="278"/>
        <v/>
      </c>
      <c r="FR188" s="139" t="str">
        <f t="shared" si="279"/>
        <v/>
      </c>
      <c r="FS188" s="139" t="str">
        <f t="shared" si="280"/>
        <v/>
      </c>
      <c r="FT188" s="139" t="str">
        <f t="shared" si="281"/>
        <v/>
      </c>
      <c r="FU188" s="148" t="str">
        <f t="shared" si="282"/>
        <v/>
      </c>
      <c r="FV188" s="149"/>
      <c r="FY188" s="210">
        <v>183</v>
      </c>
      <c r="FZ188" s="205"/>
      <c r="GA188" s="205"/>
      <c r="GB188" s="205"/>
      <c r="GC188" s="205"/>
      <c r="GD188" s="205"/>
      <c r="GE188" s="205"/>
      <c r="GF188" s="205"/>
      <c r="GG188" s="205"/>
      <c r="GH188" s="205"/>
      <c r="GI188" s="205"/>
      <c r="GJ188" s="205"/>
      <c r="GK188" s="205"/>
      <c r="GL188" s="205"/>
      <c r="GM188" s="205"/>
    </row>
    <row r="189" spans="1:195" s="7" customFormat="1">
      <c r="A189" s="1"/>
      <c r="B189" s="76" t="str">
        <f t="shared" ca="1" si="249"/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/>
      <c r="AO189"/>
      <c r="AP189"/>
      <c r="AQ189"/>
      <c r="AR189"/>
      <c r="AS189"/>
      <c r="AT189"/>
      <c r="AU189"/>
      <c r="AV189"/>
      <c r="AW189"/>
      <c r="AX189" s="146"/>
      <c r="AY189" s="76" t="str">
        <f t="shared" ca="1" si="172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7"/>
        <v/>
      </c>
      <c r="CL189" s="179" t="str">
        <f t="shared" si="208"/>
        <v/>
      </c>
      <c r="CM189" s="180" t="str">
        <f t="shared" si="209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10"/>
        <v/>
      </c>
      <c r="DB189" s="146"/>
      <c r="DC189" s="76" t="str">
        <f t="shared" ca="1" si="173"/>
        <v/>
      </c>
      <c r="DD189" t="str">
        <f t="shared" si="211"/>
        <v/>
      </c>
      <c r="DE189" s="129" t="str">
        <f t="shared" si="283"/>
        <v/>
      </c>
      <c r="DF189" s="161" t="str">
        <f t="shared" si="284"/>
        <v/>
      </c>
      <c r="DG189" s="161" t="str">
        <f t="shared" si="285"/>
        <v/>
      </c>
      <c r="DH189" s="161" t="str">
        <f t="shared" si="286"/>
        <v/>
      </c>
      <c r="DI189" s="161" t="str">
        <f t="shared" si="287"/>
        <v/>
      </c>
      <c r="DJ189" s="161" t="str">
        <f t="shared" si="288"/>
        <v/>
      </c>
      <c r="DK189" s="161" t="str">
        <f t="shared" si="289"/>
        <v/>
      </c>
      <c r="DL189" s="161" t="str">
        <f t="shared" si="290"/>
        <v/>
      </c>
      <c r="DM189" s="161" t="str">
        <f t="shared" si="291"/>
        <v/>
      </c>
      <c r="DN189" s="161" t="str">
        <f>IF($AZ189="", "", (BJ189*$CW189)/$CZ189)</f>
        <v/>
      </c>
      <c r="DO189" s="161" t="str">
        <f t="shared" si="292"/>
        <v/>
      </c>
      <c r="DP189" s="161" t="str">
        <f t="shared" si="293"/>
        <v/>
      </c>
      <c r="DQ189" s="161" t="str">
        <f t="shared" si="294"/>
        <v/>
      </c>
      <c r="DR189" s="161" t="str">
        <f t="shared" si="295"/>
        <v/>
      </c>
      <c r="DS189" s="161" t="str">
        <f t="shared" si="296"/>
        <v/>
      </c>
      <c r="DT189" s="161" t="str">
        <f t="shared" si="297"/>
        <v/>
      </c>
      <c r="DU189" s="161" t="str">
        <f t="shared" si="298"/>
        <v/>
      </c>
      <c r="DV189" s="161" t="str">
        <f t="shared" si="299"/>
        <v/>
      </c>
      <c r="DW189" s="161" t="str">
        <f t="shared" si="300"/>
        <v/>
      </c>
      <c r="DX189" s="161" t="str">
        <f t="shared" si="301"/>
        <v/>
      </c>
      <c r="DY189" s="161" t="str">
        <f t="shared" si="302"/>
        <v/>
      </c>
      <c r="DZ189" s="161" t="str">
        <f t="shared" si="303"/>
        <v/>
      </c>
      <c r="EA189" s="161" t="str">
        <f t="shared" si="304"/>
        <v/>
      </c>
      <c r="EB189" s="161" t="str">
        <f t="shared" si="305"/>
        <v/>
      </c>
      <c r="EC189" s="161" t="str">
        <f t="shared" si="306"/>
        <v/>
      </c>
      <c r="ED189" s="161" t="str">
        <f t="shared" si="307"/>
        <v/>
      </c>
      <c r="EE189" s="161" t="str">
        <f t="shared" si="308"/>
        <v/>
      </c>
      <c r="EF189" s="161" t="str">
        <f t="shared" si="309"/>
        <v/>
      </c>
      <c r="EG189" s="161" t="str">
        <f t="shared" si="310"/>
        <v/>
      </c>
      <c r="EH189" s="161" t="str">
        <f t="shared" si="311"/>
        <v/>
      </c>
      <c r="EI189" s="161" t="str">
        <f t="shared" si="312"/>
        <v/>
      </c>
      <c r="EJ189" s="161" t="str">
        <f t="shared" si="313"/>
        <v/>
      </c>
      <c r="EK189" s="147" t="str">
        <f t="shared" si="250"/>
        <v/>
      </c>
      <c r="EL189" s="149"/>
      <c r="EN189" s="146"/>
      <c r="EO189" s="146"/>
      <c r="EP189" s="139" t="str">
        <f t="shared" si="251"/>
        <v/>
      </c>
      <c r="EQ189" s="139" t="str">
        <f t="shared" si="252"/>
        <v/>
      </c>
      <c r="ER189" s="139" t="str">
        <f t="shared" si="253"/>
        <v/>
      </c>
      <c r="ES189" s="139" t="str">
        <f t="shared" si="254"/>
        <v/>
      </c>
      <c r="ET189" s="139" t="str">
        <f t="shared" si="255"/>
        <v/>
      </c>
      <c r="EU189" s="139" t="str">
        <f t="shared" si="256"/>
        <v/>
      </c>
      <c r="EV189" s="139" t="str">
        <f t="shared" si="257"/>
        <v/>
      </c>
      <c r="EW189" s="139" t="str">
        <f t="shared" si="258"/>
        <v/>
      </c>
      <c r="EX189" s="139" t="str">
        <f t="shared" si="259"/>
        <v/>
      </c>
      <c r="EY189" s="139" t="str">
        <f t="shared" si="260"/>
        <v/>
      </c>
      <c r="EZ189" s="139" t="str">
        <f t="shared" si="261"/>
        <v/>
      </c>
      <c r="FA189" s="139" t="str">
        <f t="shared" si="262"/>
        <v/>
      </c>
      <c r="FB189" s="139" t="str">
        <f t="shared" si="263"/>
        <v/>
      </c>
      <c r="FC189" s="139" t="str">
        <f t="shared" si="264"/>
        <v/>
      </c>
      <c r="FD189" s="139" t="str">
        <f t="shared" si="265"/>
        <v/>
      </c>
      <c r="FE189" s="139" t="str">
        <f t="shared" si="266"/>
        <v/>
      </c>
      <c r="FF189" s="139" t="str">
        <f t="shared" si="267"/>
        <v/>
      </c>
      <c r="FG189" s="139" t="str">
        <f t="shared" si="268"/>
        <v/>
      </c>
      <c r="FH189" s="139" t="str">
        <f t="shared" si="269"/>
        <v/>
      </c>
      <c r="FI189" s="139" t="str">
        <f t="shared" si="270"/>
        <v/>
      </c>
      <c r="FJ189" s="139" t="str">
        <f t="shared" si="271"/>
        <v/>
      </c>
      <c r="FK189" s="139" t="str">
        <f t="shared" si="272"/>
        <v/>
      </c>
      <c r="FL189" s="139" t="str">
        <f t="shared" si="273"/>
        <v/>
      </c>
      <c r="FM189" s="139" t="str">
        <f t="shared" si="274"/>
        <v/>
      </c>
      <c r="FN189" s="139" t="str">
        <f t="shared" si="275"/>
        <v/>
      </c>
      <c r="FO189" s="139" t="str">
        <f t="shared" si="276"/>
        <v/>
      </c>
      <c r="FP189" s="139" t="str">
        <f t="shared" si="277"/>
        <v/>
      </c>
      <c r="FQ189" s="139" t="str">
        <f t="shared" si="278"/>
        <v/>
      </c>
      <c r="FR189" s="139" t="str">
        <f t="shared" si="279"/>
        <v/>
      </c>
      <c r="FS189" s="139" t="str">
        <f t="shared" si="280"/>
        <v/>
      </c>
      <c r="FT189" s="139" t="str">
        <f t="shared" si="281"/>
        <v/>
      </c>
      <c r="FU189" s="148" t="str">
        <f t="shared" si="282"/>
        <v/>
      </c>
      <c r="FV189" s="149"/>
      <c r="FY189" s="210">
        <v>184</v>
      </c>
      <c r="FZ189" s="205"/>
      <c r="GA189" s="205"/>
      <c r="GB189" s="205"/>
      <c r="GC189" s="205"/>
      <c r="GD189" s="205"/>
      <c r="GE189" s="205"/>
      <c r="GF189" s="205"/>
      <c r="GG189" s="205"/>
      <c r="GH189" s="205"/>
      <c r="GI189" s="205"/>
      <c r="GJ189" s="205"/>
      <c r="GK189" s="205"/>
      <c r="GL189" s="205"/>
      <c r="GM189" s="205"/>
    </row>
    <row r="190" spans="1:195" s="7" customFormat="1">
      <c r="A190" s="1"/>
      <c r="B190" s="76" t="str">
        <f t="shared" ca="1" si="249"/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/>
      <c r="AO190"/>
      <c r="AP190"/>
      <c r="AQ190"/>
      <c r="AR190"/>
      <c r="AS190"/>
      <c r="AT190"/>
      <c r="AU190"/>
      <c r="AV190"/>
      <c r="AW190"/>
      <c r="AX190" s="146"/>
      <c r="AY190" s="76" t="str">
        <f t="shared" ca="1" si="172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7"/>
        <v/>
      </c>
      <c r="CL190" s="179" t="str">
        <f t="shared" si="208"/>
        <v/>
      </c>
      <c r="CM190" s="180" t="str">
        <f t="shared" si="209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10"/>
        <v/>
      </c>
      <c r="DB190" s="146"/>
      <c r="DC190" s="76" t="str">
        <f t="shared" ca="1" si="173"/>
        <v/>
      </c>
      <c r="DD190" t="str">
        <f t="shared" si="211"/>
        <v/>
      </c>
      <c r="DE190" s="129" t="str">
        <f t="shared" si="283"/>
        <v/>
      </c>
      <c r="DF190" s="161" t="str">
        <f t="shared" si="284"/>
        <v/>
      </c>
      <c r="DG190" s="161" t="str">
        <f t="shared" si="285"/>
        <v/>
      </c>
      <c r="DH190" s="161" t="str">
        <f t="shared" si="286"/>
        <v/>
      </c>
      <c r="DI190" s="161" t="str">
        <f t="shared" si="287"/>
        <v/>
      </c>
      <c r="DJ190" s="161" t="str">
        <f t="shared" si="288"/>
        <v/>
      </c>
      <c r="DK190" s="161" t="str">
        <f t="shared" si="289"/>
        <v/>
      </c>
      <c r="DL190" s="161" t="str">
        <f t="shared" si="290"/>
        <v/>
      </c>
      <c r="DM190" s="161" t="str">
        <f t="shared" si="291"/>
        <v/>
      </c>
      <c r="DN190" s="161" t="str">
        <f>IF($AZ190="", "", (BJ190*$CW190)/$CZ190)</f>
        <v/>
      </c>
      <c r="DO190" s="161" t="str">
        <f t="shared" si="292"/>
        <v/>
      </c>
      <c r="DP190" s="161" t="str">
        <f t="shared" si="293"/>
        <v/>
      </c>
      <c r="DQ190" s="161" t="str">
        <f t="shared" si="294"/>
        <v/>
      </c>
      <c r="DR190" s="161" t="str">
        <f t="shared" si="295"/>
        <v/>
      </c>
      <c r="DS190" s="161" t="str">
        <f t="shared" si="296"/>
        <v/>
      </c>
      <c r="DT190" s="161" t="str">
        <f t="shared" si="297"/>
        <v/>
      </c>
      <c r="DU190" s="161" t="str">
        <f t="shared" si="298"/>
        <v/>
      </c>
      <c r="DV190" s="161" t="str">
        <f t="shared" si="299"/>
        <v/>
      </c>
      <c r="DW190" s="161" t="str">
        <f t="shared" si="300"/>
        <v/>
      </c>
      <c r="DX190" s="161" t="str">
        <f t="shared" si="301"/>
        <v/>
      </c>
      <c r="DY190" s="161" t="str">
        <f t="shared" si="302"/>
        <v/>
      </c>
      <c r="DZ190" s="161" t="str">
        <f t="shared" si="303"/>
        <v/>
      </c>
      <c r="EA190" s="161" t="str">
        <f t="shared" si="304"/>
        <v/>
      </c>
      <c r="EB190" s="161" t="str">
        <f t="shared" si="305"/>
        <v/>
      </c>
      <c r="EC190" s="161" t="str">
        <f t="shared" si="306"/>
        <v/>
      </c>
      <c r="ED190" s="161" t="str">
        <f t="shared" si="307"/>
        <v/>
      </c>
      <c r="EE190" s="161" t="str">
        <f t="shared" si="308"/>
        <v/>
      </c>
      <c r="EF190" s="161" t="str">
        <f t="shared" si="309"/>
        <v/>
      </c>
      <c r="EG190" s="161" t="str">
        <f t="shared" si="310"/>
        <v/>
      </c>
      <c r="EH190" s="161" t="str">
        <f t="shared" si="311"/>
        <v/>
      </c>
      <c r="EI190" s="161" t="str">
        <f t="shared" si="312"/>
        <v/>
      </c>
      <c r="EJ190" s="161" t="str">
        <f t="shared" si="313"/>
        <v/>
      </c>
      <c r="EK190" s="147" t="str">
        <f t="shared" si="250"/>
        <v/>
      </c>
      <c r="EL190" s="149"/>
      <c r="EN190" s="146"/>
      <c r="EO190" s="146"/>
      <c r="EP190" s="139" t="str">
        <f t="shared" si="251"/>
        <v/>
      </c>
      <c r="EQ190" s="139" t="str">
        <f t="shared" si="252"/>
        <v/>
      </c>
      <c r="ER190" s="139" t="str">
        <f t="shared" si="253"/>
        <v/>
      </c>
      <c r="ES190" s="139" t="str">
        <f t="shared" si="254"/>
        <v/>
      </c>
      <c r="ET190" s="139" t="str">
        <f t="shared" si="255"/>
        <v/>
      </c>
      <c r="EU190" s="139" t="str">
        <f t="shared" si="256"/>
        <v/>
      </c>
      <c r="EV190" s="139" t="str">
        <f t="shared" si="257"/>
        <v/>
      </c>
      <c r="EW190" s="139" t="str">
        <f t="shared" si="258"/>
        <v/>
      </c>
      <c r="EX190" s="139" t="str">
        <f t="shared" si="259"/>
        <v/>
      </c>
      <c r="EY190" s="139" t="str">
        <f t="shared" si="260"/>
        <v/>
      </c>
      <c r="EZ190" s="139" t="str">
        <f t="shared" si="261"/>
        <v/>
      </c>
      <c r="FA190" s="139" t="str">
        <f t="shared" si="262"/>
        <v/>
      </c>
      <c r="FB190" s="139" t="str">
        <f t="shared" si="263"/>
        <v/>
      </c>
      <c r="FC190" s="139" t="str">
        <f t="shared" si="264"/>
        <v/>
      </c>
      <c r="FD190" s="139" t="str">
        <f t="shared" si="265"/>
        <v/>
      </c>
      <c r="FE190" s="139" t="str">
        <f t="shared" si="266"/>
        <v/>
      </c>
      <c r="FF190" s="139" t="str">
        <f t="shared" si="267"/>
        <v/>
      </c>
      <c r="FG190" s="139" t="str">
        <f t="shared" si="268"/>
        <v/>
      </c>
      <c r="FH190" s="139" t="str">
        <f t="shared" si="269"/>
        <v/>
      </c>
      <c r="FI190" s="139" t="str">
        <f t="shared" si="270"/>
        <v/>
      </c>
      <c r="FJ190" s="139" t="str">
        <f t="shared" si="271"/>
        <v/>
      </c>
      <c r="FK190" s="139" t="str">
        <f t="shared" si="272"/>
        <v/>
      </c>
      <c r="FL190" s="139" t="str">
        <f t="shared" si="273"/>
        <v/>
      </c>
      <c r="FM190" s="139" t="str">
        <f t="shared" si="274"/>
        <v/>
      </c>
      <c r="FN190" s="139" t="str">
        <f t="shared" si="275"/>
        <v/>
      </c>
      <c r="FO190" s="139" t="str">
        <f t="shared" si="276"/>
        <v/>
      </c>
      <c r="FP190" s="139" t="str">
        <f t="shared" si="277"/>
        <v/>
      </c>
      <c r="FQ190" s="139" t="str">
        <f t="shared" si="278"/>
        <v/>
      </c>
      <c r="FR190" s="139" t="str">
        <f t="shared" si="279"/>
        <v/>
      </c>
      <c r="FS190" s="139" t="str">
        <f t="shared" si="280"/>
        <v/>
      </c>
      <c r="FT190" s="139" t="str">
        <f t="shared" si="281"/>
        <v/>
      </c>
      <c r="FU190" s="148" t="str">
        <f t="shared" si="282"/>
        <v/>
      </c>
      <c r="FV190" s="149"/>
      <c r="FY190" s="210">
        <v>185</v>
      </c>
      <c r="FZ190" s="205"/>
      <c r="GA190" s="205"/>
      <c r="GB190" s="205"/>
      <c r="GC190" s="205"/>
      <c r="GD190" s="205"/>
      <c r="GE190" s="205"/>
      <c r="GF190" s="205"/>
      <c r="GG190" s="205"/>
      <c r="GH190" s="205"/>
      <c r="GI190" s="205"/>
      <c r="GJ190" s="205"/>
      <c r="GK190" s="205"/>
      <c r="GL190" s="205"/>
      <c r="GM190" s="205"/>
    </row>
    <row r="191" spans="1:195" s="7" customFormat="1">
      <c r="A191" s="1"/>
      <c r="B191" s="76" t="str">
        <f t="shared" ca="1" si="249"/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/>
      <c r="AO191"/>
      <c r="AP191"/>
      <c r="AQ191"/>
      <c r="AR191"/>
      <c r="AS191"/>
      <c r="AT191"/>
      <c r="AU191"/>
      <c r="AV191"/>
      <c r="AW191"/>
      <c r="AX191" s="146"/>
      <c r="AY191" s="76" t="str">
        <f t="shared" ca="1" si="172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7"/>
        <v/>
      </c>
      <c r="CL191" s="179" t="str">
        <f t="shared" si="208"/>
        <v/>
      </c>
      <c r="CM191" s="180" t="str">
        <f t="shared" si="209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10"/>
        <v/>
      </c>
      <c r="DB191" s="146"/>
      <c r="DC191" s="76" t="str">
        <f t="shared" ca="1" si="173"/>
        <v/>
      </c>
      <c r="DD191" t="str">
        <f t="shared" si="211"/>
        <v/>
      </c>
      <c r="DE191" s="129" t="str">
        <f t="shared" si="283"/>
        <v/>
      </c>
      <c r="DF191" s="161" t="str">
        <f t="shared" si="284"/>
        <v/>
      </c>
      <c r="DG191" s="161" t="str">
        <f t="shared" si="285"/>
        <v/>
      </c>
      <c r="DH191" s="161" t="str">
        <f t="shared" si="286"/>
        <v/>
      </c>
      <c r="DI191" s="161" t="str">
        <f t="shared" si="287"/>
        <v/>
      </c>
      <c r="DJ191" s="161" t="str">
        <f t="shared" si="288"/>
        <v/>
      </c>
      <c r="DK191" s="161" t="str">
        <f t="shared" si="289"/>
        <v/>
      </c>
      <c r="DL191" s="161" t="str">
        <f t="shared" si="290"/>
        <v/>
      </c>
      <c r="DM191" s="161" t="str">
        <f t="shared" si="291"/>
        <v/>
      </c>
      <c r="DN191" s="161" t="str">
        <f>IF($AZ191="", "", (BJ191*$CW191)/$CZ191)</f>
        <v/>
      </c>
      <c r="DO191" s="161" t="str">
        <f t="shared" si="292"/>
        <v/>
      </c>
      <c r="DP191" s="161" t="str">
        <f t="shared" si="293"/>
        <v/>
      </c>
      <c r="DQ191" s="161" t="str">
        <f t="shared" si="294"/>
        <v/>
      </c>
      <c r="DR191" s="161" t="str">
        <f t="shared" si="295"/>
        <v/>
      </c>
      <c r="DS191" s="161" t="str">
        <f t="shared" si="296"/>
        <v/>
      </c>
      <c r="DT191" s="161" t="str">
        <f t="shared" si="297"/>
        <v/>
      </c>
      <c r="DU191" s="161" t="str">
        <f t="shared" si="298"/>
        <v/>
      </c>
      <c r="DV191" s="161" t="str">
        <f t="shared" si="299"/>
        <v/>
      </c>
      <c r="DW191" s="161" t="str">
        <f t="shared" si="300"/>
        <v/>
      </c>
      <c r="DX191" s="161" t="str">
        <f t="shared" si="301"/>
        <v/>
      </c>
      <c r="DY191" s="161" t="str">
        <f t="shared" si="302"/>
        <v/>
      </c>
      <c r="DZ191" s="161" t="str">
        <f t="shared" si="303"/>
        <v/>
      </c>
      <c r="EA191" s="161" t="str">
        <f t="shared" si="304"/>
        <v/>
      </c>
      <c r="EB191" s="161" t="str">
        <f t="shared" si="305"/>
        <v/>
      </c>
      <c r="EC191" s="161" t="str">
        <f t="shared" si="306"/>
        <v/>
      </c>
      <c r="ED191" s="161" t="str">
        <f t="shared" si="307"/>
        <v/>
      </c>
      <c r="EE191" s="161" t="str">
        <f t="shared" si="308"/>
        <v/>
      </c>
      <c r="EF191" s="161" t="str">
        <f t="shared" si="309"/>
        <v/>
      </c>
      <c r="EG191" s="161" t="str">
        <f t="shared" si="310"/>
        <v/>
      </c>
      <c r="EH191" s="161" t="str">
        <f t="shared" si="311"/>
        <v/>
      </c>
      <c r="EI191" s="161" t="str">
        <f t="shared" si="312"/>
        <v/>
      </c>
      <c r="EJ191" s="161" t="str">
        <f t="shared" si="313"/>
        <v/>
      </c>
      <c r="EK191" s="147" t="str">
        <f t="shared" si="250"/>
        <v/>
      </c>
      <c r="EL191" s="149"/>
      <c r="EN191" s="146"/>
      <c r="EO191" s="146"/>
      <c r="EP191" s="139" t="str">
        <f t="shared" si="251"/>
        <v/>
      </c>
      <c r="EQ191" s="139" t="str">
        <f t="shared" si="252"/>
        <v/>
      </c>
      <c r="ER191" s="139" t="str">
        <f t="shared" si="253"/>
        <v/>
      </c>
      <c r="ES191" s="139" t="str">
        <f t="shared" si="254"/>
        <v/>
      </c>
      <c r="ET191" s="139" t="str">
        <f t="shared" si="255"/>
        <v/>
      </c>
      <c r="EU191" s="139" t="str">
        <f t="shared" si="256"/>
        <v/>
      </c>
      <c r="EV191" s="139" t="str">
        <f t="shared" si="257"/>
        <v/>
      </c>
      <c r="EW191" s="139" t="str">
        <f t="shared" si="258"/>
        <v/>
      </c>
      <c r="EX191" s="139" t="str">
        <f t="shared" si="259"/>
        <v/>
      </c>
      <c r="EY191" s="139" t="str">
        <f t="shared" si="260"/>
        <v/>
      </c>
      <c r="EZ191" s="139" t="str">
        <f t="shared" si="261"/>
        <v/>
      </c>
      <c r="FA191" s="139" t="str">
        <f t="shared" si="262"/>
        <v/>
      </c>
      <c r="FB191" s="139" t="str">
        <f t="shared" si="263"/>
        <v/>
      </c>
      <c r="FC191" s="139" t="str">
        <f t="shared" si="264"/>
        <v/>
      </c>
      <c r="FD191" s="139" t="str">
        <f t="shared" si="265"/>
        <v/>
      </c>
      <c r="FE191" s="139" t="str">
        <f t="shared" si="266"/>
        <v/>
      </c>
      <c r="FF191" s="139" t="str">
        <f t="shared" si="267"/>
        <v/>
      </c>
      <c r="FG191" s="139" t="str">
        <f t="shared" si="268"/>
        <v/>
      </c>
      <c r="FH191" s="139" t="str">
        <f t="shared" si="269"/>
        <v/>
      </c>
      <c r="FI191" s="139" t="str">
        <f t="shared" si="270"/>
        <v/>
      </c>
      <c r="FJ191" s="139" t="str">
        <f t="shared" si="271"/>
        <v/>
      </c>
      <c r="FK191" s="139" t="str">
        <f t="shared" si="272"/>
        <v/>
      </c>
      <c r="FL191" s="139" t="str">
        <f t="shared" si="273"/>
        <v/>
      </c>
      <c r="FM191" s="139" t="str">
        <f t="shared" si="274"/>
        <v/>
      </c>
      <c r="FN191" s="139" t="str">
        <f t="shared" si="275"/>
        <v/>
      </c>
      <c r="FO191" s="139" t="str">
        <f t="shared" si="276"/>
        <v/>
      </c>
      <c r="FP191" s="139" t="str">
        <f t="shared" si="277"/>
        <v/>
      </c>
      <c r="FQ191" s="139" t="str">
        <f t="shared" si="278"/>
        <v/>
      </c>
      <c r="FR191" s="139" t="str">
        <f t="shared" si="279"/>
        <v/>
      </c>
      <c r="FS191" s="139" t="str">
        <f t="shared" si="280"/>
        <v/>
      </c>
      <c r="FT191" s="139" t="str">
        <f t="shared" si="281"/>
        <v/>
      </c>
      <c r="FU191" s="148" t="str">
        <f t="shared" si="282"/>
        <v/>
      </c>
      <c r="FV191" s="149"/>
      <c r="FY191" s="210">
        <v>186</v>
      </c>
      <c r="FZ191" s="205"/>
      <c r="GA191" s="205"/>
      <c r="GB191" s="205"/>
      <c r="GC191" s="205"/>
      <c r="GD191" s="205"/>
      <c r="GE191" s="205"/>
      <c r="GF191" s="205"/>
      <c r="GG191" s="205"/>
      <c r="GH191" s="205"/>
      <c r="GI191" s="205"/>
      <c r="GJ191" s="205"/>
      <c r="GK191" s="205"/>
      <c r="GL191" s="205"/>
      <c r="GM191" s="205"/>
    </row>
    <row r="192" spans="1:195" s="7" customFormat="1">
      <c r="A192" s="1"/>
      <c r="B192" s="76" t="str">
        <f t="shared" ca="1" si="249"/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/>
      <c r="AO192"/>
      <c r="AP192"/>
      <c r="AQ192"/>
      <c r="AR192"/>
      <c r="AS192"/>
      <c r="AT192"/>
      <c r="AU192"/>
      <c r="AV192"/>
      <c r="AW192"/>
      <c r="AX192" s="146"/>
      <c r="AY192" s="76" t="str">
        <f t="shared" ca="1" si="172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7"/>
        <v/>
      </c>
      <c r="CL192" s="179" t="str">
        <f t="shared" si="208"/>
        <v/>
      </c>
      <c r="CM192" s="180" t="str">
        <f t="shared" si="209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10"/>
        <v/>
      </c>
      <c r="DB192" s="146"/>
      <c r="DC192" s="76" t="str">
        <f t="shared" ca="1" si="173"/>
        <v/>
      </c>
      <c r="DD192" t="str">
        <f t="shared" si="211"/>
        <v/>
      </c>
      <c r="DE192" s="129" t="str">
        <f t="shared" si="283"/>
        <v/>
      </c>
      <c r="DF192" s="161" t="str">
        <f t="shared" si="284"/>
        <v/>
      </c>
      <c r="DG192" s="161" t="str">
        <f t="shared" si="285"/>
        <v/>
      </c>
      <c r="DH192" s="161" t="str">
        <f t="shared" si="286"/>
        <v/>
      </c>
      <c r="DI192" s="161" t="str">
        <f t="shared" si="287"/>
        <v/>
      </c>
      <c r="DJ192" s="161" t="str">
        <f t="shared" si="288"/>
        <v/>
      </c>
      <c r="DK192" s="161" t="str">
        <f t="shared" si="289"/>
        <v/>
      </c>
      <c r="DL192" s="161" t="str">
        <f t="shared" si="290"/>
        <v/>
      </c>
      <c r="DM192" s="161" t="str">
        <f t="shared" si="291"/>
        <v/>
      </c>
      <c r="DN192" s="161" t="str">
        <f>IF($AZ192="", "", (BJ192*$CW192)/$CZ192)</f>
        <v/>
      </c>
      <c r="DO192" s="161" t="str">
        <f t="shared" si="292"/>
        <v/>
      </c>
      <c r="DP192" s="161" t="str">
        <f t="shared" si="293"/>
        <v/>
      </c>
      <c r="DQ192" s="161" t="str">
        <f t="shared" si="294"/>
        <v/>
      </c>
      <c r="DR192" s="161" t="str">
        <f t="shared" si="295"/>
        <v/>
      </c>
      <c r="DS192" s="161" t="str">
        <f t="shared" si="296"/>
        <v/>
      </c>
      <c r="DT192" s="161" t="str">
        <f t="shared" si="297"/>
        <v/>
      </c>
      <c r="DU192" s="161" t="str">
        <f t="shared" si="298"/>
        <v/>
      </c>
      <c r="DV192" s="161" t="str">
        <f t="shared" si="299"/>
        <v/>
      </c>
      <c r="DW192" s="161" t="str">
        <f t="shared" si="300"/>
        <v/>
      </c>
      <c r="DX192" s="161" t="str">
        <f t="shared" si="301"/>
        <v/>
      </c>
      <c r="DY192" s="161" t="str">
        <f t="shared" si="302"/>
        <v/>
      </c>
      <c r="DZ192" s="161" t="str">
        <f t="shared" si="303"/>
        <v/>
      </c>
      <c r="EA192" s="161" t="str">
        <f t="shared" si="304"/>
        <v/>
      </c>
      <c r="EB192" s="161" t="str">
        <f t="shared" si="305"/>
        <v/>
      </c>
      <c r="EC192" s="161" t="str">
        <f t="shared" si="306"/>
        <v/>
      </c>
      <c r="ED192" s="161" t="str">
        <f t="shared" si="307"/>
        <v/>
      </c>
      <c r="EE192" s="161" t="str">
        <f t="shared" si="308"/>
        <v/>
      </c>
      <c r="EF192" s="161" t="str">
        <f t="shared" si="309"/>
        <v/>
      </c>
      <c r="EG192" s="161" t="str">
        <f t="shared" si="310"/>
        <v/>
      </c>
      <c r="EH192" s="161" t="str">
        <f t="shared" si="311"/>
        <v/>
      </c>
      <c r="EI192" s="161" t="str">
        <f t="shared" si="312"/>
        <v/>
      </c>
      <c r="EJ192" s="161" t="str">
        <f t="shared" si="313"/>
        <v/>
      </c>
      <c r="EK192" s="147" t="str">
        <f t="shared" si="250"/>
        <v/>
      </c>
      <c r="EL192" s="149"/>
      <c r="EN192" s="146"/>
      <c r="EO192" s="146"/>
      <c r="EP192" s="139" t="str">
        <f t="shared" si="251"/>
        <v/>
      </c>
      <c r="EQ192" s="139" t="str">
        <f t="shared" si="252"/>
        <v/>
      </c>
      <c r="ER192" s="139" t="str">
        <f t="shared" si="253"/>
        <v/>
      </c>
      <c r="ES192" s="139" t="str">
        <f t="shared" si="254"/>
        <v/>
      </c>
      <c r="ET192" s="139" t="str">
        <f t="shared" si="255"/>
        <v/>
      </c>
      <c r="EU192" s="139" t="str">
        <f t="shared" si="256"/>
        <v/>
      </c>
      <c r="EV192" s="139" t="str">
        <f t="shared" si="257"/>
        <v/>
      </c>
      <c r="EW192" s="139" t="str">
        <f t="shared" si="258"/>
        <v/>
      </c>
      <c r="EX192" s="139" t="str">
        <f t="shared" si="259"/>
        <v/>
      </c>
      <c r="EY192" s="139" t="str">
        <f t="shared" si="260"/>
        <v/>
      </c>
      <c r="EZ192" s="139" t="str">
        <f t="shared" si="261"/>
        <v/>
      </c>
      <c r="FA192" s="139" t="str">
        <f t="shared" si="262"/>
        <v/>
      </c>
      <c r="FB192" s="139" t="str">
        <f t="shared" si="263"/>
        <v/>
      </c>
      <c r="FC192" s="139" t="str">
        <f t="shared" si="264"/>
        <v/>
      </c>
      <c r="FD192" s="139" t="str">
        <f t="shared" si="265"/>
        <v/>
      </c>
      <c r="FE192" s="139" t="str">
        <f t="shared" si="266"/>
        <v/>
      </c>
      <c r="FF192" s="139" t="str">
        <f t="shared" si="267"/>
        <v/>
      </c>
      <c r="FG192" s="139" t="str">
        <f t="shared" si="268"/>
        <v/>
      </c>
      <c r="FH192" s="139" t="str">
        <f t="shared" si="269"/>
        <v/>
      </c>
      <c r="FI192" s="139" t="str">
        <f t="shared" si="270"/>
        <v/>
      </c>
      <c r="FJ192" s="139" t="str">
        <f t="shared" si="271"/>
        <v/>
      </c>
      <c r="FK192" s="139" t="str">
        <f t="shared" si="272"/>
        <v/>
      </c>
      <c r="FL192" s="139" t="str">
        <f t="shared" si="273"/>
        <v/>
      </c>
      <c r="FM192" s="139" t="str">
        <f t="shared" si="274"/>
        <v/>
      </c>
      <c r="FN192" s="139" t="str">
        <f t="shared" si="275"/>
        <v/>
      </c>
      <c r="FO192" s="139" t="str">
        <f t="shared" si="276"/>
        <v/>
      </c>
      <c r="FP192" s="139" t="str">
        <f t="shared" si="277"/>
        <v/>
      </c>
      <c r="FQ192" s="139" t="str">
        <f t="shared" si="278"/>
        <v/>
      </c>
      <c r="FR192" s="139" t="str">
        <f t="shared" si="279"/>
        <v/>
      </c>
      <c r="FS192" s="139" t="str">
        <f t="shared" si="280"/>
        <v/>
      </c>
      <c r="FT192" s="139" t="str">
        <f t="shared" si="281"/>
        <v/>
      </c>
      <c r="FU192" s="148" t="str">
        <f t="shared" si="282"/>
        <v/>
      </c>
      <c r="FV192" s="149"/>
      <c r="FY192" s="210">
        <v>187</v>
      </c>
      <c r="FZ192" s="205"/>
      <c r="GA192" s="205"/>
      <c r="GB192" s="205"/>
      <c r="GC192" s="205"/>
      <c r="GD192" s="205"/>
      <c r="GE192" s="205"/>
      <c r="GF192" s="205"/>
      <c r="GG192" s="205"/>
      <c r="GH192" s="205"/>
      <c r="GI192" s="205"/>
      <c r="GJ192" s="205"/>
      <c r="GK192" s="205"/>
      <c r="GL192" s="205"/>
      <c r="GM192" s="205"/>
    </row>
    <row r="193" spans="1:195" s="7" customFormat="1">
      <c r="A193" s="1"/>
      <c r="B193" s="76" t="str">
        <f t="shared" ca="1" si="249"/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/>
      <c r="AO193"/>
      <c r="AP193"/>
      <c r="AQ193"/>
      <c r="AR193"/>
      <c r="AS193"/>
      <c r="AT193"/>
      <c r="AU193"/>
      <c r="AV193"/>
      <c r="AW193"/>
      <c r="AX193" s="146"/>
      <c r="AY193" s="76" t="str">
        <f t="shared" ca="1" si="172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7"/>
        <v/>
      </c>
      <c r="CL193" s="179" t="str">
        <f t="shared" si="208"/>
        <v/>
      </c>
      <c r="CM193" s="180" t="str">
        <f t="shared" si="209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10"/>
        <v/>
      </c>
      <c r="DB193" s="146"/>
      <c r="DC193" s="76" t="str">
        <f t="shared" ca="1" si="173"/>
        <v/>
      </c>
      <c r="DD193" t="str">
        <f t="shared" si="211"/>
        <v/>
      </c>
      <c r="DE193" s="129" t="str">
        <f t="shared" si="283"/>
        <v/>
      </c>
      <c r="DF193" s="161" t="str">
        <f t="shared" si="284"/>
        <v/>
      </c>
      <c r="DG193" s="161" t="str">
        <f t="shared" si="285"/>
        <v/>
      </c>
      <c r="DH193" s="161" t="str">
        <f t="shared" si="286"/>
        <v/>
      </c>
      <c r="DI193" s="161" t="str">
        <f t="shared" si="287"/>
        <v/>
      </c>
      <c r="DJ193" s="161" t="str">
        <f t="shared" si="288"/>
        <v/>
      </c>
      <c r="DK193" s="161" t="str">
        <f t="shared" si="289"/>
        <v/>
      </c>
      <c r="DL193" s="161" t="str">
        <f t="shared" si="290"/>
        <v/>
      </c>
      <c r="DM193" s="161" t="str">
        <f t="shared" si="291"/>
        <v/>
      </c>
      <c r="DN193" s="161" t="str">
        <f t="shared" ref="DN193:DN207" si="314">IF($AZ193="", "", (BJ193*$CW193)/$CZ193)</f>
        <v/>
      </c>
      <c r="DO193" s="161" t="str">
        <f t="shared" si="292"/>
        <v/>
      </c>
      <c r="DP193" s="161" t="str">
        <f t="shared" si="293"/>
        <v/>
      </c>
      <c r="DQ193" s="161" t="str">
        <f t="shared" si="294"/>
        <v/>
      </c>
      <c r="DR193" s="161" t="str">
        <f t="shared" si="295"/>
        <v/>
      </c>
      <c r="DS193" s="161" t="str">
        <f t="shared" si="296"/>
        <v/>
      </c>
      <c r="DT193" s="161" t="str">
        <f t="shared" si="297"/>
        <v/>
      </c>
      <c r="DU193" s="161" t="str">
        <f t="shared" si="298"/>
        <v/>
      </c>
      <c r="DV193" s="161" t="str">
        <f t="shared" si="299"/>
        <v/>
      </c>
      <c r="DW193" s="161" t="str">
        <f t="shared" si="300"/>
        <v/>
      </c>
      <c r="DX193" s="161" t="str">
        <f t="shared" si="301"/>
        <v/>
      </c>
      <c r="DY193" s="161" t="str">
        <f t="shared" si="302"/>
        <v/>
      </c>
      <c r="DZ193" s="161" t="str">
        <f t="shared" si="303"/>
        <v/>
      </c>
      <c r="EA193" s="161" t="str">
        <f t="shared" si="304"/>
        <v/>
      </c>
      <c r="EB193" s="161" t="str">
        <f t="shared" si="305"/>
        <v/>
      </c>
      <c r="EC193" s="161" t="str">
        <f t="shared" si="306"/>
        <v/>
      </c>
      <c r="ED193" s="161" t="str">
        <f t="shared" si="307"/>
        <v/>
      </c>
      <c r="EE193" s="161" t="str">
        <f t="shared" si="308"/>
        <v/>
      </c>
      <c r="EF193" s="161" t="str">
        <f t="shared" si="309"/>
        <v/>
      </c>
      <c r="EG193" s="161" t="str">
        <f t="shared" si="310"/>
        <v/>
      </c>
      <c r="EH193" s="161" t="str">
        <f t="shared" si="311"/>
        <v/>
      </c>
      <c r="EI193" s="161" t="str">
        <f t="shared" si="312"/>
        <v/>
      </c>
      <c r="EJ193" s="161" t="str">
        <f t="shared" si="313"/>
        <v/>
      </c>
      <c r="EK193" s="147" t="str">
        <f t="shared" si="250"/>
        <v/>
      </c>
      <c r="EL193" s="149"/>
      <c r="EN193" s="146"/>
      <c r="EO193" s="146"/>
      <c r="EP193" s="139" t="str">
        <f t="shared" si="251"/>
        <v/>
      </c>
      <c r="EQ193" s="139" t="str">
        <f t="shared" si="252"/>
        <v/>
      </c>
      <c r="ER193" s="139" t="str">
        <f t="shared" si="253"/>
        <v/>
      </c>
      <c r="ES193" s="139" t="str">
        <f t="shared" si="254"/>
        <v/>
      </c>
      <c r="ET193" s="139" t="str">
        <f t="shared" si="255"/>
        <v/>
      </c>
      <c r="EU193" s="139" t="str">
        <f t="shared" si="256"/>
        <v/>
      </c>
      <c r="EV193" s="139" t="str">
        <f t="shared" si="257"/>
        <v/>
      </c>
      <c r="EW193" s="139" t="str">
        <f t="shared" si="258"/>
        <v/>
      </c>
      <c r="EX193" s="139" t="str">
        <f t="shared" si="259"/>
        <v/>
      </c>
      <c r="EY193" s="139" t="str">
        <f t="shared" si="260"/>
        <v/>
      </c>
      <c r="EZ193" s="139" t="str">
        <f t="shared" si="261"/>
        <v/>
      </c>
      <c r="FA193" s="139" t="str">
        <f t="shared" si="262"/>
        <v/>
      </c>
      <c r="FB193" s="139" t="str">
        <f t="shared" si="263"/>
        <v/>
      </c>
      <c r="FC193" s="139" t="str">
        <f t="shared" si="264"/>
        <v/>
      </c>
      <c r="FD193" s="139" t="str">
        <f t="shared" si="265"/>
        <v/>
      </c>
      <c r="FE193" s="139" t="str">
        <f t="shared" si="266"/>
        <v/>
      </c>
      <c r="FF193" s="139" t="str">
        <f t="shared" si="267"/>
        <v/>
      </c>
      <c r="FG193" s="139" t="str">
        <f t="shared" si="268"/>
        <v/>
      </c>
      <c r="FH193" s="139" t="str">
        <f t="shared" si="269"/>
        <v/>
      </c>
      <c r="FI193" s="139" t="str">
        <f t="shared" si="270"/>
        <v/>
      </c>
      <c r="FJ193" s="139" t="str">
        <f t="shared" si="271"/>
        <v/>
      </c>
      <c r="FK193" s="139" t="str">
        <f t="shared" si="272"/>
        <v/>
      </c>
      <c r="FL193" s="139" t="str">
        <f t="shared" si="273"/>
        <v/>
      </c>
      <c r="FM193" s="139" t="str">
        <f t="shared" si="274"/>
        <v/>
      </c>
      <c r="FN193" s="139" t="str">
        <f t="shared" si="275"/>
        <v/>
      </c>
      <c r="FO193" s="139" t="str">
        <f t="shared" si="276"/>
        <v/>
      </c>
      <c r="FP193" s="139" t="str">
        <f t="shared" si="277"/>
        <v/>
      </c>
      <c r="FQ193" s="139" t="str">
        <f t="shared" si="278"/>
        <v/>
      </c>
      <c r="FR193" s="139" t="str">
        <f t="shared" si="279"/>
        <v/>
      </c>
      <c r="FS193" s="139" t="str">
        <f t="shared" si="280"/>
        <v/>
      </c>
      <c r="FT193" s="139" t="str">
        <f t="shared" si="281"/>
        <v/>
      </c>
      <c r="FU193" s="148" t="str">
        <f t="shared" si="282"/>
        <v/>
      </c>
      <c r="FV193" s="149"/>
      <c r="FY193" s="210">
        <v>188</v>
      </c>
      <c r="FZ193" s="205"/>
      <c r="GA193" s="205"/>
      <c r="GB193" s="205"/>
      <c r="GC193" s="205"/>
      <c r="GD193" s="205"/>
      <c r="GE193" s="205"/>
      <c r="GF193" s="205"/>
      <c r="GG193" s="205"/>
      <c r="GH193" s="205"/>
      <c r="GI193" s="205"/>
      <c r="GJ193" s="205"/>
      <c r="GK193" s="205"/>
      <c r="GL193" s="205"/>
      <c r="GM193" s="205"/>
    </row>
    <row r="194" spans="1:195" s="7" customFormat="1">
      <c r="A194" s="1"/>
      <c r="B194" s="76" t="str">
        <f t="shared" ca="1" si="249"/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/>
      <c r="AO194"/>
      <c r="AP194"/>
      <c r="AQ194"/>
      <c r="AR194"/>
      <c r="AS194"/>
      <c r="AT194"/>
      <c r="AU194"/>
      <c r="AV194"/>
      <c r="AW194"/>
      <c r="AX194" s="146"/>
      <c r="AY194" s="76" t="str">
        <f t="shared" ca="1" si="172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7"/>
        <v/>
      </c>
      <c r="CL194" s="179" t="str">
        <f t="shared" si="208"/>
        <v/>
      </c>
      <c r="CM194" s="180" t="str">
        <f t="shared" si="209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10"/>
        <v/>
      </c>
      <c r="DB194" s="146"/>
      <c r="DC194" s="76" t="str">
        <f t="shared" ca="1" si="173"/>
        <v/>
      </c>
      <c r="DD194" t="str">
        <f t="shared" si="211"/>
        <v/>
      </c>
      <c r="DE194" s="129" t="str">
        <f t="shared" si="283"/>
        <v/>
      </c>
      <c r="DF194" s="161" t="str">
        <f t="shared" si="284"/>
        <v/>
      </c>
      <c r="DG194" s="161" t="str">
        <f t="shared" si="285"/>
        <v/>
      </c>
      <c r="DH194" s="161" t="str">
        <f t="shared" si="286"/>
        <v/>
      </c>
      <c r="DI194" s="161" t="str">
        <f t="shared" si="287"/>
        <v/>
      </c>
      <c r="DJ194" s="161" t="str">
        <f t="shared" si="288"/>
        <v/>
      </c>
      <c r="DK194" s="161" t="str">
        <f t="shared" si="289"/>
        <v/>
      </c>
      <c r="DL194" s="161" t="str">
        <f t="shared" si="290"/>
        <v/>
      </c>
      <c r="DM194" s="161" t="str">
        <f t="shared" si="291"/>
        <v/>
      </c>
      <c r="DN194" s="161" t="str">
        <f t="shared" si="314"/>
        <v/>
      </c>
      <c r="DO194" s="161" t="str">
        <f t="shared" ref="DO194:DO206" si="315">IF($AZ194="", "", (BK193*$CW194)/$CZ194)</f>
        <v/>
      </c>
      <c r="DP194" s="161" t="str">
        <f t="shared" ref="DP194:DP206" si="316">IF($AZ194="", "", (BL193*$CW194)/$CZ194)</f>
        <v/>
      </c>
      <c r="DQ194" s="161" t="str">
        <f t="shared" ref="DQ194:DQ206" si="317">IF($AZ194="", "", (BM193*$CW194)/$CZ194)</f>
        <v/>
      </c>
      <c r="DR194" s="161" t="str">
        <f t="shared" ref="DR194:DR206" si="318">IF($AZ194="", "", (BN193*$CW194)/$CZ194)</f>
        <v/>
      </c>
      <c r="DS194" s="161" t="str">
        <f t="shared" ref="DS194:DS206" si="319">IF($AZ194="", "", (BO193*$CW194)/$CZ194)</f>
        <v/>
      </c>
      <c r="DT194" s="161" t="str">
        <f t="shared" ref="DT194:DT206" si="320">IF($AZ194="", "", (BP193*$CW194)/$CZ194)</f>
        <v/>
      </c>
      <c r="DU194" s="161" t="str">
        <f t="shared" ref="DU194:DU206" si="321">IF($AZ194="", "", (BQ193*$CW194)/$CZ194)</f>
        <v/>
      </c>
      <c r="DV194" s="161" t="str">
        <f t="shared" ref="DV194:DV206" si="322">IF($AZ194="", "", (BR193*$CW194)/$CZ194)</f>
        <v/>
      </c>
      <c r="DW194" s="161" t="str">
        <f t="shared" ref="DW194:DW206" si="323">IF($AZ194="", "", (BS193*$CW194)/$CZ194)</f>
        <v/>
      </c>
      <c r="DX194" s="161" t="str">
        <f t="shared" ref="DX194:DX206" si="324">IF($AZ194="", "", (BT193*$CW194)/$CZ194)</f>
        <v/>
      </c>
      <c r="DY194" s="161" t="str">
        <f t="shared" ref="DY194:DY206" si="325">IF($AZ194="", "", (BU193*$CW194)/$CZ194)</f>
        <v/>
      </c>
      <c r="DZ194" s="161" t="str">
        <f t="shared" ref="DZ194:DZ206" si="326">IF($AZ194="", "", (BV193*$CW194)/$CZ194)</f>
        <v/>
      </c>
      <c r="EA194" s="161" t="str">
        <f t="shared" ref="EA194:EA206" si="327">IF($AZ194="", "", (BW193*$CW194)/$CZ194)</f>
        <v/>
      </c>
      <c r="EB194" s="161" t="str">
        <f t="shared" ref="EB194:EB206" si="328">IF($AZ194="", "", (BX193*$CW194)/$CZ194)</f>
        <v/>
      </c>
      <c r="EC194" s="161" t="str">
        <f t="shared" ref="EC194:EC206" si="329">IF($AZ194="", "", (BY193*$CW194)/$CZ194)</f>
        <v/>
      </c>
      <c r="ED194" s="161" t="str">
        <f t="shared" ref="ED194:ED206" si="330">IF($AZ194="", "", (BZ193*$CW194)/$CZ194)</f>
        <v/>
      </c>
      <c r="EE194" s="161" t="str">
        <f t="shared" ref="EE194:EE206" si="331">IF($AZ194="", "", (CA193*$CW194)/$CZ194)</f>
        <v/>
      </c>
      <c r="EF194" s="161" t="str">
        <f t="shared" ref="EF194:EF206" si="332">IF($AZ194="", "", (CB193*$CW194)/$CZ194)</f>
        <v/>
      </c>
      <c r="EG194" s="161" t="str">
        <f t="shared" ref="EG194:EG206" si="333">IF($AZ194="", "", (CC193*$CW194)/$CZ194)</f>
        <v/>
      </c>
      <c r="EH194" s="161" t="str">
        <f t="shared" ref="EH194:EH206" si="334">IF($AZ194="", "", (CD193*$CW194)/$CZ194)</f>
        <v/>
      </c>
      <c r="EI194" s="161" t="str">
        <f t="shared" ref="EI194:EI206" si="335">IF($AZ194="", "", (CE193*$CW194)/$CZ194)</f>
        <v/>
      </c>
      <c r="EJ194" s="161" t="str">
        <f t="shared" ref="EJ194:EJ206" si="336">IF($AZ194="", "", (CF193*$CW194)/$CZ194)</f>
        <v/>
      </c>
      <c r="EK194" s="147" t="str">
        <f t="shared" si="250"/>
        <v/>
      </c>
      <c r="EL194" s="149"/>
      <c r="EN194" s="146"/>
      <c r="EO194" s="146"/>
      <c r="EP194" s="139" t="str">
        <f t="shared" si="251"/>
        <v/>
      </c>
      <c r="EQ194" s="139" t="str">
        <f t="shared" si="252"/>
        <v/>
      </c>
      <c r="ER194" s="139" t="str">
        <f t="shared" si="253"/>
        <v/>
      </c>
      <c r="ES194" s="139" t="str">
        <f t="shared" si="254"/>
        <v/>
      </c>
      <c r="ET194" s="139" t="str">
        <f t="shared" si="255"/>
        <v/>
      </c>
      <c r="EU194" s="139" t="str">
        <f t="shared" si="256"/>
        <v/>
      </c>
      <c r="EV194" s="139" t="str">
        <f t="shared" si="257"/>
        <v/>
      </c>
      <c r="EW194" s="139" t="str">
        <f t="shared" si="258"/>
        <v/>
      </c>
      <c r="EX194" s="139" t="str">
        <f t="shared" si="259"/>
        <v/>
      </c>
      <c r="EY194" s="139" t="str">
        <f t="shared" si="260"/>
        <v/>
      </c>
      <c r="EZ194" s="139" t="str">
        <f t="shared" si="261"/>
        <v/>
      </c>
      <c r="FA194" s="139" t="str">
        <f t="shared" si="262"/>
        <v/>
      </c>
      <c r="FB194" s="139" t="str">
        <f t="shared" si="263"/>
        <v/>
      </c>
      <c r="FC194" s="139" t="str">
        <f t="shared" si="264"/>
        <v/>
      </c>
      <c r="FD194" s="139" t="str">
        <f t="shared" si="265"/>
        <v/>
      </c>
      <c r="FE194" s="139" t="str">
        <f t="shared" si="266"/>
        <v/>
      </c>
      <c r="FF194" s="139" t="str">
        <f t="shared" si="267"/>
        <v/>
      </c>
      <c r="FG194" s="139" t="str">
        <f t="shared" si="268"/>
        <v/>
      </c>
      <c r="FH194" s="139" t="str">
        <f t="shared" si="269"/>
        <v/>
      </c>
      <c r="FI194" s="139" t="str">
        <f t="shared" si="270"/>
        <v/>
      </c>
      <c r="FJ194" s="139" t="str">
        <f t="shared" si="271"/>
        <v/>
      </c>
      <c r="FK194" s="139" t="str">
        <f t="shared" si="272"/>
        <v/>
      </c>
      <c r="FL194" s="139" t="str">
        <f t="shared" si="273"/>
        <v/>
      </c>
      <c r="FM194" s="139" t="str">
        <f t="shared" si="274"/>
        <v/>
      </c>
      <c r="FN194" s="139" t="str">
        <f t="shared" si="275"/>
        <v/>
      </c>
      <c r="FO194" s="139" t="str">
        <f t="shared" si="276"/>
        <v/>
      </c>
      <c r="FP194" s="139" t="str">
        <f t="shared" si="277"/>
        <v/>
      </c>
      <c r="FQ194" s="139" t="str">
        <f t="shared" si="278"/>
        <v/>
      </c>
      <c r="FR194" s="139" t="str">
        <f t="shared" si="279"/>
        <v/>
      </c>
      <c r="FS194" s="139" t="str">
        <f t="shared" si="280"/>
        <v/>
      </c>
      <c r="FT194" s="139" t="str">
        <f t="shared" si="281"/>
        <v/>
      </c>
      <c r="FU194" s="148" t="str">
        <f t="shared" si="282"/>
        <v/>
      </c>
      <c r="FV194" s="149"/>
      <c r="FY194" s="210">
        <v>189</v>
      </c>
      <c r="FZ194" s="205"/>
      <c r="GA194" s="205"/>
      <c r="GB194" s="205"/>
      <c r="GC194" s="205"/>
      <c r="GD194" s="205"/>
      <c r="GE194" s="205"/>
      <c r="GF194" s="205"/>
      <c r="GG194" s="205"/>
      <c r="GH194" s="205"/>
      <c r="GI194" s="205"/>
      <c r="GJ194" s="205"/>
      <c r="GK194" s="205"/>
      <c r="GL194" s="205"/>
      <c r="GM194" s="205"/>
    </row>
    <row r="195" spans="1:195" s="7" customFormat="1">
      <c r="A195" s="1"/>
      <c r="B195" s="76" t="str">
        <f t="shared" ca="1" si="249"/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/>
      <c r="AO195"/>
      <c r="AP195"/>
      <c r="AQ195"/>
      <c r="AR195"/>
      <c r="AS195"/>
      <c r="AT195"/>
      <c r="AU195"/>
      <c r="AV195"/>
      <c r="AW195"/>
      <c r="AX195" s="146"/>
      <c r="AY195" s="76" t="str">
        <f t="shared" ca="1" si="172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7"/>
        <v/>
      </c>
      <c r="CL195" s="179" t="str">
        <f t="shared" si="208"/>
        <v/>
      </c>
      <c r="CM195" s="180" t="str">
        <f t="shared" si="209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10"/>
        <v/>
      </c>
      <c r="DB195" s="146"/>
      <c r="DC195" s="76" t="str">
        <f t="shared" ca="1" si="173"/>
        <v/>
      </c>
      <c r="DD195" t="str">
        <f t="shared" si="211"/>
        <v/>
      </c>
      <c r="DE195" s="129" t="str">
        <f t="shared" si="283"/>
        <v/>
      </c>
      <c r="DF195" s="161" t="str">
        <f t="shared" si="284"/>
        <v/>
      </c>
      <c r="DG195" s="161" t="str">
        <f t="shared" si="285"/>
        <v/>
      </c>
      <c r="DH195" s="161" t="str">
        <f t="shared" si="286"/>
        <v/>
      </c>
      <c r="DI195" s="161" t="str">
        <f t="shared" si="287"/>
        <v/>
      </c>
      <c r="DJ195" s="161" t="str">
        <f t="shared" si="288"/>
        <v/>
      </c>
      <c r="DK195" s="161" t="str">
        <f t="shared" si="289"/>
        <v/>
      </c>
      <c r="DL195" s="161" t="str">
        <f t="shared" si="290"/>
        <v/>
      </c>
      <c r="DM195" s="161" t="str">
        <f t="shared" si="291"/>
        <v/>
      </c>
      <c r="DN195" s="161" t="str">
        <f t="shared" si="314"/>
        <v/>
      </c>
      <c r="DO195" s="161" t="str">
        <f t="shared" si="315"/>
        <v/>
      </c>
      <c r="DP195" s="161" t="str">
        <f t="shared" si="316"/>
        <v/>
      </c>
      <c r="DQ195" s="161" t="str">
        <f t="shared" si="317"/>
        <v/>
      </c>
      <c r="DR195" s="161" t="str">
        <f t="shared" si="318"/>
        <v/>
      </c>
      <c r="DS195" s="161" t="str">
        <f t="shared" si="319"/>
        <v/>
      </c>
      <c r="DT195" s="161" t="str">
        <f t="shared" si="320"/>
        <v/>
      </c>
      <c r="DU195" s="161" t="str">
        <f t="shared" si="321"/>
        <v/>
      </c>
      <c r="DV195" s="161" t="str">
        <f t="shared" si="322"/>
        <v/>
      </c>
      <c r="DW195" s="161" t="str">
        <f t="shared" si="323"/>
        <v/>
      </c>
      <c r="DX195" s="161" t="str">
        <f t="shared" si="324"/>
        <v/>
      </c>
      <c r="DY195" s="161" t="str">
        <f t="shared" si="325"/>
        <v/>
      </c>
      <c r="DZ195" s="161" t="str">
        <f t="shared" si="326"/>
        <v/>
      </c>
      <c r="EA195" s="161" t="str">
        <f t="shared" si="327"/>
        <v/>
      </c>
      <c r="EB195" s="161" t="str">
        <f t="shared" si="328"/>
        <v/>
      </c>
      <c r="EC195" s="161" t="str">
        <f t="shared" si="329"/>
        <v/>
      </c>
      <c r="ED195" s="161" t="str">
        <f t="shared" si="330"/>
        <v/>
      </c>
      <c r="EE195" s="161" t="str">
        <f t="shared" si="331"/>
        <v/>
      </c>
      <c r="EF195" s="161" t="str">
        <f t="shared" si="332"/>
        <v/>
      </c>
      <c r="EG195" s="161" t="str">
        <f t="shared" si="333"/>
        <v/>
      </c>
      <c r="EH195" s="161" t="str">
        <f t="shared" si="334"/>
        <v/>
      </c>
      <c r="EI195" s="161" t="str">
        <f t="shared" si="335"/>
        <v/>
      </c>
      <c r="EJ195" s="161" t="str">
        <f t="shared" si="336"/>
        <v/>
      </c>
      <c r="EK195" s="147" t="str">
        <f t="shared" si="250"/>
        <v/>
      </c>
      <c r="EL195" s="149"/>
      <c r="EN195" s="146"/>
      <c r="EO195" s="146"/>
      <c r="EP195" s="139" t="str">
        <f t="shared" si="251"/>
        <v/>
      </c>
      <c r="EQ195" s="139" t="str">
        <f t="shared" si="252"/>
        <v/>
      </c>
      <c r="ER195" s="139" t="str">
        <f t="shared" si="253"/>
        <v/>
      </c>
      <c r="ES195" s="139" t="str">
        <f t="shared" si="254"/>
        <v/>
      </c>
      <c r="ET195" s="139" t="str">
        <f t="shared" si="255"/>
        <v/>
      </c>
      <c r="EU195" s="139" t="str">
        <f t="shared" si="256"/>
        <v/>
      </c>
      <c r="EV195" s="139" t="str">
        <f t="shared" si="257"/>
        <v/>
      </c>
      <c r="EW195" s="139" t="str">
        <f t="shared" si="258"/>
        <v/>
      </c>
      <c r="EX195" s="139" t="str">
        <f t="shared" si="259"/>
        <v/>
      </c>
      <c r="EY195" s="139" t="str">
        <f t="shared" si="260"/>
        <v/>
      </c>
      <c r="EZ195" s="139" t="str">
        <f t="shared" si="261"/>
        <v/>
      </c>
      <c r="FA195" s="139" t="str">
        <f t="shared" si="262"/>
        <v/>
      </c>
      <c r="FB195" s="139" t="str">
        <f t="shared" si="263"/>
        <v/>
      </c>
      <c r="FC195" s="139" t="str">
        <f t="shared" si="264"/>
        <v/>
      </c>
      <c r="FD195" s="139" t="str">
        <f t="shared" si="265"/>
        <v/>
      </c>
      <c r="FE195" s="139" t="str">
        <f t="shared" si="266"/>
        <v/>
      </c>
      <c r="FF195" s="139" t="str">
        <f t="shared" si="267"/>
        <v/>
      </c>
      <c r="FG195" s="139" t="str">
        <f t="shared" si="268"/>
        <v/>
      </c>
      <c r="FH195" s="139" t="str">
        <f t="shared" si="269"/>
        <v/>
      </c>
      <c r="FI195" s="139" t="str">
        <f t="shared" si="270"/>
        <v/>
      </c>
      <c r="FJ195" s="139" t="str">
        <f t="shared" si="271"/>
        <v/>
      </c>
      <c r="FK195" s="139" t="str">
        <f t="shared" si="272"/>
        <v/>
      </c>
      <c r="FL195" s="139" t="str">
        <f t="shared" si="273"/>
        <v/>
      </c>
      <c r="FM195" s="139" t="str">
        <f t="shared" si="274"/>
        <v/>
      </c>
      <c r="FN195" s="139" t="str">
        <f t="shared" si="275"/>
        <v/>
      </c>
      <c r="FO195" s="139" t="str">
        <f t="shared" si="276"/>
        <v/>
      </c>
      <c r="FP195" s="139" t="str">
        <f t="shared" si="277"/>
        <v/>
      </c>
      <c r="FQ195" s="139" t="str">
        <f t="shared" si="278"/>
        <v/>
      </c>
      <c r="FR195" s="139" t="str">
        <f t="shared" si="279"/>
        <v/>
      </c>
      <c r="FS195" s="139" t="str">
        <f t="shared" si="280"/>
        <v/>
      </c>
      <c r="FT195" s="139" t="str">
        <f t="shared" si="281"/>
        <v/>
      </c>
      <c r="FU195" s="148" t="str">
        <f t="shared" si="282"/>
        <v/>
      </c>
      <c r="FV195" s="149"/>
      <c r="FY195" s="210">
        <v>190</v>
      </c>
      <c r="FZ195" s="205"/>
      <c r="GA195" s="205"/>
      <c r="GB195" s="205"/>
      <c r="GC195" s="205"/>
      <c r="GD195" s="205"/>
      <c r="GE195" s="205"/>
      <c r="GF195" s="205"/>
      <c r="GG195" s="205"/>
      <c r="GH195" s="205"/>
      <c r="GI195" s="205"/>
      <c r="GJ195" s="205"/>
      <c r="GK195" s="205"/>
      <c r="GL195" s="205"/>
      <c r="GM195" s="205"/>
    </row>
    <row r="196" spans="1:195" s="7" customFormat="1">
      <c r="A196" s="1"/>
      <c r="B196" s="76" t="str">
        <f t="shared" ca="1" si="249"/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/>
      <c r="AO196"/>
      <c r="AP196"/>
      <c r="AQ196"/>
      <c r="AR196"/>
      <c r="AS196"/>
      <c r="AT196"/>
      <c r="AU196"/>
      <c r="AV196"/>
      <c r="AW196"/>
      <c r="AX196" s="146"/>
      <c r="AY196" s="76" t="str">
        <f t="shared" ca="1" si="172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7"/>
        <v/>
      </c>
      <c r="CL196" s="179" t="str">
        <f t="shared" si="208"/>
        <v/>
      </c>
      <c r="CM196" s="180" t="str">
        <f t="shared" si="209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10"/>
        <v/>
      </c>
      <c r="DB196" s="146"/>
      <c r="DC196" s="76" t="str">
        <f t="shared" ca="1" si="173"/>
        <v/>
      </c>
      <c r="DD196" t="str">
        <f t="shared" si="211"/>
        <v/>
      </c>
      <c r="DE196" s="129" t="str">
        <f t="shared" si="283"/>
        <v/>
      </c>
      <c r="DF196" s="161" t="str">
        <f t="shared" si="284"/>
        <v/>
      </c>
      <c r="DG196" s="161" t="str">
        <f t="shared" si="285"/>
        <v/>
      </c>
      <c r="DH196" s="161" t="str">
        <f t="shared" si="286"/>
        <v/>
      </c>
      <c r="DI196" s="161" t="str">
        <f t="shared" si="287"/>
        <v/>
      </c>
      <c r="DJ196" s="161" t="str">
        <f t="shared" si="288"/>
        <v/>
      </c>
      <c r="DK196" s="161" t="str">
        <f t="shared" si="289"/>
        <v/>
      </c>
      <c r="DL196" s="161" t="str">
        <f t="shared" si="290"/>
        <v/>
      </c>
      <c r="DM196" s="161" t="str">
        <f t="shared" si="291"/>
        <v/>
      </c>
      <c r="DN196" s="161" t="str">
        <f t="shared" si="314"/>
        <v/>
      </c>
      <c r="DO196" s="161" t="str">
        <f t="shared" si="315"/>
        <v/>
      </c>
      <c r="DP196" s="161" t="str">
        <f t="shared" si="316"/>
        <v/>
      </c>
      <c r="DQ196" s="161" t="str">
        <f t="shared" si="317"/>
        <v/>
      </c>
      <c r="DR196" s="161" t="str">
        <f t="shared" si="318"/>
        <v/>
      </c>
      <c r="DS196" s="161" t="str">
        <f t="shared" si="319"/>
        <v/>
      </c>
      <c r="DT196" s="161" t="str">
        <f t="shared" si="320"/>
        <v/>
      </c>
      <c r="DU196" s="161" t="str">
        <f t="shared" si="321"/>
        <v/>
      </c>
      <c r="DV196" s="161" t="str">
        <f t="shared" si="322"/>
        <v/>
      </c>
      <c r="DW196" s="161" t="str">
        <f t="shared" si="323"/>
        <v/>
      </c>
      <c r="DX196" s="161" t="str">
        <f t="shared" si="324"/>
        <v/>
      </c>
      <c r="DY196" s="161" t="str">
        <f t="shared" si="325"/>
        <v/>
      </c>
      <c r="DZ196" s="161" t="str">
        <f t="shared" si="326"/>
        <v/>
      </c>
      <c r="EA196" s="161" t="str">
        <f t="shared" si="327"/>
        <v/>
      </c>
      <c r="EB196" s="161" t="str">
        <f t="shared" si="328"/>
        <v/>
      </c>
      <c r="EC196" s="161" t="str">
        <f t="shared" si="329"/>
        <v/>
      </c>
      <c r="ED196" s="161" t="str">
        <f t="shared" si="330"/>
        <v/>
      </c>
      <c r="EE196" s="161" t="str">
        <f t="shared" si="331"/>
        <v/>
      </c>
      <c r="EF196" s="161" t="str">
        <f t="shared" si="332"/>
        <v/>
      </c>
      <c r="EG196" s="161" t="str">
        <f t="shared" si="333"/>
        <v/>
      </c>
      <c r="EH196" s="161" t="str">
        <f t="shared" si="334"/>
        <v/>
      </c>
      <c r="EI196" s="161" t="str">
        <f t="shared" si="335"/>
        <v/>
      </c>
      <c r="EJ196" s="161" t="str">
        <f t="shared" si="336"/>
        <v/>
      </c>
      <c r="EK196" s="147" t="str">
        <f t="shared" si="250"/>
        <v/>
      </c>
      <c r="EL196" s="149"/>
      <c r="EN196" s="146"/>
      <c r="EO196" s="146"/>
      <c r="EP196" s="139" t="str">
        <f t="shared" si="251"/>
        <v/>
      </c>
      <c r="EQ196" s="139" t="str">
        <f t="shared" si="252"/>
        <v/>
      </c>
      <c r="ER196" s="139" t="str">
        <f t="shared" si="253"/>
        <v/>
      </c>
      <c r="ES196" s="139" t="str">
        <f t="shared" si="254"/>
        <v/>
      </c>
      <c r="ET196" s="139" t="str">
        <f t="shared" si="255"/>
        <v/>
      </c>
      <c r="EU196" s="139" t="str">
        <f t="shared" si="256"/>
        <v/>
      </c>
      <c r="EV196" s="139" t="str">
        <f t="shared" si="257"/>
        <v/>
      </c>
      <c r="EW196" s="139" t="str">
        <f t="shared" si="258"/>
        <v/>
      </c>
      <c r="EX196" s="139" t="str">
        <f t="shared" si="259"/>
        <v/>
      </c>
      <c r="EY196" s="139" t="str">
        <f t="shared" si="260"/>
        <v/>
      </c>
      <c r="EZ196" s="139" t="str">
        <f t="shared" si="261"/>
        <v/>
      </c>
      <c r="FA196" s="139" t="str">
        <f t="shared" si="262"/>
        <v/>
      </c>
      <c r="FB196" s="139" t="str">
        <f t="shared" si="263"/>
        <v/>
      </c>
      <c r="FC196" s="139" t="str">
        <f t="shared" si="264"/>
        <v/>
      </c>
      <c r="FD196" s="139" t="str">
        <f t="shared" si="265"/>
        <v/>
      </c>
      <c r="FE196" s="139" t="str">
        <f t="shared" si="266"/>
        <v/>
      </c>
      <c r="FF196" s="139" t="str">
        <f t="shared" si="267"/>
        <v/>
      </c>
      <c r="FG196" s="139" t="str">
        <f t="shared" si="268"/>
        <v/>
      </c>
      <c r="FH196" s="139" t="str">
        <f t="shared" si="269"/>
        <v/>
      </c>
      <c r="FI196" s="139" t="str">
        <f t="shared" si="270"/>
        <v/>
      </c>
      <c r="FJ196" s="139" t="str">
        <f t="shared" si="271"/>
        <v/>
      </c>
      <c r="FK196" s="139" t="str">
        <f t="shared" si="272"/>
        <v/>
      </c>
      <c r="FL196" s="139" t="str">
        <f t="shared" si="273"/>
        <v/>
      </c>
      <c r="FM196" s="139" t="str">
        <f t="shared" si="274"/>
        <v/>
      </c>
      <c r="FN196" s="139" t="str">
        <f t="shared" si="275"/>
        <v/>
      </c>
      <c r="FO196" s="139" t="str">
        <f t="shared" si="276"/>
        <v/>
      </c>
      <c r="FP196" s="139" t="str">
        <f t="shared" si="277"/>
        <v/>
      </c>
      <c r="FQ196" s="139" t="str">
        <f t="shared" si="278"/>
        <v/>
      </c>
      <c r="FR196" s="139" t="str">
        <f t="shared" si="279"/>
        <v/>
      </c>
      <c r="FS196" s="139" t="str">
        <f t="shared" si="280"/>
        <v/>
      </c>
      <c r="FT196" s="139" t="str">
        <f t="shared" si="281"/>
        <v/>
      </c>
      <c r="FU196" s="148" t="str">
        <f t="shared" si="282"/>
        <v/>
      </c>
      <c r="FV196" s="149"/>
      <c r="FY196" s="210">
        <v>191</v>
      </c>
      <c r="FZ196" s="205"/>
      <c r="GA196" s="205"/>
      <c r="GB196" s="205"/>
      <c r="GC196" s="205"/>
      <c r="GD196" s="205"/>
      <c r="GE196" s="205"/>
      <c r="GF196" s="205"/>
      <c r="GG196" s="205"/>
      <c r="GH196" s="205"/>
      <c r="GI196" s="205"/>
      <c r="GJ196" s="205"/>
      <c r="GK196" s="205"/>
      <c r="GL196" s="205"/>
      <c r="GM196" s="205"/>
    </row>
    <row r="197" spans="1:195" s="7" customFormat="1">
      <c r="A197" s="1"/>
      <c r="B197" s="76" t="str">
        <f t="shared" ca="1" si="249"/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/>
      <c r="AO197"/>
      <c r="AP197"/>
      <c r="AQ197"/>
      <c r="AR197"/>
      <c r="AS197"/>
      <c r="AT197"/>
      <c r="AU197"/>
      <c r="AV197"/>
      <c r="AW197"/>
      <c r="AX197" s="146"/>
      <c r="AY197" s="76" t="str">
        <f t="shared" ca="1" si="172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7"/>
        <v/>
      </c>
      <c r="CL197" s="179" t="str">
        <f t="shared" si="208"/>
        <v/>
      </c>
      <c r="CM197" s="180" t="str">
        <f t="shared" si="209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10"/>
        <v/>
      </c>
      <c r="DB197" s="146"/>
      <c r="DC197" s="76" t="str">
        <f t="shared" ca="1" si="173"/>
        <v/>
      </c>
      <c r="DD197" t="str">
        <f t="shared" si="211"/>
        <v/>
      </c>
      <c r="DE197" s="129" t="str">
        <f t="shared" si="283"/>
        <v/>
      </c>
      <c r="DF197" s="161" t="str">
        <f t="shared" si="284"/>
        <v/>
      </c>
      <c r="DG197" s="161" t="str">
        <f t="shared" si="285"/>
        <v/>
      </c>
      <c r="DH197" s="161" t="str">
        <f t="shared" si="286"/>
        <v/>
      </c>
      <c r="DI197" s="161" t="str">
        <f t="shared" si="287"/>
        <v/>
      </c>
      <c r="DJ197" s="161" t="str">
        <f t="shared" si="288"/>
        <v/>
      </c>
      <c r="DK197" s="161" t="str">
        <f t="shared" si="289"/>
        <v/>
      </c>
      <c r="DL197" s="161" t="str">
        <f t="shared" si="290"/>
        <v/>
      </c>
      <c r="DM197" s="161" t="str">
        <f t="shared" si="291"/>
        <v/>
      </c>
      <c r="DN197" s="161" t="str">
        <f t="shared" si="314"/>
        <v/>
      </c>
      <c r="DO197" s="161" t="str">
        <f t="shared" si="315"/>
        <v/>
      </c>
      <c r="DP197" s="161" t="str">
        <f t="shared" si="316"/>
        <v/>
      </c>
      <c r="DQ197" s="161" t="str">
        <f t="shared" si="317"/>
        <v/>
      </c>
      <c r="DR197" s="161" t="str">
        <f t="shared" si="318"/>
        <v/>
      </c>
      <c r="DS197" s="161" t="str">
        <f t="shared" si="319"/>
        <v/>
      </c>
      <c r="DT197" s="161" t="str">
        <f t="shared" si="320"/>
        <v/>
      </c>
      <c r="DU197" s="161" t="str">
        <f t="shared" si="321"/>
        <v/>
      </c>
      <c r="DV197" s="161" t="str">
        <f t="shared" si="322"/>
        <v/>
      </c>
      <c r="DW197" s="161" t="str">
        <f t="shared" si="323"/>
        <v/>
      </c>
      <c r="DX197" s="161" t="str">
        <f t="shared" si="324"/>
        <v/>
      </c>
      <c r="DY197" s="161" t="str">
        <f t="shared" si="325"/>
        <v/>
      </c>
      <c r="DZ197" s="161" t="str">
        <f t="shared" si="326"/>
        <v/>
      </c>
      <c r="EA197" s="161" t="str">
        <f t="shared" si="327"/>
        <v/>
      </c>
      <c r="EB197" s="161" t="str">
        <f t="shared" si="328"/>
        <v/>
      </c>
      <c r="EC197" s="161" t="str">
        <f t="shared" si="329"/>
        <v/>
      </c>
      <c r="ED197" s="161" t="str">
        <f t="shared" si="330"/>
        <v/>
      </c>
      <c r="EE197" s="161" t="str">
        <f t="shared" si="331"/>
        <v/>
      </c>
      <c r="EF197" s="161" t="str">
        <f t="shared" si="332"/>
        <v/>
      </c>
      <c r="EG197" s="161" t="str">
        <f t="shared" si="333"/>
        <v/>
      </c>
      <c r="EH197" s="161" t="str">
        <f t="shared" si="334"/>
        <v/>
      </c>
      <c r="EI197" s="161" t="str">
        <f t="shared" si="335"/>
        <v/>
      </c>
      <c r="EJ197" s="161" t="str">
        <f t="shared" si="336"/>
        <v/>
      </c>
      <c r="EK197" s="147" t="str">
        <f t="shared" si="250"/>
        <v/>
      </c>
      <c r="EL197" s="149"/>
      <c r="EN197" s="146"/>
      <c r="EO197" s="146"/>
      <c r="EP197" s="139" t="str">
        <f t="shared" si="251"/>
        <v/>
      </c>
      <c r="EQ197" s="139" t="str">
        <f t="shared" si="252"/>
        <v/>
      </c>
      <c r="ER197" s="139" t="str">
        <f t="shared" si="253"/>
        <v/>
      </c>
      <c r="ES197" s="139" t="str">
        <f t="shared" si="254"/>
        <v/>
      </c>
      <c r="ET197" s="139" t="str">
        <f t="shared" si="255"/>
        <v/>
      </c>
      <c r="EU197" s="139" t="str">
        <f t="shared" si="256"/>
        <v/>
      </c>
      <c r="EV197" s="139" t="str">
        <f t="shared" si="257"/>
        <v/>
      </c>
      <c r="EW197" s="139" t="str">
        <f t="shared" si="258"/>
        <v/>
      </c>
      <c r="EX197" s="139" t="str">
        <f t="shared" si="259"/>
        <v/>
      </c>
      <c r="EY197" s="139" t="str">
        <f t="shared" si="260"/>
        <v/>
      </c>
      <c r="EZ197" s="139" t="str">
        <f t="shared" si="261"/>
        <v/>
      </c>
      <c r="FA197" s="139" t="str">
        <f t="shared" si="262"/>
        <v/>
      </c>
      <c r="FB197" s="139" t="str">
        <f t="shared" si="263"/>
        <v/>
      </c>
      <c r="FC197" s="139" t="str">
        <f t="shared" si="264"/>
        <v/>
      </c>
      <c r="FD197" s="139" t="str">
        <f t="shared" si="265"/>
        <v/>
      </c>
      <c r="FE197" s="139" t="str">
        <f t="shared" si="266"/>
        <v/>
      </c>
      <c r="FF197" s="139" t="str">
        <f t="shared" si="267"/>
        <v/>
      </c>
      <c r="FG197" s="139" t="str">
        <f t="shared" si="268"/>
        <v/>
      </c>
      <c r="FH197" s="139" t="str">
        <f t="shared" si="269"/>
        <v/>
      </c>
      <c r="FI197" s="139" t="str">
        <f t="shared" si="270"/>
        <v/>
      </c>
      <c r="FJ197" s="139" t="str">
        <f t="shared" si="271"/>
        <v/>
      </c>
      <c r="FK197" s="139" t="str">
        <f t="shared" si="272"/>
        <v/>
      </c>
      <c r="FL197" s="139" t="str">
        <f t="shared" si="273"/>
        <v/>
      </c>
      <c r="FM197" s="139" t="str">
        <f t="shared" si="274"/>
        <v/>
      </c>
      <c r="FN197" s="139" t="str">
        <f t="shared" si="275"/>
        <v/>
      </c>
      <c r="FO197" s="139" t="str">
        <f t="shared" si="276"/>
        <v/>
      </c>
      <c r="FP197" s="139" t="str">
        <f t="shared" si="277"/>
        <v/>
      </c>
      <c r="FQ197" s="139" t="str">
        <f t="shared" si="278"/>
        <v/>
      </c>
      <c r="FR197" s="139" t="str">
        <f t="shared" si="279"/>
        <v/>
      </c>
      <c r="FS197" s="139" t="str">
        <f t="shared" si="280"/>
        <v/>
      </c>
      <c r="FT197" s="139" t="str">
        <f t="shared" si="281"/>
        <v/>
      </c>
      <c r="FU197" s="148" t="str">
        <f t="shared" si="282"/>
        <v/>
      </c>
      <c r="FV197" s="149"/>
      <c r="FY197" s="210">
        <v>192</v>
      </c>
      <c r="FZ197" s="205"/>
      <c r="GA197" s="205"/>
      <c r="GB197" s="205"/>
      <c r="GC197" s="205"/>
      <c r="GD197" s="205"/>
      <c r="GE197" s="205"/>
      <c r="GF197" s="205"/>
      <c r="GG197" s="205"/>
      <c r="GH197" s="205"/>
      <c r="GI197" s="205"/>
      <c r="GJ197" s="205"/>
      <c r="GK197" s="205"/>
      <c r="GL197" s="205"/>
      <c r="GM197" s="205"/>
    </row>
    <row r="198" spans="1:195" s="7" customFormat="1">
      <c r="A198" s="128"/>
      <c r="B198" s="76" t="str">
        <f t="shared" ca="1" si="249"/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/>
      <c r="AO198"/>
      <c r="AP198"/>
      <c r="AQ198"/>
      <c r="AR198"/>
      <c r="AS198"/>
      <c r="AT198"/>
      <c r="AU198"/>
      <c r="AV198"/>
      <c r="AW198"/>
      <c r="AX198" s="128"/>
      <c r="AY198" s="76" t="str">
        <f t="shared" ca="1" si="172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7"/>
        <v/>
      </c>
      <c r="CL198" s="179" t="str">
        <f t="shared" si="208"/>
        <v/>
      </c>
      <c r="CM198" s="180" t="str">
        <f t="shared" si="209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10"/>
        <v/>
      </c>
      <c r="DB198" s="128"/>
      <c r="DC198" s="76" t="str">
        <f t="shared" ca="1" si="173"/>
        <v/>
      </c>
      <c r="DD198" t="str">
        <f t="shared" si="211"/>
        <v/>
      </c>
      <c r="DE198" s="129" t="str">
        <f t="shared" ref="DE198:DE207" si="337">IF((DD198)="", "", $C$15)</f>
        <v/>
      </c>
      <c r="DF198" s="161" t="str">
        <f t="shared" si="284"/>
        <v/>
      </c>
      <c r="DG198" s="161" t="str">
        <f t="shared" si="285"/>
        <v/>
      </c>
      <c r="DH198" s="161" t="str">
        <f t="shared" si="286"/>
        <v/>
      </c>
      <c r="DI198" s="161" t="str">
        <f t="shared" si="287"/>
        <v/>
      </c>
      <c r="DJ198" s="161" t="str">
        <f t="shared" si="288"/>
        <v/>
      </c>
      <c r="DK198" s="161" t="str">
        <f t="shared" si="289"/>
        <v/>
      </c>
      <c r="DL198" s="161" t="str">
        <f t="shared" si="290"/>
        <v/>
      </c>
      <c r="DM198" s="161" t="str">
        <f t="shared" si="291"/>
        <v/>
      </c>
      <c r="DN198" s="161" t="str">
        <f t="shared" si="314"/>
        <v/>
      </c>
      <c r="DO198" s="161" t="str">
        <f t="shared" si="315"/>
        <v/>
      </c>
      <c r="DP198" s="161" t="str">
        <f t="shared" si="316"/>
        <v/>
      </c>
      <c r="DQ198" s="161" t="str">
        <f t="shared" si="317"/>
        <v/>
      </c>
      <c r="DR198" s="161" t="str">
        <f t="shared" si="318"/>
        <v/>
      </c>
      <c r="DS198" s="161" t="str">
        <f t="shared" si="319"/>
        <v/>
      </c>
      <c r="DT198" s="161" t="str">
        <f t="shared" si="320"/>
        <v/>
      </c>
      <c r="DU198" s="161" t="str">
        <f t="shared" si="321"/>
        <v/>
      </c>
      <c r="DV198" s="161" t="str">
        <f t="shared" si="322"/>
        <v/>
      </c>
      <c r="DW198" s="161" t="str">
        <f t="shared" si="323"/>
        <v/>
      </c>
      <c r="DX198" s="161" t="str">
        <f t="shared" si="324"/>
        <v/>
      </c>
      <c r="DY198" s="161" t="str">
        <f t="shared" si="325"/>
        <v/>
      </c>
      <c r="DZ198" s="161" t="str">
        <f t="shared" si="326"/>
        <v/>
      </c>
      <c r="EA198" s="161" t="str">
        <f t="shared" si="327"/>
        <v/>
      </c>
      <c r="EB198" s="161" t="str">
        <f t="shared" si="328"/>
        <v/>
      </c>
      <c r="EC198" s="161" t="str">
        <f t="shared" si="329"/>
        <v/>
      </c>
      <c r="ED198" s="161" t="str">
        <f t="shared" si="330"/>
        <v/>
      </c>
      <c r="EE198" s="161" t="str">
        <f t="shared" si="331"/>
        <v/>
      </c>
      <c r="EF198" s="161" t="str">
        <f t="shared" si="332"/>
        <v/>
      </c>
      <c r="EG198" s="161" t="str">
        <f t="shared" si="333"/>
        <v/>
      </c>
      <c r="EH198" s="161" t="str">
        <f t="shared" si="334"/>
        <v/>
      </c>
      <c r="EI198" s="161" t="str">
        <f t="shared" si="335"/>
        <v/>
      </c>
      <c r="EJ198" s="161" t="str">
        <f t="shared" si="336"/>
        <v/>
      </c>
      <c r="EK198" s="147" t="str">
        <f t="shared" si="250"/>
        <v/>
      </c>
      <c r="EL198" s="149"/>
      <c r="EN198" s="146"/>
      <c r="EO198" s="146"/>
      <c r="EP198" s="139" t="str">
        <f t="shared" si="251"/>
        <v/>
      </c>
      <c r="EQ198" s="139" t="str">
        <f t="shared" si="252"/>
        <v/>
      </c>
      <c r="ER198" s="139" t="str">
        <f t="shared" si="253"/>
        <v/>
      </c>
      <c r="ES198" s="139" t="str">
        <f t="shared" si="254"/>
        <v/>
      </c>
      <c r="ET198" s="139" t="str">
        <f t="shared" si="255"/>
        <v/>
      </c>
      <c r="EU198" s="139" t="str">
        <f t="shared" si="256"/>
        <v/>
      </c>
      <c r="EV198" s="139" t="str">
        <f t="shared" si="257"/>
        <v/>
      </c>
      <c r="EW198" s="139" t="str">
        <f t="shared" si="258"/>
        <v/>
      </c>
      <c r="EX198" s="139" t="str">
        <f t="shared" si="259"/>
        <v/>
      </c>
      <c r="EY198" s="139" t="str">
        <f t="shared" si="260"/>
        <v/>
      </c>
      <c r="EZ198" s="139" t="str">
        <f t="shared" si="261"/>
        <v/>
      </c>
      <c r="FA198" s="139" t="str">
        <f t="shared" si="262"/>
        <v/>
      </c>
      <c r="FB198" s="139" t="str">
        <f t="shared" si="263"/>
        <v/>
      </c>
      <c r="FC198" s="139" t="str">
        <f t="shared" si="264"/>
        <v/>
      </c>
      <c r="FD198" s="139" t="str">
        <f t="shared" si="265"/>
        <v/>
      </c>
      <c r="FE198" s="139" t="str">
        <f t="shared" si="266"/>
        <v/>
      </c>
      <c r="FF198" s="139" t="str">
        <f t="shared" si="267"/>
        <v/>
      </c>
      <c r="FG198" s="139" t="str">
        <f t="shared" si="268"/>
        <v/>
      </c>
      <c r="FH198" s="139" t="str">
        <f t="shared" si="269"/>
        <v/>
      </c>
      <c r="FI198" s="139" t="str">
        <f t="shared" si="270"/>
        <v/>
      </c>
      <c r="FJ198" s="139" t="str">
        <f t="shared" si="271"/>
        <v/>
      </c>
      <c r="FK198" s="139" t="str">
        <f t="shared" si="272"/>
        <v/>
      </c>
      <c r="FL198" s="139" t="str">
        <f t="shared" si="273"/>
        <v/>
      </c>
      <c r="FM198" s="139" t="str">
        <f t="shared" si="274"/>
        <v/>
      </c>
      <c r="FN198" s="139" t="str">
        <f t="shared" si="275"/>
        <v/>
      </c>
      <c r="FO198" s="139" t="str">
        <f t="shared" si="276"/>
        <v/>
      </c>
      <c r="FP198" s="139" t="str">
        <f t="shared" si="277"/>
        <v/>
      </c>
      <c r="FQ198" s="139" t="str">
        <f t="shared" si="278"/>
        <v/>
      </c>
      <c r="FR198" s="139" t="str">
        <f t="shared" si="279"/>
        <v/>
      </c>
      <c r="FS198" s="139" t="str">
        <f t="shared" si="280"/>
        <v/>
      </c>
      <c r="FT198" s="139" t="str">
        <f t="shared" si="281"/>
        <v/>
      </c>
      <c r="FU198" s="148" t="str">
        <f t="shared" si="282"/>
        <v/>
      </c>
      <c r="FV198" s="149"/>
      <c r="FY198" s="210">
        <v>193</v>
      </c>
      <c r="FZ198" s="205"/>
      <c r="GA198" s="205"/>
      <c r="GB198" s="205"/>
      <c r="GC198" s="205"/>
      <c r="GD198" s="205"/>
      <c r="GE198" s="205"/>
      <c r="GF198" s="205"/>
      <c r="GG198" s="205"/>
      <c r="GH198" s="205"/>
      <c r="GI198" s="205"/>
      <c r="GJ198" s="205"/>
      <c r="GK198" s="205"/>
      <c r="GL198" s="205"/>
      <c r="GM198" s="205"/>
    </row>
    <row r="199" spans="1:195" s="7" customFormat="1">
      <c r="A199" s="1"/>
      <c r="B199" s="76" t="str">
        <f t="shared" ca="1" si="249"/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/>
      <c r="AO199"/>
      <c r="AP199"/>
      <c r="AQ199"/>
      <c r="AR199"/>
      <c r="AS199"/>
      <c r="AT199"/>
      <c r="AU199"/>
      <c r="AV199"/>
      <c r="AW199"/>
      <c r="AX199" s="146"/>
      <c r="AY199" s="76" t="str">
        <f t="shared" ca="1" si="172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7"/>
        <v/>
      </c>
      <c r="CL199" s="179" t="str">
        <f t="shared" si="208"/>
        <v/>
      </c>
      <c r="CM199" s="180" t="str">
        <f t="shared" si="209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10"/>
        <v/>
      </c>
      <c r="DB199" s="146"/>
      <c r="DC199" s="76" t="str">
        <f t="shared" ca="1" si="173"/>
        <v/>
      </c>
      <c r="DD199" t="str">
        <f t="shared" si="211"/>
        <v/>
      </c>
      <c r="DE199" s="129" t="str">
        <f t="shared" si="337"/>
        <v/>
      </c>
      <c r="DF199" s="161" t="str">
        <f t="shared" si="284"/>
        <v/>
      </c>
      <c r="DG199" s="161" t="str">
        <f t="shared" si="285"/>
        <v/>
      </c>
      <c r="DH199" s="161" t="str">
        <f t="shared" si="286"/>
        <v/>
      </c>
      <c r="DI199" s="161" t="str">
        <f t="shared" si="287"/>
        <v/>
      </c>
      <c r="DJ199" s="161" t="str">
        <f t="shared" si="288"/>
        <v/>
      </c>
      <c r="DK199" s="161" t="str">
        <f t="shared" si="289"/>
        <v/>
      </c>
      <c r="DL199" s="161" t="str">
        <f t="shared" si="290"/>
        <v/>
      </c>
      <c r="DM199" s="161" t="str">
        <f t="shared" si="291"/>
        <v/>
      </c>
      <c r="DN199" s="161" t="str">
        <f t="shared" si="314"/>
        <v/>
      </c>
      <c r="DO199" s="161" t="str">
        <f t="shared" si="315"/>
        <v/>
      </c>
      <c r="DP199" s="161" t="str">
        <f t="shared" si="316"/>
        <v/>
      </c>
      <c r="DQ199" s="161" t="str">
        <f t="shared" si="317"/>
        <v/>
      </c>
      <c r="DR199" s="161" t="str">
        <f t="shared" si="318"/>
        <v/>
      </c>
      <c r="DS199" s="161" t="str">
        <f t="shared" si="319"/>
        <v/>
      </c>
      <c r="DT199" s="161" t="str">
        <f t="shared" si="320"/>
        <v/>
      </c>
      <c r="DU199" s="161" t="str">
        <f t="shared" si="321"/>
        <v/>
      </c>
      <c r="DV199" s="161" t="str">
        <f t="shared" si="322"/>
        <v/>
      </c>
      <c r="DW199" s="161" t="str">
        <f t="shared" si="323"/>
        <v/>
      </c>
      <c r="DX199" s="161" t="str">
        <f t="shared" si="324"/>
        <v/>
      </c>
      <c r="DY199" s="161" t="str">
        <f t="shared" si="325"/>
        <v/>
      </c>
      <c r="DZ199" s="161" t="str">
        <f t="shared" si="326"/>
        <v/>
      </c>
      <c r="EA199" s="161" t="str">
        <f t="shared" si="327"/>
        <v/>
      </c>
      <c r="EB199" s="161" t="str">
        <f t="shared" si="328"/>
        <v/>
      </c>
      <c r="EC199" s="161" t="str">
        <f t="shared" si="329"/>
        <v/>
      </c>
      <c r="ED199" s="161" t="str">
        <f t="shared" si="330"/>
        <v/>
      </c>
      <c r="EE199" s="161" t="str">
        <f t="shared" si="331"/>
        <v/>
      </c>
      <c r="EF199" s="161" t="str">
        <f t="shared" si="332"/>
        <v/>
      </c>
      <c r="EG199" s="161" t="str">
        <f t="shared" si="333"/>
        <v/>
      </c>
      <c r="EH199" s="161" t="str">
        <f t="shared" si="334"/>
        <v/>
      </c>
      <c r="EI199" s="161" t="str">
        <f t="shared" si="335"/>
        <v/>
      </c>
      <c r="EJ199" s="161" t="str">
        <f t="shared" si="336"/>
        <v/>
      </c>
      <c r="EK199" s="147" t="str">
        <f t="shared" si="250"/>
        <v/>
      </c>
      <c r="EL199" s="149"/>
      <c r="EN199" s="146"/>
      <c r="EO199" s="146"/>
      <c r="EP199" s="139" t="str">
        <f t="shared" si="251"/>
        <v/>
      </c>
      <c r="EQ199" s="139" t="str">
        <f t="shared" si="252"/>
        <v/>
      </c>
      <c r="ER199" s="139" t="str">
        <f t="shared" si="253"/>
        <v/>
      </c>
      <c r="ES199" s="139" t="str">
        <f t="shared" si="254"/>
        <v/>
      </c>
      <c r="ET199" s="139" t="str">
        <f t="shared" si="255"/>
        <v/>
      </c>
      <c r="EU199" s="139" t="str">
        <f t="shared" si="256"/>
        <v/>
      </c>
      <c r="EV199" s="139" t="str">
        <f t="shared" si="257"/>
        <v/>
      </c>
      <c r="EW199" s="139" t="str">
        <f t="shared" si="258"/>
        <v/>
      </c>
      <c r="EX199" s="139" t="str">
        <f t="shared" si="259"/>
        <v/>
      </c>
      <c r="EY199" s="139" t="str">
        <f t="shared" si="260"/>
        <v/>
      </c>
      <c r="EZ199" s="139" t="str">
        <f t="shared" si="261"/>
        <v/>
      </c>
      <c r="FA199" s="139" t="str">
        <f t="shared" si="262"/>
        <v/>
      </c>
      <c r="FB199" s="139" t="str">
        <f t="shared" si="263"/>
        <v/>
      </c>
      <c r="FC199" s="139" t="str">
        <f t="shared" si="264"/>
        <v/>
      </c>
      <c r="FD199" s="139" t="str">
        <f t="shared" si="265"/>
        <v/>
      </c>
      <c r="FE199" s="139" t="str">
        <f t="shared" si="266"/>
        <v/>
      </c>
      <c r="FF199" s="139" t="str">
        <f t="shared" si="267"/>
        <v/>
      </c>
      <c r="FG199" s="139" t="str">
        <f t="shared" si="268"/>
        <v/>
      </c>
      <c r="FH199" s="139" t="str">
        <f t="shared" si="269"/>
        <v/>
      </c>
      <c r="FI199" s="139" t="str">
        <f t="shared" si="270"/>
        <v/>
      </c>
      <c r="FJ199" s="139" t="str">
        <f t="shared" si="271"/>
        <v/>
      </c>
      <c r="FK199" s="139" t="str">
        <f t="shared" si="272"/>
        <v/>
      </c>
      <c r="FL199" s="139" t="str">
        <f t="shared" si="273"/>
        <v/>
      </c>
      <c r="FM199" s="139" t="str">
        <f t="shared" si="274"/>
        <v/>
      </c>
      <c r="FN199" s="139" t="str">
        <f t="shared" si="275"/>
        <v/>
      </c>
      <c r="FO199" s="139" t="str">
        <f t="shared" si="276"/>
        <v/>
      </c>
      <c r="FP199" s="139" t="str">
        <f t="shared" si="277"/>
        <v/>
      </c>
      <c r="FQ199" s="139" t="str">
        <f t="shared" si="278"/>
        <v/>
      </c>
      <c r="FR199" s="139" t="str">
        <f t="shared" si="279"/>
        <v/>
      </c>
      <c r="FS199" s="139" t="str">
        <f t="shared" si="280"/>
        <v/>
      </c>
      <c r="FT199" s="139" t="str">
        <f t="shared" si="281"/>
        <v/>
      </c>
      <c r="FU199" s="148" t="str">
        <f t="shared" si="282"/>
        <v/>
      </c>
      <c r="FV199" s="149"/>
      <c r="FY199" s="210">
        <v>194</v>
      </c>
      <c r="FZ199" s="205"/>
      <c r="GA199" s="205"/>
      <c r="GB199" s="205"/>
      <c r="GC199" s="205"/>
      <c r="GD199" s="205"/>
      <c r="GE199" s="205"/>
      <c r="GF199" s="205"/>
      <c r="GG199" s="205"/>
      <c r="GH199" s="205"/>
      <c r="GI199" s="205"/>
      <c r="GJ199" s="205"/>
      <c r="GK199" s="205"/>
      <c r="GL199" s="205"/>
      <c r="GM199" s="205"/>
    </row>
    <row r="200" spans="1:195" s="7" customFormat="1">
      <c r="A200" s="1"/>
      <c r="B200" s="76" t="str">
        <f t="shared" ca="1" si="249"/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/>
      <c r="AO200"/>
      <c r="AP200"/>
      <c r="AQ200"/>
      <c r="AR200"/>
      <c r="AS200"/>
      <c r="AT200"/>
      <c r="AU200"/>
      <c r="AV200"/>
      <c r="AW200"/>
      <c r="AX200" s="146"/>
      <c r="AY200" s="76" t="str">
        <f t="shared" ca="1" si="172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7"/>
        <v/>
      </c>
      <c r="CL200" s="179" t="str">
        <f t="shared" si="208"/>
        <v/>
      </c>
      <c r="CM200" s="180" t="str">
        <f t="shared" si="209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10"/>
        <v/>
      </c>
      <c r="DB200" s="146"/>
      <c r="DC200" s="76" t="str">
        <f t="shared" ca="1" si="173"/>
        <v/>
      </c>
      <c r="DD200" t="str">
        <f t="shared" si="211"/>
        <v/>
      </c>
      <c r="DE200" s="129" t="str">
        <f t="shared" si="337"/>
        <v/>
      </c>
      <c r="DF200" s="161" t="str">
        <f t="shared" si="284"/>
        <v/>
      </c>
      <c r="DG200" s="161" t="str">
        <f t="shared" si="285"/>
        <v/>
      </c>
      <c r="DH200" s="161" t="str">
        <f t="shared" si="286"/>
        <v/>
      </c>
      <c r="DI200" s="161" t="str">
        <f t="shared" si="287"/>
        <v/>
      </c>
      <c r="DJ200" s="161" t="str">
        <f t="shared" si="288"/>
        <v/>
      </c>
      <c r="DK200" s="161" t="str">
        <f t="shared" si="289"/>
        <v/>
      </c>
      <c r="DL200" s="161" t="str">
        <f t="shared" si="290"/>
        <v/>
      </c>
      <c r="DM200" s="161" t="str">
        <f t="shared" si="291"/>
        <v/>
      </c>
      <c r="DN200" s="161" t="str">
        <f t="shared" si="314"/>
        <v/>
      </c>
      <c r="DO200" s="161" t="str">
        <f t="shared" si="315"/>
        <v/>
      </c>
      <c r="DP200" s="161" t="str">
        <f t="shared" si="316"/>
        <v/>
      </c>
      <c r="DQ200" s="161" t="str">
        <f t="shared" si="317"/>
        <v/>
      </c>
      <c r="DR200" s="161" t="str">
        <f t="shared" si="318"/>
        <v/>
      </c>
      <c r="DS200" s="161" t="str">
        <f t="shared" si="319"/>
        <v/>
      </c>
      <c r="DT200" s="161" t="str">
        <f t="shared" si="320"/>
        <v/>
      </c>
      <c r="DU200" s="161" t="str">
        <f t="shared" si="321"/>
        <v/>
      </c>
      <c r="DV200" s="161" t="str">
        <f t="shared" si="322"/>
        <v/>
      </c>
      <c r="DW200" s="161" t="str">
        <f t="shared" si="323"/>
        <v/>
      </c>
      <c r="DX200" s="161" t="str">
        <f t="shared" si="324"/>
        <v/>
      </c>
      <c r="DY200" s="161" t="str">
        <f t="shared" si="325"/>
        <v/>
      </c>
      <c r="DZ200" s="161" t="str">
        <f t="shared" si="326"/>
        <v/>
      </c>
      <c r="EA200" s="161" t="str">
        <f t="shared" si="327"/>
        <v/>
      </c>
      <c r="EB200" s="161" t="str">
        <f t="shared" si="328"/>
        <v/>
      </c>
      <c r="EC200" s="161" t="str">
        <f t="shared" si="329"/>
        <v/>
      </c>
      <c r="ED200" s="161" t="str">
        <f t="shared" si="330"/>
        <v/>
      </c>
      <c r="EE200" s="161" t="str">
        <f t="shared" si="331"/>
        <v/>
      </c>
      <c r="EF200" s="161" t="str">
        <f t="shared" si="332"/>
        <v/>
      </c>
      <c r="EG200" s="161" t="str">
        <f t="shared" si="333"/>
        <v/>
      </c>
      <c r="EH200" s="161" t="str">
        <f t="shared" si="334"/>
        <v/>
      </c>
      <c r="EI200" s="161" t="str">
        <f t="shared" si="335"/>
        <v/>
      </c>
      <c r="EJ200" s="161" t="str">
        <f t="shared" si="336"/>
        <v/>
      </c>
      <c r="EK200" s="147" t="str">
        <f t="shared" si="250"/>
        <v/>
      </c>
      <c r="EL200" s="149"/>
      <c r="EN200" s="146"/>
      <c r="EO200" s="146"/>
      <c r="EP200" s="139" t="str">
        <f t="shared" si="251"/>
        <v/>
      </c>
      <c r="EQ200" s="139" t="str">
        <f t="shared" si="252"/>
        <v/>
      </c>
      <c r="ER200" s="139" t="str">
        <f t="shared" si="253"/>
        <v/>
      </c>
      <c r="ES200" s="139" t="str">
        <f t="shared" si="254"/>
        <v/>
      </c>
      <c r="ET200" s="139" t="str">
        <f t="shared" si="255"/>
        <v/>
      </c>
      <c r="EU200" s="139" t="str">
        <f t="shared" si="256"/>
        <v/>
      </c>
      <c r="EV200" s="139" t="str">
        <f t="shared" si="257"/>
        <v/>
      </c>
      <c r="EW200" s="139" t="str">
        <f t="shared" si="258"/>
        <v/>
      </c>
      <c r="EX200" s="139" t="str">
        <f t="shared" si="259"/>
        <v/>
      </c>
      <c r="EY200" s="139" t="str">
        <f t="shared" si="260"/>
        <v/>
      </c>
      <c r="EZ200" s="139" t="str">
        <f t="shared" si="261"/>
        <v/>
      </c>
      <c r="FA200" s="139" t="str">
        <f t="shared" si="262"/>
        <v/>
      </c>
      <c r="FB200" s="139" t="str">
        <f t="shared" si="263"/>
        <v/>
      </c>
      <c r="FC200" s="139" t="str">
        <f t="shared" si="264"/>
        <v/>
      </c>
      <c r="FD200" s="139" t="str">
        <f t="shared" si="265"/>
        <v/>
      </c>
      <c r="FE200" s="139" t="str">
        <f t="shared" si="266"/>
        <v/>
      </c>
      <c r="FF200" s="139" t="str">
        <f t="shared" si="267"/>
        <v/>
      </c>
      <c r="FG200" s="139" t="str">
        <f t="shared" si="268"/>
        <v/>
      </c>
      <c r="FH200" s="139" t="str">
        <f t="shared" si="269"/>
        <v/>
      </c>
      <c r="FI200" s="139" t="str">
        <f t="shared" si="270"/>
        <v/>
      </c>
      <c r="FJ200" s="139" t="str">
        <f t="shared" si="271"/>
        <v/>
      </c>
      <c r="FK200" s="139" t="str">
        <f t="shared" si="272"/>
        <v/>
      </c>
      <c r="FL200" s="139" t="str">
        <f t="shared" si="273"/>
        <v/>
      </c>
      <c r="FM200" s="139" t="str">
        <f t="shared" si="274"/>
        <v/>
      </c>
      <c r="FN200" s="139" t="str">
        <f t="shared" si="275"/>
        <v/>
      </c>
      <c r="FO200" s="139" t="str">
        <f t="shared" si="276"/>
        <v/>
      </c>
      <c r="FP200" s="139" t="str">
        <f t="shared" si="277"/>
        <v/>
      </c>
      <c r="FQ200" s="139" t="str">
        <f t="shared" si="278"/>
        <v/>
      </c>
      <c r="FR200" s="139" t="str">
        <f t="shared" si="279"/>
        <v/>
      </c>
      <c r="FS200" s="139" t="str">
        <f t="shared" si="280"/>
        <v/>
      </c>
      <c r="FT200" s="139" t="str">
        <f t="shared" si="281"/>
        <v/>
      </c>
      <c r="FU200" s="148" t="str">
        <f t="shared" si="282"/>
        <v/>
      </c>
      <c r="FV200" s="149"/>
      <c r="FY200" s="210">
        <v>195</v>
      </c>
      <c r="FZ200" s="205"/>
      <c r="GA200" s="205"/>
      <c r="GB200" s="205"/>
      <c r="GC200" s="205"/>
      <c r="GD200" s="205"/>
      <c r="GE200" s="205"/>
      <c r="GF200" s="205"/>
      <c r="GG200" s="205"/>
      <c r="GH200" s="205"/>
      <c r="GI200" s="205"/>
      <c r="GJ200" s="205"/>
      <c r="GK200" s="205"/>
      <c r="GL200" s="205"/>
      <c r="GM200" s="205"/>
    </row>
    <row r="201" spans="1:195" s="7" customFormat="1">
      <c r="A201" s="1"/>
      <c r="B201" s="76" t="str">
        <f t="shared" ca="1" si="249"/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/>
      <c r="AO201"/>
      <c r="AP201"/>
      <c r="AQ201"/>
      <c r="AR201"/>
      <c r="AS201"/>
      <c r="AT201"/>
      <c r="AU201"/>
      <c r="AV201"/>
      <c r="AW201"/>
      <c r="AX201" s="146"/>
      <c r="AY201" s="76" t="str">
        <f t="shared" ca="1" si="172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7"/>
        <v/>
      </c>
      <c r="CL201" s="179" t="str">
        <f t="shared" si="208"/>
        <v/>
      </c>
      <c r="CM201" s="180" t="str">
        <f t="shared" si="209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10"/>
        <v/>
      </c>
      <c r="DB201" s="146"/>
      <c r="DC201" s="76" t="str">
        <f t="shared" ca="1" si="173"/>
        <v/>
      </c>
      <c r="DD201" t="str">
        <f t="shared" si="211"/>
        <v/>
      </c>
      <c r="DE201" s="129" t="str">
        <f t="shared" si="337"/>
        <v/>
      </c>
      <c r="DF201" s="161" t="str">
        <f t="shared" si="284"/>
        <v/>
      </c>
      <c r="DG201" s="161" t="str">
        <f t="shared" si="285"/>
        <v/>
      </c>
      <c r="DH201" s="161" t="str">
        <f t="shared" si="286"/>
        <v/>
      </c>
      <c r="DI201" s="161" t="str">
        <f t="shared" si="287"/>
        <v/>
      </c>
      <c r="DJ201" s="161" t="str">
        <f t="shared" si="288"/>
        <v/>
      </c>
      <c r="DK201" s="161" t="str">
        <f t="shared" si="289"/>
        <v/>
      </c>
      <c r="DL201" s="161" t="str">
        <f t="shared" si="290"/>
        <v/>
      </c>
      <c r="DM201" s="161" t="str">
        <f t="shared" si="291"/>
        <v/>
      </c>
      <c r="DN201" s="161" t="str">
        <f t="shared" si="314"/>
        <v/>
      </c>
      <c r="DO201" s="161" t="str">
        <f t="shared" si="315"/>
        <v/>
      </c>
      <c r="DP201" s="161" t="str">
        <f t="shared" si="316"/>
        <v/>
      </c>
      <c r="DQ201" s="161" t="str">
        <f t="shared" si="317"/>
        <v/>
      </c>
      <c r="DR201" s="161" t="str">
        <f t="shared" si="318"/>
        <v/>
      </c>
      <c r="DS201" s="161" t="str">
        <f t="shared" si="319"/>
        <v/>
      </c>
      <c r="DT201" s="161" t="str">
        <f t="shared" si="320"/>
        <v/>
      </c>
      <c r="DU201" s="161" t="str">
        <f t="shared" si="321"/>
        <v/>
      </c>
      <c r="DV201" s="161" t="str">
        <f t="shared" si="322"/>
        <v/>
      </c>
      <c r="DW201" s="161" t="str">
        <f t="shared" si="323"/>
        <v/>
      </c>
      <c r="DX201" s="161" t="str">
        <f t="shared" si="324"/>
        <v/>
      </c>
      <c r="DY201" s="161" t="str">
        <f t="shared" si="325"/>
        <v/>
      </c>
      <c r="DZ201" s="161" t="str">
        <f t="shared" si="326"/>
        <v/>
      </c>
      <c r="EA201" s="161" t="str">
        <f t="shared" si="327"/>
        <v/>
      </c>
      <c r="EB201" s="161" t="str">
        <f t="shared" si="328"/>
        <v/>
      </c>
      <c r="EC201" s="161" t="str">
        <f t="shared" si="329"/>
        <v/>
      </c>
      <c r="ED201" s="161" t="str">
        <f t="shared" si="330"/>
        <v/>
      </c>
      <c r="EE201" s="161" t="str">
        <f t="shared" si="331"/>
        <v/>
      </c>
      <c r="EF201" s="161" t="str">
        <f t="shared" si="332"/>
        <v/>
      </c>
      <c r="EG201" s="161" t="str">
        <f t="shared" si="333"/>
        <v/>
      </c>
      <c r="EH201" s="161" t="str">
        <f t="shared" si="334"/>
        <v/>
      </c>
      <c r="EI201" s="161" t="str">
        <f t="shared" si="335"/>
        <v/>
      </c>
      <c r="EJ201" s="161" t="str">
        <f t="shared" si="336"/>
        <v/>
      </c>
      <c r="EK201" s="147" t="str">
        <f t="shared" si="250"/>
        <v/>
      </c>
      <c r="EL201" s="149"/>
      <c r="EN201" s="146"/>
      <c r="EO201" s="146"/>
      <c r="EP201" s="139" t="str">
        <f t="shared" si="251"/>
        <v/>
      </c>
      <c r="EQ201" s="139" t="str">
        <f t="shared" si="252"/>
        <v/>
      </c>
      <c r="ER201" s="139" t="str">
        <f t="shared" si="253"/>
        <v/>
      </c>
      <c r="ES201" s="139" t="str">
        <f t="shared" si="254"/>
        <v/>
      </c>
      <c r="ET201" s="139" t="str">
        <f t="shared" si="255"/>
        <v/>
      </c>
      <c r="EU201" s="139" t="str">
        <f t="shared" si="256"/>
        <v/>
      </c>
      <c r="EV201" s="139" t="str">
        <f t="shared" si="257"/>
        <v/>
      </c>
      <c r="EW201" s="139" t="str">
        <f t="shared" si="258"/>
        <v/>
      </c>
      <c r="EX201" s="139" t="str">
        <f t="shared" si="259"/>
        <v/>
      </c>
      <c r="EY201" s="139" t="str">
        <f t="shared" si="260"/>
        <v/>
      </c>
      <c r="EZ201" s="139" t="str">
        <f t="shared" si="261"/>
        <v/>
      </c>
      <c r="FA201" s="139" t="str">
        <f t="shared" si="262"/>
        <v/>
      </c>
      <c r="FB201" s="139" t="str">
        <f t="shared" si="263"/>
        <v/>
      </c>
      <c r="FC201" s="139" t="str">
        <f t="shared" si="264"/>
        <v/>
      </c>
      <c r="FD201" s="139" t="str">
        <f t="shared" si="265"/>
        <v/>
      </c>
      <c r="FE201" s="139" t="str">
        <f t="shared" si="266"/>
        <v/>
      </c>
      <c r="FF201" s="139" t="str">
        <f t="shared" si="267"/>
        <v/>
      </c>
      <c r="FG201" s="139" t="str">
        <f t="shared" si="268"/>
        <v/>
      </c>
      <c r="FH201" s="139" t="str">
        <f t="shared" si="269"/>
        <v/>
      </c>
      <c r="FI201" s="139" t="str">
        <f t="shared" si="270"/>
        <v/>
      </c>
      <c r="FJ201" s="139" t="str">
        <f t="shared" si="271"/>
        <v/>
      </c>
      <c r="FK201" s="139" t="str">
        <f t="shared" si="272"/>
        <v/>
      </c>
      <c r="FL201" s="139" t="str">
        <f t="shared" si="273"/>
        <v/>
      </c>
      <c r="FM201" s="139" t="str">
        <f t="shared" si="274"/>
        <v/>
      </c>
      <c r="FN201" s="139" t="str">
        <f t="shared" si="275"/>
        <v/>
      </c>
      <c r="FO201" s="139" t="str">
        <f t="shared" si="276"/>
        <v/>
      </c>
      <c r="FP201" s="139" t="str">
        <f t="shared" si="277"/>
        <v/>
      </c>
      <c r="FQ201" s="139" t="str">
        <f t="shared" si="278"/>
        <v/>
      </c>
      <c r="FR201" s="139" t="str">
        <f t="shared" si="279"/>
        <v/>
      </c>
      <c r="FS201" s="139" t="str">
        <f t="shared" si="280"/>
        <v/>
      </c>
      <c r="FT201" s="139" t="str">
        <f t="shared" si="281"/>
        <v/>
      </c>
      <c r="FU201" s="148" t="str">
        <f t="shared" si="282"/>
        <v/>
      </c>
      <c r="FV201" s="149"/>
      <c r="FY201" s="210">
        <v>196</v>
      </c>
      <c r="FZ201" s="205"/>
      <c r="GA201" s="205"/>
      <c r="GB201" s="205"/>
      <c r="GC201" s="205"/>
      <c r="GD201" s="205"/>
      <c r="GE201" s="205"/>
      <c r="GF201" s="205"/>
      <c r="GG201" s="205"/>
      <c r="GH201" s="205"/>
      <c r="GI201" s="205"/>
      <c r="GJ201" s="205"/>
      <c r="GK201" s="205"/>
      <c r="GL201" s="205"/>
      <c r="GM201" s="205"/>
    </row>
    <row r="202" spans="1:195" s="7" customFormat="1">
      <c r="A202" s="1"/>
      <c r="B202" s="76" t="str">
        <f t="shared" ca="1" si="249"/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/>
      <c r="AO202"/>
      <c r="AP202"/>
      <c r="AQ202"/>
      <c r="AR202"/>
      <c r="AS202"/>
      <c r="AT202"/>
      <c r="AU202"/>
      <c r="AV202"/>
      <c r="AW202"/>
      <c r="AX202" s="146"/>
      <c r="AY202" s="76" t="str">
        <f t="shared" ca="1" si="172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7"/>
        <v/>
      </c>
      <c r="CL202" s="179" t="str">
        <f t="shared" si="208"/>
        <v/>
      </c>
      <c r="CM202" s="180" t="str">
        <f t="shared" si="209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10"/>
        <v/>
      </c>
      <c r="DB202" s="146"/>
      <c r="DC202" s="76" t="str">
        <f t="shared" ca="1" si="173"/>
        <v/>
      </c>
      <c r="DD202" t="str">
        <f t="shared" si="211"/>
        <v/>
      </c>
      <c r="DE202" s="129" t="str">
        <f t="shared" si="337"/>
        <v/>
      </c>
      <c r="DF202" s="161" t="str">
        <f t="shared" si="284"/>
        <v/>
      </c>
      <c r="DG202" s="161" t="str">
        <f t="shared" si="285"/>
        <v/>
      </c>
      <c r="DH202" s="161" t="str">
        <f t="shared" si="286"/>
        <v/>
      </c>
      <c r="DI202" s="161" t="str">
        <f t="shared" si="287"/>
        <v/>
      </c>
      <c r="DJ202" s="161" t="str">
        <f t="shared" si="288"/>
        <v/>
      </c>
      <c r="DK202" s="161" t="str">
        <f t="shared" si="289"/>
        <v/>
      </c>
      <c r="DL202" s="161" t="str">
        <f t="shared" si="290"/>
        <v/>
      </c>
      <c r="DM202" s="161" t="str">
        <f t="shared" si="291"/>
        <v/>
      </c>
      <c r="DN202" s="161" t="str">
        <f t="shared" si="314"/>
        <v/>
      </c>
      <c r="DO202" s="161" t="str">
        <f t="shared" si="315"/>
        <v/>
      </c>
      <c r="DP202" s="161" t="str">
        <f t="shared" si="316"/>
        <v/>
      </c>
      <c r="DQ202" s="161" t="str">
        <f t="shared" si="317"/>
        <v/>
      </c>
      <c r="DR202" s="161" t="str">
        <f t="shared" si="318"/>
        <v/>
      </c>
      <c r="DS202" s="161" t="str">
        <f t="shared" si="319"/>
        <v/>
      </c>
      <c r="DT202" s="161" t="str">
        <f t="shared" si="320"/>
        <v/>
      </c>
      <c r="DU202" s="161" t="str">
        <f t="shared" si="321"/>
        <v/>
      </c>
      <c r="DV202" s="161" t="str">
        <f t="shared" si="322"/>
        <v/>
      </c>
      <c r="DW202" s="161" t="str">
        <f t="shared" si="323"/>
        <v/>
      </c>
      <c r="DX202" s="161" t="str">
        <f t="shared" si="324"/>
        <v/>
      </c>
      <c r="DY202" s="161" t="str">
        <f t="shared" si="325"/>
        <v/>
      </c>
      <c r="DZ202" s="161" t="str">
        <f t="shared" si="326"/>
        <v/>
      </c>
      <c r="EA202" s="161" t="str">
        <f t="shared" si="327"/>
        <v/>
      </c>
      <c r="EB202" s="161" t="str">
        <f t="shared" si="328"/>
        <v/>
      </c>
      <c r="EC202" s="161" t="str">
        <f t="shared" si="329"/>
        <v/>
      </c>
      <c r="ED202" s="161" t="str">
        <f t="shared" si="330"/>
        <v/>
      </c>
      <c r="EE202" s="161" t="str">
        <f t="shared" si="331"/>
        <v/>
      </c>
      <c r="EF202" s="161" t="str">
        <f t="shared" si="332"/>
        <v/>
      </c>
      <c r="EG202" s="161" t="str">
        <f t="shared" si="333"/>
        <v/>
      </c>
      <c r="EH202" s="161" t="str">
        <f t="shared" si="334"/>
        <v/>
      </c>
      <c r="EI202" s="161" t="str">
        <f t="shared" si="335"/>
        <v/>
      </c>
      <c r="EJ202" s="161" t="str">
        <f t="shared" si="336"/>
        <v/>
      </c>
      <c r="EK202" s="147" t="str">
        <f t="shared" si="250"/>
        <v/>
      </c>
      <c r="EL202" s="149"/>
      <c r="EN202" s="146"/>
      <c r="EO202" s="146"/>
      <c r="EP202" s="139" t="str">
        <f t="shared" si="251"/>
        <v/>
      </c>
      <c r="EQ202" s="139" t="str">
        <f t="shared" si="252"/>
        <v/>
      </c>
      <c r="ER202" s="139" t="str">
        <f t="shared" si="253"/>
        <v/>
      </c>
      <c r="ES202" s="139" t="str">
        <f t="shared" si="254"/>
        <v/>
      </c>
      <c r="ET202" s="139" t="str">
        <f t="shared" si="255"/>
        <v/>
      </c>
      <c r="EU202" s="139" t="str">
        <f t="shared" si="256"/>
        <v/>
      </c>
      <c r="EV202" s="139" t="str">
        <f t="shared" si="257"/>
        <v/>
      </c>
      <c r="EW202" s="139" t="str">
        <f t="shared" si="258"/>
        <v/>
      </c>
      <c r="EX202" s="139" t="str">
        <f t="shared" si="259"/>
        <v/>
      </c>
      <c r="EY202" s="139" t="str">
        <f t="shared" si="260"/>
        <v/>
      </c>
      <c r="EZ202" s="139" t="str">
        <f t="shared" si="261"/>
        <v/>
      </c>
      <c r="FA202" s="139" t="str">
        <f t="shared" si="262"/>
        <v/>
      </c>
      <c r="FB202" s="139" t="str">
        <f t="shared" si="263"/>
        <v/>
      </c>
      <c r="FC202" s="139" t="str">
        <f t="shared" si="264"/>
        <v/>
      </c>
      <c r="FD202" s="139" t="str">
        <f t="shared" si="265"/>
        <v/>
      </c>
      <c r="FE202" s="139" t="str">
        <f t="shared" si="266"/>
        <v/>
      </c>
      <c r="FF202" s="139" t="str">
        <f t="shared" si="267"/>
        <v/>
      </c>
      <c r="FG202" s="139" t="str">
        <f t="shared" si="268"/>
        <v/>
      </c>
      <c r="FH202" s="139" t="str">
        <f t="shared" si="269"/>
        <v/>
      </c>
      <c r="FI202" s="139" t="str">
        <f t="shared" si="270"/>
        <v/>
      </c>
      <c r="FJ202" s="139" t="str">
        <f t="shared" si="271"/>
        <v/>
      </c>
      <c r="FK202" s="139" t="str">
        <f t="shared" si="272"/>
        <v/>
      </c>
      <c r="FL202" s="139" t="str">
        <f t="shared" si="273"/>
        <v/>
      </c>
      <c r="FM202" s="139" t="str">
        <f t="shared" si="274"/>
        <v/>
      </c>
      <c r="FN202" s="139" t="str">
        <f t="shared" si="275"/>
        <v/>
      </c>
      <c r="FO202" s="139" t="str">
        <f t="shared" si="276"/>
        <v/>
      </c>
      <c r="FP202" s="139" t="str">
        <f t="shared" si="277"/>
        <v/>
      </c>
      <c r="FQ202" s="139" t="str">
        <f t="shared" si="278"/>
        <v/>
      </c>
      <c r="FR202" s="139" t="str">
        <f t="shared" si="279"/>
        <v/>
      </c>
      <c r="FS202" s="139" t="str">
        <f t="shared" si="280"/>
        <v/>
      </c>
      <c r="FT202" s="139" t="str">
        <f t="shared" si="281"/>
        <v/>
      </c>
      <c r="FU202" s="148" t="str">
        <f t="shared" si="282"/>
        <v/>
      </c>
      <c r="FV202" s="149"/>
      <c r="FY202" s="210">
        <v>197</v>
      </c>
      <c r="FZ202" s="205"/>
      <c r="GA202" s="205"/>
      <c r="GB202" s="205"/>
      <c r="GC202" s="205"/>
      <c r="GD202" s="205"/>
      <c r="GE202" s="205"/>
      <c r="GF202" s="205"/>
      <c r="GG202" s="205"/>
      <c r="GH202" s="205"/>
      <c r="GI202" s="205"/>
      <c r="GJ202" s="205"/>
      <c r="GK202" s="205"/>
      <c r="GL202" s="205"/>
      <c r="GM202" s="205"/>
    </row>
    <row r="203" spans="1:195" s="7" customFormat="1">
      <c r="A203" s="1"/>
      <c r="B203" s="76" t="str">
        <f t="shared" ca="1" si="249"/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/>
      <c r="AO203"/>
      <c r="AP203"/>
      <c r="AQ203"/>
      <c r="AR203"/>
      <c r="AS203"/>
      <c r="AT203"/>
      <c r="AU203"/>
      <c r="AV203"/>
      <c r="AW203"/>
      <c r="AX203" s="146"/>
      <c r="AY203" s="76" t="str">
        <f t="shared" ca="1" si="172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7"/>
        <v/>
      </c>
      <c r="CL203" s="179" t="str">
        <f t="shared" si="208"/>
        <v/>
      </c>
      <c r="CM203" s="180" t="str">
        <f t="shared" si="209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10"/>
        <v/>
      </c>
      <c r="DB203" s="146"/>
      <c r="DC203" s="76" t="str">
        <f t="shared" ca="1" si="173"/>
        <v/>
      </c>
      <c r="DD203" t="str">
        <f t="shared" si="211"/>
        <v/>
      </c>
      <c r="DE203" s="129" t="str">
        <f t="shared" si="337"/>
        <v/>
      </c>
      <c r="DF203" s="161" t="str">
        <f t="shared" si="284"/>
        <v/>
      </c>
      <c r="DG203" s="161" t="str">
        <f t="shared" si="285"/>
        <v/>
      </c>
      <c r="DH203" s="161" t="str">
        <f t="shared" si="286"/>
        <v/>
      </c>
      <c r="DI203" s="161" t="str">
        <f t="shared" si="287"/>
        <v/>
      </c>
      <c r="DJ203" s="161" t="str">
        <f t="shared" si="288"/>
        <v/>
      </c>
      <c r="DK203" s="161" t="str">
        <f t="shared" si="289"/>
        <v/>
      </c>
      <c r="DL203" s="161" t="str">
        <f t="shared" si="290"/>
        <v/>
      </c>
      <c r="DM203" s="161" t="str">
        <f t="shared" si="291"/>
        <v/>
      </c>
      <c r="DN203" s="161" t="str">
        <f t="shared" si="314"/>
        <v/>
      </c>
      <c r="DO203" s="161" t="str">
        <f t="shared" si="315"/>
        <v/>
      </c>
      <c r="DP203" s="161" t="str">
        <f t="shared" si="316"/>
        <v/>
      </c>
      <c r="DQ203" s="161" t="str">
        <f t="shared" si="317"/>
        <v/>
      </c>
      <c r="DR203" s="161" t="str">
        <f t="shared" si="318"/>
        <v/>
      </c>
      <c r="DS203" s="161" t="str">
        <f t="shared" si="319"/>
        <v/>
      </c>
      <c r="DT203" s="161" t="str">
        <f t="shared" si="320"/>
        <v/>
      </c>
      <c r="DU203" s="161" t="str">
        <f t="shared" si="321"/>
        <v/>
      </c>
      <c r="DV203" s="161" t="str">
        <f t="shared" si="322"/>
        <v/>
      </c>
      <c r="DW203" s="161" t="str">
        <f t="shared" si="323"/>
        <v/>
      </c>
      <c r="DX203" s="161" t="str">
        <f t="shared" si="324"/>
        <v/>
      </c>
      <c r="DY203" s="161" t="str">
        <f t="shared" si="325"/>
        <v/>
      </c>
      <c r="DZ203" s="161" t="str">
        <f t="shared" si="326"/>
        <v/>
      </c>
      <c r="EA203" s="161" t="str">
        <f t="shared" si="327"/>
        <v/>
      </c>
      <c r="EB203" s="161" t="str">
        <f t="shared" si="328"/>
        <v/>
      </c>
      <c r="EC203" s="161" t="str">
        <f t="shared" si="329"/>
        <v/>
      </c>
      <c r="ED203" s="161" t="str">
        <f t="shared" si="330"/>
        <v/>
      </c>
      <c r="EE203" s="161" t="str">
        <f t="shared" si="331"/>
        <v/>
      </c>
      <c r="EF203" s="161" t="str">
        <f t="shared" si="332"/>
        <v/>
      </c>
      <c r="EG203" s="161" t="str">
        <f t="shared" si="333"/>
        <v/>
      </c>
      <c r="EH203" s="161" t="str">
        <f t="shared" si="334"/>
        <v/>
      </c>
      <c r="EI203" s="161" t="str">
        <f t="shared" si="335"/>
        <v/>
      </c>
      <c r="EJ203" s="161" t="str">
        <f t="shared" si="336"/>
        <v/>
      </c>
      <c r="EK203" s="147" t="str">
        <f t="shared" si="250"/>
        <v/>
      </c>
      <c r="EL203" s="149"/>
      <c r="EN203" s="146"/>
      <c r="EO203" s="146"/>
      <c r="EP203" s="139" t="str">
        <f t="shared" si="251"/>
        <v/>
      </c>
      <c r="EQ203" s="139" t="str">
        <f t="shared" si="252"/>
        <v/>
      </c>
      <c r="ER203" s="139" t="str">
        <f t="shared" si="253"/>
        <v/>
      </c>
      <c r="ES203" s="139" t="str">
        <f t="shared" si="254"/>
        <v/>
      </c>
      <c r="ET203" s="139" t="str">
        <f t="shared" si="255"/>
        <v/>
      </c>
      <c r="EU203" s="139" t="str">
        <f t="shared" si="256"/>
        <v/>
      </c>
      <c r="EV203" s="139" t="str">
        <f t="shared" si="257"/>
        <v/>
      </c>
      <c r="EW203" s="139" t="str">
        <f t="shared" si="258"/>
        <v/>
      </c>
      <c r="EX203" s="139" t="str">
        <f t="shared" si="259"/>
        <v/>
      </c>
      <c r="EY203" s="139" t="str">
        <f t="shared" si="260"/>
        <v/>
      </c>
      <c r="EZ203" s="139" t="str">
        <f t="shared" si="261"/>
        <v/>
      </c>
      <c r="FA203" s="139" t="str">
        <f t="shared" si="262"/>
        <v/>
      </c>
      <c r="FB203" s="139" t="str">
        <f t="shared" si="263"/>
        <v/>
      </c>
      <c r="FC203" s="139" t="str">
        <f t="shared" si="264"/>
        <v/>
      </c>
      <c r="FD203" s="139" t="str">
        <f t="shared" si="265"/>
        <v/>
      </c>
      <c r="FE203" s="139" t="str">
        <f t="shared" si="266"/>
        <v/>
      </c>
      <c r="FF203" s="139" t="str">
        <f t="shared" si="267"/>
        <v/>
      </c>
      <c r="FG203" s="139" t="str">
        <f t="shared" si="268"/>
        <v/>
      </c>
      <c r="FH203" s="139" t="str">
        <f t="shared" si="269"/>
        <v/>
      </c>
      <c r="FI203" s="139" t="str">
        <f t="shared" si="270"/>
        <v/>
      </c>
      <c r="FJ203" s="139" t="str">
        <f t="shared" si="271"/>
        <v/>
      </c>
      <c r="FK203" s="139" t="str">
        <f t="shared" si="272"/>
        <v/>
      </c>
      <c r="FL203" s="139" t="str">
        <f t="shared" si="273"/>
        <v/>
      </c>
      <c r="FM203" s="139" t="str">
        <f t="shared" si="274"/>
        <v/>
      </c>
      <c r="FN203" s="139" t="str">
        <f t="shared" si="275"/>
        <v/>
      </c>
      <c r="FO203" s="139" t="str">
        <f t="shared" si="276"/>
        <v/>
      </c>
      <c r="FP203" s="139" t="str">
        <f t="shared" si="277"/>
        <v/>
      </c>
      <c r="FQ203" s="139" t="str">
        <f t="shared" si="278"/>
        <v/>
      </c>
      <c r="FR203" s="139" t="str">
        <f t="shared" si="279"/>
        <v/>
      </c>
      <c r="FS203" s="139" t="str">
        <f t="shared" si="280"/>
        <v/>
      </c>
      <c r="FT203" s="139" t="str">
        <f t="shared" si="281"/>
        <v/>
      </c>
      <c r="FU203" s="148" t="str">
        <f t="shared" si="282"/>
        <v/>
      </c>
      <c r="FV203" s="149"/>
      <c r="FY203" s="210">
        <v>198</v>
      </c>
      <c r="FZ203" s="205"/>
      <c r="GA203" s="205"/>
      <c r="GB203" s="205"/>
      <c r="GC203" s="205"/>
      <c r="GD203" s="205"/>
      <c r="GE203" s="205"/>
      <c r="GF203" s="205"/>
      <c r="GG203" s="205"/>
      <c r="GH203" s="205"/>
      <c r="GI203" s="205"/>
      <c r="GJ203" s="205"/>
      <c r="GK203" s="205"/>
      <c r="GL203" s="205"/>
      <c r="GM203" s="205"/>
    </row>
    <row r="204" spans="1:195" s="7" customFormat="1">
      <c r="A204" s="1"/>
      <c r="B204" s="76" t="str">
        <f t="shared" ca="1" si="249"/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/>
      <c r="AO204"/>
      <c r="AP204"/>
      <c r="AQ204"/>
      <c r="AR204"/>
      <c r="AS204"/>
      <c r="AT204"/>
      <c r="AU204"/>
      <c r="AV204"/>
      <c r="AW204"/>
      <c r="AX204" s="146"/>
      <c r="AY204" s="76" t="str">
        <f t="shared" ca="1" si="172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7"/>
        <v/>
      </c>
      <c r="CL204" s="179" t="str">
        <f t="shared" si="208"/>
        <v/>
      </c>
      <c r="CM204" s="180" t="str">
        <f t="shared" si="209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10"/>
        <v/>
      </c>
      <c r="DB204" s="146"/>
      <c r="DC204" s="76" t="str">
        <f t="shared" ca="1" si="173"/>
        <v/>
      </c>
      <c r="DD204" t="str">
        <f t="shared" si="211"/>
        <v/>
      </c>
      <c r="DE204" s="129" t="str">
        <f t="shared" si="337"/>
        <v/>
      </c>
      <c r="DF204" s="161" t="str">
        <f t="shared" si="284"/>
        <v/>
      </c>
      <c r="DG204" s="161" t="str">
        <f t="shared" si="285"/>
        <v/>
      </c>
      <c r="DH204" s="161" t="str">
        <f t="shared" si="286"/>
        <v/>
      </c>
      <c r="DI204" s="161" t="str">
        <f t="shared" si="287"/>
        <v/>
      </c>
      <c r="DJ204" s="161" t="str">
        <f t="shared" si="288"/>
        <v/>
      </c>
      <c r="DK204" s="161" t="str">
        <f t="shared" si="289"/>
        <v/>
      </c>
      <c r="DL204" s="161" t="str">
        <f t="shared" si="290"/>
        <v/>
      </c>
      <c r="DM204" s="161" t="str">
        <f t="shared" si="291"/>
        <v/>
      </c>
      <c r="DN204" s="161" t="str">
        <f t="shared" si="314"/>
        <v/>
      </c>
      <c r="DO204" s="161" t="str">
        <f t="shared" si="315"/>
        <v/>
      </c>
      <c r="DP204" s="161" t="str">
        <f t="shared" si="316"/>
        <v/>
      </c>
      <c r="DQ204" s="161" t="str">
        <f t="shared" si="317"/>
        <v/>
      </c>
      <c r="DR204" s="161" t="str">
        <f t="shared" si="318"/>
        <v/>
      </c>
      <c r="DS204" s="161" t="str">
        <f t="shared" si="319"/>
        <v/>
      </c>
      <c r="DT204" s="161" t="str">
        <f t="shared" si="320"/>
        <v/>
      </c>
      <c r="DU204" s="161" t="str">
        <f t="shared" si="321"/>
        <v/>
      </c>
      <c r="DV204" s="161" t="str">
        <f t="shared" si="322"/>
        <v/>
      </c>
      <c r="DW204" s="161" t="str">
        <f t="shared" si="323"/>
        <v/>
      </c>
      <c r="DX204" s="161" t="str">
        <f t="shared" si="324"/>
        <v/>
      </c>
      <c r="DY204" s="161" t="str">
        <f t="shared" si="325"/>
        <v/>
      </c>
      <c r="DZ204" s="161" t="str">
        <f t="shared" si="326"/>
        <v/>
      </c>
      <c r="EA204" s="161" t="str">
        <f t="shared" si="327"/>
        <v/>
      </c>
      <c r="EB204" s="161" t="str">
        <f t="shared" si="328"/>
        <v/>
      </c>
      <c r="EC204" s="161" t="str">
        <f t="shared" si="329"/>
        <v/>
      </c>
      <c r="ED204" s="161" t="str">
        <f t="shared" si="330"/>
        <v/>
      </c>
      <c r="EE204" s="161" t="str">
        <f t="shared" si="331"/>
        <v/>
      </c>
      <c r="EF204" s="161" t="str">
        <f t="shared" si="332"/>
        <v/>
      </c>
      <c r="EG204" s="161" t="str">
        <f t="shared" si="333"/>
        <v/>
      </c>
      <c r="EH204" s="161" t="str">
        <f t="shared" si="334"/>
        <v/>
      </c>
      <c r="EI204" s="161" t="str">
        <f t="shared" si="335"/>
        <v/>
      </c>
      <c r="EJ204" s="161" t="str">
        <f t="shared" si="336"/>
        <v/>
      </c>
      <c r="EK204" s="147" t="str">
        <f t="shared" si="250"/>
        <v/>
      </c>
      <c r="EL204" s="149"/>
      <c r="EN204" s="146"/>
      <c r="EO204" s="146"/>
      <c r="EP204" s="139" t="str">
        <f t="shared" si="251"/>
        <v/>
      </c>
      <c r="EQ204" s="139" t="str">
        <f t="shared" si="252"/>
        <v/>
      </c>
      <c r="ER204" s="139" t="str">
        <f t="shared" si="253"/>
        <v/>
      </c>
      <c r="ES204" s="139" t="str">
        <f t="shared" si="254"/>
        <v/>
      </c>
      <c r="ET204" s="139" t="str">
        <f t="shared" si="255"/>
        <v/>
      </c>
      <c r="EU204" s="139" t="str">
        <f t="shared" si="256"/>
        <v/>
      </c>
      <c r="EV204" s="139" t="str">
        <f t="shared" si="257"/>
        <v/>
      </c>
      <c r="EW204" s="139" t="str">
        <f t="shared" si="258"/>
        <v/>
      </c>
      <c r="EX204" s="139" t="str">
        <f t="shared" si="259"/>
        <v/>
      </c>
      <c r="EY204" s="139" t="str">
        <f t="shared" si="260"/>
        <v/>
      </c>
      <c r="EZ204" s="139" t="str">
        <f t="shared" si="261"/>
        <v/>
      </c>
      <c r="FA204" s="139" t="str">
        <f t="shared" si="262"/>
        <v/>
      </c>
      <c r="FB204" s="139" t="str">
        <f t="shared" si="263"/>
        <v/>
      </c>
      <c r="FC204" s="139" t="str">
        <f t="shared" si="264"/>
        <v/>
      </c>
      <c r="FD204" s="139" t="str">
        <f t="shared" si="265"/>
        <v/>
      </c>
      <c r="FE204" s="139" t="str">
        <f t="shared" si="266"/>
        <v/>
      </c>
      <c r="FF204" s="139" t="str">
        <f t="shared" si="267"/>
        <v/>
      </c>
      <c r="FG204" s="139" t="str">
        <f t="shared" si="268"/>
        <v/>
      </c>
      <c r="FH204" s="139" t="str">
        <f t="shared" si="269"/>
        <v/>
      </c>
      <c r="FI204" s="139" t="str">
        <f t="shared" si="270"/>
        <v/>
      </c>
      <c r="FJ204" s="139" t="str">
        <f t="shared" si="271"/>
        <v/>
      </c>
      <c r="FK204" s="139" t="str">
        <f t="shared" si="272"/>
        <v/>
      </c>
      <c r="FL204" s="139" t="str">
        <f t="shared" si="273"/>
        <v/>
      </c>
      <c r="FM204" s="139" t="str">
        <f t="shared" si="274"/>
        <v/>
      </c>
      <c r="FN204" s="139" t="str">
        <f t="shared" si="275"/>
        <v/>
      </c>
      <c r="FO204" s="139" t="str">
        <f t="shared" si="276"/>
        <v/>
      </c>
      <c r="FP204" s="139" t="str">
        <f t="shared" si="277"/>
        <v/>
      </c>
      <c r="FQ204" s="139" t="str">
        <f t="shared" si="278"/>
        <v/>
      </c>
      <c r="FR204" s="139" t="str">
        <f t="shared" si="279"/>
        <v/>
      </c>
      <c r="FS204" s="139" t="str">
        <f t="shared" si="280"/>
        <v/>
      </c>
      <c r="FT204" s="139" t="str">
        <f t="shared" si="281"/>
        <v/>
      </c>
      <c r="FU204" s="148" t="str">
        <f t="shared" si="282"/>
        <v/>
      </c>
      <c r="FV204" s="149"/>
      <c r="FY204" s="210">
        <v>199</v>
      </c>
      <c r="FZ204" s="205"/>
      <c r="GA204" s="205"/>
      <c r="GB204" s="205"/>
      <c r="GC204" s="205"/>
      <c r="GD204" s="205"/>
      <c r="GE204" s="205"/>
      <c r="GF204" s="205"/>
      <c r="GG204" s="205"/>
      <c r="GH204" s="205"/>
      <c r="GI204" s="205"/>
      <c r="GJ204" s="205"/>
      <c r="GK204" s="205"/>
      <c r="GL204" s="205"/>
      <c r="GM204" s="205"/>
    </row>
    <row r="205" spans="1:195" s="7" customFormat="1">
      <c r="A205" s="1"/>
      <c r="B205" s="76" t="str">
        <f t="shared" ca="1" si="249"/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/>
      <c r="AO205"/>
      <c r="AP205"/>
      <c r="AQ205"/>
      <c r="AR205"/>
      <c r="AS205"/>
      <c r="AT205"/>
      <c r="AU205"/>
      <c r="AV205"/>
      <c r="AW205"/>
      <c r="AX205" s="146"/>
      <c r="AY205" s="76" t="str">
        <f t="shared" ca="1" si="172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7"/>
        <v/>
      </c>
      <c r="CL205" s="179" t="str">
        <f t="shared" si="208"/>
        <v/>
      </c>
      <c r="CM205" s="180" t="str">
        <f t="shared" si="209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10"/>
        <v/>
      </c>
      <c r="DB205" s="146"/>
      <c r="DC205" s="76" t="str">
        <f t="shared" ca="1" si="173"/>
        <v/>
      </c>
      <c r="DD205" t="str">
        <f t="shared" si="211"/>
        <v/>
      </c>
      <c r="DE205" s="129" t="str">
        <f t="shared" si="337"/>
        <v/>
      </c>
      <c r="DF205" s="161" t="str">
        <f t="shared" si="284"/>
        <v/>
      </c>
      <c r="DG205" s="161" t="str">
        <f t="shared" si="285"/>
        <v/>
      </c>
      <c r="DH205" s="161" t="str">
        <f t="shared" si="286"/>
        <v/>
      </c>
      <c r="DI205" s="161" t="str">
        <f t="shared" si="287"/>
        <v/>
      </c>
      <c r="DJ205" s="161" t="str">
        <f t="shared" si="288"/>
        <v/>
      </c>
      <c r="DK205" s="161" t="str">
        <f t="shared" si="289"/>
        <v/>
      </c>
      <c r="DL205" s="161" t="str">
        <f t="shared" si="290"/>
        <v/>
      </c>
      <c r="DM205" s="161" t="str">
        <f t="shared" si="291"/>
        <v/>
      </c>
      <c r="DN205" s="161" t="str">
        <f t="shared" si="314"/>
        <v/>
      </c>
      <c r="DO205" s="161" t="str">
        <f t="shared" si="315"/>
        <v/>
      </c>
      <c r="DP205" s="161" t="str">
        <f t="shared" si="316"/>
        <v/>
      </c>
      <c r="DQ205" s="161" t="str">
        <f t="shared" si="317"/>
        <v/>
      </c>
      <c r="DR205" s="161" t="str">
        <f t="shared" si="318"/>
        <v/>
      </c>
      <c r="DS205" s="161" t="str">
        <f t="shared" si="319"/>
        <v/>
      </c>
      <c r="DT205" s="161" t="str">
        <f t="shared" si="320"/>
        <v/>
      </c>
      <c r="DU205" s="161" t="str">
        <f t="shared" si="321"/>
        <v/>
      </c>
      <c r="DV205" s="161" t="str">
        <f t="shared" si="322"/>
        <v/>
      </c>
      <c r="DW205" s="161" t="str">
        <f t="shared" si="323"/>
        <v/>
      </c>
      <c r="DX205" s="161" t="str">
        <f t="shared" si="324"/>
        <v/>
      </c>
      <c r="DY205" s="161" t="str">
        <f t="shared" si="325"/>
        <v/>
      </c>
      <c r="DZ205" s="161" t="str">
        <f t="shared" si="326"/>
        <v/>
      </c>
      <c r="EA205" s="161" t="str">
        <f t="shared" si="327"/>
        <v/>
      </c>
      <c r="EB205" s="161" t="str">
        <f t="shared" si="328"/>
        <v/>
      </c>
      <c r="EC205" s="161" t="str">
        <f t="shared" si="329"/>
        <v/>
      </c>
      <c r="ED205" s="161" t="str">
        <f t="shared" si="330"/>
        <v/>
      </c>
      <c r="EE205" s="161" t="str">
        <f t="shared" si="331"/>
        <v/>
      </c>
      <c r="EF205" s="161" t="str">
        <f t="shared" si="332"/>
        <v/>
      </c>
      <c r="EG205" s="161" t="str">
        <f t="shared" si="333"/>
        <v/>
      </c>
      <c r="EH205" s="161" t="str">
        <f t="shared" si="334"/>
        <v/>
      </c>
      <c r="EI205" s="161" t="str">
        <f t="shared" si="335"/>
        <v/>
      </c>
      <c r="EJ205" s="161" t="str">
        <f t="shared" si="336"/>
        <v/>
      </c>
      <c r="EK205" s="147" t="str">
        <f t="shared" si="250"/>
        <v/>
      </c>
      <c r="EL205" s="149"/>
      <c r="EN205" s="146"/>
      <c r="EO205" s="146"/>
      <c r="EP205" s="139" t="str">
        <f t="shared" si="251"/>
        <v/>
      </c>
      <c r="EQ205" s="139" t="str">
        <f t="shared" si="252"/>
        <v/>
      </c>
      <c r="ER205" s="139" t="str">
        <f t="shared" si="253"/>
        <v/>
      </c>
      <c r="ES205" s="139" t="str">
        <f t="shared" si="254"/>
        <v/>
      </c>
      <c r="ET205" s="139" t="str">
        <f t="shared" si="255"/>
        <v/>
      </c>
      <c r="EU205" s="139" t="str">
        <f t="shared" si="256"/>
        <v/>
      </c>
      <c r="EV205" s="139" t="str">
        <f t="shared" si="257"/>
        <v/>
      </c>
      <c r="EW205" s="139" t="str">
        <f t="shared" si="258"/>
        <v/>
      </c>
      <c r="EX205" s="139" t="str">
        <f t="shared" si="259"/>
        <v/>
      </c>
      <c r="EY205" s="139" t="str">
        <f t="shared" si="260"/>
        <v/>
      </c>
      <c r="EZ205" s="139" t="str">
        <f t="shared" si="261"/>
        <v/>
      </c>
      <c r="FA205" s="139" t="str">
        <f t="shared" si="262"/>
        <v/>
      </c>
      <c r="FB205" s="139" t="str">
        <f t="shared" si="263"/>
        <v/>
      </c>
      <c r="FC205" s="139" t="str">
        <f t="shared" si="264"/>
        <v/>
      </c>
      <c r="FD205" s="139" t="str">
        <f t="shared" si="265"/>
        <v/>
      </c>
      <c r="FE205" s="139" t="str">
        <f t="shared" si="266"/>
        <v/>
      </c>
      <c r="FF205" s="139" t="str">
        <f t="shared" si="267"/>
        <v/>
      </c>
      <c r="FG205" s="139" t="str">
        <f t="shared" si="268"/>
        <v/>
      </c>
      <c r="FH205" s="139" t="str">
        <f t="shared" si="269"/>
        <v/>
      </c>
      <c r="FI205" s="139" t="str">
        <f t="shared" si="270"/>
        <v/>
      </c>
      <c r="FJ205" s="139" t="str">
        <f t="shared" si="271"/>
        <v/>
      </c>
      <c r="FK205" s="139" t="str">
        <f t="shared" si="272"/>
        <v/>
      </c>
      <c r="FL205" s="139" t="str">
        <f t="shared" si="273"/>
        <v/>
      </c>
      <c r="FM205" s="139" t="str">
        <f t="shared" si="274"/>
        <v/>
      </c>
      <c r="FN205" s="139" t="str">
        <f t="shared" si="275"/>
        <v/>
      </c>
      <c r="FO205" s="139" t="str">
        <f t="shared" si="276"/>
        <v/>
      </c>
      <c r="FP205" s="139" t="str">
        <f t="shared" si="277"/>
        <v/>
      </c>
      <c r="FQ205" s="139" t="str">
        <f t="shared" si="278"/>
        <v/>
      </c>
      <c r="FR205" s="139" t="str">
        <f t="shared" si="279"/>
        <v/>
      </c>
      <c r="FS205" s="139" t="str">
        <f t="shared" si="280"/>
        <v/>
      </c>
      <c r="FT205" s="139" t="str">
        <f t="shared" si="281"/>
        <v/>
      </c>
      <c r="FU205" s="148" t="str">
        <f t="shared" si="282"/>
        <v/>
      </c>
      <c r="FV205" s="149"/>
      <c r="FY205" s="210">
        <v>200</v>
      </c>
      <c r="FZ205" s="205"/>
      <c r="GA205" s="205"/>
      <c r="GB205" s="205"/>
      <c r="GC205" s="205"/>
      <c r="GD205" s="205"/>
      <c r="GE205" s="205"/>
      <c r="GF205" s="205"/>
      <c r="GG205" s="205"/>
      <c r="GH205" s="205"/>
      <c r="GI205" s="205"/>
      <c r="GJ205" s="205"/>
      <c r="GK205" s="205"/>
      <c r="GL205" s="205"/>
      <c r="GM205" s="205"/>
    </row>
    <row r="206" spans="1:195" s="7" customFormat="1">
      <c r="A206" s="1"/>
      <c r="B206" s="76" t="str">
        <f t="shared" ca="1" si="249"/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/>
      <c r="AO206"/>
      <c r="AP206"/>
      <c r="AQ206"/>
      <c r="AR206"/>
      <c r="AS206"/>
      <c r="AT206"/>
      <c r="AU206"/>
      <c r="AV206"/>
      <c r="AW206"/>
      <c r="AX206" s="146"/>
      <c r="AY206" s="76" t="str">
        <f t="shared" ca="1" si="172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7"/>
        <v/>
      </c>
      <c r="CL206" s="179" t="str">
        <f t="shared" si="208"/>
        <v/>
      </c>
      <c r="CM206" s="180" t="str">
        <f t="shared" si="209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10"/>
        <v/>
      </c>
      <c r="DB206" s="146"/>
      <c r="DC206" s="76" t="str">
        <f t="shared" ca="1" si="173"/>
        <v/>
      </c>
      <c r="DD206" t="str">
        <f t="shared" si="211"/>
        <v/>
      </c>
      <c r="DE206" s="129" t="str">
        <f t="shared" si="337"/>
        <v/>
      </c>
      <c r="DF206" s="161" t="str">
        <f t="shared" si="284"/>
        <v/>
      </c>
      <c r="DG206" s="161" t="str">
        <f t="shared" si="285"/>
        <v/>
      </c>
      <c r="DH206" s="161" t="str">
        <f t="shared" si="286"/>
        <v/>
      </c>
      <c r="DI206" s="161" t="str">
        <f t="shared" si="287"/>
        <v/>
      </c>
      <c r="DJ206" s="161" t="str">
        <f t="shared" si="288"/>
        <v/>
      </c>
      <c r="DK206" s="161" t="str">
        <f t="shared" si="289"/>
        <v/>
      </c>
      <c r="DL206" s="161" t="str">
        <f t="shared" si="290"/>
        <v/>
      </c>
      <c r="DM206" s="161" t="str">
        <f t="shared" si="291"/>
        <v/>
      </c>
      <c r="DN206" s="161" t="str">
        <f t="shared" si="314"/>
        <v/>
      </c>
      <c r="DO206" s="161" t="str">
        <f t="shared" si="315"/>
        <v/>
      </c>
      <c r="DP206" s="161" t="str">
        <f t="shared" si="316"/>
        <v/>
      </c>
      <c r="DQ206" s="161" t="str">
        <f t="shared" si="317"/>
        <v/>
      </c>
      <c r="DR206" s="161" t="str">
        <f t="shared" si="318"/>
        <v/>
      </c>
      <c r="DS206" s="161" t="str">
        <f t="shared" si="319"/>
        <v/>
      </c>
      <c r="DT206" s="161" t="str">
        <f t="shared" si="320"/>
        <v/>
      </c>
      <c r="DU206" s="161" t="str">
        <f t="shared" si="321"/>
        <v/>
      </c>
      <c r="DV206" s="161" t="str">
        <f t="shared" si="322"/>
        <v/>
      </c>
      <c r="DW206" s="161" t="str">
        <f t="shared" si="323"/>
        <v/>
      </c>
      <c r="DX206" s="161" t="str">
        <f t="shared" si="324"/>
        <v/>
      </c>
      <c r="DY206" s="161" t="str">
        <f t="shared" si="325"/>
        <v/>
      </c>
      <c r="DZ206" s="161" t="str">
        <f t="shared" si="326"/>
        <v/>
      </c>
      <c r="EA206" s="161" t="str">
        <f t="shared" si="327"/>
        <v/>
      </c>
      <c r="EB206" s="161" t="str">
        <f t="shared" si="328"/>
        <v/>
      </c>
      <c r="EC206" s="161" t="str">
        <f t="shared" si="329"/>
        <v/>
      </c>
      <c r="ED206" s="161" t="str">
        <f t="shared" si="330"/>
        <v/>
      </c>
      <c r="EE206" s="161" t="str">
        <f t="shared" si="331"/>
        <v/>
      </c>
      <c r="EF206" s="161" t="str">
        <f t="shared" si="332"/>
        <v/>
      </c>
      <c r="EG206" s="161" t="str">
        <f t="shared" si="333"/>
        <v/>
      </c>
      <c r="EH206" s="161" t="str">
        <f t="shared" si="334"/>
        <v/>
      </c>
      <c r="EI206" s="161" t="str">
        <f t="shared" si="335"/>
        <v/>
      </c>
      <c r="EJ206" s="161" t="str">
        <f t="shared" si="336"/>
        <v/>
      </c>
      <c r="EK206" s="147" t="str">
        <f t="shared" si="250"/>
        <v/>
      </c>
      <c r="EL206" s="149"/>
      <c r="EN206" s="146"/>
      <c r="EO206" s="146"/>
      <c r="EP206" s="139" t="str">
        <f t="shared" si="251"/>
        <v/>
      </c>
      <c r="EQ206" s="139" t="str">
        <f t="shared" si="252"/>
        <v/>
      </c>
      <c r="ER206" s="139" t="str">
        <f t="shared" si="253"/>
        <v/>
      </c>
      <c r="ES206" s="139" t="str">
        <f t="shared" si="254"/>
        <v/>
      </c>
      <c r="ET206" s="139" t="str">
        <f t="shared" si="255"/>
        <v/>
      </c>
      <c r="EU206" s="139" t="str">
        <f t="shared" si="256"/>
        <v/>
      </c>
      <c r="EV206" s="139" t="str">
        <f t="shared" si="257"/>
        <v/>
      </c>
      <c r="EW206" s="139" t="str">
        <f t="shared" si="258"/>
        <v/>
      </c>
      <c r="EX206" s="139" t="str">
        <f t="shared" si="259"/>
        <v/>
      </c>
      <c r="EY206" s="139" t="str">
        <f t="shared" si="260"/>
        <v/>
      </c>
      <c r="EZ206" s="139" t="str">
        <f t="shared" si="261"/>
        <v/>
      </c>
      <c r="FA206" s="139" t="str">
        <f t="shared" si="262"/>
        <v/>
      </c>
      <c r="FB206" s="139" t="str">
        <f t="shared" si="263"/>
        <v/>
      </c>
      <c r="FC206" s="139" t="str">
        <f t="shared" si="264"/>
        <v/>
      </c>
      <c r="FD206" s="139" t="str">
        <f t="shared" si="265"/>
        <v/>
      </c>
      <c r="FE206" s="139" t="str">
        <f t="shared" si="266"/>
        <v/>
      </c>
      <c r="FF206" s="139" t="str">
        <f t="shared" si="267"/>
        <v/>
      </c>
      <c r="FG206" s="139" t="str">
        <f t="shared" si="268"/>
        <v/>
      </c>
      <c r="FH206" s="139" t="str">
        <f t="shared" si="269"/>
        <v/>
      </c>
      <c r="FI206" s="139" t="str">
        <f t="shared" si="270"/>
        <v/>
      </c>
      <c r="FJ206" s="139" t="str">
        <f t="shared" si="271"/>
        <v/>
      </c>
      <c r="FK206" s="139" t="str">
        <f t="shared" si="272"/>
        <v/>
      </c>
      <c r="FL206" s="139" t="str">
        <f t="shared" si="273"/>
        <v/>
      </c>
      <c r="FM206" s="139" t="str">
        <f t="shared" si="274"/>
        <v/>
      </c>
      <c r="FN206" s="139" t="str">
        <f t="shared" si="275"/>
        <v/>
      </c>
      <c r="FO206" s="139" t="str">
        <f t="shared" si="276"/>
        <v/>
      </c>
      <c r="FP206" s="139" t="str">
        <f t="shared" si="277"/>
        <v/>
      </c>
      <c r="FQ206" s="139" t="str">
        <f t="shared" si="278"/>
        <v/>
      </c>
      <c r="FR206" s="139" t="str">
        <f t="shared" si="279"/>
        <v/>
      </c>
      <c r="FS206" s="139" t="str">
        <f t="shared" si="280"/>
        <v/>
      </c>
      <c r="FT206" s="139" t="str">
        <f t="shared" si="281"/>
        <v/>
      </c>
      <c r="FU206" s="148" t="str">
        <f t="shared" si="282"/>
        <v/>
      </c>
      <c r="FV206" s="149"/>
      <c r="FY206" s="210">
        <v>201</v>
      </c>
      <c r="FZ206" s="205"/>
      <c r="GA206" s="205"/>
      <c r="GB206" s="205"/>
      <c r="GC206" s="205"/>
      <c r="GD206" s="205"/>
      <c r="GE206" s="205"/>
      <c r="GF206" s="205"/>
      <c r="GG206" s="205"/>
      <c r="GH206" s="205"/>
      <c r="GI206" s="205"/>
      <c r="GJ206" s="205"/>
      <c r="GK206" s="205"/>
      <c r="GL206" s="205"/>
      <c r="GM206" s="205"/>
    </row>
    <row r="207" spans="1:195" s="7" customFormat="1">
      <c r="A207" s="1"/>
      <c r="B207" s="76" t="str">
        <f t="shared" ca="1" si="249"/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/>
      <c r="AO207"/>
      <c r="AP207"/>
      <c r="AQ207"/>
      <c r="AR207"/>
      <c r="AS207"/>
      <c r="AT207"/>
      <c r="AU207"/>
      <c r="AV207"/>
      <c r="AW207"/>
      <c r="AX207" s="146"/>
      <c r="AY207" s="76" t="str">
        <f t="shared" ca="1" si="172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7"/>
        <v/>
      </c>
      <c r="CL207" s="179" t="str">
        <f t="shared" si="208"/>
        <v/>
      </c>
      <c r="CM207" s="180" t="str">
        <f t="shared" si="209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10"/>
        <v/>
      </c>
      <c r="DB207" s="146"/>
      <c r="DC207" s="76" t="str">
        <f t="shared" ca="1" si="173"/>
        <v/>
      </c>
      <c r="DD207" t="str">
        <f t="shared" si="211"/>
        <v/>
      </c>
      <c r="DE207" s="129" t="str">
        <f t="shared" si="337"/>
        <v/>
      </c>
      <c r="DF207" s="161" t="str">
        <f t="shared" si="284"/>
        <v/>
      </c>
      <c r="DG207" s="161" t="str">
        <f t="shared" si="285"/>
        <v/>
      </c>
      <c r="DH207" s="161" t="str">
        <f t="shared" si="286"/>
        <v/>
      </c>
      <c r="DI207" s="161" t="str">
        <f t="shared" si="287"/>
        <v/>
      </c>
      <c r="DJ207" s="161" t="str">
        <f t="shared" si="288"/>
        <v/>
      </c>
      <c r="DK207" s="161" t="str">
        <f t="shared" si="289"/>
        <v/>
      </c>
      <c r="DL207" s="161" t="str">
        <f t="shared" si="290"/>
        <v/>
      </c>
      <c r="DM207" s="161" t="str">
        <f t="shared" si="291"/>
        <v/>
      </c>
      <c r="DN207" s="161" t="str">
        <f t="shared" si="314"/>
        <v/>
      </c>
      <c r="DO207" s="161" t="str">
        <f t="shared" ref="DO207:EJ207" si="338">IF($AZ207="", "", (BK207*$CW207)/$CZ207)</f>
        <v/>
      </c>
      <c r="DP207" s="161" t="str">
        <f t="shared" si="338"/>
        <v/>
      </c>
      <c r="DQ207" s="161" t="str">
        <f t="shared" si="338"/>
        <v/>
      </c>
      <c r="DR207" s="161" t="str">
        <f t="shared" si="338"/>
        <v/>
      </c>
      <c r="DS207" s="161" t="str">
        <f t="shared" si="338"/>
        <v/>
      </c>
      <c r="DT207" s="161" t="str">
        <f t="shared" si="338"/>
        <v/>
      </c>
      <c r="DU207" s="161" t="str">
        <f t="shared" si="338"/>
        <v/>
      </c>
      <c r="DV207" s="161" t="str">
        <f t="shared" si="338"/>
        <v/>
      </c>
      <c r="DW207" s="161" t="str">
        <f t="shared" si="338"/>
        <v/>
      </c>
      <c r="DX207" s="161" t="str">
        <f t="shared" si="338"/>
        <v/>
      </c>
      <c r="DY207" s="161" t="str">
        <f t="shared" si="338"/>
        <v/>
      </c>
      <c r="DZ207" s="161" t="str">
        <f t="shared" si="338"/>
        <v/>
      </c>
      <c r="EA207" s="161" t="str">
        <f t="shared" si="338"/>
        <v/>
      </c>
      <c r="EB207" s="161" t="str">
        <f t="shared" si="338"/>
        <v/>
      </c>
      <c r="EC207" s="161" t="str">
        <f t="shared" si="338"/>
        <v/>
      </c>
      <c r="ED207" s="161" t="str">
        <f t="shared" si="338"/>
        <v/>
      </c>
      <c r="EE207" s="161" t="str">
        <f t="shared" si="338"/>
        <v/>
      </c>
      <c r="EF207" s="161" t="str">
        <f t="shared" si="338"/>
        <v/>
      </c>
      <c r="EG207" s="161" t="str">
        <f t="shared" si="338"/>
        <v/>
      </c>
      <c r="EH207" s="161" t="str">
        <f t="shared" si="338"/>
        <v/>
      </c>
      <c r="EI207" s="161" t="str">
        <f t="shared" si="338"/>
        <v/>
      </c>
      <c r="EJ207" s="161" t="str">
        <f t="shared" si="338"/>
        <v/>
      </c>
      <c r="EK207" s="147" t="str">
        <f t="shared" si="250"/>
        <v/>
      </c>
      <c r="EL207" s="149"/>
      <c r="EN207" s="146"/>
      <c r="EO207" s="146"/>
      <c r="EP207" s="139" t="str">
        <f t="shared" si="251"/>
        <v/>
      </c>
      <c r="EQ207" s="139" t="str">
        <f t="shared" si="252"/>
        <v/>
      </c>
      <c r="ER207" s="139" t="str">
        <f t="shared" si="253"/>
        <v/>
      </c>
      <c r="ES207" s="139" t="str">
        <f t="shared" si="254"/>
        <v/>
      </c>
      <c r="ET207" s="139" t="str">
        <f t="shared" si="255"/>
        <v/>
      </c>
      <c r="EU207" s="139" t="str">
        <f t="shared" si="256"/>
        <v/>
      </c>
      <c r="EV207" s="139" t="str">
        <f t="shared" si="257"/>
        <v/>
      </c>
      <c r="EW207" s="139" t="str">
        <f t="shared" si="258"/>
        <v/>
      </c>
      <c r="EX207" s="139" t="str">
        <f t="shared" si="259"/>
        <v/>
      </c>
      <c r="EY207" s="139" t="str">
        <f t="shared" si="260"/>
        <v/>
      </c>
      <c r="EZ207" s="139" t="str">
        <f t="shared" si="261"/>
        <v/>
      </c>
      <c r="FA207" s="139" t="str">
        <f t="shared" si="262"/>
        <v/>
      </c>
      <c r="FB207" s="139" t="str">
        <f t="shared" si="263"/>
        <v/>
      </c>
      <c r="FC207" s="139" t="str">
        <f t="shared" si="264"/>
        <v/>
      </c>
      <c r="FD207" s="139" t="str">
        <f t="shared" si="265"/>
        <v/>
      </c>
      <c r="FE207" s="139" t="str">
        <f t="shared" si="266"/>
        <v/>
      </c>
      <c r="FF207" s="139" t="str">
        <f t="shared" si="267"/>
        <v/>
      </c>
      <c r="FG207" s="139" t="str">
        <f t="shared" si="268"/>
        <v/>
      </c>
      <c r="FH207" s="139" t="str">
        <f t="shared" si="269"/>
        <v/>
      </c>
      <c r="FI207" s="139" t="str">
        <f t="shared" si="270"/>
        <v/>
      </c>
      <c r="FJ207" s="139" t="str">
        <f t="shared" si="271"/>
        <v/>
      </c>
      <c r="FK207" s="139" t="str">
        <f t="shared" si="272"/>
        <v/>
      </c>
      <c r="FL207" s="139" t="str">
        <f t="shared" si="273"/>
        <v/>
      </c>
      <c r="FM207" s="139" t="str">
        <f t="shared" si="274"/>
        <v/>
      </c>
      <c r="FN207" s="139" t="str">
        <f t="shared" si="275"/>
        <v/>
      </c>
      <c r="FO207" s="139" t="str">
        <f t="shared" si="276"/>
        <v/>
      </c>
      <c r="FP207" s="139" t="str">
        <f t="shared" si="277"/>
        <v/>
      </c>
      <c r="FQ207" s="139" t="str">
        <f t="shared" si="278"/>
        <v/>
      </c>
      <c r="FR207" s="139" t="str">
        <f t="shared" si="279"/>
        <v/>
      </c>
      <c r="FS207" s="139" t="str">
        <f t="shared" si="280"/>
        <v/>
      </c>
      <c r="FT207" s="139" t="str">
        <f t="shared" si="281"/>
        <v/>
      </c>
      <c r="FU207" s="148" t="str">
        <f t="shared" si="282"/>
        <v/>
      </c>
      <c r="FV207" s="149"/>
      <c r="FY207" s="210">
        <v>202</v>
      </c>
      <c r="FZ207" s="205"/>
      <c r="GA207" s="205"/>
      <c r="GB207" s="205"/>
      <c r="GC207" s="205"/>
      <c r="GD207" s="205"/>
      <c r="GE207" s="205"/>
      <c r="GF207" s="205"/>
      <c r="GG207" s="205"/>
      <c r="GH207" s="205"/>
      <c r="GI207" s="205"/>
      <c r="GJ207" s="205"/>
      <c r="GK207" s="205"/>
      <c r="GL207" s="205"/>
      <c r="GM207" s="205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/>
      <c r="AO208"/>
      <c r="AP208"/>
      <c r="AQ208"/>
      <c r="AR208"/>
      <c r="AS208"/>
      <c r="AT208"/>
      <c r="AU208"/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0">
        <v>203</v>
      </c>
      <c r="FZ208" s="205"/>
      <c r="GA208" s="205"/>
      <c r="GB208" s="205"/>
      <c r="GC208" s="205"/>
      <c r="GD208" s="205"/>
      <c r="GE208" s="205"/>
      <c r="GF208" s="205"/>
      <c r="GG208" s="205"/>
      <c r="GH208" s="205"/>
      <c r="GI208" s="205"/>
      <c r="GJ208" s="205"/>
      <c r="GK208" s="205"/>
      <c r="GL208" s="205"/>
      <c r="GM208" s="205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/>
      <c r="AO209"/>
      <c r="AP209"/>
      <c r="AQ209"/>
      <c r="AR209"/>
      <c r="AS209"/>
      <c r="AT209"/>
      <c r="AU209"/>
      <c r="AV209"/>
      <c r="AW209"/>
      <c r="FY209" s="210">
        <v>204</v>
      </c>
      <c r="FZ209" s="205"/>
      <c r="GA209" s="205"/>
      <c r="GB209" s="205"/>
      <c r="GC209" s="205"/>
      <c r="GD209" s="205"/>
      <c r="GE209" s="205"/>
      <c r="GF209" s="205"/>
      <c r="GG209" s="205"/>
      <c r="GH209" s="205"/>
      <c r="GI209" s="205"/>
      <c r="GJ209" s="205"/>
      <c r="GK209" s="205"/>
      <c r="GL209" s="205"/>
      <c r="GM209" s="205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/>
      <c r="AO210"/>
      <c r="AP210"/>
      <c r="AQ210"/>
      <c r="AR210"/>
      <c r="AS210"/>
      <c r="AT210"/>
      <c r="AU210"/>
      <c r="AV210"/>
      <c r="AW210"/>
      <c r="FY210" s="210">
        <v>205</v>
      </c>
      <c r="FZ210" s="205"/>
      <c r="GA210" s="205"/>
      <c r="GB210" s="205"/>
      <c r="GC210" s="205"/>
      <c r="GD210" s="205"/>
      <c r="GE210" s="205"/>
      <c r="GF210" s="205"/>
      <c r="GG210" s="205"/>
      <c r="GH210" s="205"/>
      <c r="GI210" s="205"/>
      <c r="GJ210" s="205"/>
      <c r="GK210" s="205"/>
      <c r="GL210" s="205"/>
      <c r="GM210" s="205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/>
      <c r="AO211"/>
      <c r="AP211"/>
      <c r="AQ211"/>
      <c r="AR211"/>
      <c r="AS211"/>
      <c r="AT211"/>
      <c r="AU211"/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0">
        <v>206</v>
      </c>
      <c r="FZ211" s="205"/>
      <c r="GA211" s="205"/>
      <c r="GB211" s="205"/>
      <c r="GC211" s="205"/>
      <c r="GD211" s="205"/>
      <c r="GE211" s="205"/>
      <c r="GF211" s="205"/>
      <c r="GG211" s="205"/>
      <c r="GH211" s="205"/>
      <c r="GI211" s="205"/>
      <c r="GJ211" s="205"/>
      <c r="GK211" s="205"/>
      <c r="GL211" s="205"/>
      <c r="GM211" s="205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/>
      <c r="AO212"/>
      <c r="AP212"/>
      <c r="AQ212"/>
      <c r="AR212"/>
      <c r="AS212"/>
      <c r="AT212"/>
      <c r="AU212"/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:EJ212" si="339">AVERAGE(DF88:DF97)</f>
        <v>0</v>
      </c>
      <c r="DG212" s="182">
        <f t="shared" si="339"/>
        <v>0</v>
      </c>
      <c r="DH212" s="182">
        <f t="shared" si="339"/>
        <v>0</v>
      </c>
      <c r="DI212" s="182">
        <f t="shared" si="339"/>
        <v>0</v>
      </c>
      <c r="DJ212" s="182">
        <f t="shared" si="339"/>
        <v>1.0416666666666665</v>
      </c>
      <c r="DK212" s="182">
        <f t="shared" ref="DK212:DQ212" si="340">AVERAGE(DK88:DK97)</f>
        <v>0</v>
      </c>
      <c r="DL212" s="182">
        <f t="shared" si="340"/>
        <v>0</v>
      </c>
      <c r="DM212" s="182">
        <f t="shared" si="340"/>
        <v>0</v>
      </c>
      <c r="DN212" s="182">
        <f t="shared" si="340"/>
        <v>0</v>
      </c>
      <c r="DO212" s="182">
        <f t="shared" si="340"/>
        <v>0</v>
      </c>
      <c r="DP212" s="182">
        <f t="shared" si="340"/>
        <v>0</v>
      </c>
      <c r="DQ212" s="182">
        <f t="shared" si="340"/>
        <v>1.0416666666666665</v>
      </c>
      <c r="DR212" s="182">
        <f t="shared" si="339"/>
        <v>0</v>
      </c>
      <c r="DS212" s="182">
        <f t="shared" si="339"/>
        <v>0</v>
      </c>
      <c r="DT212" s="182">
        <f t="shared" si="339"/>
        <v>0</v>
      </c>
      <c r="DU212" s="182">
        <f t="shared" si="339"/>
        <v>0</v>
      </c>
      <c r="DV212" s="182">
        <f t="shared" si="339"/>
        <v>0</v>
      </c>
      <c r="DW212" s="182">
        <f t="shared" si="339"/>
        <v>0</v>
      </c>
      <c r="DX212" s="182">
        <f t="shared" si="339"/>
        <v>0</v>
      </c>
      <c r="DY212" s="182">
        <f t="shared" si="339"/>
        <v>0</v>
      </c>
      <c r="DZ212" s="182">
        <f t="shared" si="339"/>
        <v>0</v>
      </c>
      <c r="EA212" s="182">
        <f t="shared" si="339"/>
        <v>0</v>
      </c>
      <c r="EB212" s="182">
        <f t="shared" si="339"/>
        <v>0</v>
      </c>
      <c r="EC212" s="182">
        <f t="shared" si="339"/>
        <v>0</v>
      </c>
      <c r="ED212" s="182">
        <f t="shared" si="339"/>
        <v>0</v>
      </c>
      <c r="EE212" s="182">
        <f t="shared" si="339"/>
        <v>0</v>
      </c>
      <c r="EF212" s="182">
        <f t="shared" si="339"/>
        <v>0</v>
      </c>
      <c r="EG212" s="182">
        <f t="shared" si="339"/>
        <v>0</v>
      </c>
      <c r="EH212" s="182">
        <f t="shared" si="339"/>
        <v>0</v>
      </c>
      <c r="EI212" s="182">
        <f t="shared" si="339"/>
        <v>0</v>
      </c>
      <c r="EJ212" s="182">
        <f t="shared" si="339"/>
        <v>0</v>
      </c>
      <c r="FY212" s="210">
        <v>207</v>
      </c>
      <c r="FZ212" s="205"/>
      <c r="GA212" s="205"/>
      <c r="GB212" s="205"/>
      <c r="GC212" s="205"/>
      <c r="GD212" s="205"/>
      <c r="GE212" s="205"/>
      <c r="GF212" s="205"/>
      <c r="GG212" s="205"/>
      <c r="GH212" s="205"/>
      <c r="GI212" s="205"/>
      <c r="GJ212" s="205"/>
      <c r="GK212" s="205"/>
      <c r="GL212" s="205"/>
      <c r="GM212" s="205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/>
      <c r="AO213"/>
      <c r="AP213"/>
      <c r="AQ213"/>
      <c r="AR213"/>
      <c r="AS213"/>
      <c r="AT213"/>
      <c r="AU213"/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EJ213" si="341">AVERAGE(DF98:DF107)</f>
        <v>0</v>
      </c>
      <c r="DG213" s="185">
        <f t="shared" si="341"/>
        <v>0</v>
      </c>
      <c r="DH213" s="185">
        <f t="shared" si="341"/>
        <v>0</v>
      </c>
      <c r="DI213" s="185">
        <f t="shared" si="341"/>
        <v>0</v>
      </c>
      <c r="DJ213" s="185">
        <f t="shared" si="341"/>
        <v>0</v>
      </c>
      <c r="DK213" s="185">
        <f t="shared" ref="DK213:DQ213" si="342">AVERAGE(DK98:DK107)</f>
        <v>0</v>
      </c>
      <c r="DL213" s="185">
        <f t="shared" si="342"/>
        <v>0</v>
      </c>
      <c r="DM213" s="185">
        <f t="shared" si="342"/>
        <v>0</v>
      </c>
      <c r="DN213" s="185">
        <f t="shared" si="342"/>
        <v>1.0416666666666665</v>
      </c>
      <c r="DO213" s="185">
        <f t="shared" si="342"/>
        <v>0</v>
      </c>
      <c r="DP213" s="185">
        <f t="shared" si="342"/>
        <v>0</v>
      </c>
      <c r="DQ213" s="185">
        <f t="shared" si="342"/>
        <v>0</v>
      </c>
      <c r="DR213" s="185">
        <f t="shared" si="341"/>
        <v>0</v>
      </c>
      <c r="DS213" s="185">
        <f t="shared" si="341"/>
        <v>0</v>
      </c>
      <c r="DT213" s="185">
        <f t="shared" si="341"/>
        <v>0</v>
      </c>
      <c r="DU213" s="185">
        <f t="shared" si="341"/>
        <v>0</v>
      </c>
      <c r="DV213" s="185">
        <f t="shared" si="341"/>
        <v>0</v>
      </c>
      <c r="DW213" s="185">
        <f t="shared" si="341"/>
        <v>0</v>
      </c>
      <c r="DX213" s="185">
        <f t="shared" si="341"/>
        <v>0</v>
      </c>
      <c r="DY213" s="185">
        <f t="shared" si="341"/>
        <v>0</v>
      </c>
      <c r="DZ213" s="185">
        <f t="shared" si="341"/>
        <v>0</v>
      </c>
      <c r="EA213" s="185">
        <f t="shared" si="341"/>
        <v>0</v>
      </c>
      <c r="EB213" s="185">
        <f t="shared" si="341"/>
        <v>0</v>
      </c>
      <c r="EC213" s="185">
        <f t="shared" si="341"/>
        <v>0</v>
      </c>
      <c r="ED213" s="185">
        <f t="shared" si="341"/>
        <v>0</v>
      </c>
      <c r="EE213" s="185">
        <f t="shared" si="341"/>
        <v>1.0416666666666665</v>
      </c>
      <c r="EF213" s="185">
        <f t="shared" si="341"/>
        <v>0</v>
      </c>
      <c r="EG213" s="185">
        <f t="shared" si="341"/>
        <v>0</v>
      </c>
      <c r="EH213" s="185">
        <f t="shared" si="341"/>
        <v>0</v>
      </c>
      <c r="EI213" s="185">
        <f t="shared" si="341"/>
        <v>0</v>
      </c>
      <c r="EJ213" s="185">
        <f t="shared" si="341"/>
        <v>0</v>
      </c>
      <c r="FY213" s="210">
        <v>208</v>
      </c>
      <c r="FZ213" s="205"/>
      <c r="GA213" s="205"/>
      <c r="GB213" s="205"/>
      <c r="GC213" s="205"/>
      <c r="GD213" s="205"/>
      <c r="GE213" s="205"/>
      <c r="GF213" s="205"/>
      <c r="GG213" s="205"/>
      <c r="GH213" s="205"/>
      <c r="GI213" s="205"/>
      <c r="GJ213" s="205"/>
      <c r="GK213" s="205"/>
      <c r="GL213" s="205"/>
      <c r="GM213" s="205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/>
      <c r="AO214"/>
      <c r="AP214"/>
      <c r="AQ214"/>
      <c r="AR214"/>
      <c r="AS214"/>
      <c r="AT214"/>
      <c r="AU214"/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:EJ214" si="343">AVERAGE(DF108:DF117)</f>
        <v>0</v>
      </c>
      <c r="DG214" s="182">
        <f t="shared" si="343"/>
        <v>58.59375</v>
      </c>
      <c r="DH214" s="182">
        <f t="shared" si="343"/>
        <v>19.53125</v>
      </c>
      <c r="DI214" s="182">
        <f t="shared" si="343"/>
        <v>18.359375</v>
      </c>
      <c r="DJ214" s="182">
        <f t="shared" si="343"/>
        <v>0</v>
      </c>
      <c r="DK214" s="182">
        <f t="shared" si="343"/>
        <v>0</v>
      </c>
      <c r="DL214" s="182">
        <f t="shared" si="343"/>
        <v>1.0416666666666665</v>
      </c>
      <c r="DM214" s="182">
        <f t="shared" si="343"/>
        <v>0</v>
      </c>
      <c r="DN214" s="182">
        <f t="shared" si="343"/>
        <v>0</v>
      </c>
      <c r="DO214" s="182">
        <f t="shared" si="343"/>
        <v>0</v>
      </c>
      <c r="DP214" s="182">
        <f t="shared" si="343"/>
        <v>0</v>
      </c>
      <c r="DQ214" s="182">
        <f t="shared" si="343"/>
        <v>0</v>
      </c>
      <c r="DR214" s="182">
        <f t="shared" si="343"/>
        <v>0</v>
      </c>
      <c r="DS214" s="182">
        <f t="shared" si="343"/>
        <v>0</v>
      </c>
      <c r="DT214" s="182">
        <f t="shared" si="343"/>
        <v>0</v>
      </c>
      <c r="DU214" s="182">
        <f t="shared" si="343"/>
        <v>0</v>
      </c>
      <c r="DV214" s="182">
        <f t="shared" si="343"/>
        <v>0</v>
      </c>
      <c r="DW214" s="182">
        <f t="shared" si="343"/>
        <v>0</v>
      </c>
      <c r="DX214" s="182">
        <f t="shared" si="343"/>
        <v>0</v>
      </c>
      <c r="DY214" s="182">
        <f t="shared" si="343"/>
        <v>0</v>
      </c>
      <c r="DZ214" s="182">
        <f t="shared" si="343"/>
        <v>0</v>
      </c>
      <c r="EA214" s="182">
        <f t="shared" si="343"/>
        <v>0</v>
      </c>
      <c r="EB214" s="182">
        <f t="shared" si="343"/>
        <v>0</v>
      </c>
      <c r="EC214" s="182">
        <f t="shared" si="343"/>
        <v>0</v>
      </c>
      <c r="ED214" s="182">
        <f t="shared" si="343"/>
        <v>0</v>
      </c>
      <c r="EE214" s="182">
        <f t="shared" si="343"/>
        <v>0</v>
      </c>
      <c r="EF214" s="182">
        <f t="shared" si="343"/>
        <v>0</v>
      </c>
      <c r="EG214" s="182">
        <f t="shared" si="343"/>
        <v>0</v>
      </c>
      <c r="EH214" s="182">
        <f t="shared" si="343"/>
        <v>0</v>
      </c>
      <c r="EI214" s="182">
        <f t="shared" si="343"/>
        <v>0</v>
      </c>
      <c r="EJ214" s="182">
        <f t="shared" si="343"/>
        <v>0</v>
      </c>
      <c r="FY214" s="210">
        <v>209</v>
      </c>
      <c r="FZ214" s="205"/>
      <c r="GA214" s="205"/>
      <c r="GB214" s="205"/>
      <c r="GC214" s="205"/>
      <c r="GD214" s="205"/>
      <c r="GE214" s="205"/>
      <c r="GF214" s="205"/>
      <c r="GG214" s="205"/>
      <c r="GH214" s="205"/>
      <c r="GI214" s="205"/>
      <c r="GJ214" s="205"/>
      <c r="GK214" s="205"/>
      <c r="GL214" s="205"/>
      <c r="GM214" s="205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/>
      <c r="AO215"/>
      <c r="AP215"/>
      <c r="AQ215"/>
      <c r="AR215"/>
      <c r="AS215"/>
      <c r="AT215"/>
      <c r="AU215"/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:EJ215" si="344">AVERAGE(DF118:DF127)</f>
        <v>0</v>
      </c>
      <c r="DG215" s="228">
        <f>AVERAGE(DG118:DG127)</f>
        <v>22.321428571428573</v>
      </c>
      <c r="DH215" s="228">
        <f>AVERAGE(DH118:DH127)</f>
        <v>0</v>
      </c>
      <c r="DI215" s="182">
        <f t="shared" si="344"/>
        <v>0</v>
      </c>
      <c r="DJ215" s="182">
        <f t="shared" si="344"/>
        <v>0</v>
      </c>
      <c r="DK215" s="182">
        <f t="shared" si="344"/>
        <v>0</v>
      </c>
      <c r="DL215" s="182">
        <f t="shared" si="344"/>
        <v>0</v>
      </c>
      <c r="DM215" s="182">
        <f t="shared" si="344"/>
        <v>0</v>
      </c>
      <c r="DN215" s="182">
        <f t="shared" si="344"/>
        <v>0</v>
      </c>
      <c r="DO215" s="182">
        <f t="shared" si="344"/>
        <v>0</v>
      </c>
      <c r="DP215" s="182">
        <f t="shared" si="344"/>
        <v>0</v>
      </c>
      <c r="DQ215" s="182">
        <f t="shared" si="344"/>
        <v>0</v>
      </c>
      <c r="DR215" s="182">
        <f t="shared" si="344"/>
        <v>1.0416666666666665</v>
      </c>
      <c r="DS215" s="182">
        <f t="shared" si="344"/>
        <v>0</v>
      </c>
      <c r="DT215" s="182">
        <f t="shared" si="344"/>
        <v>0</v>
      </c>
      <c r="DU215" s="182">
        <f t="shared" si="344"/>
        <v>0</v>
      </c>
      <c r="DV215" s="182">
        <f t="shared" si="344"/>
        <v>0</v>
      </c>
      <c r="DW215" s="182">
        <f t="shared" si="344"/>
        <v>0</v>
      </c>
      <c r="DX215" s="182">
        <f t="shared" si="344"/>
        <v>0</v>
      </c>
      <c r="DY215" s="182">
        <f t="shared" si="344"/>
        <v>0</v>
      </c>
      <c r="DZ215" s="182">
        <f t="shared" si="344"/>
        <v>0</v>
      </c>
      <c r="EA215" s="182">
        <f t="shared" si="344"/>
        <v>0</v>
      </c>
      <c r="EB215" s="182">
        <f t="shared" si="344"/>
        <v>0</v>
      </c>
      <c r="EC215" s="182">
        <f t="shared" si="344"/>
        <v>0</v>
      </c>
      <c r="ED215" s="182">
        <f t="shared" si="344"/>
        <v>0</v>
      </c>
      <c r="EE215" s="182">
        <f t="shared" si="344"/>
        <v>0</v>
      </c>
      <c r="EF215" s="182">
        <f t="shared" si="344"/>
        <v>0</v>
      </c>
      <c r="EG215" s="182">
        <f t="shared" si="344"/>
        <v>0</v>
      </c>
      <c r="EH215" s="182">
        <f t="shared" si="344"/>
        <v>0</v>
      </c>
      <c r="EI215" s="182">
        <f t="shared" si="344"/>
        <v>0</v>
      </c>
      <c r="EJ215" s="182">
        <f t="shared" si="344"/>
        <v>0</v>
      </c>
      <c r="FY215" s="210">
        <v>210</v>
      </c>
      <c r="FZ215" s="205"/>
      <c r="GA215" s="205"/>
      <c r="GB215" s="205"/>
      <c r="GC215" s="205"/>
      <c r="GD215" s="205"/>
      <c r="GE215" s="205"/>
      <c r="GF215" s="205"/>
      <c r="GG215" s="205"/>
      <c r="GH215" s="205"/>
      <c r="GI215" s="205"/>
      <c r="GJ215" s="205"/>
      <c r="GK215" s="205"/>
      <c r="GL215" s="205"/>
      <c r="GM215" s="20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/>
      <c r="AO216"/>
      <c r="AP216"/>
      <c r="AQ216"/>
      <c r="AR216"/>
      <c r="AS216"/>
      <c r="AT216"/>
      <c r="AU216"/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:EJ216" si="345">AVERAGE(DF128:DF137)</f>
        <v>0</v>
      </c>
      <c r="DG216" s="228">
        <f>AVERAGE(DG128:DG137)</f>
        <v>0</v>
      </c>
      <c r="DH216" s="228">
        <f>AVERAGE(DH128:DH139)</f>
        <v>0.86805555555555547</v>
      </c>
      <c r="DI216" s="182">
        <f t="shared" si="345"/>
        <v>2.083333333333333</v>
      </c>
      <c r="DJ216" s="182">
        <f t="shared" si="345"/>
        <v>0</v>
      </c>
      <c r="DK216" s="182">
        <f t="shared" si="345"/>
        <v>0</v>
      </c>
      <c r="DL216" s="182">
        <f t="shared" si="345"/>
        <v>0</v>
      </c>
      <c r="DM216" s="182">
        <f t="shared" si="345"/>
        <v>0</v>
      </c>
      <c r="DN216" s="182">
        <f t="shared" si="345"/>
        <v>0</v>
      </c>
      <c r="DO216" s="182">
        <f t="shared" si="345"/>
        <v>0</v>
      </c>
      <c r="DP216" s="182">
        <f t="shared" si="345"/>
        <v>0</v>
      </c>
      <c r="DQ216" s="182">
        <f t="shared" si="345"/>
        <v>0</v>
      </c>
      <c r="DR216" s="182">
        <f t="shared" si="345"/>
        <v>1.0416666666666665</v>
      </c>
      <c r="DS216" s="182">
        <f t="shared" si="345"/>
        <v>0</v>
      </c>
      <c r="DT216" s="182">
        <f t="shared" si="345"/>
        <v>0</v>
      </c>
      <c r="DU216" s="182">
        <f t="shared" si="345"/>
        <v>0</v>
      </c>
      <c r="DV216" s="182">
        <f t="shared" si="345"/>
        <v>0</v>
      </c>
      <c r="DW216" s="182">
        <f t="shared" si="345"/>
        <v>0</v>
      </c>
      <c r="DX216" s="182">
        <f t="shared" si="345"/>
        <v>0</v>
      </c>
      <c r="DY216" s="182">
        <f t="shared" si="345"/>
        <v>1.0416666666666665</v>
      </c>
      <c r="DZ216" s="182">
        <f t="shared" si="345"/>
        <v>0</v>
      </c>
      <c r="EA216" s="182">
        <f t="shared" si="345"/>
        <v>0</v>
      </c>
      <c r="EB216" s="182">
        <f t="shared" si="345"/>
        <v>0</v>
      </c>
      <c r="EC216" s="182">
        <f t="shared" si="345"/>
        <v>0</v>
      </c>
      <c r="ED216" s="182">
        <f t="shared" si="345"/>
        <v>0</v>
      </c>
      <c r="EE216" s="182">
        <f t="shared" si="345"/>
        <v>0</v>
      </c>
      <c r="EF216" s="182">
        <f t="shared" si="345"/>
        <v>0</v>
      </c>
      <c r="EG216" s="182">
        <f t="shared" si="345"/>
        <v>0</v>
      </c>
      <c r="EH216" s="182">
        <f t="shared" si="345"/>
        <v>0</v>
      </c>
      <c r="EI216" s="182">
        <f t="shared" si="345"/>
        <v>0</v>
      </c>
      <c r="EJ216" s="182">
        <f t="shared" si="345"/>
        <v>0</v>
      </c>
      <c r="FY216" s="210">
        <v>211</v>
      </c>
      <c r="FZ216" s="205"/>
      <c r="GA216" s="205"/>
      <c r="GB216" s="205"/>
      <c r="GC216" s="205"/>
      <c r="GD216" s="205"/>
      <c r="GE216" s="205"/>
      <c r="GF216" s="205"/>
      <c r="GG216" s="205"/>
      <c r="GH216" s="205"/>
      <c r="GI216" s="205"/>
      <c r="GJ216" s="205"/>
      <c r="GK216" s="205"/>
      <c r="GL216" s="205"/>
      <c r="GM216" s="205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/>
      <c r="AO217"/>
      <c r="AP217"/>
      <c r="AQ217"/>
      <c r="AR217"/>
      <c r="AS217"/>
      <c r="AT217"/>
      <c r="AU217"/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:EJ217" si="346">AVERAGE(DF138:DF147)</f>
        <v>0</v>
      </c>
      <c r="DG217" s="182">
        <f t="shared" si="346"/>
        <v>0</v>
      </c>
      <c r="DH217" s="182">
        <f t="shared" si="346"/>
        <v>2.083333333333333</v>
      </c>
      <c r="DI217" s="182">
        <f t="shared" si="346"/>
        <v>2.083333333333333</v>
      </c>
      <c r="DJ217" s="182">
        <f t="shared" si="346"/>
        <v>1.0416666666666665</v>
      </c>
      <c r="DK217" s="182">
        <f t="shared" si="346"/>
        <v>0</v>
      </c>
      <c r="DL217" s="182">
        <f t="shared" si="346"/>
        <v>0</v>
      </c>
      <c r="DM217" s="182">
        <f t="shared" si="346"/>
        <v>0</v>
      </c>
      <c r="DN217" s="182">
        <f t="shared" si="346"/>
        <v>0</v>
      </c>
      <c r="DO217" s="182">
        <f t="shared" si="346"/>
        <v>0</v>
      </c>
      <c r="DP217" s="182">
        <f t="shared" si="346"/>
        <v>0</v>
      </c>
      <c r="DQ217" s="182">
        <f t="shared" si="346"/>
        <v>0</v>
      </c>
      <c r="DR217" s="182">
        <f t="shared" si="346"/>
        <v>0</v>
      </c>
      <c r="DS217" s="182">
        <f t="shared" si="346"/>
        <v>0</v>
      </c>
      <c r="DT217" s="182">
        <f t="shared" si="346"/>
        <v>0</v>
      </c>
      <c r="DU217" s="182">
        <f t="shared" si="346"/>
        <v>0</v>
      </c>
      <c r="DV217" s="182">
        <f t="shared" si="346"/>
        <v>0</v>
      </c>
      <c r="DW217" s="182">
        <f t="shared" si="346"/>
        <v>0</v>
      </c>
      <c r="DX217" s="182">
        <f t="shared" si="346"/>
        <v>0</v>
      </c>
      <c r="DY217" s="182">
        <f t="shared" si="346"/>
        <v>0</v>
      </c>
      <c r="DZ217" s="182">
        <f t="shared" si="346"/>
        <v>0</v>
      </c>
      <c r="EA217" s="182">
        <f t="shared" si="346"/>
        <v>0</v>
      </c>
      <c r="EB217" s="182">
        <f t="shared" si="346"/>
        <v>0</v>
      </c>
      <c r="EC217" s="182">
        <f t="shared" si="346"/>
        <v>0</v>
      </c>
      <c r="ED217" s="182">
        <f t="shared" si="346"/>
        <v>1.0416666666666665</v>
      </c>
      <c r="EE217" s="182">
        <f t="shared" si="346"/>
        <v>0</v>
      </c>
      <c r="EF217" s="182">
        <f t="shared" si="346"/>
        <v>0</v>
      </c>
      <c r="EG217" s="182">
        <f t="shared" si="346"/>
        <v>0</v>
      </c>
      <c r="EH217" s="182">
        <f t="shared" si="346"/>
        <v>0</v>
      </c>
      <c r="EI217" s="182">
        <f t="shared" si="346"/>
        <v>0</v>
      </c>
      <c r="EJ217" s="182">
        <f t="shared" si="346"/>
        <v>0</v>
      </c>
      <c r="FY217" s="210">
        <v>212</v>
      </c>
      <c r="FZ217" s="205"/>
      <c r="GA217" s="205"/>
      <c r="GB217" s="205"/>
      <c r="GC217" s="205"/>
      <c r="GD217" s="205"/>
      <c r="GE217" s="205"/>
      <c r="GF217" s="205"/>
      <c r="GG217" s="205"/>
      <c r="GH217" s="205"/>
      <c r="GI217" s="205"/>
      <c r="GJ217" s="205"/>
      <c r="GK217" s="205"/>
      <c r="GL217" s="205"/>
      <c r="GM217" s="205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/>
      <c r="AO218"/>
      <c r="AP218"/>
      <c r="AQ218"/>
      <c r="AR218"/>
      <c r="AS218"/>
      <c r="AT218"/>
      <c r="AU218"/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:EJ218" si="347">AVERAGE(DF148:DF157)</f>
        <v>0</v>
      </c>
      <c r="DG218" s="182">
        <f t="shared" si="347"/>
        <v>0</v>
      </c>
      <c r="DH218" s="182">
        <f t="shared" si="347"/>
        <v>0</v>
      </c>
      <c r="DI218" s="182">
        <f t="shared" si="347"/>
        <v>0</v>
      </c>
      <c r="DJ218" s="182">
        <f t="shared" si="347"/>
        <v>0</v>
      </c>
      <c r="DK218" s="182">
        <f t="shared" si="347"/>
        <v>0</v>
      </c>
      <c r="DL218" s="182">
        <f t="shared" si="347"/>
        <v>0</v>
      </c>
      <c r="DM218" s="182">
        <f t="shared" si="347"/>
        <v>0</v>
      </c>
      <c r="DN218" s="182">
        <f t="shared" si="347"/>
        <v>0</v>
      </c>
      <c r="DO218" s="182">
        <f t="shared" si="347"/>
        <v>0</v>
      </c>
      <c r="DP218" s="182">
        <f t="shared" si="347"/>
        <v>0</v>
      </c>
      <c r="DQ218" s="182">
        <f t="shared" si="347"/>
        <v>0</v>
      </c>
      <c r="DR218" s="182">
        <f t="shared" si="347"/>
        <v>0</v>
      </c>
      <c r="DS218" s="182">
        <f t="shared" si="347"/>
        <v>0</v>
      </c>
      <c r="DT218" s="182">
        <f t="shared" si="347"/>
        <v>0</v>
      </c>
      <c r="DU218" s="182">
        <f t="shared" si="347"/>
        <v>0</v>
      </c>
      <c r="DV218" s="182">
        <f t="shared" si="347"/>
        <v>0</v>
      </c>
      <c r="DW218" s="182">
        <f t="shared" si="347"/>
        <v>0</v>
      </c>
      <c r="DX218" s="182">
        <f t="shared" si="347"/>
        <v>0</v>
      </c>
      <c r="DY218" s="182">
        <f t="shared" si="347"/>
        <v>0</v>
      </c>
      <c r="DZ218" s="182">
        <f t="shared" si="347"/>
        <v>0</v>
      </c>
      <c r="EA218" s="182">
        <f t="shared" si="347"/>
        <v>0</v>
      </c>
      <c r="EB218" s="182">
        <f t="shared" si="347"/>
        <v>0</v>
      </c>
      <c r="EC218" s="182">
        <f t="shared" si="347"/>
        <v>0</v>
      </c>
      <c r="ED218" s="182">
        <f t="shared" si="347"/>
        <v>0</v>
      </c>
      <c r="EE218" s="182">
        <f t="shared" si="347"/>
        <v>0</v>
      </c>
      <c r="EF218" s="182">
        <f t="shared" si="347"/>
        <v>0</v>
      </c>
      <c r="EG218" s="182">
        <f t="shared" si="347"/>
        <v>0</v>
      </c>
      <c r="EH218" s="182">
        <f t="shared" si="347"/>
        <v>0</v>
      </c>
      <c r="EI218" s="182">
        <f t="shared" si="347"/>
        <v>0</v>
      </c>
      <c r="EJ218" s="182">
        <f t="shared" si="347"/>
        <v>0</v>
      </c>
      <c r="FY218" s="210">
        <v>213</v>
      </c>
      <c r="FZ218" s="205"/>
      <c r="GA218" s="205"/>
      <c r="GB218" s="205"/>
      <c r="GC218" s="205"/>
      <c r="GD218" s="205"/>
      <c r="GE218" s="205"/>
      <c r="GF218" s="205"/>
      <c r="GG218" s="205"/>
      <c r="GH218" s="205"/>
      <c r="GI218" s="205"/>
      <c r="GJ218" s="205"/>
      <c r="GK218" s="205"/>
      <c r="GL218" s="205"/>
      <c r="GM218" s="205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/>
      <c r="AO219"/>
      <c r="AP219"/>
      <c r="AQ219"/>
      <c r="AR219"/>
      <c r="AS219"/>
      <c r="AT219"/>
      <c r="AU219"/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:EJ219" si="348">AVERAGE(DF158:DF167)</f>
        <v>0</v>
      </c>
      <c r="DG219" s="182">
        <f t="shared" si="348"/>
        <v>0</v>
      </c>
      <c r="DH219" s="182">
        <f t="shared" si="348"/>
        <v>0</v>
      </c>
      <c r="DI219" s="182">
        <f t="shared" si="348"/>
        <v>0</v>
      </c>
      <c r="DJ219" s="182">
        <f t="shared" si="348"/>
        <v>0</v>
      </c>
      <c r="DK219" s="182">
        <f t="shared" si="348"/>
        <v>0</v>
      </c>
      <c r="DL219" s="182">
        <f t="shared" si="348"/>
        <v>0</v>
      </c>
      <c r="DM219" s="182">
        <f t="shared" si="348"/>
        <v>0</v>
      </c>
      <c r="DN219" s="182">
        <f t="shared" si="348"/>
        <v>0</v>
      </c>
      <c r="DO219" s="182">
        <f t="shared" si="348"/>
        <v>0</v>
      </c>
      <c r="DP219" s="182">
        <f t="shared" si="348"/>
        <v>1.0416666666666665</v>
      </c>
      <c r="DQ219" s="182">
        <f t="shared" si="348"/>
        <v>0</v>
      </c>
      <c r="DR219" s="182">
        <f t="shared" si="348"/>
        <v>0</v>
      </c>
      <c r="DS219" s="182">
        <f t="shared" si="348"/>
        <v>0</v>
      </c>
      <c r="DT219" s="182">
        <f t="shared" si="348"/>
        <v>0</v>
      </c>
      <c r="DU219" s="182">
        <f t="shared" si="348"/>
        <v>0</v>
      </c>
      <c r="DV219" s="182">
        <f t="shared" si="348"/>
        <v>0</v>
      </c>
      <c r="DW219" s="182">
        <f t="shared" si="348"/>
        <v>0</v>
      </c>
      <c r="DX219" s="182">
        <f t="shared" si="348"/>
        <v>0</v>
      </c>
      <c r="DY219" s="182">
        <f t="shared" si="348"/>
        <v>0</v>
      </c>
      <c r="DZ219" s="182">
        <f t="shared" si="348"/>
        <v>0</v>
      </c>
      <c r="EA219" s="182">
        <f t="shared" si="348"/>
        <v>0</v>
      </c>
      <c r="EB219" s="182">
        <f t="shared" si="348"/>
        <v>0</v>
      </c>
      <c r="EC219" s="182">
        <f t="shared" si="348"/>
        <v>0</v>
      </c>
      <c r="ED219" s="182">
        <f t="shared" si="348"/>
        <v>0</v>
      </c>
      <c r="EE219" s="182">
        <f t="shared" si="348"/>
        <v>0</v>
      </c>
      <c r="EF219" s="182">
        <f t="shared" si="348"/>
        <v>0</v>
      </c>
      <c r="EG219" s="182">
        <f t="shared" si="348"/>
        <v>0</v>
      </c>
      <c r="EH219" s="182">
        <f t="shared" si="348"/>
        <v>0</v>
      </c>
      <c r="EI219" s="182">
        <f t="shared" si="348"/>
        <v>1.0416666666666665</v>
      </c>
      <c r="EJ219" s="182">
        <f t="shared" si="348"/>
        <v>0</v>
      </c>
      <c r="FY219" s="210">
        <v>214</v>
      </c>
      <c r="FZ219" s="205"/>
      <c r="GA219" s="205"/>
      <c r="GB219" s="205"/>
      <c r="GC219" s="205"/>
      <c r="GD219" s="205"/>
      <c r="GE219" s="205"/>
      <c r="GF219" s="205"/>
      <c r="GG219" s="205"/>
      <c r="GH219" s="205"/>
      <c r="GI219" s="205"/>
      <c r="GJ219" s="205"/>
      <c r="GK219" s="205"/>
      <c r="GL219" s="205"/>
      <c r="GM219" s="205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/>
      <c r="AO220"/>
      <c r="AP220"/>
      <c r="AQ220"/>
      <c r="AR220"/>
      <c r="AS220"/>
      <c r="AT220"/>
      <c r="AU220"/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:EJ220" si="349">AVERAGE(DF168:DF177)</f>
        <v>0</v>
      </c>
      <c r="DG220" s="182">
        <f t="shared" si="349"/>
        <v>0</v>
      </c>
      <c r="DH220" s="182">
        <f t="shared" si="349"/>
        <v>0</v>
      </c>
      <c r="DI220" s="182">
        <f t="shared" si="349"/>
        <v>0</v>
      </c>
      <c r="DJ220" s="182">
        <f t="shared" si="349"/>
        <v>0</v>
      </c>
      <c r="DK220" s="182">
        <f t="shared" si="349"/>
        <v>1.0416666666666665</v>
      </c>
      <c r="DL220" s="182">
        <f t="shared" si="349"/>
        <v>0</v>
      </c>
      <c r="DM220" s="182">
        <f t="shared" si="349"/>
        <v>0</v>
      </c>
      <c r="DN220" s="182">
        <f t="shared" si="349"/>
        <v>0</v>
      </c>
      <c r="DO220" s="182">
        <v>8</v>
      </c>
      <c r="DP220" s="182">
        <f t="shared" si="349"/>
        <v>0</v>
      </c>
      <c r="DQ220" s="182">
        <f t="shared" si="349"/>
        <v>0</v>
      </c>
      <c r="DR220" s="182">
        <f t="shared" si="349"/>
        <v>0</v>
      </c>
      <c r="DS220" s="182">
        <f t="shared" si="349"/>
        <v>0</v>
      </c>
      <c r="DT220" s="182">
        <f t="shared" si="349"/>
        <v>0</v>
      </c>
      <c r="DU220" s="182">
        <f t="shared" si="349"/>
        <v>0</v>
      </c>
      <c r="DV220" s="182">
        <f t="shared" si="349"/>
        <v>0</v>
      </c>
      <c r="DW220" s="182">
        <f t="shared" si="349"/>
        <v>0</v>
      </c>
      <c r="DX220" s="182">
        <f t="shared" si="349"/>
        <v>0</v>
      </c>
      <c r="DY220" s="182">
        <f t="shared" si="349"/>
        <v>0</v>
      </c>
      <c r="DZ220" s="182">
        <f t="shared" si="349"/>
        <v>1.0416666666666665</v>
      </c>
      <c r="EA220" s="182">
        <f t="shared" si="349"/>
        <v>0</v>
      </c>
      <c r="EB220" s="182">
        <f t="shared" si="349"/>
        <v>0</v>
      </c>
      <c r="EC220" s="182">
        <f t="shared" si="349"/>
        <v>1.0416666666666665</v>
      </c>
      <c r="ED220" s="182">
        <f t="shared" si="349"/>
        <v>0</v>
      </c>
      <c r="EE220" s="182">
        <f t="shared" si="349"/>
        <v>0</v>
      </c>
      <c r="EF220" s="182">
        <f t="shared" si="349"/>
        <v>0</v>
      </c>
      <c r="EG220" s="182">
        <f t="shared" si="349"/>
        <v>1.0416666666666665</v>
      </c>
      <c r="EH220" s="182">
        <f t="shared" si="349"/>
        <v>0</v>
      </c>
      <c r="EI220" s="182">
        <f t="shared" si="349"/>
        <v>0</v>
      </c>
      <c r="EJ220" s="182">
        <f t="shared" si="349"/>
        <v>1.0416666666666665</v>
      </c>
      <c r="FY220" s="210">
        <v>215</v>
      </c>
      <c r="FZ220" s="205"/>
      <c r="GA220" s="205"/>
      <c r="GB220" s="205"/>
      <c r="GC220" s="205"/>
      <c r="GD220" s="205"/>
      <c r="GE220" s="205"/>
      <c r="GF220" s="205"/>
      <c r="GG220" s="205"/>
      <c r="GH220" s="205"/>
      <c r="GI220" s="205"/>
      <c r="GJ220" s="205"/>
      <c r="GK220" s="205"/>
      <c r="GL220" s="205"/>
      <c r="GM220" s="205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/>
      <c r="AO221"/>
      <c r="AP221"/>
      <c r="AQ221"/>
      <c r="AR221"/>
      <c r="AS221"/>
      <c r="AT221"/>
      <c r="AU221"/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:EJ221" si="350">AVERAGE(DF178:DF187)</f>
        <v>0</v>
      </c>
      <c r="DG221" s="182">
        <f t="shared" si="350"/>
        <v>0</v>
      </c>
      <c r="DH221" s="182">
        <f t="shared" si="350"/>
        <v>0</v>
      </c>
      <c r="DI221" s="182">
        <f t="shared" si="350"/>
        <v>0</v>
      </c>
      <c r="DJ221" s="182">
        <f t="shared" si="350"/>
        <v>0</v>
      </c>
      <c r="DK221" s="182">
        <f t="shared" si="350"/>
        <v>0</v>
      </c>
      <c r="DL221" s="182">
        <f t="shared" si="350"/>
        <v>0</v>
      </c>
      <c r="DM221" s="182">
        <f t="shared" si="350"/>
        <v>0</v>
      </c>
      <c r="DN221" s="182">
        <f t="shared" si="350"/>
        <v>0</v>
      </c>
      <c r="DO221" s="182">
        <f t="shared" si="350"/>
        <v>0</v>
      </c>
      <c r="DP221" s="182">
        <f t="shared" si="350"/>
        <v>0</v>
      </c>
      <c r="DQ221" s="182">
        <f t="shared" si="350"/>
        <v>0</v>
      </c>
      <c r="DR221" s="182">
        <f t="shared" si="350"/>
        <v>0</v>
      </c>
      <c r="DS221" s="182">
        <f t="shared" si="350"/>
        <v>0</v>
      </c>
      <c r="DT221" s="182">
        <f t="shared" si="350"/>
        <v>0</v>
      </c>
      <c r="DU221" s="182">
        <f t="shared" si="350"/>
        <v>0</v>
      </c>
      <c r="DV221" s="182">
        <f t="shared" si="350"/>
        <v>0</v>
      </c>
      <c r="DW221" s="182">
        <f t="shared" si="350"/>
        <v>0</v>
      </c>
      <c r="DX221" s="182">
        <f t="shared" si="350"/>
        <v>0</v>
      </c>
      <c r="DY221" s="182">
        <f t="shared" si="350"/>
        <v>0</v>
      </c>
      <c r="DZ221" s="182">
        <f t="shared" si="350"/>
        <v>0</v>
      </c>
      <c r="EA221" s="182">
        <f t="shared" si="350"/>
        <v>0</v>
      </c>
      <c r="EB221" s="182">
        <f t="shared" si="350"/>
        <v>0</v>
      </c>
      <c r="EC221" s="182">
        <f t="shared" si="350"/>
        <v>0</v>
      </c>
      <c r="ED221" s="182">
        <f t="shared" si="350"/>
        <v>0</v>
      </c>
      <c r="EE221" s="182">
        <f t="shared" si="350"/>
        <v>0</v>
      </c>
      <c r="EF221" s="182">
        <f t="shared" si="350"/>
        <v>0</v>
      </c>
      <c r="EG221" s="182">
        <f t="shared" si="350"/>
        <v>0</v>
      </c>
      <c r="EH221" s="182">
        <f t="shared" si="350"/>
        <v>0</v>
      </c>
      <c r="EI221" s="182">
        <f t="shared" si="350"/>
        <v>0</v>
      </c>
      <c r="EJ221" s="182">
        <f t="shared" si="350"/>
        <v>0</v>
      </c>
      <c r="FY221" s="210">
        <v>216</v>
      </c>
      <c r="FZ221" s="205"/>
      <c r="GA221" s="205"/>
      <c r="GB221" s="205"/>
      <c r="GC221" s="205"/>
      <c r="GD221" s="205"/>
      <c r="GE221" s="205"/>
      <c r="GF221" s="205"/>
      <c r="GG221" s="205"/>
      <c r="GH221" s="205"/>
      <c r="GI221" s="205"/>
      <c r="GJ221" s="205"/>
      <c r="GK221" s="205"/>
      <c r="GL221" s="205"/>
      <c r="GM221" s="205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/>
      <c r="AO222"/>
      <c r="AP222"/>
      <c r="AQ222"/>
      <c r="AR222"/>
      <c r="AS222"/>
      <c r="AT222"/>
      <c r="AU222"/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0">
        <v>217</v>
      </c>
      <c r="FZ222" s="205"/>
      <c r="GA222" s="205"/>
      <c r="GB222" s="205"/>
      <c r="GC222" s="205"/>
      <c r="GD222" s="205"/>
      <c r="GE222" s="205"/>
      <c r="GF222" s="205"/>
      <c r="GG222" s="205"/>
      <c r="GH222" s="205"/>
      <c r="GI222" s="205"/>
      <c r="GJ222" s="205"/>
      <c r="GK222" s="205"/>
      <c r="GL222" s="205"/>
      <c r="GM222" s="205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/>
      <c r="AO223"/>
      <c r="AP223"/>
      <c r="AQ223"/>
      <c r="AR223"/>
      <c r="AS223"/>
      <c r="AT223"/>
      <c r="AU223"/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0">
        <v>218</v>
      </c>
      <c r="FZ223" s="205"/>
      <c r="GA223" s="205"/>
      <c r="GB223" s="205"/>
      <c r="GC223" s="205"/>
      <c r="GD223" s="205"/>
      <c r="GE223" s="205"/>
      <c r="GF223" s="205"/>
      <c r="GG223" s="205"/>
      <c r="GH223" s="205"/>
      <c r="GI223" s="205"/>
      <c r="GJ223" s="205"/>
      <c r="GK223" s="205"/>
      <c r="GL223" s="205"/>
      <c r="GM223" s="205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/>
      <c r="AO224"/>
      <c r="AP224"/>
      <c r="AQ224"/>
      <c r="AR224"/>
      <c r="AS224"/>
      <c r="AT224"/>
      <c r="AU224"/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0">
        <v>219</v>
      </c>
      <c r="FZ224" s="205"/>
      <c r="GA224" s="205"/>
      <c r="GB224" s="205"/>
      <c r="GC224" s="205"/>
      <c r="GD224" s="205"/>
      <c r="GE224" s="205"/>
      <c r="GF224" s="205"/>
      <c r="GG224" s="205"/>
      <c r="GH224" s="205"/>
      <c r="GI224" s="205"/>
      <c r="GJ224" s="205"/>
      <c r="GK224" s="205"/>
      <c r="GL224" s="205"/>
      <c r="GM224" s="205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/>
      <c r="AO225"/>
      <c r="AP225"/>
      <c r="AQ225"/>
      <c r="AR225"/>
      <c r="AS225"/>
      <c r="AT225"/>
      <c r="AU225"/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>
        <f>((DG212*$H$372)+(DH212*$I$372)+(DI212*$J$372)+(DJ212*$K$372)+(DK212*$L$372)+(DL212*$M$372)+(DM212*$N$372)+(DN212*$O$372)+(DO212*$P$372)+(DP212*$Q$372)+(DQ212*$R$372)+(DR212*$S$372)+(DS212*$T$372)+(DT212*$U$372))/SUM(DG212:DT212)</f>
        <v>2.002590491505761E-2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0">
        <v>220</v>
      </c>
      <c r="FZ225" s="205"/>
      <c r="GA225" s="205"/>
      <c r="GB225" s="205"/>
      <c r="GC225" s="205"/>
      <c r="GD225" s="205"/>
      <c r="GE225" s="205"/>
      <c r="GF225" s="205"/>
      <c r="GG225" s="205"/>
      <c r="GH225" s="205"/>
      <c r="GI225" s="205"/>
      <c r="GJ225" s="205"/>
      <c r="GK225" s="205"/>
      <c r="GL225" s="205"/>
      <c r="GM225" s="20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/>
      <c r="AO226"/>
      <c r="AP226"/>
      <c r="AQ226"/>
      <c r="AR226"/>
      <c r="AS226"/>
      <c r="AT226"/>
      <c r="AU226"/>
      <c r="AV226"/>
      <c r="AW226"/>
      <c r="DE226" s="187">
        <f>DE101</f>
        <v>39673</v>
      </c>
      <c r="DF226" s="205"/>
      <c r="DG226" s="205">
        <f t="shared" ref="DG226:DG234" si="351">((DG213*$H$372)+(DH213*$I$372)+(DI213*$J$372)+(DJ213*$K$372)+(DK213*$L$372)+(DL213*$M$372)+(DM213*$N$372)+(DN213*$O$372)+(DO213*$P$372)+(DP213*$Q$372)+(DQ213*$R$372)+(DR213*$S$372)+(DS213*$T$372)+(DT213*$U$372))/SUM(DG213:DT213)</f>
        <v>2.1303733863702618E-2</v>
      </c>
      <c r="DH226" s="205">
        <f>(LN(DG226/DG225))/(DE213-DE212)</f>
        <v>2.2909509228892931E-3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0">
        <v>221</v>
      </c>
      <c r="FZ226" s="205"/>
      <c r="GA226" s="205"/>
      <c r="GB226" s="205"/>
      <c r="GC226" s="205"/>
      <c r="GD226" s="205"/>
      <c r="GE226" s="205"/>
      <c r="GF226" s="205"/>
      <c r="GG226" s="205"/>
      <c r="GH226" s="205"/>
      <c r="GI226" s="205"/>
      <c r="GJ226" s="205"/>
      <c r="GK226" s="205"/>
      <c r="GL226" s="205"/>
      <c r="GM226" s="205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/>
      <c r="AO227"/>
      <c r="AP227"/>
      <c r="AQ227"/>
      <c r="AR227"/>
      <c r="AS227"/>
      <c r="AT227"/>
      <c r="AU227"/>
      <c r="AV227"/>
      <c r="AW227"/>
      <c r="DE227" s="187">
        <f>DE111</f>
        <v>39714</v>
      </c>
      <c r="DF227" s="205"/>
      <c r="DG227" s="205">
        <f t="shared" si="351"/>
        <v>4.0372674359190515E-3</v>
      </c>
      <c r="DH227" s="205">
        <f t="shared" ref="DH227:DH234" si="352">(LN(DG227/DG226))/(DE214-DE213)</f>
        <v>-4.0568640737529651E-2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0">
        <v>222</v>
      </c>
      <c r="FZ227" s="205"/>
      <c r="GA227" s="205"/>
      <c r="GB227" s="205"/>
      <c r="GC227" s="205"/>
      <c r="GD227" s="205"/>
      <c r="GE227" s="205"/>
      <c r="GF227" s="205"/>
      <c r="GG227" s="205"/>
      <c r="GH227" s="205"/>
      <c r="GI227" s="205"/>
      <c r="GJ227" s="205"/>
      <c r="GK227" s="205"/>
      <c r="GL227" s="205"/>
      <c r="GM227" s="205"/>
    </row>
    <row r="228" spans="1:195" s="7" customFormat="1">
      <c r="A228" s="9" t="s">
        <v>60</v>
      </c>
      <c r="B228">
        <v>0.5256269912055469</v>
      </c>
      <c r="C228">
        <v>1</v>
      </c>
      <c r="D228">
        <v>39646</v>
      </c>
      <c r="E228">
        <v>0</v>
      </c>
      <c r="F228">
        <v>0</v>
      </c>
      <c r="G228">
        <v>62.5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/>
      <c r="AO228"/>
      <c r="AP228"/>
      <c r="AQ228"/>
      <c r="AR228"/>
      <c r="AS228"/>
      <c r="AT228"/>
      <c r="AU228"/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51"/>
        <v>3.7469451902461914E-3</v>
      </c>
      <c r="DH228" s="205">
        <f t="shared" si="352"/>
        <v>-2.2614301154819526E-3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0">
        <v>223</v>
      </c>
      <c r="FZ228" s="205"/>
      <c r="GA228" s="205"/>
      <c r="GB228" s="205"/>
      <c r="GC228" s="205"/>
      <c r="GD228" s="205"/>
      <c r="GE228" s="205"/>
      <c r="GF228" s="205"/>
      <c r="GG228" s="205"/>
      <c r="GH228" s="205"/>
      <c r="GI228" s="205"/>
      <c r="GJ228" s="205"/>
      <c r="GK228" s="205"/>
      <c r="GL228" s="205"/>
      <c r="GM228" s="205"/>
    </row>
    <row r="229" spans="1:195" s="7" customFormat="1">
      <c r="A229" s="90"/>
      <c r="B229">
        <v>0.92619115635175042</v>
      </c>
      <c r="C229">
        <v>1</v>
      </c>
      <c r="D229">
        <v>39646</v>
      </c>
      <c r="E229">
        <v>0</v>
      </c>
      <c r="F229">
        <v>0</v>
      </c>
      <c r="G229">
        <v>62.5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/>
      <c r="AO229"/>
      <c r="AP229"/>
      <c r="AQ229"/>
      <c r="AR229"/>
      <c r="AS229"/>
      <c r="AT229"/>
      <c r="AU229"/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51"/>
        <v>1.35558900908573E-2</v>
      </c>
      <c r="DH229" s="205">
        <f t="shared" si="352"/>
        <v>4.5924294780648134E-2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0">
        <v>224</v>
      </c>
      <c r="FZ229" s="205"/>
      <c r="GA229" s="205"/>
      <c r="GB229" s="205"/>
      <c r="GC229" s="205"/>
      <c r="GD229" s="205"/>
      <c r="GE229" s="205"/>
      <c r="GF229" s="205"/>
      <c r="GG229" s="205"/>
      <c r="GH229" s="205"/>
      <c r="GI229" s="205"/>
      <c r="GJ229" s="205"/>
      <c r="GK229" s="205"/>
      <c r="GL229" s="205"/>
      <c r="GM229" s="205"/>
    </row>
    <row r="230" spans="1:195" s="7" customFormat="1">
      <c r="A230" s="77"/>
      <c r="B230">
        <v>0.80501747787121669</v>
      </c>
      <c r="C230">
        <v>2</v>
      </c>
      <c r="D230">
        <v>39646</v>
      </c>
      <c r="E230">
        <v>0</v>
      </c>
      <c r="F230">
        <v>20.833333333333332</v>
      </c>
      <c r="G230">
        <v>41.666666666666664</v>
      </c>
      <c r="H230">
        <v>0</v>
      </c>
      <c r="I230">
        <v>0</v>
      </c>
      <c r="J230">
        <v>0</v>
      </c>
      <c r="K230">
        <v>0</v>
      </c>
      <c r="L230">
        <v>10.416666666666666</v>
      </c>
      <c r="M230">
        <v>10.416666666666666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/>
      <c r="AO230"/>
      <c r="AP230"/>
      <c r="AQ230"/>
      <c r="AR230"/>
      <c r="AS230"/>
      <c r="AT230"/>
      <c r="AU230"/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51"/>
        <v>7.0881395504677975E-3</v>
      </c>
      <c r="DH230" s="205">
        <f t="shared" si="352"/>
        <v>-2.7016593522744606E-2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0">
        <v>225</v>
      </c>
      <c r="FZ230" s="205"/>
      <c r="GA230" s="205"/>
      <c r="GB230" s="205"/>
      <c r="GC230" s="205"/>
      <c r="GD230" s="205"/>
      <c r="GE230" s="205"/>
      <c r="GF230" s="205"/>
      <c r="GG230" s="205"/>
      <c r="GH230" s="205"/>
      <c r="GI230" s="205"/>
      <c r="GJ230" s="205"/>
      <c r="GK230" s="205"/>
      <c r="GL230" s="205"/>
      <c r="GM230" s="205"/>
    </row>
    <row r="231" spans="1:195" s="7" customFormat="1">
      <c r="A231" s="77"/>
      <c r="B231">
        <v>0.23867915182895816</v>
      </c>
      <c r="C231">
        <v>2</v>
      </c>
      <c r="D231">
        <v>39646</v>
      </c>
      <c r="E231">
        <v>0</v>
      </c>
      <c r="F231">
        <v>20.833333333333332</v>
      </c>
      <c r="G231">
        <v>41.666666666666664</v>
      </c>
      <c r="H231">
        <v>0</v>
      </c>
      <c r="I231">
        <v>0</v>
      </c>
      <c r="J231">
        <v>0</v>
      </c>
      <c r="K231">
        <v>0</v>
      </c>
      <c r="L231">
        <v>10.416666666666666</v>
      </c>
      <c r="M231">
        <v>10.416666666666666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/>
      <c r="AO231"/>
      <c r="AP231"/>
      <c r="AQ231"/>
      <c r="AR231"/>
      <c r="AS231"/>
      <c r="AT231"/>
      <c r="AU231"/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>
        <f>DE151</f>
        <v>39847</v>
      </c>
      <c r="DF231" s="205"/>
      <c r="DG231" s="205" t="e">
        <f t="shared" si="351"/>
        <v>#DIV/0!</v>
      </c>
      <c r="DH231" s="205" t="e">
        <f t="shared" si="352"/>
        <v>#DIV/0!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0">
        <v>226</v>
      </c>
      <c r="FZ231" s="205"/>
      <c r="GA231" s="205"/>
      <c r="GB231" s="205"/>
      <c r="GC231" s="205"/>
      <c r="GD231" s="205"/>
      <c r="GE231" s="205"/>
      <c r="GF231" s="205"/>
      <c r="GG231" s="205"/>
      <c r="GH231" s="205"/>
      <c r="GI231" s="205"/>
      <c r="GJ231" s="205"/>
      <c r="GK231" s="205"/>
      <c r="GL231" s="205"/>
      <c r="GM231" s="205"/>
    </row>
    <row r="232" spans="1:195" s="7" customFormat="1">
      <c r="A232" s="77"/>
      <c r="B232">
        <v>0.62905757273973961</v>
      </c>
      <c r="C232">
        <v>1</v>
      </c>
      <c r="D232">
        <v>39646</v>
      </c>
      <c r="E232">
        <v>0</v>
      </c>
      <c r="F232">
        <v>0</v>
      </c>
      <c r="G232">
        <v>62.5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/>
      <c r="AO232"/>
      <c r="AP232"/>
      <c r="AQ232"/>
      <c r="AR232"/>
      <c r="AS232"/>
      <c r="AT232"/>
      <c r="AU232"/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51"/>
        <v>2.6928442903247123E-2</v>
      </c>
      <c r="DH232" s="205" t="e">
        <f t="shared" si="352"/>
        <v>#DIV/0!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0">
        <v>227</v>
      </c>
      <c r="FZ232" s="205"/>
      <c r="GA232" s="205"/>
      <c r="GB232" s="205"/>
      <c r="GC232" s="205"/>
      <c r="GD232" s="205"/>
      <c r="GE232" s="205"/>
      <c r="GF232" s="205"/>
      <c r="GG232" s="205"/>
      <c r="GH232" s="205"/>
      <c r="GI232" s="205"/>
      <c r="GJ232" s="205"/>
      <c r="GK232" s="205"/>
      <c r="GL232" s="205"/>
      <c r="GM232" s="205"/>
    </row>
    <row r="233" spans="1:195" s="7" customFormat="1">
      <c r="A233" s="77"/>
      <c r="B233">
        <v>0.57675114025556606</v>
      </c>
      <c r="C233">
        <v>1</v>
      </c>
      <c r="D233">
        <v>39646</v>
      </c>
      <c r="E233">
        <v>0</v>
      </c>
      <c r="F233">
        <v>0</v>
      </c>
      <c r="G233">
        <v>62.5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/>
      <c r="AO233"/>
      <c r="AP233"/>
      <c r="AQ233"/>
      <c r="AR233"/>
      <c r="AS233"/>
      <c r="AT233"/>
      <c r="AU233"/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51"/>
        <v>2.2829149969464151E-2</v>
      </c>
      <c r="DH233" s="205">
        <f t="shared" si="352"/>
        <v>-4.2344835435718341E-3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0">
        <v>228</v>
      </c>
      <c r="FZ233" s="205"/>
      <c r="GA233" s="205"/>
      <c r="GB233" s="205"/>
      <c r="GC233" s="205"/>
      <c r="GD233" s="205"/>
      <c r="GE233" s="205"/>
      <c r="GF233" s="205"/>
      <c r="GG233" s="205"/>
      <c r="GH233" s="205"/>
      <c r="GI233" s="205"/>
      <c r="GJ233" s="205"/>
      <c r="GK233" s="205"/>
      <c r="GL233" s="205"/>
      <c r="GM233" s="205"/>
    </row>
    <row r="234" spans="1:195" s="7" customFormat="1">
      <c r="A234" s="77"/>
      <c r="B234">
        <v>0.27275214963459504</v>
      </c>
      <c r="C234">
        <v>4</v>
      </c>
      <c r="D234">
        <v>39646</v>
      </c>
      <c r="E234">
        <v>0</v>
      </c>
      <c r="F234">
        <v>0</v>
      </c>
      <c r="G234">
        <v>31.25</v>
      </c>
      <c r="H234">
        <v>0</v>
      </c>
      <c r="I234">
        <v>0</v>
      </c>
      <c r="J234">
        <v>20.833333333333332</v>
      </c>
      <c r="K234">
        <v>20.833333333333332</v>
      </c>
      <c r="L234">
        <v>0</v>
      </c>
      <c r="M234">
        <v>0</v>
      </c>
      <c r="N234">
        <v>0</v>
      </c>
      <c r="O234">
        <v>0</v>
      </c>
      <c r="P234">
        <v>10.416666666666666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/>
      <c r="AO234"/>
      <c r="AP234"/>
      <c r="AQ234"/>
      <c r="AR234"/>
      <c r="AS234"/>
      <c r="AT234"/>
      <c r="AU234"/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 t="e">
        <f t="shared" si="351"/>
        <v>#DIV/0!</v>
      </c>
      <c r="DH234" s="205" t="e">
        <f t="shared" si="352"/>
        <v>#DIV/0!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0">
        <v>229</v>
      </c>
      <c r="FZ234" s="205"/>
      <c r="GA234" s="205"/>
      <c r="GB234" s="205"/>
      <c r="GC234" s="205"/>
      <c r="GD234" s="205"/>
      <c r="GE234" s="205"/>
      <c r="GF234" s="205"/>
      <c r="GG234" s="205"/>
      <c r="GH234" s="205"/>
      <c r="GI234" s="205"/>
      <c r="GJ234" s="205"/>
      <c r="GK234" s="205"/>
      <c r="GL234" s="205"/>
      <c r="GM234" s="205"/>
    </row>
    <row r="235" spans="1:195" s="7" customFormat="1">
      <c r="A235" s="77"/>
      <c r="B235">
        <v>0.34313121574891081</v>
      </c>
      <c r="C235">
        <v>10</v>
      </c>
      <c r="D235">
        <v>39646</v>
      </c>
      <c r="E235">
        <v>0</v>
      </c>
      <c r="F235">
        <v>20.833333333333332</v>
      </c>
      <c r="G235">
        <v>41.666666666666664</v>
      </c>
      <c r="H235">
        <v>0</v>
      </c>
      <c r="I235">
        <v>0</v>
      </c>
      <c r="J235">
        <v>10.416666666666666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/>
      <c r="AO235"/>
      <c r="AP235"/>
      <c r="AQ235"/>
      <c r="AR235"/>
      <c r="AS235"/>
      <c r="AT235"/>
      <c r="AU235"/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/>
      <c r="DH235" s="205"/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0">
        <v>230</v>
      </c>
      <c r="FZ235" s="205"/>
      <c r="GA235" s="205"/>
      <c r="GB235" s="205"/>
      <c r="GC235" s="205"/>
      <c r="GD235" s="205"/>
      <c r="GE235" s="205"/>
      <c r="GF235" s="205"/>
      <c r="GG235" s="205"/>
      <c r="GH235" s="205"/>
      <c r="GI235" s="205"/>
      <c r="GJ235" s="205"/>
      <c r="GK235" s="205"/>
      <c r="GL235" s="205"/>
      <c r="GM235" s="205"/>
    </row>
    <row r="236" spans="1:195" s="7" customFormat="1">
      <c r="A236" s="77"/>
      <c r="B236">
        <v>0.453788471545713</v>
      </c>
      <c r="C236">
        <v>7</v>
      </c>
      <c r="D236">
        <v>39646</v>
      </c>
      <c r="E236">
        <v>0</v>
      </c>
      <c r="F236">
        <v>0</v>
      </c>
      <c r="G236">
        <v>125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/>
      <c r="AO236"/>
      <c r="AP236"/>
      <c r="AQ236"/>
      <c r="AR236"/>
      <c r="AS236"/>
      <c r="AT236"/>
      <c r="AU236"/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0">
        <v>231</v>
      </c>
      <c r="FZ236" s="205"/>
      <c r="GA236" s="205"/>
      <c r="GB236" s="205"/>
      <c r="GC236" s="205"/>
      <c r="GD236" s="205"/>
      <c r="GE236" s="205"/>
      <c r="GF236" s="205"/>
      <c r="GG236" s="205"/>
      <c r="GH236" s="205"/>
      <c r="GI236" s="205"/>
      <c r="GJ236" s="205"/>
      <c r="GK236" s="205"/>
      <c r="GL236" s="205"/>
      <c r="GM236" s="205"/>
    </row>
    <row r="237" spans="1:195" s="7" customFormat="1">
      <c r="A237" s="77"/>
      <c r="B237">
        <v>0.48056435573549394</v>
      </c>
      <c r="C237">
        <v>7</v>
      </c>
      <c r="D237">
        <v>39646</v>
      </c>
      <c r="E237">
        <v>0</v>
      </c>
      <c r="F237">
        <v>0</v>
      </c>
      <c r="G237">
        <v>125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/>
      <c r="AO237"/>
      <c r="AP237"/>
      <c r="AQ237"/>
      <c r="AR237"/>
      <c r="AS237"/>
      <c r="AT237"/>
      <c r="AU237"/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0">
        <v>232</v>
      </c>
      <c r="FZ237" s="205"/>
      <c r="GA237" s="205"/>
      <c r="GB237" s="205"/>
      <c r="GC237" s="205"/>
      <c r="GD237" s="205"/>
      <c r="GE237" s="205"/>
      <c r="GF237" s="205"/>
      <c r="GG237" s="205"/>
      <c r="GH237" s="205"/>
      <c r="GI237" s="205"/>
      <c r="GJ237" s="205"/>
      <c r="GK237" s="205"/>
      <c r="GL237" s="205"/>
      <c r="GM237" s="205"/>
    </row>
    <row r="238" spans="1:195" s="7" customFormat="1">
      <c r="A238" s="77"/>
      <c r="B238">
        <v>0.84770396821534111</v>
      </c>
      <c r="C238">
        <v>2</v>
      </c>
      <c r="D238">
        <v>39673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/>
      <c r="AO238"/>
      <c r="AP238"/>
      <c r="AQ238"/>
      <c r="AR238"/>
      <c r="AS238"/>
      <c r="AT238"/>
      <c r="AU238"/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0">
        <v>233</v>
      </c>
      <c r="FZ238" s="205"/>
      <c r="GA238" s="205"/>
      <c r="GB238" s="205"/>
      <c r="GC238" s="205"/>
      <c r="GD238" s="205"/>
      <c r="GE238" s="205"/>
      <c r="GF238" s="205"/>
      <c r="GG238" s="205"/>
      <c r="GH238" s="205"/>
      <c r="GI238" s="205"/>
      <c r="GJ238" s="205"/>
      <c r="GK238" s="205"/>
      <c r="GL238" s="205"/>
      <c r="GM238" s="205"/>
    </row>
    <row r="239" spans="1:195" s="7" customFormat="1">
      <c r="A239" s="77" t="s">
        <v>61</v>
      </c>
      <c r="B239">
        <v>0.82126155783393351</v>
      </c>
      <c r="C239">
        <v>6</v>
      </c>
      <c r="D239">
        <v>39673</v>
      </c>
      <c r="E239">
        <v>0</v>
      </c>
      <c r="F239">
        <v>0</v>
      </c>
      <c r="G239">
        <v>83.333333333333329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10.416666666666666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/>
      <c r="AO239"/>
      <c r="AP239"/>
      <c r="AQ239"/>
      <c r="AR239"/>
      <c r="AS239"/>
      <c r="AT239"/>
      <c r="AU239"/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FY239" s="210">
        <v>234</v>
      </c>
      <c r="FZ239" s="205"/>
      <c r="GA239" s="205"/>
      <c r="GB239" s="205"/>
      <c r="GC239" s="205"/>
      <c r="GD239" s="205"/>
      <c r="GE239" s="205"/>
      <c r="GF239" s="205"/>
      <c r="GG239" s="205"/>
      <c r="GH239" s="205"/>
      <c r="GI239" s="205"/>
      <c r="GJ239" s="205"/>
      <c r="GK239" s="205"/>
      <c r="GL239" s="205"/>
      <c r="GM239" s="205"/>
    </row>
    <row r="240" spans="1:195" s="7" customFormat="1">
      <c r="A240" s="77" t="s">
        <v>62</v>
      </c>
      <c r="B240">
        <v>0.41301541165685673</v>
      </c>
      <c r="C240">
        <v>3</v>
      </c>
      <c r="D240">
        <v>39673</v>
      </c>
      <c r="E240">
        <v>0</v>
      </c>
      <c r="F240">
        <v>0</v>
      </c>
      <c r="G240">
        <v>0</v>
      </c>
      <c r="H240">
        <v>71.486928104575156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/>
      <c r="AO240"/>
      <c r="AP240"/>
      <c r="AQ240"/>
      <c r="AR240"/>
      <c r="AS240"/>
      <c r="AT240"/>
      <c r="AU240"/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FY240" s="210">
        <v>235</v>
      </c>
      <c r="FZ240" s="205"/>
      <c r="GA240" s="205"/>
      <c r="GB240" s="205"/>
      <c r="GC240" s="205"/>
      <c r="GD240" s="205"/>
      <c r="GE240" s="205"/>
      <c r="GF240" s="205"/>
      <c r="GG240" s="205"/>
      <c r="GH240" s="205"/>
      <c r="GI240" s="205"/>
      <c r="GJ240" s="205"/>
      <c r="GK240" s="205"/>
      <c r="GL240" s="205"/>
      <c r="GM240" s="205"/>
    </row>
    <row r="241" spans="1:195" s="7" customFormat="1">
      <c r="A241" s="77"/>
      <c r="B241">
        <v>0.77953171496131701</v>
      </c>
      <c r="C241">
        <v>6</v>
      </c>
      <c r="D241">
        <v>39673</v>
      </c>
      <c r="E241">
        <v>0</v>
      </c>
      <c r="F241">
        <v>0</v>
      </c>
      <c r="G241">
        <v>83.333333333333329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10.416666666666666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/>
      <c r="AO241"/>
      <c r="AP241"/>
      <c r="AQ241"/>
      <c r="AR241"/>
      <c r="AS241"/>
      <c r="AT241"/>
      <c r="AU241"/>
      <c r="AV241"/>
      <c r="AW241"/>
      <c r="FY241" s="210">
        <v>236</v>
      </c>
      <c r="FZ241" s="205"/>
      <c r="GA241" s="205"/>
      <c r="GB241" s="205"/>
      <c r="GC241" s="205"/>
      <c r="GD241" s="205"/>
      <c r="GE241" s="205"/>
      <c r="GF241" s="205"/>
      <c r="GG241" s="205"/>
      <c r="GH241" s="205"/>
      <c r="GI241" s="205"/>
      <c r="GJ241" s="205"/>
      <c r="GK241" s="205"/>
      <c r="GL241" s="205"/>
      <c r="GM241" s="205"/>
    </row>
    <row r="242" spans="1:195" s="7" customFormat="1">
      <c r="A242" s="1"/>
      <c r="B242">
        <v>0.61150575283101904</v>
      </c>
      <c r="C242">
        <v>8</v>
      </c>
      <c r="D242">
        <v>39673</v>
      </c>
      <c r="E242">
        <v>0</v>
      </c>
      <c r="F242">
        <v>0</v>
      </c>
      <c r="G242">
        <v>125</v>
      </c>
      <c r="H242">
        <v>166.66666666666666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10.416666666666666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/>
      <c r="AO242"/>
      <c r="AP242"/>
      <c r="AQ242"/>
      <c r="AR242"/>
      <c r="AS242"/>
      <c r="AT242"/>
      <c r="AU242"/>
      <c r="AV242"/>
      <c r="AW242"/>
      <c r="BI242" s="162"/>
      <c r="FY242" s="210">
        <v>237</v>
      </c>
      <c r="FZ242" s="205"/>
      <c r="GA242" s="205"/>
      <c r="GB242" s="205"/>
      <c r="GC242" s="205"/>
      <c r="GD242" s="205"/>
      <c r="GE242" s="205"/>
      <c r="GF242" s="205"/>
      <c r="GG242" s="205"/>
      <c r="GH242" s="205"/>
      <c r="GI242" s="205"/>
      <c r="GJ242" s="205"/>
      <c r="GK242" s="205"/>
      <c r="GL242" s="205"/>
      <c r="GM242" s="205"/>
    </row>
    <row r="243" spans="1:195" s="7" customFormat="1">
      <c r="A243" s="1"/>
      <c r="B243">
        <v>0.71273124072849603</v>
      </c>
      <c r="C243">
        <v>7</v>
      </c>
      <c r="D243">
        <v>39673</v>
      </c>
      <c r="E243">
        <v>0</v>
      </c>
      <c r="F243">
        <v>0</v>
      </c>
      <c r="G243">
        <v>31.25</v>
      </c>
      <c r="H243">
        <v>20.833333333333332</v>
      </c>
      <c r="I243">
        <v>10.416666666666666</v>
      </c>
      <c r="J243">
        <v>0</v>
      </c>
      <c r="K243">
        <v>0</v>
      </c>
      <c r="L243">
        <v>0</v>
      </c>
      <c r="M243">
        <v>0</v>
      </c>
      <c r="N243">
        <v>10.416666666666666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/>
      <c r="AO243"/>
      <c r="AP243"/>
      <c r="AQ243"/>
      <c r="AR243"/>
      <c r="AS243"/>
      <c r="AT243"/>
      <c r="AU243"/>
      <c r="AV243"/>
      <c r="AW243"/>
      <c r="FY243" s="210">
        <v>238</v>
      </c>
      <c r="FZ243" s="205"/>
      <c r="GA243" s="205"/>
      <c r="GB243" s="205"/>
      <c r="GC243" s="205"/>
      <c r="GD243" s="205"/>
      <c r="GE243" s="205"/>
      <c r="GF243" s="205"/>
      <c r="GG243" s="205"/>
      <c r="GH243" s="205"/>
      <c r="GI243" s="205"/>
      <c r="GJ243" s="205"/>
      <c r="GK243" s="205"/>
      <c r="GL243" s="205"/>
      <c r="GM243" s="205"/>
    </row>
    <row r="244" spans="1:195" s="7" customFormat="1">
      <c r="A244" s="1"/>
      <c r="B244">
        <v>0.67281468192955574</v>
      </c>
      <c r="C244">
        <v>5</v>
      </c>
      <c r="D244">
        <v>39673</v>
      </c>
      <c r="E244">
        <v>0</v>
      </c>
      <c r="F244">
        <v>0</v>
      </c>
      <c r="G244">
        <v>20.833333333333332</v>
      </c>
      <c r="H244">
        <v>41.666666666666664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/>
      <c r="AO244"/>
      <c r="AP244"/>
      <c r="AQ244"/>
      <c r="AR244"/>
      <c r="AS244"/>
      <c r="AT244"/>
      <c r="AU244"/>
      <c r="AV244"/>
      <c r="AW244"/>
      <c r="FY244" s="210">
        <v>239</v>
      </c>
      <c r="FZ244" s="205"/>
      <c r="GA244" s="205"/>
      <c r="GB244" s="205"/>
      <c r="GC244" s="205"/>
      <c r="GD244" s="205"/>
      <c r="GE244" s="205"/>
      <c r="GF244" s="205"/>
      <c r="GG244" s="205"/>
      <c r="GH244" s="205"/>
      <c r="GI244" s="205"/>
      <c r="GJ244" s="205"/>
      <c r="GK244" s="205"/>
      <c r="GL244" s="205"/>
      <c r="GM244" s="205"/>
    </row>
    <row r="245" spans="1:195" s="7" customFormat="1">
      <c r="A245" s="1"/>
      <c r="B245">
        <v>1.7957159369035303E-2</v>
      </c>
      <c r="C245">
        <v>2</v>
      </c>
      <c r="D245">
        <v>39673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/>
      <c r="AO245"/>
      <c r="AP245"/>
      <c r="AQ245"/>
      <c r="AR245"/>
      <c r="AS245"/>
      <c r="AT245"/>
      <c r="AU245"/>
      <c r="AV245"/>
      <c r="AW245"/>
      <c r="FY245" s="210">
        <v>240</v>
      </c>
      <c r="FZ245" s="205"/>
      <c r="GA245" s="205"/>
      <c r="GB245" s="205"/>
      <c r="GC245" s="205"/>
      <c r="GD245" s="205"/>
      <c r="GE245" s="205"/>
      <c r="GF245" s="205"/>
      <c r="GG245" s="205"/>
      <c r="GH245" s="205"/>
      <c r="GI245" s="205"/>
      <c r="GJ245" s="205"/>
      <c r="GK245" s="205"/>
      <c r="GL245" s="205"/>
      <c r="GM245" s="205"/>
    </row>
    <row r="246" spans="1:195" s="7" customFormat="1">
      <c r="A246" s="1"/>
      <c r="B246">
        <v>0.72090413698528177</v>
      </c>
      <c r="C246">
        <v>1</v>
      </c>
      <c r="D246">
        <v>39673</v>
      </c>
      <c r="E246">
        <v>0</v>
      </c>
      <c r="F246">
        <v>0</v>
      </c>
      <c r="G246">
        <v>83.333333333333329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/>
      <c r="AO246"/>
      <c r="AP246"/>
      <c r="AQ246"/>
      <c r="AR246"/>
      <c r="AS246"/>
      <c r="AT246"/>
      <c r="AU246"/>
      <c r="AV246"/>
      <c r="AW246"/>
      <c r="FY246" s="210">
        <v>241</v>
      </c>
      <c r="FZ246" s="205"/>
      <c r="GA246" s="205"/>
      <c r="GB246" s="205"/>
      <c r="GC246" s="205"/>
      <c r="GD246" s="205"/>
      <c r="GE246" s="205"/>
      <c r="GF246" s="205"/>
      <c r="GG246" s="205"/>
      <c r="GH246" s="205"/>
      <c r="GI246" s="205"/>
      <c r="GJ246" s="205"/>
      <c r="GK246" s="205"/>
      <c r="GL246" s="205"/>
      <c r="GM246" s="205"/>
    </row>
    <row r="247" spans="1:195" s="7" customFormat="1">
      <c r="A247" s="77" t="s">
        <v>61</v>
      </c>
      <c r="B247">
        <v>0.70605908427440678</v>
      </c>
      <c r="C247">
        <v>2</v>
      </c>
      <c r="D247">
        <v>39673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/>
      <c r="AO247"/>
      <c r="AP247"/>
      <c r="AQ247"/>
      <c r="AR247"/>
      <c r="AS247"/>
      <c r="AT247"/>
      <c r="AU247"/>
      <c r="AV247"/>
      <c r="AW247"/>
      <c r="FY247" s="210">
        <v>242</v>
      </c>
      <c r="FZ247" s="205"/>
      <c r="GA247" s="205"/>
      <c r="GB247" s="205"/>
      <c r="GC247" s="205"/>
      <c r="GD247" s="205"/>
      <c r="GE247" s="205"/>
      <c r="GF247" s="205"/>
      <c r="GG247" s="205"/>
      <c r="GH247" s="205"/>
      <c r="GI247" s="205"/>
      <c r="GJ247" s="205"/>
      <c r="GK247" s="205"/>
      <c r="GL247" s="205"/>
      <c r="GM247" s="205"/>
    </row>
    <row r="248" spans="1:195" s="7" customFormat="1">
      <c r="A248" s="77" t="s">
        <v>62</v>
      </c>
      <c r="B248">
        <v>0.84744196749332468</v>
      </c>
      <c r="C248">
        <v>3</v>
      </c>
      <c r="D248">
        <v>39714</v>
      </c>
      <c r="E248">
        <v>0</v>
      </c>
      <c r="F248">
        <v>0</v>
      </c>
      <c r="G248">
        <v>0</v>
      </c>
      <c r="H248">
        <v>62.5</v>
      </c>
      <c r="I248">
        <v>145.83333333333334</v>
      </c>
      <c r="J248">
        <v>10.416666666666666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/>
      <c r="AO248"/>
      <c r="AP248"/>
      <c r="AQ248"/>
      <c r="AR248"/>
      <c r="AS248"/>
      <c r="AT248"/>
      <c r="AU248"/>
      <c r="AV248"/>
      <c r="AW248"/>
      <c r="FY248" s="210">
        <v>243</v>
      </c>
      <c r="FZ248" s="205"/>
      <c r="GA248" s="205"/>
      <c r="GB248" s="205"/>
      <c r="GC248" s="205"/>
      <c r="GD248" s="205"/>
      <c r="GE248" s="205"/>
      <c r="GF248" s="205"/>
      <c r="GG248" s="205"/>
      <c r="GH248" s="205"/>
      <c r="GI248" s="205"/>
      <c r="GJ248" s="205"/>
      <c r="GK248" s="205"/>
      <c r="GL248" s="205"/>
      <c r="GM248" s="205"/>
    </row>
    <row r="249" spans="1:195" s="7" customFormat="1">
      <c r="A249" s="1"/>
      <c r="B249">
        <v>0.82691069890300573</v>
      </c>
      <c r="C249">
        <v>10</v>
      </c>
      <c r="D249">
        <v>39714</v>
      </c>
      <c r="E249">
        <v>0</v>
      </c>
      <c r="F249">
        <v>0</v>
      </c>
      <c r="G249">
        <v>0</v>
      </c>
      <c r="H249">
        <v>41.666666666666664</v>
      </c>
      <c r="I249">
        <v>156.25</v>
      </c>
      <c r="J249">
        <v>10.416666666666666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/>
      <c r="AO249"/>
      <c r="AP249"/>
      <c r="AQ249"/>
      <c r="AR249"/>
      <c r="AS249"/>
      <c r="AT249"/>
      <c r="AU249"/>
      <c r="AV249"/>
      <c r="AW249"/>
      <c r="FY249" s="210">
        <v>244</v>
      </c>
      <c r="FZ249" s="205"/>
      <c r="GA249" s="205"/>
      <c r="GB249" s="205"/>
      <c r="GC249" s="205"/>
      <c r="GD249" s="205"/>
      <c r="GE249" s="205"/>
      <c r="GF249" s="205"/>
      <c r="GG249" s="205"/>
      <c r="GH249" s="205"/>
      <c r="GI249" s="205"/>
      <c r="GJ249" s="205"/>
      <c r="GK249" s="205"/>
      <c r="GL249" s="205"/>
      <c r="GM249" s="205"/>
    </row>
    <row r="250" spans="1:195" s="7" customFormat="1">
      <c r="A250" s="1"/>
      <c r="B250">
        <v>0.76853985856794638</v>
      </c>
      <c r="C250">
        <v>4</v>
      </c>
      <c r="D250">
        <v>39714</v>
      </c>
      <c r="E250">
        <v>0</v>
      </c>
      <c r="F250">
        <v>0</v>
      </c>
      <c r="G250">
        <v>0</v>
      </c>
      <c r="H250">
        <v>52.083333333333336</v>
      </c>
      <c r="I250">
        <v>83.333333333333329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/>
      <c r="AO250"/>
      <c r="AP250"/>
      <c r="AQ250"/>
      <c r="AR250"/>
      <c r="AS250"/>
      <c r="AT250"/>
      <c r="AU250"/>
      <c r="AV250"/>
      <c r="AW250"/>
      <c r="FY250" s="210">
        <v>245</v>
      </c>
      <c r="FZ250" s="205"/>
      <c r="GA250" s="205"/>
      <c r="GB250" s="205"/>
      <c r="GC250" s="205"/>
      <c r="GD250" s="205"/>
      <c r="GE250" s="205"/>
      <c r="GF250" s="205"/>
      <c r="GG250" s="205"/>
      <c r="GH250" s="205"/>
      <c r="GI250" s="205"/>
      <c r="GJ250" s="205"/>
      <c r="GK250" s="205"/>
      <c r="GL250" s="205"/>
      <c r="GM250" s="205"/>
    </row>
    <row r="251" spans="1:195" s="7" customFormat="1">
      <c r="A251" s="1"/>
      <c r="B251">
        <v>0.22859629482465893</v>
      </c>
      <c r="C251">
        <v>5</v>
      </c>
      <c r="D251">
        <v>39714</v>
      </c>
      <c r="E251">
        <v>0</v>
      </c>
      <c r="F251">
        <v>0</v>
      </c>
      <c r="G251">
        <v>0</v>
      </c>
      <c r="H251">
        <v>20.833333333333332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/>
      <c r="AO251"/>
      <c r="AP251"/>
      <c r="AQ251"/>
      <c r="AR251"/>
      <c r="AS251"/>
      <c r="AT251"/>
      <c r="AU251"/>
      <c r="AV251"/>
      <c r="AW251"/>
      <c r="FY251" s="210">
        <v>246</v>
      </c>
      <c r="FZ251" s="205"/>
      <c r="GA251" s="205"/>
      <c r="GB251" s="205"/>
      <c r="GC251" s="205"/>
      <c r="GD251" s="205"/>
      <c r="GE251" s="205"/>
      <c r="GF251" s="205"/>
      <c r="GG251" s="205"/>
      <c r="GH251" s="205"/>
      <c r="GI251" s="205"/>
      <c r="GJ251" s="205"/>
      <c r="GK251" s="205"/>
      <c r="GL251" s="205"/>
      <c r="GM251" s="205"/>
    </row>
    <row r="252" spans="1:195" s="7" customFormat="1">
      <c r="A252" s="1"/>
      <c r="B252">
        <v>0.39363806548931146</v>
      </c>
      <c r="C252">
        <v>5</v>
      </c>
      <c r="D252">
        <v>39714</v>
      </c>
      <c r="E252">
        <v>0</v>
      </c>
      <c r="F252">
        <v>0</v>
      </c>
      <c r="G252">
        <v>0</v>
      </c>
      <c r="H252">
        <v>20.833333333333332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/>
      <c r="AO252"/>
      <c r="AP252"/>
      <c r="AQ252"/>
      <c r="AR252"/>
      <c r="AS252"/>
      <c r="AT252"/>
      <c r="AU252"/>
      <c r="AV252"/>
      <c r="AW252"/>
      <c r="FY252" s="210">
        <v>247</v>
      </c>
      <c r="FZ252" s="205"/>
      <c r="GA252" s="205"/>
      <c r="GB252" s="205"/>
      <c r="GC252" s="205"/>
      <c r="GD252" s="205"/>
      <c r="GE252" s="205"/>
      <c r="GF252" s="205"/>
      <c r="GG252" s="205"/>
      <c r="GH252" s="205"/>
      <c r="GI252" s="205"/>
      <c r="GJ252" s="205"/>
      <c r="GK252" s="205"/>
      <c r="GL252" s="205"/>
      <c r="GM252" s="205"/>
    </row>
    <row r="253" spans="1:195" s="7" customFormat="1">
      <c r="A253" s="1"/>
      <c r="B253">
        <v>0.94594860823266025</v>
      </c>
      <c r="C253">
        <v>3</v>
      </c>
      <c r="D253">
        <v>39714</v>
      </c>
      <c r="E253">
        <v>0</v>
      </c>
      <c r="F253">
        <v>0</v>
      </c>
      <c r="G253">
        <v>0</v>
      </c>
      <c r="H253">
        <v>62.5</v>
      </c>
      <c r="I253">
        <v>145.83333333333334</v>
      </c>
      <c r="J253">
        <v>10.416666666666666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/>
      <c r="AO253"/>
      <c r="AP253"/>
      <c r="AQ253"/>
      <c r="AR253"/>
      <c r="AS253"/>
      <c r="AT253"/>
      <c r="AU253"/>
      <c r="AV253"/>
      <c r="AW253"/>
      <c r="FY253" s="210">
        <v>248</v>
      </c>
      <c r="FZ253" s="205"/>
      <c r="GA253" s="205"/>
      <c r="GB253" s="205"/>
      <c r="GC253" s="205"/>
      <c r="GD253" s="205"/>
      <c r="GE253" s="205"/>
      <c r="GF253" s="205"/>
      <c r="GG253" s="205"/>
      <c r="GH253" s="205"/>
      <c r="GI253" s="205"/>
      <c r="GJ253" s="205"/>
      <c r="GK253" s="205"/>
      <c r="GL253" s="205"/>
      <c r="GM253" s="205"/>
    </row>
    <row r="254" spans="1:195" s="7" customFormat="1">
      <c r="A254" s="1"/>
      <c r="B254">
        <v>0.61724184745666744</v>
      </c>
      <c r="C254">
        <v>6</v>
      </c>
      <c r="D254">
        <v>39714</v>
      </c>
      <c r="E254">
        <v>0</v>
      </c>
      <c r="F254">
        <v>0</v>
      </c>
      <c r="G254">
        <v>0</v>
      </c>
      <c r="H254">
        <v>10.416666666666666</v>
      </c>
      <c r="I254">
        <v>72.916666666666671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/>
      <c r="AO254"/>
      <c r="AP254"/>
      <c r="AQ254"/>
      <c r="AR254"/>
      <c r="AS254"/>
      <c r="AT254"/>
      <c r="AU254"/>
      <c r="AV254"/>
      <c r="AW254"/>
      <c r="FY254" s="210">
        <v>249</v>
      </c>
      <c r="FZ254" s="205"/>
      <c r="GA254" s="205"/>
      <c r="GB254" s="205"/>
      <c r="GC254" s="205"/>
      <c r="GD254" s="205"/>
      <c r="GE254" s="205"/>
      <c r="GF254" s="205"/>
      <c r="GG254" s="205"/>
      <c r="GH254" s="205"/>
      <c r="GI254" s="205"/>
      <c r="GJ254" s="205"/>
      <c r="GK254" s="205"/>
      <c r="GL254" s="205"/>
      <c r="GM254" s="205"/>
    </row>
    <row r="255" spans="1:195" s="7" customFormat="1">
      <c r="A255" s="1"/>
      <c r="B255">
        <v>0.66468402257115078</v>
      </c>
      <c r="C255">
        <v>3</v>
      </c>
      <c r="D255">
        <v>39714</v>
      </c>
      <c r="E255">
        <v>0</v>
      </c>
      <c r="F255">
        <v>0</v>
      </c>
      <c r="G255">
        <v>0</v>
      </c>
      <c r="H255">
        <v>62.5</v>
      </c>
      <c r="I255">
        <v>145.83333333333334</v>
      </c>
      <c r="J255">
        <v>10.416666666666666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/>
      <c r="AO255"/>
      <c r="AP255"/>
      <c r="AQ255"/>
      <c r="AR255"/>
      <c r="AS255"/>
      <c r="AT255"/>
      <c r="AU255"/>
      <c r="AV255"/>
      <c r="AW255"/>
      <c r="FY255" s="210">
        <v>250</v>
      </c>
      <c r="FZ255" s="205"/>
      <c r="GA255" s="205"/>
      <c r="GB255" s="205"/>
      <c r="GC255" s="205"/>
      <c r="GD255" s="205"/>
      <c r="GE255" s="205"/>
      <c r="GF255" s="205"/>
      <c r="GG255" s="205"/>
      <c r="GH255" s="205"/>
      <c r="GI255" s="205"/>
      <c r="GJ255" s="205"/>
      <c r="GK255" s="205"/>
      <c r="GL255" s="205"/>
      <c r="GM255" s="205"/>
    </row>
    <row r="256" spans="1:195" s="7" customFormat="1">
      <c r="A256" s="1"/>
      <c r="B256">
        <v>7.420359152113698E-2</v>
      </c>
      <c r="C256">
        <v>8</v>
      </c>
      <c r="D256">
        <v>39714</v>
      </c>
      <c r="E256">
        <v>0</v>
      </c>
      <c r="F256">
        <v>0</v>
      </c>
      <c r="G256">
        <v>0</v>
      </c>
      <c r="H256">
        <v>10.416666666666666</v>
      </c>
      <c r="I256">
        <v>52.083333333333336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/>
      <c r="AO256"/>
      <c r="AP256"/>
      <c r="AQ256"/>
      <c r="AR256"/>
      <c r="AS256"/>
      <c r="AT256"/>
      <c r="AU256"/>
      <c r="AV256"/>
      <c r="AW256"/>
      <c r="FY256" s="210">
        <v>251</v>
      </c>
      <c r="FZ256" s="205"/>
      <c r="GA256" s="205"/>
      <c r="GB256" s="205"/>
      <c r="GC256" s="205"/>
      <c r="GD256" s="205"/>
      <c r="GE256" s="205"/>
      <c r="GF256" s="205"/>
      <c r="GG256" s="205"/>
      <c r="GH256" s="205"/>
      <c r="GI256" s="205"/>
      <c r="GJ256" s="205"/>
      <c r="GK256" s="205"/>
      <c r="GL256" s="205"/>
      <c r="GM256" s="205"/>
    </row>
    <row r="257" spans="1:195" s="7" customFormat="1">
      <c r="A257" s="1"/>
      <c r="B257">
        <v>0.13594252449932132</v>
      </c>
      <c r="C257">
        <v>6</v>
      </c>
      <c r="D257">
        <v>39714</v>
      </c>
      <c r="E257">
        <v>0</v>
      </c>
      <c r="F257">
        <v>0</v>
      </c>
      <c r="G257">
        <v>0</v>
      </c>
      <c r="H257">
        <v>10.416666666666666</v>
      </c>
      <c r="I257">
        <v>72.916666666666671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/>
      <c r="AO257"/>
      <c r="AP257"/>
      <c r="AQ257"/>
      <c r="AR257"/>
      <c r="AS257"/>
      <c r="AT257"/>
      <c r="AU257"/>
      <c r="AV257"/>
      <c r="AW257"/>
      <c r="FY257" s="210">
        <v>252</v>
      </c>
      <c r="FZ257" s="205"/>
      <c r="GA257" s="205"/>
      <c r="GB257" s="205"/>
      <c r="GC257" s="205"/>
      <c r="GD257" s="205"/>
      <c r="GE257" s="205"/>
      <c r="GF257" s="205"/>
      <c r="GG257" s="205"/>
      <c r="GH257" s="205"/>
      <c r="GI257" s="205"/>
      <c r="GJ257" s="205"/>
      <c r="GK257" s="205"/>
      <c r="GL257" s="205"/>
      <c r="GM257" s="205"/>
    </row>
    <row r="258" spans="1:195" s="7" customFormat="1">
      <c r="A258" s="1"/>
      <c r="B258">
        <v>0.35982200518246299</v>
      </c>
      <c r="C258">
        <v>7</v>
      </c>
      <c r="D258">
        <v>39747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/>
      <c r="AO258"/>
      <c r="AP258"/>
      <c r="AQ258"/>
      <c r="AR258"/>
      <c r="AS258"/>
      <c r="AT258"/>
      <c r="AU258"/>
      <c r="AV258"/>
      <c r="AW258"/>
      <c r="FY258" s="210">
        <v>253</v>
      </c>
      <c r="FZ258" s="205"/>
      <c r="GA258" s="205"/>
      <c r="GB258" s="205"/>
      <c r="GC258" s="205"/>
      <c r="GD258" s="205"/>
      <c r="GE258" s="205"/>
      <c r="GF258" s="205"/>
      <c r="GG258" s="205"/>
      <c r="GH258" s="205"/>
      <c r="GI258" s="205"/>
      <c r="GJ258" s="205"/>
      <c r="GK258" s="205"/>
      <c r="GL258" s="205"/>
      <c r="GM258" s="205"/>
    </row>
    <row r="259" spans="1:195" s="7" customFormat="1">
      <c r="A259" s="90"/>
      <c r="B259">
        <v>0.37584012304862835</v>
      </c>
      <c r="C259">
        <v>5</v>
      </c>
      <c r="D259">
        <v>39747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10.416666666666666</v>
      </c>
      <c r="K259">
        <v>41.666666666666664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/>
      <c r="AO259"/>
      <c r="AP259"/>
      <c r="AQ259"/>
      <c r="AR259"/>
      <c r="AS259"/>
      <c r="AT259"/>
      <c r="AU259"/>
      <c r="AV259"/>
      <c r="AW259"/>
      <c r="FY259" s="210">
        <v>254</v>
      </c>
      <c r="FZ259" s="205"/>
      <c r="GA259" s="205"/>
      <c r="GB259" s="205"/>
      <c r="GC259" s="205"/>
      <c r="GD259" s="205"/>
      <c r="GE259" s="205"/>
      <c r="GF259" s="205"/>
      <c r="GG259" s="205"/>
      <c r="GH259" s="205"/>
      <c r="GI259" s="205"/>
      <c r="GJ259" s="205"/>
      <c r="GK259" s="205"/>
      <c r="GL259" s="205"/>
      <c r="GM259" s="205"/>
    </row>
    <row r="260" spans="1:195" s="7" customFormat="1">
      <c r="A260" s="77" t="s">
        <v>61</v>
      </c>
      <c r="B260">
        <v>0.34864510809394123</v>
      </c>
      <c r="C260">
        <v>10</v>
      </c>
      <c r="D260">
        <v>39747</v>
      </c>
      <c r="E260">
        <v>0</v>
      </c>
      <c r="F260">
        <v>0</v>
      </c>
      <c r="G260">
        <v>0</v>
      </c>
      <c r="H260">
        <v>0</v>
      </c>
      <c r="I260">
        <v>10.416666666666666</v>
      </c>
      <c r="J260">
        <v>31.25</v>
      </c>
      <c r="K260">
        <v>20.833333333333332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/>
      <c r="AO260"/>
      <c r="AP260"/>
      <c r="AQ260"/>
      <c r="AR260"/>
      <c r="AS260"/>
      <c r="AT260"/>
      <c r="AU260"/>
      <c r="AV260"/>
      <c r="AW260"/>
      <c r="FY260" s="210">
        <v>255</v>
      </c>
      <c r="FZ260" s="205"/>
      <c r="GA260" s="205"/>
      <c r="GB260" s="205"/>
      <c r="GC260" s="205"/>
      <c r="GD260" s="205"/>
      <c r="GE260" s="205"/>
      <c r="GF260" s="205"/>
      <c r="GG260" s="205"/>
      <c r="GH260" s="205"/>
      <c r="GI260" s="205"/>
      <c r="GJ260" s="205"/>
      <c r="GK260" s="205"/>
      <c r="GL260" s="205"/>
      <c r="GM260" s="205"/>
    </row>
    <row r="261" spans="1:195" s="7" customFormat="1">
      <c r="A261" s="77" t="s">
        <v>62</v>
      </c>
      <c r="B261">
        <v>0.8492385051159006</v>
      </c>
      <c r="C261">
        <v>2</v>
      </c>
      <c r="D261">
        <v>39747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78.125</v>
      </c>
      <c r="K261">
        <v>26.041666666666668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/>
      <c r="AO261"/>
      <c r="AP261"/>
      <c r="AQ261"/>
      <c r="AR261"/>
      <c r="AS261"/>
      <c r="AT261"/>
      <c r="AU261"/>
      <c r="AV261"/>
      <c r="AW261"/>
      <c r="FY261" s="210">
        <v>256</v>
      </c>
      <c r="FZ261" s="205"/>
      <c r="GA261" s="205"/>
      <c r="GB261" s="205"/>
      <c r="GC261" s="205"/>
      <c r="GD261" s="205"/>
      <c r="GE261" s="205"/>
      <c r="GF261" s="205"/>
      <c r="GG261" s="205"/>
      <c r="GH261" s="205"/>
      <c r="GI261" s="205"/>
      <c r="GJ261" s="205"/>
      <c r="GK261" s="205"/>
      <c r="GL261" s="205"/>
      <c r="GM261" s="205"/>
    </row>
    <row r="262" spans="1:195" s="7" customFormat="1" ht="12.75" customHeight="1">
      <c r="A262" s="77"/>
      <c r="B262">
        <v>0.77860293655256818</v>
      </c>
      <c r="C262">
        <v>4</v>
      </c>
      <c r="D262">
        <v>39747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56.818181818181813</v>
      </c>
      <c r="L262">
        <v>28.409090909090907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/>
      <c r="AO262"/>
      <c r="AP262"/>
      <c r="AQ262"/>
      <c r="AR262"/>
      <c r="AS262"/>
      <c r="AT262"/>
      <c r="AU262"/>
      <c r="AV262"/>
      <c r="AW262"/>
      <c r="FY262" s="210">
        <v>257</v>
      </c>
      <c r="FZ262" s="205"/>
      <c r="GA262" s="205"/>
      <c r="GB262" s="205"/>
      <c r="GC262" s="205"/>
      <c r="GD262" s="205"/>
      <c r="GE262" s="205"/>
      <c r="GF262" s="205"/>
      <c r="GG262" s="205"/>
      <c r="GH262" s="205"/>
      <c r="GI262" s="205"/>
      <c r="GJ262" s="205"/>
      <c r="GK262" s="205"/>
      <c r="GL262" s="205"/>
      <c r="GM262" s="205"/>
    </row>
    <row r="263" spans="1:195" s="7" customFormat="1">
      <c r="A263" s="77"/>
      <c r="B263">
        <v>0.49892411410296056</v>
      </c>
      <c r="C263">
        <v>1</v>
      </c>
      <c r="D263">
        <v>39747</v>
      </c>
      <c r="E263">
        <v>0</v>
      </c>
      <c r="F263">
        <v>0</v>
      </c>
      <c r="G263">
        <v>0</v>
      </c>
      <c r="H263">
        <v>86.805555555555557</v>
      </c>
      <c r="I263">
        <v>10.416666666666666</v>
      </c>
      <c r="J263">
        <v>0</v>
      </c>
      <c r="K263">
        <v>10.416666666666666</v>
      </c>
      <c r="L263">
        <v>20.833333333333332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/>
      <c r="AO263"/>
      <c r="AP263"/>
      <c r="AQ263"/>
      <c r="AR263"/>
      <c r="AS263"/>
      <c r="AT263"/>
      <c r="AU263"/>
      <c r="AV263"/>
      <c r="AW263"/>
      <c r="FY263" s="210">
        <v>258</v>
      </c>
      <c r="FZ263" s="205"/>
      <c r="GA263" s="205"/>
      <c r="GB263" s="205"/>
      <c r="GC263" s="205"/>
      <c r="GD263" s="205"/>
      <c r="GE263" s="205"/>
      <c r="GF263" s="205"/>
      <c r="GG263" s="205"/>
      <c r="GH263" s="205"/>
      <c r="GI263" s="205"/>
      <c r="GJ263" s="205"/>
      <c r="GK263" s="205"/>
      <c r="GL263" s="205"/>
      <c r="GM263" s="205"/>
    </row>
    <row r="264" spans="1:195" s="7" customFormat="1">
      <c r="A264" s="77"/>
      <c r="B264">
        <v>0.89119026599584572</v>
      </c>
      <c r="C264">
        <v>8</v>
      </c>
      <c r="D264">
        <v>39747</v>
      </c>
      <c r="E264">
        <v>0</v>
      </c>
      <c r="F264">
        <v>70.112179487179489</v>
      </c>
      <c r="G264">
        <v>70.112179487179489</v>
      </c>
      <c r="H264">
        <v>0</v>
      </c>
      <c r="I264">
        <v>20.833333333333332</v>
      </c>
      <c r="J264">
        <v>41.666666666666664</v>
      </c>
      <c r="K264">
        <v>20.833333333333332</v>
      </c>
      <c r="L264">
        <v>10.416666666666666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/>
      <c r="AO264"/>
      <c r="AP264"/>
      <c r="AQ264"/>
      <c r="AR264"/>
      <c r="AS264"/>
      <c r="AT264"/>
      <c r="AU264"/>
      <c r="AV264"/>
      <c r="AW264"/>
      <c r="FY264" s="210">
        <v>259</v>
      </c>
      <c r="FZ264" s="205"/>
      <c r="GA264" s="205"/>
      <c r="GB264" s="205"/>
      <c r="GC264" s="205"/>
      <c r="GD264" s="205"/>
      <c r="GE264" s="205"/>
      <c r="GF264" s="205"/>
      <c r="GG264" s="205"/>
      <c r="GH264" s="205"/>
      <c r="GI264" s="205"/>
      <c r="GJ264" s="205"/>
      <c r="GK264" s="205"/>
      <c r="GL264" s="205"/>
      <c r="GM264" s="205"/>
    </row>
    <row r="265" spans="1:195" s="7" customFormat="1">
      <c r="A265" s="77"/>
      <c r="B265">
        <v>0.78062169793902658</v>
      </c>
      <c r="C265">
        <v>1</v>
      </c>
      <c r="D265">
        <v>39747</v>
      </c>
      <c r="E265">
        <v>0</v>
      </c>
      <c r="F265">
        <v>0</v>
      </c>
      <c r="G265">
        <v>0</v>
      </c>
      <c r="H265">
        <v>86.805555555555557</v>
      </c>
      <c r="I265">
        <v>10.416666666666666</v>
      </c>
      <c r="J265">
        <v>0</v>
      </c>
      <c r="K265">
        <v>10.416666666666666</v>
      </c>
      <c r="L265">
        <v>20.833333333333332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/>
      <c r="AO265"/>
      <c r="AP265"/>
      <c r="AQ265"/>
      <c r="AR265"/>
      <c r="AS265"/>
      <c r="AT265"/>
      <c r="AU265"/>
      <c r="AV265"/>
      <c r="AW265"/>
      <c r="FY265" s="210">
        <v>260</v>
      </c>
      <c r="FZ265" s="205"/>
      <c r="GA265" s="205"/>
      <c r="GB265" s="205"/>
      <c r="GC265" s="205"/>
      <c r="GD265" s="205"/>
      <c r="GE265" s="205"/>
      <c r="GF265" s="205"/>
      <c r="GG265" s="205"/>
      <c r="GH265" s="205"/>
      <c r="GI265" s="205"/>
      <c r="GJ265" s="205"/>
      <c r="GK265" s="205"/>
      <c r="GL265" s="205"/>
      <c r="GM265" s="205"/>
    </row>
    <row r="266" spans="1:195" s="7" customFormat="1">
      <c r="A266" s="1"/>
      <c r="B266">
        <v>0.26641044627531496</v>
      </c>
      <c r="C266">
        <v>3</v>
      </c>
      <c r="D266">
        <v>39747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/>
      <c r="AO266"/>
      <c r="AP266"/>
      <c r="AQ266"/>
      <c r="AR266"/>
      <c r="AS266"/>
      <c r="AT266"/>
      <c r="AU266"/>
      <c r="AV266"/>
      <c r="AW266"/>
      <c r="FY266" s="210">
        <v>261</v>
      </c>
      <c r="FZ266" s="205"/>
      <c r="GA266" s="205"/>
      <c r="GB266" s="205"/>
      <c r="GC266" s="205"/>
      <c r="GD266" s="205"/>
      <c r="GE266" s="205"/>
      <c r="GF266" s="205"/>
      <c r="GG266" s="205"/>
      <c r="GH266" s="205"/>
      <c r="GI266" s="205"/>
      <c r="GJ266" s="205"/>
      <c r="GK266" s="205"/>
      <c r="GL266" s="205"/>
      <c r="GM266" s="205"/>
    </row>
    <row r="267" spans="1:195" s="7" customFormat="1">
      <c r="A267" s="1"/>
      <c r="B267">
        <v>0.17399745401583955</v>
      </c>
      <c r="C267">
        <v>3</v>
      </c>
      <c r="D267">
        <v>39747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/>
      <c r="AO267"/>
      <c r="AP267"/>
      <c r="AQ267"/>
      <c r="AR267"/>
      <c r="AS267"/>
      <c r="AT267"/>
      <c r="AU267"/>
      <c r="AV267"/>
      <c r="AW267"/>
      <c r="FY267" s="210">
        <v>262</v>
      </c>
      <c r="FZ267" s="205"/>
      <c r="GA267" s="205"/>
      <c r="GB267" s="205"/>
      <c r="GC267" s="205"/>
      <c r="GD267" s="205"/>
      <c r="GE267" s="205"/>
      <c r="GF267" s="205"/>
      <c r="GG267" s="205"/>
      <c r="GH267" s="205"/>
      <c r="GI267" s="205"/>
      <c r="GJ267" s="205"/>
      <c r="GK267" s="205"/>
      <c r="GL267" s="205"/>
      <c r="GM267" s="205"/>
    </row>
    <row r="268" spans="1:195" s="7" customFormat="1">
      <c r="A268" s="1"/>
      <c r="B268">
        <v>0.28080209579459181</v>
      </c>
      <c r="C268">
        <v>8</v>
      </c>
      <c r="D268">
        <v>39775</v>
      </c>
      <c r="E268">
        <v>0</v>
      </c>
      <c r="F268">
        <v>0</v>
      </c>
      <c r="G268">
        <v>0</v>
      </c>
      <c r="H268">
        <v>0</v>
      </c>
      <c r="I268">
        <v>104.16666666666667</v>
      </c>
      <c r="J268">
        <v>138.88888888888889</v>
      </c>
      <c r="K268">
        <v>69.444444444444443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/>
      <c r="AO268"/>
      <c r="AP268"/>
      <c r="AQ268"/>
      <c r="AR268"/>
      <c r="AS268"/>
      <c r="AT268"/>
      <c r="AU268"/>
      <c r="AV268"/>
      <c r="AW268"/>
      <c r="FY268" s="210">
        <v>263</v>
      </c>
      <c r="FZ268" s="205"/>
      <c r="GA268" s="205"/>
      <c r="GB268" s="205"/>
      <c r="GC268" s="205"/>
      <c r="GD268" s="205"/>
      <c r="GE268" s="205"/>
      <c r="GF268" s="205"/>
      <c r="GG268" s="205"/>
      <c r="GH268" s="205"/>
      <c r="GI268" s="205"/>
      <c r="GJ268" s="205"/>
      <c r="GK268" s="205"/>
      <c r="GL268" s="205"/>
      <c r="GM268" s="205"/>
    </row>
    <row r="269" spans="1:195" s="7" customFormat="1">
      <c r="A269" s="1"/>
      <c r="B269">
        <v>0.37260276821655758</v>
      </c>
      <c r="C269">
        <v>10</v>
      </c>
      <c r="D269">
        <v>39775</v>
      </c>
      <c r="E269">
        <v>0</v>
      </c>
      <c r="F269">
        <v>0</v>
      </c>
      <c r="G269">
        <v>10.416666666666666</v>
      </c>
      <c r="H269">
        <v>0</v>
      </c>
      <c r="I269">
        <v>0</v>
      </c>
      <c r="J269">
        <v>10.416666666666666</v>
      </c>
      <c r="K269">
        <v>20.833333333333332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/>
      <c r="AO269"/>
      <c r="AP269"/>
      <c r="AQ269"/>
      <c r="AR269"/>
      <c r="AS269"/>
      <c r="AT269"/>
      <c r="AU269"/>
      <c r="AV269"/>
      <c r="AW269"/>
      <c r="FY269" s="210">
        <v>264</v>
      </c>
      <c r="FZ269" s="205"/>
      <c r="GA269" s="205"/>
      <c r="GB269" s="205"/>
      <c r="GC269" s="205"/>
      <c r="GD269" s="205"/>
      <c r="GE269" s="205"/>
      <c r="GF269" s="205"/>
      <c r="GG269" s="205"/>
      <c r="GH269" s="205"/>
      <c r="GI269" s="205"/>
      <c r="GJ269" s="205"/>
      <c r="GK269" s="205"/>
      <c r="GL269" s="205"/>
      <c r="GM269" s="205"/>
    </row>
    <row r="270" spans="1:195" s="7" customFormat="1">
      <c r="A270" s="1"/>
      <c r="B270">
        <v>6.1960400739063282E-2</v>
      </c>
      <c r="C270">
        <v>1</v>
      </c>
      <c r="D270">
        <v>39775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64.102564102564102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/>
      <c r="AO270"/>
      <c r="AP270"/>
      <c r="AQ270"/>
      <c r="AR270"/>
      <c r="AS270"/>
      <c r="AT270"/>
      <c r="AU270"/>
      <c r="AV270"/>
      <c r="AW270"/>
      <c r="FY270" s="210">
        <v>265</v>
      </c>
      <c r="FZ270" s="205"/>
      <c r="GA270" s="205"/>
      <c r="GB270" s="205"/>
      <c r="GC270" s="205"/>
      <c r="GD270" s="205"/>
      <c r="GE270" s="205"/>
      <c r="GF270" s="205"/>
      <c r="GG270" s="205"/>
      <c r="GH270" s="205"/>
      <c r="GI270" s="205"/>
      <c r="GJ270" s="205"/>
      <c r="GK270" s="205"/>
      <c r="GL270" s="205"/>
      <c r="GM270" s="205"/>
    </row>
    <row r="271" spans="1:195" s="7" customFormat="1">
      <c r="A271" s="77"/>
      <c r="B271">
        <v>0.57838283575540572</v>
      </c>
      <c r="C271">
        <v>10</v>
      </c>
      <c r="D271">
        <v>39775</v>
      </c>
      <c r="E271">
        <v>0</v>
      </c>
      <c r="F271">
        <v>0</v>
      </c>
      <c r="G271">
        <v>10.416666666666666</v>
      </c>
      <c r="H271">
        <v>0</v>
      </c>
      <c r="I271">
        <v>0</v>
      </c>
      <c r="J271">
        <v>10.416666666666666</v>
      </c>
      <c r="K271">
        <v>20.833333333333332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/>
      <c r="AO271"/>
      <c r="AP271"/>
      <c r="AQ271"/>
      <c r="AR271"/>
      <c r="AS271"/>
      <c r="AT271"/>
      <c r="AU271"/>
      <c r="AV271"/>
      <c r="AW271"/>
      <c r="FY271" s="210">
        <v>266</v>
      </c>
      <c r="FZ271" s="205"/>
      <c r="GA271" s="205"/>
      <c r="GB271" s="205"/>
      <c r="GC271" s="205"/>
      <c r="GD271" s="205"/>
      <c r="GE271" s="205"/>
      <c r="GF271" s="205"/>
      <c r="GG271" s="205"/>
      <c r="GH271" s="205"/>
      <c r="GI271" s="205"/>
      <c r="GJ271" s="205"/>
      <c r="GK271" s="205"/>
      <c r="GL271" s="205"/>
      <c r="GM271" s="205"/>
    </row>
    <row r="272" spans="1:195" s="7" customFormat="1">
      <c r="A272" s="77"/>
      <c r="B272">
        <v>0.3148933375630234</v>
      </c>
      <c r="C272">
        <v>1</v>
      </c>
      <c r="D272">
        <v>39775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64.102564102564102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/>
      <c r="AO272"/>
      <c r="AP272"/>
      <c r="AQ272"/>
      <c r="AR272"/>
      <c r="AS272"/>
      <c r="AT272"/>
      <c r="AU272"/>
      <c r="AV272"/>
      <c r="AW272"/>
      <c r="FY272" s="210">
        <v>267</v>
      </c>
      <c r="FZ272" s="205"/>
      <c r="GA272" s="205"/>
      <c r="GB272" s="205"/>
      <c r="GC272" s="205"/>
      <c r="GD272" s="205"/>
      <c r="GE272" s="205"/>
      <c r="GF272" s="205"/>
      <c r="GG272" s="205"/>
      <c r="GH272" s="205"/>
      <c r="GI272" s="205"/>
      <c r="GJ272" s="205"/>
      <c r="GK272" s="205"/>
      <c r="GL272" s="205"/>
      <c r="GM272" s="205"/>
    </row>
    <row r="273" spans="1:195" s="7" customFormat="1">
      <c r="A273" s="1"/>
      <c r="B273">
        <v>0.64530323856543959</v>
      </c>
      <c r="C273">
        <v>5</v>
      </c>
      <c r="D273">
        <v>39775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10.416666666666666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/>
      <c r="AO273"/>
      <c r="AP273"/>
      <c r="AQ273"/>
      <c r="AR273"/>
      <c r="AS273"/>
      <c r="AT273"/>
      <c r="AU273"/>
      <c r="AV273"/>
      <c r="AW273"/>
      <c r="FY273" s="210">
        <v>268</v>
      </c>
      <c r="FZ273" s="205"/>
      <c r="GA273" s="205"/>
      <c r="GB273" s="205"/>
      <c r="GC273" s="205"/>
      <c r="GD273" s="205"/>
      <c r="GE273" s="205"/>
      <c r="GF273" s="205"/>
      <c r="GG273" s="205"/>
      <c r="GH273" s="205"/>
      <c r="GI273" s="205"/>
      <c r="GJ273" s="205"/>
      <c r="GK273" s="205"/>
      <c r="GL273" s="205"/>
      <c r="GM273" s="205"/>
    </row>
    <row r="274" spans="1:195" s="7" customFormat="1">
      <c r="A274" s="1"/>
      <c r="B274">
        <v>0.39065221638933445</v>
      </c>
      <c r="C274">
        <v>4</v>
      </c>
      <c r="D274">
        <v>39775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10.416666666666666</v>
      </c>
      <c r="K274">
        <v>10.416666666666666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/>
      <c r="AO274"/>
      <c r="AP274"/>
      <c r="AQ274"/>
      <c r="AR274"/>
      <c r="AS274"/>
      <c r="AT274"/>
      <c r="AU274"/>
      <c r="AV274"/>
      <c r="AW274"/>
      <c r="FY274" s="210">
        <v>269</v>
      </c>
      <c r="FZ274" s="205"/>
      <c r="GA274" s="205"/>
      <c r="GB274" s="205"/>
      <c r="GC274" s="205"/>
      <c r="GD274" s="205"/>
      <c r="GE274" s="205"/>
      <c r="GF274" s="205"/>
      <c r="GG274" s="205"/>
      <c r="GH274" s="205"/>
      <c r="GI274" s="205"/>
      <c r="GJ274" s="205"/>
      <c r="GK274" s="205"/>
      <c r="GL274" s="205"/>
      <c r="GM274" s="205"/>
    </row>
    <row r="275" spans="1:195" s="7" customFormat="1">
      <c r="A275" s="1"/>
      <c r="B275">
        <v>0.91131390935563616</v>
      </c>
      <c r="C275">
        <v>7</v>
      </c>
      <c r="D275">
        <v>39775</v>
      </c>
      <c r="E275">
        <v>0</v>
      </c>
      <c r="F275">
        <v>0</v>
      </c>
      <c r="G275">
        <v>0</v>
      </c>
      <c r="H275">
        <v>0</v>
      </c>
      <c r="I275">
        <v>42.61363636363636</v>
      </c>
      <c r="J275">
        <v>71.022727272727266</v>
      </c>
      <c r="K275">
        <v>14.204545454545453</v>
      </c>
      <c r="L275">
        <v>14.204545454545453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/>
      <c r="AO275"/>
      <c r="AP275"/>
      <c r="AQ275"/>
      <c r="AR275"/>
      <c r="AS275"/>
      <c r="AT275"/>
      <c r="AU275"/>
      <c r="AV275"/>
      <c r="AW275"/>
      <c r="FY275" s="210">
        <v>270</v>
      </c>
      <c r="FZ275" s="205"/>
      <c r="GA275" s="205"/>
      <c r="GB275" s="205"/>
      <c r="GC275" s="205"/>
      <c r="GD275" s="205"/>
      <c r="GE275" s="205"/>
      <c r="GF275" s="205"/>
      <c r="GG275" s="205"/>
      <c r="GH275" s="205"/>
      <c r="GI275" s="205"/>
      <c r="GJ275" s="205"/>
      <c r="GK275" s="205"/>
      <c r="GL275" s="205"/>
      <c r="GM275" s="205"/>
    </row>
    <row r="276" spans="1:195" s="7" customFormat="1">
      <c r="A276" s="1"/>
      <c r="B276">
        <v>0.58996326730020243</v>
      </c>
      <c r="C276">
        <v>6</v>
      </c>
      <c r="D276">
        <v>39775</v>
      </c>
      <c r="E276">
        <v>0</v>
      </c>
      <c r="F276">
        <v>0</v>
      </c>
      <c r="G276">
        <v>0</v>
      </c>
      <c r="H276">
        <v>0</v>
      </c>
      <c r="I276">
        <v>62.5</v>
      </c>
      <c r="J276">
        <v>41.666666666666664</v>
      </c>
      <c r="K276">
        <v>20.833333333333332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/>
      <c r="AO276"/>
      <c r="AP276"/>
      <c r="AQ276"/>
      <c r="AR276"/>
      <c r="AS276"/>
      <c r="AT276"/>
      <c r="AU276"/>
      <c r="AV276"/>
      <c r="AW276"/>
      <c r="FY276" s="210">
        <v>271</v>
      </c>
      <c r="FZ276" s="205"/>
      <c r="GA276" s="205"/>
      <c r="GB276" s="205"/>
      <c r="GC276" s="205"/>
      <c r="GD276" s="205"/>
      <c r="GE276" s="205"/>
      <c r="GF276" s="205"/>
      <c r="GG276" s="205"/>
      <c r="GH276" s="205"/>
      <c r="GI276" s="205"/>
      <c r="GJ276" s="205"/>
      <c r="GK276" s="205"/>
      <c r="GL276" s="205"/>
      <c r="GM276" s="205"/>
    </row>
    <row r="277" spans="1:195" s="7" customFormat="1">
      <c r="A277" s="1"/>
      <c r="B277">
        <v>0.85924117305786862</v>
      </c>
      <c r="C277">
        <v>7</v>
      </c>
      <c r="D277">
        <v>39775</v>
      </c>
      <c r="E277">
        <v>0</v>
      </c>
      <c r="F277">
        <v>0</v>
      </c>
      <c r="G277">
        <v>0</v>
      </c>
      <c r="H277">
        <v>0</v>
      </c>
      <c r="I277">
        <v>42.61363636363636</v>
      </c>
      <c r="J277">
        <v>71.022727272727266</v>
      </c>
      <c r="K277">
        <v>14.204545454545453</v>
      </c>
      <c r="L277">
        <v>14.204545454545453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/>
      <c r="AO277"/>
      <c r="AP277"/>
      <c r="AQ277"/>
      <c r="AR277"/>
      <c r="AS277"/>
      <c r="AT277"/>
      <c r="AU277"/>
      <c r="AV277"/>
      <c r="AW277"/>
      <c r="FY277" s="210">
        <v>272</v>
      </c>
      <c r="FZ277" s="205"/>
      <c r="GA277" s="205"/>
      <c r="GB277" s="205"/>
      <c r="GC277" s="205"/>
      <c r="GD277" s="205"/>
      <c r="GE277" s="205"/>
      <c r="GF277" s="205"/>
      <c r="GG277" s="205"/>
      <c r="GH277" s="205"/>
      <c r="GI277" s="205"/>
      <c r="GJ277" s="205"/>
      <c r="GK277" s="205"/>
      <c r="GL277" s="205"/>
      <c r="GM277" s="205"/>
    </row>
    <row r="278" spans="1:195" s="7" customFormat="1">
      <c r="A278" s="1"/>
      <c r="B278">
        <v>0.1703106437759585</v>
      </c>
      <c r="C278">
        <v>9</v>
      </c>
      <c r="D278">
        <v>39799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20.833333333333332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/>
      <c r="AO278"/>
      <c r="AP278"/>
      <c r="AQ278"/>
      <c r="AR278"/>
      <c r="AS278"/>
      <c r="AT278"/>
      <c r="AU278"/>
      <c r="AV278"/>
      <c r="AW278"/>
      <c r="FY278" s="210">
        <v>273</v>
      </c>
      <c r="FZ278" s="205"/>
      <c r="GA278" s="205"/>
      <c r="GB278" s="205"/>
      <c r="GC278" s="205"/>
      <c r="GD278" s="205"/>
      <c r="GE278" s="205"/>
      <c r="GF278" s="205"/>
      <c r="GG278" s="205"/>
      <c r="GH278" s="205"/>
      <c r="GI278" s="205"/>
      <c r="GJ278" s="205"/>
      <c r="GK278" s="205"/>
      <c r="GL278" s="205"/>
      <c r="GM278" s="205"/>
    </row>
    <row r="279" spans="1:195" s="7" customFormat="1">
      <c r="A279" s="1"/>
      <c r="B279">
        <v>0.15230419056235722</v>
      </c>
      <c r="C279">
        <v>10</v>
      </c>
      <c r="D279">
        <v>39799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10.416666666666666</v>
      </c>
      <c r="K279">
        <v>41.666666666666664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/>
      <c r="AO279"/>
      <c r="AP279"/>
      <c r="AQ279"/>
      <c r="AR279"/>
      <c r="AS279"/>
      <c r="AT279"/>
      <c r="AU279"/>
      <c r="AV279"/>
      <c r="AW279"/>
      <c r="FY279" s="210">
        <v>274</v>
      </c>
      <c r="FZ279" s="205"/>
      <c r="GA279" s="205"/>
      <c r="GB279" s="205"/>
      <c r="GC279" s="205"/>
      <c r="GD279" s="205"/>
      <c r="GE279" s="205"/>
      <c r="GF279" s="205"/>
      <c r="GG279" s="205"/>
      <c r="GH279" s="205"/>
      <c r="GI279" s="205"/>
      <c r="GJ279" s="205"/>
      <c r="GK279" s="205"/>
      <c r="GL279" s="205"/>
      <c r="GM279" s="205"/>
    </row>
    <row r="280" spans="1:195" s="7" customFormat="1">
      <c r="A280" s="1"/>
      <c r="B280">
        <v>0.51197399511704855</v>
      </c>
      <c r="C280">
        <v>7</v>
      </c>
      <c r="D280">
        <v>39799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10.416666666666666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/>
      <c r="AO280"/>
      <c r="AP280"/>
      <c r="AQ280"/>
      <c r="AR280"/>
      <c r="AS280"/>
      <c r="AT280"/>
      <c r="AU280"/>
      <c r="AV280"/>
      <c r="AW280"/>
      <c r="FY280" s="210">
        <v>275</v>
      </c>
      <c r="FZ280" s="205"/>
      <c r="GA280" s="205"/>
      <c r="GB280" s="205"/>
      <c r="GC280" s="205"/>
      <c r="GD280" s="205"/>
      <c r="GE280" s="205"/>
      <c r="GF280" s="205"/>
      <c r="GG280" s="205"/>
      <c r="GH280" s="205"/>
      <c r="GI280" s="205"/>
      <c r="GJ280" s="205"/>
      <c r="GK280" s="205"/>
      <c r="GL280" s="205"/>
      <c r="GM280" s="205"/>
    </row>
    <row r="281" spans="1:195" s="7" customFormat="1">
      <c r="A281" s="1"/>
      <c r="B281">
        <v>0.56639081196036223</v>
      </c>
      <c r="C281">
        <v>7</v>
      </c>
      <c r="D281">
        <v>39799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10.416666666666666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/>
      <c r="AO281"/>
      <c r="AP281"/>
      <c r="AQ281"/>
      <c r="AR281"/>
      <c r="AS281"/>
      <c r="AT281"/>
      <c r="AU281"/>
      <c r="AV281"/>
      <c r="AW281"/>
      <c r="FY281" s="210">
        <v>276</v>
      </c>
      <c r="FZ281" s="205"/>
      <c r="GA281" s="205"/>
      <c r="GB281" s="205"/>
      <c r="GC281" s="205"/>
      <c r="GD281" s="205"/>
      <c r="GE281" s="205"/>
      <c r="GF281" s="205"/>
      <c r="GG281" s="205"/>
      <c r="GH281" s="205"/>
      <c r="GI281" s="205"/>
      <c r="GJ281" s="205"/>
      <c r="GK281" s="205"/>
      <c r="GL281" s="205"/>
      <c r="GM281" s="205"/>
    </row>
    <row r="282" spans="1:195" s="7" customFormat="1">
      <c r="A282" s="1"/>
      <c r="B282">
        <v>0.58019145636101932</v>
      </c>
      <c r="C282">
        <v>3</v>
      </c>
      <c r="D282">
        <v>39799</v>
      </c>
      <c r="E282">
        <v>0</v>
      </c>
      <c r="F282">
        <v>0</v>
      </c>
      <c r="G282">
        <v>83.333333333333329</v>
      </c>
      <c r="H282">
        <v>0</v>
      </c>
      <c r="I282">
        <v>48.076923076923073</v>
      </c>
      <c r="J282">
        <v>24.038461538461537</v>
      </c>
      <c r="K282">
        <v>96.153846153846146</v>
      </c>
      <c r="L282">
        <v>24.038461538461537</v>
      </c>
      <c r="M282">
        <v>24.038461538461537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/>
      <c r="AO282"/>
      <c r="AP282"/>
      <c r="AQ282"/>
      <c r="AR282"/>
      <c r="AS282"/>
      <c r="AT282"/>
      <c r="AU282"/>
      <c r="AV282"/>
      <c r="AW282"/>
      <c r="FY282" s="210">
        <v>277</v>
      </c>
      <c r="FZ282" s="205"/>
      <c r="GA282" s="205"/>
      <c r="GB282" s="205"/>
      <c r="GC282" s="205"/>
      <c r="GD282" s="205"/>
      <c r="GE282" s="205"/>
      <c r="GF282" s="205"/>
      <c r="GG282" s="205"/>
      <c r="GH282" s="205"/>
      <c r="GI282" s="205"/>
      <c r="GJ282" s="205"/>
      <c r="GK282" s="205"/>
      <c r="GL282" s="205"/>
      <c r="GM282" s="205"/>
    </row>
    <row r="283" spans="1:195" s="7" customFormat="1">
      <c r="A283" s="1"/>
      <c r="B283">
        <v>0.18001619063951813</v>
      </c>
      <c r="C283">
        <v>5</v>
      </c>
      <c r="D283">
        <v>39799</v>
      </c>
      <c r="E283">
        <v>0</v>
      </c>
      <c r="F283">
        <v>0</v>
      </c>
      <c r="G283">
        <v>140.22435897435898</v>
      </c>
      <c r="H283">
        <v>0</v>
      </c>
      <c r="I283">
        <v>0</v>
      </c>
      <c r="J283">
        <v>10.416666666666666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/>
      <c r="AO283"/>
      <c r="AP283"/>
      <c r="AQ283"/>
      <c r="AR283"/>
      <c r="AS283"/>
      <c r="AT283"/>
      <c r="AU283"/>
      <c r="AV283"/>
      <c r="AW283"/>
      <c r="FY283" s="210">
        <v>278</v>
      </c>
      <c r="FZ283" s="205"/>
      <c r="GA283" s="205"/>
      <c r="GB283" s="205"/>
      <c r="GC283" s="205"/>
      <c r="GD283" s="205"/>
      <c r="GE283" s="205"/>
      <c r="GF283" s="205"/>
      <c r="GG283" s="205"/>
      <c r="GH283" s="205"/>
      <c r="GI283" s="205"/>
      <c r="GJ283" s="205"/>
      <c r="GK283" s="205"/>
      <c r="GL283" s="205"/>
      <c r="GM283" s="205"/>
    </row>
    <row r="284" spans="1:195" s="7" customFormat="1">
      <c r="A284" s="1"/>
      <c r="B284">
        <v>0.51715940815630668</v>
      </c>
      <c r="C284">
        <v>7</v>
      </c>
      <c r="D284">
        <v>39799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10.416666666666666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/>
      <c r="AO284"/>
      <c r="AP284"/>
      <c r="AQ284"/>
      <c r="AR284"/>
      <c r="AS284"/>
      <c r="AT284"/>
      <c r="AU284"/>
      <c r="AV284"/>
      <c r="AW284"/>
      <c r="FY284" s="210">
        <v>279</v>
      </c>
      <c r="FZ284" s="205"/>
      <c r="GA284" s="205"/>
      <c r="GB284" s="205"/>
      <c r="GC284" s="205"/>
      <c r="GD284" s="205"/>
      <c r="GE284" s="205"/>
      <c r="GF284" s="205"/>
      <c r="GG284" s="205"/>
      <c r="GH284" s="205"/>
      <c r="GI284" s="205"/>
      <c r="GJ284" s="205"/>
      <c r="GK284" s="205"/>
      <c r="GL284" s="205"/>
      <c r="GM284" s="205"/>
    </row>
    <row r="285" spans="1:195" s="7" customFormat="1">
      <c r="A285" s="1"/>
      <c r="B285">
        <v>0.24405625315529011</v>
      </c>
      <c r="C285">
        <v>10</v>
      </c>
      <c r="D285">
        <v>39799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10.416666666666666</v>
      </c>
      <c r="K285">
        <v>41.666666666666664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/>
      <c r="AO285"/>
      <c r="AP285"/>
      <c r="AQ285"/>
      <c r="AR285"/>
      <c r="AS285"/>
      <c r="AT285"/>
      <c r="AU285"/>
      <c r="AV285"/>
      <c r="AW285"/>
      <c r="FY285" s="210">
        <v>280</v>
      </c>
      <c r="FZ285" s="205"/>
      <c r="GA285" s="205"/>
      <c r="GB285" s="205"/>
      <c r="GC285" s="205"/>
      <c r="GD285" s="205"/>
      <c r="GE285" s="205"/>
      <c r="GF285" s="205"/>
      <c r="GG285" s="205"/>
      <c r="GH285" s="205"/>
      <c r="GI285" s="205"/>
      <c r="GJ285" s="205"/>
      <c r="GK285" s="205"/>
      <c r="GL285" s="205"/>
      <c r="GM285" s="205"/>
    </row>
    <row r="286" spans="1:195" s="7" customFormat="1">
      <c r="A286" s="1"/>
      <c r="B286">
        <v>3.6964697187179762E-2</v>
      </c>
      <c r="C286">
        <v>2</v>
      </c>
      <c r="D286">
        <v>39799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10.416666666666666</v>
      </c>
      <c r="M286">
        <v>10.416666666666666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/>
      <c r="AO286"/>
      <c r="AP286"/>
      <c r="AQ286"/>
      <c r="AR286"/>
      <c r="AS286"/>
      <c r="AT286"/>
      <c r="AU286"/>
      <c r="AV286"/>
      <c r="AW286"/>
      <c r="FY286" s="210">
        <v>281</v>
      </c>
      <c r="FZ286" s="205"/>
      <c r="GA286" s="205"/>
      <c r="GB286" s="205"/>
      <c r="GC286" s="205"/>
      <c r="GD286" s="205"/>
      <c r="GE286" s="205"/>
      <c r="GF286" s="205"/>
      <c r="GG286" s="205"/>
      <c r="GH286" s="205"/>
      <c r="GI286" s="205"/>
      <c r="GJ286" s="205"/>
      <c r="GK286" s="205"/>
      <c r="GL286" s="205"/>
      <c r="GM286" s="205"/>
    </row>
    <row r="287" spans="1:195" s="7" customFormat="1">
      <c r="A287" s="1"/>
      <c r="B287">
        <v>0.92664838043364317</v>
      </c>
      <c r="C287">
        <v>9</v>
      </c>
      <c r="D287">
        <v>39799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20.833333333333332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/>
      <c r="AO287"/>
      <c r="AP287"/>
      <c r="AQ287"/>
      <c r="AR287"/>
      <c r="AS287"/>
      <c r="AT287"/>
      <c r="AU287"/>
      <c r="AV287"/>
      <c r="AW287"/>
      <c r="FY287" s="210">
        <v>282</v>
      </c>
      <c r="FZ287" s="205"/>
      <c r="GA287" s="205"/>
      <c r="GB287" s="205"/>
      <c r="GC287" s="205"/>
      <c r="GD287" s="205"/>
      <c r="GE287" s="205"/>
      <c r="GF287" s="205"/>
      <c r="GG287" s="205"/>
      <c r="GH287" s="205"/>
      <c r="GI287" s="205"/>
      <c r="GJ287" s="205"/>
      <c r="GK287" s="205"/>
      <c r="GL287" s="205"/>
      <c r="GM287" s="205"/>
    </row>
    <row r="288" spans="1:195" s="7" customFormat="1">
      <c r="A288" s="1"/>
      <c r="B288">
        <v>0.15142878500966828</v>
      </c>
      <c r="C288">
        <v>9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10.416666666666666</v>
      </c>
      <c r="J288">
        <v>52.083333333333336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/>
      <c r="AO288"/>
      <c r="AP288"/>
      <c r="AQ288"/>
      <c r="AR288"/>
      <c r="AS288"/>
      <c r="AT288"/>
      <c r="AU288"/>
      <c r="AV288"/>
      <c r="AW288"/>
      <c r="FY288" s="210">
        <v>283</v>
      </c>
      <c r="FZ288" s="205"/>
      <c r="GA288" s="205"/>
      <c r="GB288" s="205"/>
      <c r="GC288" s="205"/>
      <c r="GD288" s="205"/>
      <c r="GE288" s="205"/>
      <c r="GF288" s="205"/>
      <c r="GG288" s="205"/>
      <c r="GH288" s="205"/>
      <c r="GI288" s="205"/>
      <c r="GJ288" s="205"/>
      <c r="GK288" s="205"/>
      <c r="GL288" s="205"/>
      <c r="GM288" s="205"/>
    </row>
    <row r="289" spans="1:195" s="7" customFormat="1">
      <c r="A289" s="1"/>
      <c r="B289">
        <v>0.26525193143865411</v>
      </c>
      <c r="C289">
        <v>1</v>
      </c>
      <c r="D289">
        <v>39847</v>
      </c>
      <c r="E289">
        <v>0</v>
      </c>
      <c r="F289">
        <v>0</v>
      </c>
      <c r="G289">
        <v>31.25</v>
      </c>
      <c r="H289">
        <v>0</v>
      </c>
      <c r="I289">
        <v>0</v>
      </c>
      <c r="J289">
        <v>72.916666666666671</v>
      </c>
      <c r="K289">
        <v>10.416666666666666</v>
      </c>
      <c r="L289">
        <v>20.833333333333332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/>
      <c r="AO289"/>
      <c r="AP289"/>
      <c r="AQ289"/>
      <c r="AR289"/>
      <c r="AS289"/>
      <c r="AT289"/>
      <c r="AU289"/>
      <c r="AV289"/>
      <c r="AW289"/>
      <c r="FY289" s="210">
        <v>284</v>
      </c>
      <c r="FZ289" s="205"/>
      <c r="GA289" s="205"/>
      <c r="GB289" s="205"/>
      <c r="GC289" s="205"/>
      <c r="GD289" s="205"/>
      <c r="GE289" s="205"/>
      <c r="GF289" s="205"/>
      <c r="GG289" s="205"/>
      <c r="GH289" s="205"/>
      <c r="GI289" s="205"/>
      <c r="GJ289" s="205"/>
      <c r="GK289" s="205"/>
      <c r="GL289" s="205"/>
      <c r="GM289" s="205"/>
    </row>
    <row r="290" spans="1:195" s="7" customFormat="1">
      <c r="A290" s="1"/>
      <c r="B290">
        <v>0.13382657631852357</v>
      </c>
      <c r="C290">
        <v>10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10.416666666666666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/>
      <c r="AO290"/>
      <c r="AP290"/>
      <c r="AQ290"/>
      <c r="AR290"/>
      <c r="AS290"/>
      <c r="AT290"/>
      <c r="AU290"/>
      <c r="AV290"/>
      <c r="AW290"/>
      <c r="FY290" s="210">
        <v>285</v>
      </c>
      <c r="FZ290" s="205"/>
      <c r="GA290" s="205"/>
      <c r="GB290" s="205"/>
      <c r="GC290" s="205"/>
      <c r="GD290" s="205"/>
      <c r="GE290" s="205"/>
      <c r="GF290" s="205"/>
      <c r="GG290" s="205"/>
      <c r="GH290" s="205"/>
      <c r="GI290" s="205"/>
      <c r="GJ290" s="205"/>
      <c r="GK290" s="205"/>
      <c r="GL290" s="205"/>
      <c r="GM290" s="205"/>
    </row>
    <row r="291" spans="1:195" s="7" customFormat="1">
      <c r="A291" s="1"/>
      <c r="B291">
        <v>0.23576750788250411</v>
      </c>
      <c r="C291">
        <v>4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10.416666666666666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/>
      <c r="AO291"/>
      <c r="AP291"/>
      <c r="AQ291"/>
      <c r="AR291"/>
      <c r="AS291"/>
      <c r="AT291"/>
      <c r="AU291"/>
      <c r="AV291"/>
      <c r="AW291"/>
      <c r="FY291" s="210">
        <v>286</v>
      </c>
      <c r="FZ291" s="205"/>
      <c r="GA291" s="205"/>
      <c r="GB291" s="205"/>
      <c r="GC291" s="205"/>
      <c r="GD291" s="205"/>
      <c r="GE291" s="205"/>
      <c r="GF291" s="205"/>
      <c r="GG291" s="205"/>
      <c r="GH291" s="205"/>
      <c r="GI291" s="205"/>
      <c r="GJ291" s="205"/>
      <c r="GK291" s="205"/>
      <c r="GL291" s="205"/>
      <c r="GM291" s="205"/>
    </row>
    <row r="292" spans="1:195" s="7" customFormat="1">
      <c r="A292" s="1"/>
      <c r="B292">
        <v>0.8174223054344596</v>
      </c>
      <c r="C292">
        <v>3</v>
      </c>
      <c r="D292">
        <v>39847</v>
      </c>
      <c r="E292">
        <v>0</v>
      </c>
      <c r="F292">
        <v>0</v>
      </c>
      <c r="G292">
        <v>0</v>
      </c>
      <c r="H292">
        <v>10.416666666666666</v>
      </c>
      <c r="I292">
        <v>10.416666666666666</v>
      </c>
      <c r="J292">
        <v>20.833333333333332</v>
      </c>
      <c r="K292">
        <v>52.083333333333336</v>
      </c>
      <c r="L292">
        <v>10.416666666666666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/>
      <c r="AO292"/>
      <c r="AP292"/>
      <c r="AQ292"/>
      <c r="AR292"/>
      <c r="AS292"/>
      <c r="AT292"/>
      <c r="AU292"/>
      <c r="AV292"/>
      <c r="AW292"/>
      <c r="FY292" s="210">
        <v>287</v>
      </c>
      <c r="FZ292" s="205"/>
      <c r="GA292" s="205"/>
      <c r="GB292" s="205"/>
      <c r="GC292" s="205"/>
      <c r="GD292" s="205"/>
      <c r="GE292" s="205"/>
      <c r="GF292" s="205"/>
      <c r="GG292" s="205"/>
      <c r="GH292" s="205"/>
      <c r="GI292" s="205"/>
      <c r="GJ292" s="205"/>
      <c r="GK292" s="205"/>
      <c r="GL292" s="205"/>
      <c r="GM292" s="205"/>
    </row>
    <row r="293" spans="1:195" s="7" customFormat="1">
      <c r="A293" s="1"/>
      <c r="B293">
        <v>0.14657913366318542</v>
      </c>
      <c r="C293">
        <v>7</v>
      </c>
      <c r="D293">
        <v>39847</v>
      </c>
      <c r="E293">
        <v>0</v>
      </c>
      <c r="F293">
        <v>0</v>
      </c>
      <c r="G293">
        <v>10.416666666666666</v>
      </c>
      <c r="H293">
        <v>31.25</v>
      </c>
      <c r="I293">
        <v>0</v>
      </c>
      <c r="J293">
        <v>10.416666666666666</v>
      </c>
      <c r="K293">
        <v>31.25</v>
      </c>
      <c r="L293">
        <v>10.416666666666666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/>
      <c r="AO293"/>
      <c r="AP293"/>
      <c r="AQ293"/>
      <c r="AR293"/>
      <c r="AS293"/>
      <c r="AT293"/>
      <c r="AU293"/>
      <c r="AV293"/>
      <c r="AW293"/>
      <c r="FY293" s="210">
        <v>288</v>
      </c>
      <c r="FZ293" s="205"/>
      <c r="GA293" s="205"/>
      <c r="GB293" s="205"/>
      <c r="GC293" s="205"/>
      <c r="GD293" s="205"/>
      <c r="GE293" s="205"/>
      <c r="GF293" s="205"/>
      <c r="GG293" s="205"/>
      <c r="GH293" s="205"/>
      <c r="GI293" s="205"/>
      <c r="GJ293" s="205"/>
      <c r="GK293" s="205"/>
      <c r="GL293" s="205"/>
      <c r="GM293" s="205"/>
    </row>
    <row r="294" spans="1:195" s="7" customFormat="1">
      <c r="A294" s="1"/>
      <c r="B294">
        <v>0.58235716061067766</v>
      </c>
      <c r="C294">
        <v>8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/>
      <c r="AO294"/>
      <c r="AP294"/>
      <c r="AQ294"/>
      <c r="AR294"/>
      <c r="AS294"/>
      <c r="AT294"/>
      <c r="AU294"/>
      <c r="AV294"/>
      <c r="AW294"/>
      <c r="FY294" s="210">
        <v>289</v>
      </c>
      <c r="FZ294" s="205"/>
      <c r="GA294" s="205"/>
      <c r="GB294" s="205"/>
      <c r="GC294" s="205"/>
      <c r="GD294" s="205"/>
      <c r="GE294" s="205"/>
      <c r="GF294" s="205"/>
      <c r="GG294" s="205"/>
      <c r="GH294" s="205"/>
      <c r="GI294" s="205"/>
      <c r="GJ294" s="205"/>
      <c r="GK294" s="205"/>
      <c r="GL294" s="205"/>
      <c r="GM294" s="205"/>
    </row>
    <row r="295" spans="1:195" s="7" customFormat="1">
      <c r="A295" s="1"/>
      <c r="B295">
        <v>0.82392336760754059</v>
      </c>
      <c r="C295">
        <v>1</v>
      </c>
      <c r="D295">
        <v>39847</v>
      </c>
      <c r="E295">
        <v>0</v>
      </c>
      <c r="F295">
        <v>0</v>
      </c>
      <c r="G295">
        <v>31.25</v>
      </c>
      <c r="H295">
        <v>0</v>
      </c>
      <c r="I295">
        <v>0</v>
      </c>
      <c r="J295">
        <v>72.916666666666671</v>
      </c>
      <c r="K295">
        <v>10.416666666666666</v>
      </c>
      <c r="L295">
        <v>20.833333333333332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/>
      <c r="AO295"/>
      <c r="AP295"/>
      <c r="AQ295"/>
      <c r="AR295"/>
      <c r="AS295"/>
      <c r="AT295"/>
      <c r="AU295"/>
      <c r="AV295"/>
      <c r="AW295"/>
      <c r="FY295" s="210">
        <v>290</v>
      </c>
      <c r="FZ295" s="205"/>
      <c r="GA295" s="205"/>
      <c r="GB295" s="205"/>
      <c r="GC295" s="205"/>
      <c r="GD295" s="205"/>
      <c r="GE295" s="205"/>
      <c r="GF295" s="205"/>
      <c r="GG295" s="205"/>
      <c r="GH295" s="205"/>
      <c r="GI295" s="205"/>
      <c r="GJ295" s="205"/>
      <c r="GK295" s="205"/>
      <c r="GL295" s="205"/>
      <c r="GM295" s="205"/>
    </row>
    <row r="296" spans="1:195" s="7" customFormat="1">
      <c r="A296" s="1"/>
      <c r="B296">
        <v>0.19583647170780161</v>
      </c>
      <c r="C296">
        <v>10</v>
      </c>
      <c r="D296">
        <v>39847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10.416666666666666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 s="80"/>
      <c r="AK296" s="81"/>
      <c r="AL296" s="81"/>
      <c r="AM296" s="43">
        <v>280</v>
      </c>
      <c r="AN296"/>
      <c r="AO296"/>
      <c r="AP296"/>
      <c r="AQ296"/>
      <c r="AR296"/>
      <c r="AS296"/>
      <c r="AT296"/>
      <c r="AU296"/>
      <c r="AV296"/>
      <c r="AW296"/>
      <c r="FY296" s="210">
        <v>291</v>
      </c>
      <c r="FZ296" s="205"/>
      <c r="GA296" s="205"/>
      <c r="GB296" s="205"/>
      <c r="GC296" s="205"/>
      <c r="GD296" s="205"/>
      <c r="GE296" s="205"/>
      <c r="GF296" s="205"/>
      <c r="GG296" s="205"/>
      <c r="GH296" s="205"/>
      <c r="GI296" s="205"/>
      <c r="GJ296" s="205"/>
      <c r="GK296" s="205"/>
      <c r="GL296" s="205"/>
      <c r="GM296" s="205"/>
    </row>
    <row r="297" spans="1:195" s="7" customFormat="1">
      <c r="A297" s="1"/>
      <c r="B297">
        <v>5.92134347374218E-3</v>
      </c>
      <c r="C297">
        <v>1</v>
      </c>
      <c r="D297">
        <v>39847</v>
      </c>
      <c r="E297">
        <v>0</v>
      </c>
      <c r="F297">
        <v>0</v>
      </c>
      <c r="G297">
        <v>31.25</v>
      </c>
      <c r="H297">
        <v>0</v>
      </c>
      <c r="I297">
        <v>0</v>
      </c>
      <c r="J297">
        <v>72.916666666666671</v>
      </c>
      <c r="K297">
        <v>10.416666666666666</v>
      </c>
      <c r="L297">
        <v>20.833333333333332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 s="80"/>
      <c r="AK297" s="81"/>
      <c r="AL297" s="81"/>
      <c r="AM297" s="43">
        <v>281</v>
      </c>
      <c r="AN297"/>
      <c r="AO297"/>
      <c r="AP297"/>
      <c r="AQ297"/>
      <c r="AR297"/>
      <c r="AS297"/>
      <c r="AT297"/>
      <c r="AU297"/>
      <c r="AV297"/>
      <c r="AW297"/>
      <c r="FY297" s="210">
        <v>292</v>
      </c>
      <c r="FZ297" s="205"/>
      <c r="GA297" s="205"/>
      <c r="GB297" s="205"/>
      <c r="GC297" s="205"/>
      <c r="GD297" s="205"/>
      <c r="GE297" s="205"/>
      <c r="GF297" s="205"/>
      <c r="GG297" s="205"/>
      <c r="GH297" s="205"/>
      <c r="GI297" s="205"/>
      <c r="GJ297" s="205"/>
      <c r="GK297" s="205"/>
      <c r="GL297" s="205"/>
      <c r="GM297" s="205"/>
    </row>
    <row r="298" spans="1:195" s="7" customFormat="1">
      <c r="A298" s="1"/>
      <c r="B298">
        <v>0.86055934765398789</v>
      </c>
      <c r="C298">
        <v>4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/>
      <c r="AO298"/>
      <c r="AP298"/>
      <c r="AQ298"/>
      <c r="AR298"/>
      <c r="AS298"/>
      <c r="AT298"/>
      <c r="AU298"/>
      <c r="AV298"/>
      <c r="AW298"/>
      <c r="FY298" s="210">
        <v>293</v>
      </c>
      <c r="FZ298" s="205"/>
      <c r="GA298" s="205"/>
      <c r="GB298" s="205"/>
      <c r="GC298" s="205"/>
      <c r="GD298" s="205"/>
      <c r="GE298" s="205"/>
      <c r="GF298" s="205"/>
      <c r="GG298" s="205"/>
      <c r="GH298" s="205"/>
      <c r="GI298" s="205"/>
      <c r="GJ298" s="205"/>
      <c r="GK298" s="205"/>
      <c r="GL298" s="205"/>
      <c r="GM298" s="205"/>
    </row>
    <row r="299" spans="1:195" s="7" customFormat="1">
      <c r="A299" s="1"/>
      <c r="B299">
        <v>4.9414538235570404E-3</v>
      </c>
      <c r="C299">
        <v>3</v>
      </c>
      <c r="D299">
        <v>39910</v>
      </c>
      <c r="E299">
        <v>0</v>
      </c>
      <c r="F299">
        <v>0</v>
      </c>
      <c r="G299">
        <v>0</v>
      </c>
      <c r="H299">
        <v>86.805555555555557</v>
      </c>
      <c r="I299">
        <v>0</v>
      </c>
      <c r="J299">
        <v>0</v>
      </c>
      <c r="K299">
        <v>28.409090909090907</v>
      </c>
      <c r="L299">
        <v>56.818181818181813</v>
      </c>
      <c r="M299">
        <v>0</v>
      </c>
      <c r="N299">
        <v>113.63636363636363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/>
      <c r="AO299"/>
      <c r="AP299"/>
      <c r="AQ299"/>
      <c r="AR299"/>
      <c r="AS299"/>
      <c r="AT299"/>
      <c r="AU299"/>
      <c r="AV299"/>
      <c r="AW299"/>
      <c r="FY299" s="210">
        <v>294</v>
      </c>
      <c r="FZ299" s="205"/>
      <c r="GA299" s="205"/>
      <c r="GB299" s="205"/>
      <c r="GC299" s="205"/>
      <c r="GD299" s="205"/>
      <c r="GE299" s="205"/>
      <c r="GF299" s="205"/>
      <c r="GG299" s="205"/>
      <c r="GH299" s="205"/>
      <c r="GI299" s="205"/>
      <c r="GJ299" s="205"/>
      <c r="GK299" s="205"/>
      <c r="GL299" s="205"/>
      <c r="GM299" s="205"/>
    </row>
    <row r="300" spans="1:195" s="7" customFormat="1">
      <c r="A300" s="1"/>
      <c r="B300">
        <v>0.3869506567554073</v>
      </c>
      <c r="C300">
        <v>4</v>
      </c>
      <c r="D300">
        <v>39910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/>
      <c r="AO300"/>
      <c r="AP300"/>
      <c r="AQ300"/>
      <c r="AR300"/>
      <c r="AS300"/>
      <c r="AT300"/>
      <c r="AU300"/>
      <c r="AV300"/>
      <c r="AW300"/>
      <c r="FY300" s="210">
        <v>295</v>
      </c>
      <c r="FZ300" s="205"/>
      <c r="GA300" s="205"/>
      <c r="GB300" s="205"/>
      <c r="GC300" s="205"/>
      <c r="GD300" s="205"/>
      <c r="GE300" s="205"/>
      <c r="GF300" s="205"/>
      <c r="GG300" s="205"/>
      <c r="GH300" s="205"/>
      <c r="GI300" s="205"/>
      <c r="GJ300" s="205"/>
      <c r="GK300" s="205"/>
      <c r="GL300" s="205"/>
      <c r="GM300" s="205"/>
    </row>
    <row r="301" spans="1:195" s="7" customFormat="1">
      <c r="A301" s="1"/>
      <c r="B301">
        <v>0.60116678650503719</v>
      </c>
      <c r="C301">
        <v>4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/>
      <c r="AO301"/>
      <c r="AP301"/>
      <c r="AQ301"/>
      <c r="AR301"/>
      <c r="AS301"/>
      <c r="AT301"/>
      <c r="AU301"/>
      <c r="AV301"/>
      <c r="AW301"/>
      <c r="FY301" s="210">
        <v>296</v>
      </c>
      <c r="FZ301" s="205"/>
      <c r="GA301" s="205"/>
      <c r="GB301" s="205"/>
      <c r="GC301" s="205"/>
      <c r="GD301" s="205"/>
      <c r="GE301" s="205"/>
      <c r="GF301" s="205"/>
      <c r="GG301" s="205"/>
      <c r="GH301" s="205"/>
      <c r="GI301" s="205"/>
      <c r="GJ301" s="205"/>
      <c r="GK301" s="205"/>
      <c r="GL301" s="205"/>
      <c r="GM301" s="205"/>
    </row>
    <row r="302" spans="1:195" s="7" customFormat="1">
      <c r="A302" s="1"/>
      <c r="B302">
        <v>0.18259466311859396</v>
      </c>
      <c r="C302">
        <v>10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20.833333333333332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/>
      <c r="AO302"/>
      <c r="AP302"/>
      <c r="AQ302"/>
      <c r="AR302"/>
      <c r="AS302"/>
      <c r="AT302"/>
      <c r="AU302"/>
      <c r="AV302"/>
      <c r="AW302"/>
      <c r="FY302" s="210">
        <v>297</v>
      </c>
      <c r="FZ302" s="205"/>
      <c r="GA302" s="205"/>
      <c r="GB302" s="205"/>
      <c r="GC302" s="205"/>
      <c r="GD302" s="205"/>
      <c r="GE302" s="205"/>
      <c r="GF302" s="205"/>
      <c r="GG302" s="205"/>
      <c r="GH302" s="205"/>
      <c r="GI302" s="205"/>
      <c r="GJ302" s="205"/>
      <c r="GK302" s="205"/>
      <c r="GL302" s="205"/>
      <c r="GM302" s="205"/>
    </row>
    <row r="303" spans="1:195" s="7" customFormat="1">
      <c r="A303" s="1"/>
      <c r="B303">
        <v>0.79056115051829767</v>
      </c>
      <c r="C303">
        <v>5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/>
      <c r="AO303"/>
      <c r="AP303"/>
      <c r="AQ303"/>
      <c r="AR303"/>
      <c r="AS303"/>
      <c r="AT303"/>
      <c r="AU303"/>
      <c r="AV303"/>
      <c r="AW303"/>
      <c r="FY303" s="210">
        <v>298</v>
      </c>
      <c r="FZ303" s="205"/>
      <c r="GA303" s="205"/>
      <c r="GB303" s="205"/>
      <c r="GC303" s="205"/>
      <c r="GD303" s="205"/>
      <c r="GE303" s="205"/>
      <c r="GF303" s="205"/>
      <c r="GG303" s="205"/>
      <c r="GH303" s="205"/>
      <c r="GI303" s="205"/>
      <c r="GJ303" s="205"/>
      <c r="GK303" s="205"/>
      <c r="GL303" s="205"/>
      <c r="GM303" s="205"/>
    </row>
    <row r="304" spans="1:195" s="7" customFormat="1">
      <c r="A304" s="1"/>
      <c r="B304">
        <v>0.86638402101844592</v>
      </c>
      <c r="C304">
        <v>3</v>
      </c>
      <c r="D304">
        <v>39910</v>
      </c>
      <c r="E304">
        <v>0</v>
      </c>
      <c r="F304">
        <v>0</v>
      </c>
      <c r="G304">
        <v>0</v>
      </c>
      <c r="H304">
        <v>86.805555555555557</v>
      </c>
      <c r="I304">
        <v>0</v>
      </c>
      <c r="J304">
        <v>0</v>
      </c>
      <c r="K304">
        <v>28.409090909090907</v>
      </c>
      <c r="L304">
        <v>56.818181818181813</v>
      </c>
      <c r="M304">
        <v>0</v>
      </c>
      <c r="N304">
        <v>113.63636363636363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/>
      <c r="AO304"/>
      <c r="AP304"/>
      <c r="AQ304"/>
      <c r="AR304"/>
      <c r="AS304"/>
      <c r="AT304"/>
      <c r="AU304"/>
      <c r="AV304"/>
      <c r="AW304"/>
      <c r="FY304" s="210">
        <v>299</v>
      </c>
      <c r="FZ304" s="205"/>
      <c r="GA304" s="205"/>
      <c r="GB304" s="205"/>
      <c r="GC304" s="205"/>
      <c r="GD304" s="205"/>
      <c r="GE304" s="205"/>
      <c r="GF304" s="205"/>
      <c r="GG304" s="205"/>
      <c r="GH304" s="205"/>
      <c r="GI304" s="205"/>
      <c r="GJ304" s="205"/>
      <c r="GK304" s="205"/>
      <c r="GL304" s="205"/>
      <c r="GM304" s="205"/>
    </row>
    <row r="305" spans="1:195" s="7" customFormat="1">
      <c r="A305" s="1"/>
      <c r="B305">
        <v>0.32243946581191563</v>
      </c>
      <c r="C305">
        <v>3</v>
      </c>
      <c r="D305">
        <v>39910</v>
      </c>
      <c r="E305">
        <v>0</v>
      </c>
      <c r="F305">
        <v>0</v>
      </c>
      <c r="G305">
        <v>0</v>
      </c>
      <c r="H305">
        <v>86.805555555555557</v>
      </c>
      <c r="I305">
        <v>0</v>
      </c>
      <c r="J305">
        <v>0</v>
      </c>
      <c r="K305">
        <v>28.409090909090907</v>
      </c>
      <c r="L305">
        <v>56.818181818181813</v>
      </c>
      <c r="M305">
        <v>0</v>
      </c>
      <c r="N305">
        <v>113.63636363636363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/>
      <c r="AO305"/>
      <c r="AP305"/>
      <c r="AQ305"/>
      <c r="AR305"/>
      <c r="AS305"/>
      <c r="AT305"/>
      <c r="AU305"/>
      <c r="AV305"/>
      <c r="AW305"/>
      <c r="FY305" s="210">
        <v>300</v>
      </c>
      <c r="FZ305" s="205"/>
      <c r="GA305" s="205"/>
      <c r="GB305" s="205"/>
      <c r="GC305" s="205"/>
      <c r="GD305" s="205"/>
      <c r="GE305" s="205"/>
      <c r="GF305" s="205"/>
      <c r="GG305" s="205"/>
      <c r="GH305" s="205"/>
      <c r="GI305" s="205"/>
      <c r="GJ305" s="205"/>
      <c r="GK305" s="205"/>
      <c r="GL305" s="205"/>
      <c r="GM305" s="205"/>
    </row>
    <row r="306" spans="1:195" s="7" customFormat="1">
      <c r="A306" s="1"/>
      <c r="B306">
        <v>0.43640716900852983</v>
      </c>
      <c r="C306">
        <v>2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/>
      <c r="AO306"/>
      <c r="AP306"/>
      <c r="AQ306"/>
      <c r="AR306"/>
      <c r="AS306"/>
      <c r="AT306"/>
      <c r="AU306"/>
      <c r="AV306"/>
      <c r="AW306"/>
      <c r="FY306" s="210">
        <v>301</v>
      </c>
      <c r="FZ306" s="205"/>
      <c r="GA306" s="205"/>
      <c r="GB306" s="205"/>
      <c r="GC306" s="205"/>
      <c r="GD306" s="205"/>
      <c r="GE306" s="205"/>
      <c r="GF306" s="205"/>
      <c r="GG306" s="205"/>
      <c r="GH306" s="205"/>
      <c r="GI306" s="205"/>
      <c r="GJ306" s="205"/>
      <c r="GK306" s="205"/>
      <c r="GL306" s="205"/>
      <c r="GM306" s="205"/>
    </row>
    <row r="307" spans="1:195" s="7" customFormat="1">
      <c r="A307" s="1"/>
      <c r="B307">
        <v>0.15625962164864848</v>
      </c>
      <c r="C307">
        <v>6</v>
      </c>
      <c r="D307">
        <v>39910</v>
      </c>
      <c r="E307">
        <v>0</v>
      </c>
      <c r="F307">
        <v>0</v>
      </c>
      <c r="G307">
        <v>0</v>
      </c>
      <c r="H307">
        <v>20.833333333333332</v>
      </c>
      <c r="I307">
        <v>0</v>
      </c>
      <c r="J307">
        <v>0</v>
      </c>
      <c r="K307">
        <v>31.25</v>
      </c>
      <c r="L307">
        <v>31.25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/>
      <c r="AO307"/>
      <c r="AP307"/>
      <c r="AQ307"/>
      <c r="AR307"/>
      <c r="AS307"/>
      <c r="AT307"/>
      <c r="AU307"/>
      <c r="AV307"/>
      <c r="AW307"/>
      <c r="FY307" s="210">
        <v>302</v>
      </c>
      <c r="FZ307" s="205"/>
      <c r="GA307" s="205"/>
      <c r="GB307" s="205"/>
      <c r="GC307" s="205"/>
      <c r="GD307" s="205"/>
      <c r="GE307" s="205"/>
      <c r="GF307" s="205"/>
      <c r="GG307" s="205"/>
      <c r="GH307" s="205"/>
      <c r="GI307" s="205"/>
      <c r="GJ307" s="205"/>
      <c r="GK307" s="205"/>
      <c r="GL307" s="205"/>
      <c r="GM307" s="205"/>
    </row>
    <row r="308" spans="1:195" s="7" customFormat="1">
      <c r="A308" s="1"/>
      <c r="B308">
        <v>0.12959148350201488</v>
      </c>
      <c r="C308">
        <v>3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10.416666666666666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/>
      <c r="AO308"/>
      <c r="AP308"/>
      <c r="AQ308"/>
      <c r="AR308"/>
      <c r="AS308"/>
      <c r="AT308"/>
      <c r="AU308"/>
      <c r="AV308"/>
      <c r="AW308"/>
      <c r="FY308" s="210">
        <v>303</v>
      </c>
      <c r="FZ308" s="205"/>
      <c r="GA308" s="205"/>
      <c r="GB308" s="205"/>
      <c r="GC308" s="205"/>
      <c r="GD308" s="205"/>
      <c r="GE308" s="205"/>
      <c r="GF308" s="205"/>
      <c r="GG308" s="205"/>
      <c r="GH308" s="205"/>
      <c r="GI308" s="205"/>
      <c r="GJ308" s="205"/>
      <c r="GK308" s="205"/>
      <c r="GL308" s="205"/>
      <c r="GM308" s="205"/>
    </row>
    <row r="309" spans="1:195" s="7" customFormat="1">
      <c r="A309" s="1"/>
      <c r="B309">
        <v>0.82524497684846754</v>
      </c>
      <c r="C309">
        <v>2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20.833333333333332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/>
      <c r="AO309"/>
      <c r="AP309"/>
      <c r="AQ309"/>
      <c r="AR309"/>
      <c r="AS309"/>
      <c r="AT309"/>
      <c r="AU309"/>
      <c r="AV309"/>
      <c r="AW309"/>
      <c r="FY309" s="210">
        <v>304</v>
      </c>
      <c r="FZ309" s="205"/>
      <c r="GA309" s="205"/>
      <c r="GB309" s="205"/>
      <c r="GC309" s="205"/>
      <c r="GD309" s="205"/>
      <c r="GE309" s="205"/>
      <c r="GF309" s="205"/>
      <c r="GG309" s="205"/>
      <c r="GH309" s="205"/>
      <c r="GI309" s="205"/>
      <c r="GJ309" s="205"/>
      <c r="GK309" s="205"/>
      <c r="GL309" s="205"/>
      <c r="GM309" s="205"/>
    </row>
    <row r="310" spans="1:195" s="7" customFormat="1">
      <c r="A310" s="1"/>
      <c r="B310">
        <v>0.41462537760773799</v>
      </c>
      <c r="C310">
        <v>4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/>
      <c r="AO310"/>
      <c r="AP310"/>
      <c r="AQ310"/>
      <c r="AR310"/>
      <c r="AS310"/>
      <c r="AT310"/>
      <c r="AU310"/>
      <c r="AV310"/>
      <c r="AW310"/>
      <c r="FY310" s="210">
        <v>305</v>
      </c>
      <c r="FZ310" s="205"/>
      <c r="GA310" s="205"/>
      <c r="GB310" s="205"/>
      <c r="GC310" s="205"/>
      <c r="GD310" s="205"/>
      <c r="GE310" s="205"/>
      <c r="GF310" s="205"/>
      <c r="GG310" s="205"/>
      <c r="GH310" s="205"/>
      <c r="GI310" s="205"/>
      <c r="GJ310" s="205"/>
      <c r="GK310" s="205"/>
      <c r="GL310" s="205"/>
      <c r="GM310" s="205"/>
    </row>
    <row r="311" spans="1:195" s="7" customFormat="1">
      <c r="A311" s="1"/>
      <c r="B311">
        <v>0.86017249951311348</v>
      </c>
      <c r="C311">
        <v>5</v>
      </c>
      <c r="D311">
        <v>39949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/>
      <c r="AO311"/>
      <c r="AP311"/>
      <c r="AQ311"/>
      <c r="AR311"/>
      <c r="AS311"/>
      <c r="AT311"/>
      <c r="AU311"/>
      <c r="AV311"/>
      <c r="AW311"/>
      <c r="FY311" s="210">
        <v>306</v>
      </c>
      <c r="FZ311" s="205"/>
      <c r="GA311" s="205"/>
      <c r="GB311" s="205"/>
      <c r="GC311" s="205"/>
      <c r="GD311" s="205"/>
      <c r="GE311" s="205"/>
      <c r="GF311" s="205"/>
      <c r="GG311" s="205"/>
      <c r="GH311" s="205"/>
      <c r="GI311" s="205"/>
      <c r="GJ311" s="205"/>
      <c r="GK311" s="205"/>
      <c r="GL311" s="205"/>
      <c r="GM311" s="205"/>
    </row>
    <row r="312" spans="1:195" s="7" customFormat="1">
      <c r="A312" s="1"/>
      <c r="B312">
        <v>0.49359126080582838</v>
      </c>
      <c r="C312">
        <v>4</v>
      </c>
      <c r="D312">
        <v>39949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/>
      <c r="AO312"/>
      <c r="AP312"/>
      <c r="AQ312"/>
      <c r="AR312"/>
      <c r="AS312"/>
      <c r="AT312"/>
      <c r="AU312"/>
      <c r="AV312"/>
      <c r="AW312"/>
      <c r="FY312" s="210">
        <v>307</v>
      </c>
      <c r="FZ312" s="205"/>
      <c r="GA312" s="205"/>
      <c r="GB312" s="205"/>
      <c r="GC312" s="205"/>
      <c r="GD312" s="205"/>
      <c r="GE312" s="205"/>
      <c r="GF312" s="205"/>
      <c r="GG312" s="205"/>
      <c r="GH312" s="205"/>
      <c r="GI312" s="205"/>
      <c r="GJ312" s="205"/>
      <c r="GK312" s="205"/>
      <c r="GL312" s="205"/>
      <c r="GM312" s="205"/>
    </row>
    <row r="313" spans="1:195" s="7" customFormat="1">
      <c r="A313" s="1"/>
      <c r="B313">
        <v>0.19243573207799836</v>
      </c>
      <c r="C313">
        <v>5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/>
      <c r="AO313"/>
      <c r="AP313"/>
      <c r="AQ313"/>
      <c r="AR313"/>
      <c r="AS313"/>
      <c r="AT313"/>
      <c r="AU313"/>
      <c r="AV313"/>
      <c r="AW313"/>
      <c r="FY313" s="210">
        <v>308</v>
      </c>
      <c r="FZ313" s="205"/>
      <c r="GA313" s="205"/>
      <c r="GB313" s="205"/>
      <c r="GC313" s="205"/>
      <c r="GD313" s="205"/>
      <c r="GE313" s="205"/>
      <c r="GF313" s="205"/>
      <c r="GG313" s="205"/>
      <c r="GH313" s="205"/>
      <c r="GI313" s="205"/>
      <c r="GJ313" s="205"/>
      <c r="GK313" s="205"/>
      <c r="GL313" s="205"/>
      <c r="GM313" s="205"/>
    </row>
    <row r="314" spans="1:195" s="7" customFormat="1">
      <c r="A314" s="1"/>
      <c r="B314">
        <v>0.24041201115842847</v>
      </c>
      <c r="C314">
        <v>1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/>
      <c r="AO314"/>
      <c r="AP314"/>
      <c r="AQ314"/>
      <c r="AR314"/>
      <c r="AS314"/>
      <c r="AT314"/>
      <c r="AU314"/>
      <c r="AV314"/>
      <c r="AW314"/>
      <c r="FY314" s="210">
        <v>309</v>
      </c>
      <c r="FZ314" s="205"/>
      <c r="GA314" s="205"/>
      <c r="GB314" s="205"/>
      <c r="GC314" s="205"/>
      <c r="GD314" s="205"/>
      <c r="GE314" s="205"/>
      <c r="GF314" s="205"/>
      <c r="GG314" s="205"/>
      <c r="GH314" s="205"/>
      <c r="GI314" s="205"/>
      <c r="GJ314" s="205"/>
      <c r="GK314" s="205"/>
      <c r="GL314" s="205"/>
      <c r="GM314" s="205"/>
    </row>
    <row r="315" spans="1:195" s="7" customFormat="1">
      <c r="A315" s="1"/>
      <c r="B315">
        <v>0.89436782141053506</v>
      </c>
      <c r="C315">
        <v>8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10.416666666666666</v>
      </c>
      <c r="K315">
        <v>0</v>
      </c>
      <c r="L315">
        <v>52.083333333333336</v>
      </c>
      <c r="M315">
        <v>41.666666666666664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/>
      <c r="AO315"/>
      <c r="AP315"/>
      <c r="AQ315"/>
      <c r="AR315"/>
      <c r="AS315"/>
      <c r="AT315"/>
      <c r="AU315"/>
      <c r="AV315"/>
      <c r="AW315"/>
      <c r="FY315" s="210">
        <v>310</v>
      </c>
      <c r="FZ315" s="205"/>
      <c r="GA315" s="205"/>
      <c r="GB315" s="205"/>
      <c r="GC315" s="205"/>
      <c r="GD315" s="205"/>
      <c r="GE315" s="205"/>
      <c r="GF315" s="205"/>
      <c r="GG315" s="205"/>
      <c r="GH315" s="205"/>
      <c r="GI315" s="205"/>
      <c r="GJ315" s="205"/>
      <c r="GK315" s="205"/>
      <c r="GL315" s="205"/>
      <c r="GM315" s="205"/>
    </row>
    <row r="316" spans="1:195" s="7" customFormat="1">
      <c r="A316" s="1"/>
      <c r="B316">
        <v>0.75971542160761096</v>
      </c>
      <c r="C316">
        <v>9</v>
      </c>
      <c r="D316">
        <v>39949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/>
      <c r="AO316"/>
      <c r="AP316"/>
      <c r="AQ316"/>
      <c r="AR316"/>
      <c r="AS316"/>
      <c r="AT316"/>
      <c r="AU316"/>
      <c r="AV316"/>
      <c r="AW316"/>
      <c r="FY316" s="210">
        <v>311</v>
      </c>
      <c r="FZ316" s="205"/>
      <c r="GA316" s="205"/>
      <c r="GB316" s="205"/>
      <c r="GC316" s="205"/>
      <c r="GD316" s="205"/>
      <c r="GE316" s="205"/>
      <c r="GF316" s="205"/>
      <c r="GG316" s="205"/>
      <c r="GH316" s="205"/>
      <c r="GI316" s="205"/>
      <c r="GJ316" s="205"/>
      <c r="GK316" s="205"/>
      <c r="GL316" s="205"/>
      <c r="GM316" s="205"/>
    </row>
    <row r="317" spans="1:195" s="7" customFormat="1">
      <c r="A317" s="1"/>
      <c r="B317">
        <v>0.67916967586685861</v>
      </c>
      <c r="C317">
        <v>7</v>
      </c>
      <c r="D317">
        <v>39949</v>
      </c>
      <c r="E317">
        <v>0</v>
      </c>
      <c r="F317">
        <v>0</v>
      </c>
      <c r="G317">
        <v>0</v>
      </c>
      <c r="H317">
        <v>10.416666666666666</v>
      </c>
      <c r="I317">
        <v>0</v>
      </c>
      <c r="J317">
        <v>0</v>
      </c>
      <c r="K317">
        <v>0</v>
      </c>
      <c r="L317">
        <v>0</v>
      </c>
      <c r="M317">
        <v>10.416666666666666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/>
      <c r="AO317"/>
      <c r="AP317"/>
      <c r="AQ317"/>
      <c r="AR317"/>
      <c r="AS317"/>
      <c r="AT317"/>
      <c r="AU317"/>
      <c r="AV317"/>
      <c r="AW317"/>
      <c r="FY317" s="210">
        <v>312</v>
      </c>
      <c r="FZ317" s="205"/>
      <c r="GA317" s="205"/>
      <c r="GB317" s="205"/>
      <c r="GC317" s="205"/>
      <c r="GD317" s="205"/>
      <c r="GE317" s="205"/>
      <c r="GF317" s="205"/>
      <c r="GG317" s="205"/>
      <c r="GH317" s="205"/>
      <c r="GI317" s="205"/>
      <c r="GJ317" s="205"/>
      <c r="GK317" s="205"/>
      <c r="GL317" s="205"/>
      <c r="GM317" s="205"/>
    </row>
    <row r="318" spans="1:195" s="7" customFormat="1">
      <c r="A318" s="1"/>
      <c r="B318">
        <v>0.595186215436313</v>
      </c>
      <c r="C318">
        <v>2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10.416666666666666</v>
      </c>
      <c r="P318">
        <v>0</v>
      </c>
      <c r="Q318">
        <v>0</v>
      </c>
      <c r="R318">
        <v>0</v>
      </c>
      <c r="S318">
        <v>10.416666666666666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/>
      <c r="AO318"/>
      <c r="AP318"/>
      <c r="AQ318"/>
      <c r="AR318"/>
      <c r="AS318"/>
      <c r="AT318"/>
      <c r="AU318"/>
      <c r="AV318"/>
      <c r="AW318"/>
      <c r="FY318" s="210">
        <v>313</v>
      </c>
      <c r="FZ318" s="205"/>
      <c r="GA318" s="205"/>
      <c r="GB318" s="205"/>
      <c r="GC318" s="205"/>
      <c r="GD318" s="205"/>
      <c r="GE318" s="205"/>
      <c r="GF318" s="205"/>
      <c r="GG318" s="205"/>
      <c r="GH318" s="205"/>
      <c r="GI318" s="205"/>
      <c r="GJ318" s="205"/>
      <c r="GK318" s="205"/>
      <c r="GL318" s="205"/>
      <c r="GM318" s="205"/>
    </row>
    <row r="319" spans="1:195" s="7" customFormat="1">
      <c r="A319" s="1"/>
      <c r="B319">
        <v>0.45148528140730093</v>
      </c>
      <c r="C319">
        <v>10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/>
      <c r="AO319"/>
      <c r="AP319"/>
      <c r="AQ319"/>
      <c r="AR319"/>
      <c r="AS319"/>
      <c r="AT319"/>
      <c r="AU319"/>
      <c r="AV319"/>
      <c r="AW319"/>
      <c r="FY319" s="210">
        <v>314</v>
      </c>
      <c r="FZ319" s="205"/>
      <c r="GA319" s="205"/>
      <c r="GB319" s="205"/>
      <c r="GC319" s="205"/>
      <c r="GD319" s="205"/>
      <c r="GE319" s="205"/>
      <c r="GF319" s="205"/>
      <c r="GG319" s="205"/>
      <c r="GH319" s="205"/>
      <c r="GI319" s="205"/>
      <c r="GJ319" s="205"/>
      <c r="GK319" s="205"/>
      <c r="GL319" s="205"/>
      <c r="GM319" s="205"/>
    </row>
    <row r="320" spans="1:195" s="7" customFormat="1">
      <c r="A320" s="1"/>
      <c r="B320">
        <v>0.40668880443492217</v>
      </c>
      <c r="C320">
        <v>8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/>
      <c r="AO320"/>
      <c r="AP320"/>
      <c r="AQ320"/>
      <c r="AR320"/>
      <c r="AS320"/>
      <c r="AT320"/>
      <c r="AU320"/>
      <c r="AV320"/>
      <c r="AW320"/>
      <c r="FY320" s="210">
        <v>315</v>
      </c>
      <c r="FZ320" s="205"/>
      <c r="GA320" s="205"/>
      <c r="GB320" s="205"/>
      <c r="GC320" s="205"/>
      <c r="GD320" s="205"/>
      <c r="GE320" s="205"/>
      <c r="GF320" s="205"/>
      <c r="GG320" s="205"/>
      <c r="GH320" s="205"/>
      <c r="GI320" s="205"/>
      <c r="GJ320" s="205"/>
      <c r="GK320" s="205"/>
      <c r="GL320" s="205"/>
      <c r="GM320" s="205"/>
    </row>
    <row r="321" spans="1:195" s="7" customFormat="1">
      <c r="A321" s="1"/>
      <c r="B321">
        <v>6.9695560877288454E-2</v>
      </c>
      <c r="C321">
        <v>6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/>
      <c r="AO321"/>
      <c r="AP321"/>
      <c r="AQ321"/>
      <c r="AR321"/>
      <c r="AS321"/>
      <c r="AT321"/>
      <c r="AU321"/>
      <c r="AV321"/>
      <c r="AW321"/>
      <c r="FY321" s="210">
        <v>316</v>
      </c>
      <c r="FZ321" s="205"/>
      <c r="GA321" s="205"/>
      <c r="GB321" s="205"/>
      <c r="GC321" s="205"/>
      <c r="GD321" s="205"/>
      <c r="GE321" s="205"/>
      <c r="GF321" s="205"/>
      <c r="GG321" s="205"/>
      <c r="GH321" s="205"/>
      <c r="GI321" s="205"/>
      <c r="GJ321" s="205"/>
      <c r="GK321" s="205"/>
      <c r="GL321" s="205"/>
      <c r="GM321" s="205"/>
    </row>
    <row r="322" spans="1:195" s="7" customFormat="1">
      <c r="A322" s="1"/>
      <c r="B322">
        <v>0.7740928191567229</v>
      </c>
      <c r="C322">
        <v>1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/>
      <c r="AO322"/>
      <c r="AP322"/>
      <c r="AQ322"/>
      <c r="AR322"/>
      <c r="AS322"/>
      <c r="AT322"/>
      <c r="AU322"/>
      <c r="AV322"/>
      <c r="AW322"/>
      <c r="FY322" s="210">
        <v>317</v>
      </c>
      <c r="FZ322" s="205"/>
      <c r="GA322" s="205"/>
      <c r="GB322" s="205"/>
      <c r="GC322" s="205"/>
      <c r="GD322" s="205"/>
      <c r="GE322" s="205"/>
      <c r="GF322" s="205"/>
      <c r="GG322" s="205"/>
      <c r="GH322" s="205"/>
      <c r="GI322" s="205"/>
      <c r="GJ322" s="205"/>
      <c r="GK322" s="205"/>
      <c r="GL322" s="205"/>
      <c r="GM322" s="205"/>
    </row>
    <row r="323" spans="1:195" s="7" customFormat="1">
      <c r="A323" s="1"/>
      <c r="B323">
        <v>5.7495671969027606E-2</v>
      </c>
      <c r="C323">
        <v>6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/>
      <c r="AO323"/>
      <c r="AP323"/>
      <c r="AQ323"/>
      <c r="AR323"/>
      <c r="AS323"/>
      <c r="AT323"/>
      <c r="AU323"/>
      <c r="AV323"/>
      <c r="AW323"/>
      <c r="FY323" s="210">
        <v>318</v>
      </c>
      <c r="FZ323" s="205"/>
      <c r="GA323" s="205"/>
      <c r="GB323" s="205"/>
      <c r="GC323" s="205"/>
      <c r="GD323" s="205"/>
      <c r="GE323" s="205"/>
      <c r="GF323" s="205"/>
      <c r="GG323" s="205"/>
      <c r="GH323" s="205"/>
      <c r="GI323" s="205"/>
      <c r="GJ323" s="205"/>
      <c r="GK323" s="205"/>
      <c r="GL323" s="205"/>
      <c r="GM323" s="205"/>
    </row>
    <row r="324" spans="1:195" s="7" customFormat="1">
      <c r="A324" s="1"/>
      <c r="B324">
        <v>0.66411407847005854</v>
      </c>
      <c r="C324">
        <v>8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/>
      <c r="AO324"/>
      <c r="AP324"/>
      <c r="AQ324"/>
      <c r="AR324"/>
      <c r="AS324"/>
      <c r="AT324"/>
      <c r="AU324"/>
      <c r="AV324"/>
      <c r="AW324"/>
      <c r="FY324" s="210">
        <v>319</v>
      </c>
      <c r="FZ324" s="205"/>
      <c r="GA324" s="205"/>
      <c r="GB324" s="205"/>
      <c r="GC324" s="205"/>
      <c r="GD324" s="205"/>
      <c r="GE324" s="205"/>
      <c r="GF324" s="205"/>
      <c r="GG324" s="205"/>
      <c r="GH324" s="205"/>
      <c r="GI324" s="205"/>
      <c r="GJ324" s="205"/>
      <c r="GK324" s="205"/>
      <c r="GL324" s="205"/>
      <c r="GM324" s="205"/>
    </row>
    <row r="325" spans="1:195" s="7" customFormat="1">
      <c r="A325" s="1"/>
      <c r="B325">
        <v>0.62343415435311567</v>
      </c>
      <c r="C325">
        <v>7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10.416666666666666</v>
      </c>
      <c r="N325">
        <v>0</v>
      </c>
      <c r="O325">
        <v>0</v>
      </c>
      <c r="P325">
        <v>10.416666666666666</v>
      </c>
      <c r="Q325">
        <v>0</v>
      </c>
      <c r="R325">
        <v>10.416666666666666</v>
      </c>
      <c r="S325">
        <v>10.416666666666666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/>
      <c r="AO325"/>
      <c r="AP325"/>
      <c r="AQ325"/>
      <c r="AR325"/>
      <c r="AS325"/>
      <c r="AT325"/>
      <c r="AU325"/>
      <c r="AV325"/>
      <c r="AW325"/>
      <c r="FY325" s="210">
        <v>320</v>
      </c>
      <c r="FZ325" s="205"/>
      <c r="GA325" s="205"/>
      <c r="GB325" s="205"/>
      <c r="GC325" s="205"/>
      <c r="GD325" s="205"/>
      <c r="GE325" s="205"/>
      <c r="GF325" s="205"/>
      <c r="GG325" s="205"/>
      <c r="GH325" s="205"/>
      <c r="GI325" s="205"/>
      <c r="GJ325" s="205"/>
      <c r="GK325" s="205"/>
      <c r="GL325" s="205"/>
      <c r="GM325" s="205"/>
    </row>
    <row r="326" spans="1:195" s="7" customFormat="1">
      <c r="A326" s="1"/>
      <c r="B326">
        <v>0.4359374964012348</v>
      </c>
      <c r="C326">
        <v>3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10.416666666666666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/>
      <c r="AO326"/>
      <c r="AP326"/>
      <c r="AQ326"/>
      <c r="AR326"/>
      <c r="AS326"/>
      <c r="AT326"/>
      <c r="AU326"/>
      <c r="AV326"/>
      <c r="AW326"/>
      <c r="FY326" s="210">
        <v>321</v>
      </c>
      <c r="FZ326" s="205"/>
      <c r="GA326" s="205"/>
      <c r="GB326" s="205"/>
      <c r="GC326" s="205"/>
      <c r="GD326" s="205"/>
      <c r="GE326" s="205"/>
      <c r="GF326" s="205"/>
      <c r="GG326" s="205"/>
      <c r="GH326" s="205"/>
      <c r="GI326" s="205"/>
      <c r="GJ326" s="205"/>
      <c r="GK326" s="205"/>
      <c r="GL326" s="205"/>
      <c r="GM326" s="205"/>
    </row>
    <row r="327" spans="1:195" s="7" customFormat="1">
      <c r="A327" s="1"/>
      <c r="B327">
        <v>0.35365034961561737</v>
      </c>
      <c r="C327">
        <v>7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10.416666666666666</v>
      </c>
      <c r="N327">
        <v>0</v>
      </c>
      <c r="O327">
        <v>0</v>
      </c>
      <c r="P327">
        <v>10.416666666666666</v>
      </c>
      <c r="Q327">
        <v>0</v>
      </c>
      <c r="R327">
        <v>10.416666666666666</v>
      </c>
      <c r="S327">
        <v>10.416666666666666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/>
      <c r="AO327"/>
      <c r="AP327"/>
      <c r="AQ327"/>
      <c r="AR327"/>
      <c r="AS327"/>
      <c r="AT327"/>
      <c r="AU327"/>
      <c r="AV327"/>
      <c r="AW327"/>
      <c r="FY327" s="210">
        <v>322</v>
      </c>
      <c r="FZ327" s="205"/>
      <c r="GA327" s="205"/>
      <c r="GB327" s="205"/>
      <c r="GC327" s="205"/>
      <c r="GD327" s="205"/>
      <c r="GE327" s="205"/>
      <c r="GF327" s="205"/>
      <c r="GG327" s="205"/>
      <c r="GH327" s="205"/>
      <c r="GI327" s="205"/>
      <c r="GJ327" s="205"/>
      <c r="GK327" s="205"/>
      <c r="GL327" s="205"/>
      <c r="GM327" s="205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/>
      <c r="AO328"/>
      <c r="AP328"/>
      <c r="AQ328"/>
      <c r="AR328"/>
      <c r="AS328"/>
      <c r="AT328"/>
      <c r="AU328"/>
      <c r="AV328"/>
      <c r="AW328"/>
      <c r="FY328" s="210">
        <v>323</v>
      </c>
      <c r="FZ328" s="205"/>
      <c r="GA328" s="205"/>
      <c r="GB328" s="205"/>
      <c r="GC328" s="205"/>
      <c r="GD328" s="205"/>
      <c r="GE328" s="205"/>
      <c r="GF328" s="205"/>
      <c r="GG328" s="205"/>
      <c r="GH328" s="205"/>
      <c r="GI328" s="205"/>
      <c r="GJ328" s="205"/>
      <c r="GK328" s="205"/>
      <c r="GL328" s="205"/>
      <c r="GM328" s="205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/>
      <c r="AO329"/>
      <c r="AP329"/>
      <c r="AQ329"/>
      <c r="AR329"/>
      <c r="AS329"/>
      <c r="AT329"/>
      <c r="AU329"/>
      <c r="AV329"/>
      <c r="AW329"/>
      <c r="FY329" s="210">
        <v>324</v>
      </c>
      <c r="FZ329" s="205"/>
      <c r="GA329" s="205"/>
      <c r="GB329" s="205"/>
      <c r="GC329" s="205"/>
      <c r="GD329" s="205"/>
      <c r="GE329" s="205"/>
      <c r="GF329" s="205"/>
      <c r="GG329" s="205"/>
      <c r="GH329" s="205"/>
      <c r="GI329" s="205"/>
      <c r="GJ329" s="205"/>
      <c r="GK329" s="205"/>
      <c r="GL329" s="205"/>
      <c r="GM329" s="205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/>
      <c r="AO330"/>
      <c r="AP330"/>
      <c r="AQ330"/>
      <c r="AR330"/>
      <c r="AS330"/>
      <c r="AT330"/>
      <c r="AU330"/>
      <c r="AV330"/>
      <c r="AW330"/>
      <c r="FY330" s="210">
        <v>325</v>
      </c>
      <c r="FZ330" s="205"/>
      <c r="GA330" s="205"/>
      <c r="GB330" s="205"/>
      <c r="GC330" s="205"/>
      <c r="GD330" s="205"/>
      <c r="GE330" s="205"/>
      <c r="GF330" s="205"/>
      <c r="GG330" s="205"/>
      <c r="GH330" s="205"/>
      <c r="GI330" s="205"/>
      <c r="GJ330" s="205"/>
      <c r="GK330" s="205"/>
      <c r="GL330" s="205"/>
      <c r="GM330" s="205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/>
      <c r="AO331"/>
      <c r="AP331"/>
      <c r="AQ331"/>
      <c r="AR331"/>
      <c r="AS331"/>
      <c r="AT331"/>
      <c r="AU331"/>
      <c r="AV331"/>
      <c r="AW331"/>
      <c r="FY331" s="210">
        <v>326</v>
      </c>
      <c r="FZ331" s="205"/>
      <c r="GA331" s="205"/>
      <c r="GB331" s="205"/>
      <c r="GC331" s="205"/>
      <c r="GD331" s="205"/>
      <c r="GE331" s="205"/>
      <c r="GF331" s="205"/>
      <c r="GG331" s="205"/>
      <c r="GH331" s="205"/>
      <c r="GI331" s="205"/>
      <c r="GJ331" s="205"/>
      <c r="GK331" s="205"/>
      <c r="GL331" s="205"/>
      <c r="GM331" s="205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/>
      <c r="AO332"/>
      <c r="AP332"/>
      <c r="AQ332"/>
      <c r="AR332"/>
      <c r="AS332"/>
      <c r="AT332"/>
      <c r="AU332"/>
      <c r="AV332"/>
      <c r="AW332"/>
      <c r="FY332" s="210">
        <v>327</v>
      </c>
      <c r="FZ332" s="205"/>
      <c r="GA332" s="205"/>
      <c r="GB332" s="205"/>
      <c r="GC332" s="205"/>
      <c r="GD332" s="205"/>
      <c r="GE332" s="205"/>
      <c r="GF332" s="205"/>
      <c r="GG332" s="205"/>
      <c r="GH332" s="205"/>
      <c r="GI332" s="205"/>
      <c r="GJ332" s="205"/>
      <c r="GK332" s="205"/>
      <c r="GL332" s="205"/>
      <c r="GM332" s="205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/>
      <c r="AO333"/>
      <c r="AP333"/>
      <c r="AQ333"/>
      <c r="AR333"/>
      <c r="AS333"/>
      <c r="AT333"/>
      <c r="AU333"/>
      <c r="AV333"/>
      <c r="AW333"/>
      <c r="FY333" s="210">
        <v>328</v>
      </c>
      <c r="FZ333" s="205"/>
      <c r="GA333" s="205"/>
      <c r="GB333" s="205"/>
      <c r="GC333" s="205"/>
      <c r="GD333" s="205"/>
      <c r="GE333" s="205"/>
      <c r="GF333" s="205"/>
      <c r="GG333" s="205"/>
      <c r="GH333" s="205"/>
      <c r="GI333" s="205"/>
      <c r="GJ333" s="205"/>
      <c r="GK333" s="205"/>
      <c r="GL333" s="205"/>
      <c r="GM333" s="205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/>
      <c r="AO334"/>
      <c r="AP334"/>
      <c r="AQ334"/>
      <c r="AR334"/>
      <c r="AS334"/>
      <c r="AT334"/>
      <c r="AU334"/>
      <c r="AV334"/>
      <c r="AW334"/>
      <c r="FY334" s="210">
        <v>329</v>
      </c>
      <c r="FZ334" s="205"/>
      <c r="GA334" s="205"/>
      <c r="GB334" s="205"/>
      <c r="GC334" s="205"/>
      <c r="GD334" s="205"/>
      <c r="GE334" s="205"/>
      <c r="GF334" s="205"/>
      <c r="GG334" s="205"/>
      <c r="GH334" s="205"/>
      <c r="GI334" s="205"/>
      <c r="GJ334" s="205"/>
      <c r="GK334" s="205"/>
      <c r="GL334" s="205"/>
      <c r="GM334" s="205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/>
      <c r="AO335"/>
      <c r="AP335"/>
      <c r="AQ335"/>
      <c r="AR335"/>
      <c r="AS335"/>
      <c r="AT335"/>
      <c r="AU335"/>
      <c r="AV335"/>
      <c r="AW335"/>
      <c r="FY335" s="210">
        <v>330</v>
      </c>
      <c r="FZ335" s="205"/>
      <c r="GA335" s="205"/>
      <c r="GB335" s="205"/>
      <c r="GC335" s="205"/>
      <c r="GD335" s="205"/>
      <c r="GE335" s="205"/>
      <c r="GF335" s="205"/>
      <c r="GG335" s="205"/>
      <c r="GH335" s="205"/>
      <c r="GI335" s="205"/>
      <c r="GJ335" s="205"/>
      <c r="GK335" s="205"/>
      <c r="GL335" s="205"/>
      <c r="GM335" s="20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/>
      <c r="AO336"/>
      <c r="AP336"/>
      <c r="AQ336"/>
      <c r="AR336"/>
      <c r="AS336"/>
      <c r="AT336"/>
      <c r="AU336"/>
      <c r="AV336"/>
      <c r="AW336"/>
      <c r="FY336" s="210">
        <v>331</v>
      </c>
      <c r="FZ336" s="205"/>
      <c r="GA336" s="205"/>
      <c r="GB336" s="205"/>
      <c r="GC336" s="205"/>
      <c r="GD336" s="205"/>
      <c r="GE336" s="205"/>
      <c r="GF336" s="205"/>
      <c r="GG336" s="205"/>
      <c r="GH336" s="205"/>
      <c r="GI336" s="205"/>
      <c r="GJ336" s="205"/>
      <c r="GK336" s="205"/>
      <c r="GL336" s="205"/>
      <c r="GM336" s="205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/>
      <c r="AO337"/>
      <c r="AP337"/>
      <c r="AQ337"/>
      <c r="AR337"/>
      <c r="AS337"/>
      <c r="AT337"/>
      <c r="AU337"/>
      <c r="AV337"/>
      <c r="AW337"/>
      <c r="FY337" s="210">
        <v>332</v>
      </c>
      <c r="FZ337" s="205"/>
      <c r="GA337" s="205"/>
      <c r="GB337" s="205"/>
      <c r="GC337" s="205"/>
      <c r="GD337" s="205"/>
      <c r="GE337" s="205"/>
      <c r="GF337" s="205"/>
      <c r="GG337" s="205"/>
      <c r="GH337" s="205"/>
      <c r="GI337" s="205"/>
      <c r="GJ337" s="205"/>
      <c r="GK337" s="205"/>
      <c r="GL337" s="205"/>
      <c r="GM337" s="205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/>
      <c r="AO338"/>
      <c r="AP338"/>
      <c r="AQ338"/>
      <c r="AR338"/>
      <c r="AS338"/>
      <c r="AT338"/>
      <c r="AU338"/>
      <c r="AV338"/>
      <c r="AW338"/>
      <c r="FY338" s="210">
        <v>333</v>
      </c>
      <c r="FZ338" s="205"/>
      <c r="GA338" s="205"/>
      <c r="GB338" s="205"/>
      <c r="GC338" s="205"/>
      <c r="GD338" s="205"/>
      <c r="GE338" s="205"/>
      <c r="GF338" s="205"/>
      <c r="GG338" s="205"/>
      <c r="GH338" s="205"/>
      <c r="GI338" s="205"/>
      <c r="GJ338" s="205"/>
      <c r="GK338" s="205"/>
      <c r="GL338" s="205"/>
      <c r="GM338" s="205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/>
      <c r="AO339"/>
      <c r="AP339"/>
      <c r="AQ339"/>
      <c r="AR339"/>
      <c r="AS339"/>
      <c r="AT339"/>
      <c r="AU339"/>
      <c r="AV339"/>
      <c r="AW339"/>
      <c r="FY339" s="210">
        <v>334</v>
      </c>
      <c r="FZ339" s="205"/>
      <c r="GA339" s="205"/>
      <c r="GB339" s="205"/>
      <c r="GC339" s="205"/>
      <c r="GD339" s="205"/>
      <c r="GE339" s="205"/>
      <c r="GF339" s="205"/>
      <c r="GG339" s="205"/>
      <c r="GH339" s="205"/>
      <c r="GI339" s="205"/>
      <c r="GJ339" s="205"/>
      <c r="GK339" s="205"/>
      <c r="GL339" s="205"/>
      <c r="GM339" s="205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/>
      <c r="AO340"/>
      <c r="AP340"/>
      <c r="AQ340"/>
      <c r="AR340"/>
      <c r="AS340"/>
      <c r="AT340"/>
      <c r="AU340"/>
      <c r="AV340"/>
      <c r="AW340"/>
      <c r="FY340" s="210">
        <v>335</v>
      </c>
      <c r="FZ340" s="205"/>
      <c r="GA340" s="205"/>
      <c r="GB340" s="205"/>
      <c r="GC340" s="205"/>
      <c r="GD340" s="205"/>
      <c r="GE340" s="205"/>
      <c r="GF340" s="205"/>
      <c r="GG340" s="205"/>
      <c r="GH340" s="205"/>
      <c r="GI340" s="205"/>
      <c r="GJ340" s="205"/>
      <c r="GK340" s="205"/>
      <c r="GL340" s="205"/>
      <c r="GM340" s="205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/>
      <c r="AO341"/>
      <c r="AP341"/>
      <c r="AQ341"/>
      <c r="AR341"/>
      <c r="AS341"/>
      <c r="AT341"/>
      <c r="AU341"/>
      <c r="AV341"/>
      <c r="AW341"/>
      <c r="FY341" s="210">
        <v>336</v>
      </c>
      <c r="FZ341" s="205"/>
      <c r="GA341" s="205"/>
      <c r="GB341" s="205"/>
      <c r="GC341" s="205"/>
      <c r="GD341" s="205"/>
      <c r="GE341" s="205"/>
      <c r="GF341" s="205"/>
      <c r="GG341" s="205"/>
      <c r="GH341" s="205"/>
      <c r="GI341" s="205"/>
      <c r="GJ341" s="205"/>
      <c r="GK341" s="205"/>
      <c r="GL341" s="205"/>
      <c r="GM341" s="205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/>
      <c r="AO342"/>
      <c r="AP342"/>
      <c r="AQ342"/>
      <c r="AR342"/>
      <c r="AS342"/>
      <c r="AT342"/>
      <c r="AU342"/>
      <c r="AV342"/>
      <c r="AW342"/>
      <c r="FY342" s="210">
        <v>337</v>
      </c>
      <c r="FZ342" s="205"/>
      <c r="GA342" s="205"/>
      <c r="GB342" s="205"/>
      <c r="GC342" s="205"/>
      <c r="GD342" s="205"/>
      <c r="GE342" s="205"/>
      <c r="GF342" s="205"/>
      <c r="GG342" s="205"/>
      <c r="GH342" s="205"/>
      <c r="GI342" s="205"/>
      <c r="GJ342" s="205"/>
      <c r="GK342" s="205"/>
      <c r="GL342" s="205"/>
      <c r="GM342" s="205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/>
      <c r="AO343"/>
      <c r="AP343"/>
      <c r="AQ343"/>
      <c r="AR343"/>
      <c r="AS343"/>
      <c r="AT343"/>
      <c r="AU343"/>
      <c r="AV343"/>
      <c r="AW343"/>
      <c r="FY343" s="210">
        <v>338</v>
      </c>
      <c r="FZ343" s="205"/>
      <c r="GA343" s="205"/>
      <c r="GB343" s="205"/>
      <c r="GC343" s="205"/>
      <c r="GD343" s="205"/>
      <c r="GE343" s="205"/>
      <c r="GF343" s="205"/>
      <c r="GG343" s="205"/>
      <c r="GH343" s="205"/>
      <c r="GI343" s="205"/>
      <c r="GJ343" s="205"/>
      <c r="GK343" s="205"/>
      <c r="GL343" s="205"/>
      <c r="GM343" s="205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/>
      <c r="AO344"/>
      <c r="AP344"/>
      <c r="AQ344"/>
      <c r="AR344"/>
      <c r="AS344"/>
      <c r="AT344"/>
      <c r="AU344"/>
      <c r="AV344"/>
      <c r="AW344"/>
      <c r="FY344" s="210">
        <v>339</v>
      </c>
      <c r="FZ344" s="205"/>
      <c r="GA344" s="205"/>
      <c r="GB344" s="205"/>
      <c r="GC344" s="205"/>
      <c r="GD344" s="205"/>
      <c r="GE344" s="205"/>
      <c r="GF344" s="205"/>
      <c r="GG344" s="205"/>
      <c r="GH344" s="205"/>
      <c r="GI344" s="205"/>
      <c r="GJ344" s="205"/>
      <c r="GK344" s="205"/>
      <c r="GL344" s="205"/>
      <c r="GM344" s="205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/>
      <c r="AO345"/>
      <c r="AP345"/>
      <c r="AQ345"/>
      <c r="AR345"/>
      <c r="AS345"/>
      <c r="AT345"/>
      <c r="AU345"/>
      <c r="AV345"/>
      <c r="AW345"/>
      <c r="FY345" s="210">
        <v>340</v>
      </c>
      <c r="FZ345" s="205"/>
      <c r="GA345" s="205"/>
      <c r="GB345" s="205"/>
      <c r="GC345" s="205"/>
      <c r="GD345" s="205"/>
      <c r="GE345" s="205"/>
      <c r="GF345" s="205"/>
      <c r="GG345" s="205"/>
      <c r="GH345" s="205"/>
      <c r="GI345" s="205"/>
      <c r="GJ345" s="205"/>
      <c r="GK345" s="205"/>
      <c r="GL345" s="205"/>
      <c r="GM345" s="20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/>
      <c r="AO346"/>
      <c r="AP346"/>
      <c r="AQ346"/>
      <c r="AR346"/>
      <c r="AS346"/>
      <c r="AT346"/>
      <c r="AU346"/>
      <c r="AV346"/>
      <c r="AW346"/>
      <c r="FY346" s="210">
        <v>341</v>
      </c>
      <c r="FZ346" s="205"/>
      <c r="GA346" s="205"/>
      <c r="GB346" s="205"/>
      <c r="GC346" s="205"/>
      <c r="GD346" s="205"/>
      <c r="GE346" s="205"/>
      <c r="GF346" s="205"/>
      <c r="GG346" s="205"/>
      <c r="GH346" s="205"/>
      <c r="GI346" s="205"/>
      <c r="GJ346" s="205"/>
      <c r="GK346" s="205"/>
      <c r="GL346" s="205"/>
      <c r="GM346" s="205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/>
      <c r="AO347"/>
      <c r="AP347"/>
      <c r="AQ347"/>
      <c r="AR347"/>
      <c r="AS347"/>
      <c r="AT347"/>
      <c r="AU347"/>
      <c r="AV347"/>
      <c r="AW347"/>
      <c r="FY347" s="210">
        <v>342</v>
      </c>
      <c r="FZ347" s="205"/>
      <c r="GA347" s="205"/>
      <c r="GB347" s="205"/>
      <c r="GC347" s="205"/>
      <c r="GD347" s="205"/>
      <c r="GE347" s="205"/>
      <c r="GF347" s="205"/>
      <c r="GG347" s="205"/>
      <c r="GH347" s="205"/>
      <c r="GI347" s="205"/>
      <c r="GJ347" s="205"/>
      <c r="GK347" s="205"/>
      <c r="GL347" s="205"/>
      <c r="GM347" s="205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/>
      <c r="AO348"/>
      <c r="AP348"/>
      <c r="AQ348"/>
      <c r="AR348"/>
      <c r="AS348"/>
      <c r="AT348"/>
      <c r="AU348"/>
      <c r="AV348"/>
      <c r="AW348"/>
      <c r="FY348" s="210">
        <v>343</v>
      </c>
      <c r="FZ348" s="205"/>
      <c r="GA348" s="205"/>
      <c r="GB348" s="205"/>
      <c r="GC348" s="205"/>
      <c r="GD348" s="205"/>
      <c r="GE348" s="205"/>
      <c r="GF348" s="205"/>
      <c r="GG348" s="205"/>
      <c r="GH348" s="205"/>
      <c r="GI348" s="205"/>
      <c r="GJ348" s="205"/>
      <c r="GK348" s="205"/>
      <c r="GL348" s="205"/>
      <c r="GM348" s="205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/>
      <c r="AO349"/>
      <c r="AP349"/>
      <c r="AQ349"/>
      <c r="AR349"/>
      <c r="AS349"/>
      <c r="AT349"/>
      <c r="AU349"/>
      <c r="AV349"/>
      <c r="AW349"/>
      <c r="FY349" s="210">
        <v>344</v>
      </c>
      <c r="FZ349" s="205"/>
      <c r="GA349" s="205"/>
      <c r="GB349" s="205"/>
      <c r="GC349" s="205"/>
      <c r="GD349" s="205"/>
      <c r="GE349" s="205"/>
      <c r="GF349" s="205"/>
      <c r="GG349" s="205"/>
      <c r="GH349" s="205"/>
      <c r="GI349" s="205"/>
      <c r="GJ349" s="205"/>
      <c r="GK349" s="205"/>
      <c r="GL349" s="205"/>
      <c r="GM349" s="205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/>
      <c r="AO350"/>
      <c r="AP350"/>
      <c r="AQ350"/>
      <c r="AR350"/>
      <c r="AS350"/>
      <c r="AT350"/>
      <c r="AU350"/>
      <c r="AV350"/>
      <c r="AW350"/>
      <c r="FY350" s="210">
        <v>345</v>
      </c>
      <c r="FZ350" s="205"/>
      <c r="GA350" s="205"/>
      <c r="GB350" s="205"/>
      <c r="GC350" s="205"/>
      <c r="GD350" s="205"/>
      <c r="GE350" s="205"/>
      <c r="GF350" s="205"/>
      <c r="GG350" s="205"/>
      <c r="GH350" s="205"/>
      <c r="GI350" s="205"/>
      <c r="GJ350" s="205"/>
      <c r="GK350" s="205"/>
      <c r="GL350" s="205"/>
      <c r="GM350" s="205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/>
      <c r="AO351"/>
      <c r="AP351"/>
      <c r="AQ351"/>
      <c r="AR351"/>
      <c r="AS351"/>
      <c r="AT351"/>
      <c r="AU351"/>
      <c r="AV351"/>
      <c r="AW351"/>
      <c r="FY351" s="210">
        <v>346</v>
      </c>
      <c r="FZ351" s="205"/>
      <c r="GA351" s="205"/>
      <c r="GB351" s="205"/>
      <c r="GC351" s="205"/>
      <c r="GD351" s="205"/>
      <c r="GE351" s="205"/>
      <c r="GF351" s="205"/>
      <c r="GG351" s="205"/>
      <c r="GH351" s="205"/>
      <c r="GI351" s="205"/>
      <c r="GJ351" s="205"/>
      <c r="GK351" s="205"/>
      <c r="GL351" s="205"/>
      <c r="GM351" s="205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/>
      <c r="AO352"/>
      <c r="AP352"/>
      <c r="AQ352"/>
      <c r="AR352"/>
      <c r="AS352"/>
      <c r="AT352"/>
      <c r="AU352"/>
      <c r="AV352"/>
      <c r="AW352"/>
      <c r="FY352" s="210">
        <v>347</v>
      </c>
      <c r="FZ352" s="205"/>
      <c r="GA352" s="205"/>
      <c r="GB352" s="205"/>
      <c r="GC352" s="205"/>
      <c r="GD352" s="205"/>
      <c r="GE352" s="205"/>
      <c r="GF352" s="205"/>
      <c r="GG352" s="205"/>
      <c r="GH352" s="205"/>
      <c r="GI352" s="205"/>
      <c r="GJ352" s="205"/>
      <c r="GK352" s="205"/>
      <c r="GL352" s="205"/>
      <c r="GM352" s="205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/>
      <c r="AO353"/>
      <c r="AP353"/>
      <c r="AQ353"/>
      <c r="AR353"/>
      <c r="AS353"/>
      <c r="AT353"/>
      <c r="AU353"/>
      <c r="AV353"/>
      <c r="AW353"/>
      <c r="FY353" s="210">
        <v>348</v>
      </c>
      <c r="FZ353" s="205"/>
      <c r="GA353" s="205"/>
      <c r="GB353" s="205"/>
      <c r="GC353" s="205"/>
      <c r="GD353" s="205"/>
      <c r="GE353" s="205"/>
      <c r="GF353" s="205"/>
      <c r="GG353" s="205"/>
      <c r="GH353" s="205"/>
      <c r="GI353" s="205"/>
      <c r="GJ353" s="205"/>
      <c r="GK353" s="205"/>
      <c r="GL353" s="205"/>
      <c r="GM353" s="205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/>
      <c r="AO354"/>
      <c r="AP354"/>
      <c r="AQ354"/>
      <c r="AR354"/>
      <c r="AS354"/>
      <c r="AT354"/>
      <c r="AU354"/>
      <c r="AV354"/>
      <c r="AW354"/>
      <c r="FY354" s="210">
        <v>349</v>
      </c>
      <c r="FZ354" s="205"/>
      <c r="GA354" s="205"/>
      <c r="GB354" s="205"/>
      <c r="GC354" s="205"/>
      <c r="GD354" s="205"/>
      <c r="GE354" s="205"/>
      <c r="GF354" s="205"/>
      <c r="GG354" s="205"/>
      <c r="GH354" s="205"/>
      <c r="GI354" s="205"/>
      <c r="GJ354" s="205"/>
      <c r="GK354" s="205"/>
      <c r="GL354" s="205"/>
      <c r="GM354" s="205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/>
      <c r="AO355"/>
      <c r="AP355"/>
      <c r="AQ355"/>
      <c r="AR355"/>
      <c r="AS355"/>
      <c r="AT355"/>
      <c r="AU355"/>
      <c r="AV355"/>
      <c r="AW355"/>
      <c r="FY355" s="210">
        <v>350</v>
      </c>
      <c r="FZ355" s="205"/>
      <c r="GA355" s="205"/>
      <c r="GB355" s="205"/>
      <c r="GC355" s="205"/>
      <c r="GD355" s="205"/>
      <c r="GE355" s="205"/>
      <c r="GF355" s="205"/>
      <c r="GG355" s="205"/>
      <c r="GH355" s="205"/>
      <c r="GI355" s="205"/>
      <c r="GJ355" s="205"/>
      <c r="GK355" s="205"/>
      <c r="GL355" s="205"/>
      <c r="GM355" s="20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/>
      <c r="AO356"/>
      <c r="AP356"/>
      <c r="AQ356"/>
      <c r="AR356"/>
      <c r="AS356"/>
      <c r="AT356"/>
      <c r="AU356"/>
      <c r="AV356"/>
      <c r="AW356"/>
      <c r="FY356" s="210">
        <v>351</v>
      </c>
      <c r="FZ356" s="205"/>
      <c r="GA356" s="205"/>
      <c r="GB356" s="205"/>
      <c r="GC356" s="205"/>
      <c r="GD356" s="205"/>
      <c r="GE356" s="205"/>
      <c r="GF356" s="205"/>
      <c r="GG356" s="205"/>
      <c r="GH356" s="205"/>
      <c r="GI356" s="205"/>
      <c r="GJ356" s="205"/>
      <c r="GK356" s="205"/>
      <c r="GL356" s="205"/>
      <c r="GM356" s="205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/>
      <c r="AO357"/>
      <c r="AP357"/>
      <c r="AQ357"/>
      <c r="AR357"/>
      <c r="AS357"/>
      <c r="AT357"/>
      <c r="AU357"/>
      <c r="AV357"/>
      <c r="AW357"/>
      <c r="FY357" s="210">
        <v>352</v>
      </c>
      <c r="FZ357" s="205"/>
      <c r="GA357" s="205"/>
      <c r="GB357" s="205"/>
      <c r="GC357" s="205"/>
      <c r="GD357" s="205"/>
      <c r="GE357" s="205"/>
      <c r="GF357" s="205"/>
      <c r="GG357" s="205"/>
      <c r="GH357" s="205"/>
      <c r="GI357" s="205"/>
      <c r="GJ357" s="205"/>
      <c r="GK357" s="205"/>
      <c r="GL357" s="205"/>
      <c r="GM357" s="205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/>
      <c r="AO358"/>
      <c r="AP358"/>
      <c r="AQ358"/>
      <c r="AR358"/>
      <c r="AS358"/>
      <c r="AT358"/>
      <c r="AU358"/>
      <c r="AV358"/>
      <c r="AW358"/>
      <c r="FY358" s="210">
        <v>353</v>
      </c>
      <c r="FZ358" s="205"/>
      <c r="GA358" s="205"/>
      <c r="GB358" s="205"/>
      <c r="GC358" s="205"/>
      <c r="GD358" s="205"/>
      <c r="GE358" s="205"/>
      <c r="GF358" s="205"/>
      <c r="GG358" s="205"/>
      <c r="GH358" s="205"/>
      <c r="GI358" s="205"/>
      <c r="GJ358" s="205"/>
      <c r="GK358" s="205"/>
      <c r="GL358" s="205"/>
      <c r="GM358" s="205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/>
      <c r="AO359"/>
      <c r="AP359"/>
      <c r="AQ359"/>
      <c r="AR359"/>
      <c r="AS359"/>
      <c r="AT359"/>
      <c r="AU359"/>
      <c r="AV359"/>
      <c r="AW359"/>
      <c r="FY359" s="210">
        <v>354</v>
      </c>
      <c r="FZ359" s="205"/>
      <c r="GA359" s="205"/>
      <c r="GB359" s="205"/>
      <c r="GC359" s="205"/>
      <c r="GD359" s="205"/>
      <c r="GE359" s="205"/>
      <c r="GF359" s="205"/>
      <c r="GG359" s="205"/>
      <c r="GH359" s="205"/>
      <c r="GI359" s="205"/>
      <c r="GJ359" s="205"/>
      <c r="GK359" s="205"/>
      <c r="GL359" s="205"/>
      <c r="GM359" s="205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/>
      <c r="AO360"/>
      <c r="AP360"/>
      <c r="AQ360"/>
      <c r="AR360"/>
      <c r="AS360"/>
      <c r="AT360"/>
      <c r="AU360"/>
      <c r="AV360"/>
      <c r="AW360"/>
      <c r="FY360" s="210">
        <v>355</v>
      </c>
      <c r="FZ360" s="205"/>
      <c r="GA360" s="205"/>
      <c r="GB360" s="205"/>
      <c r="GC360" s="205"/>
      <c r="GD360" s="205"/>
      <c r="GE360" s="205"/>
      <c r="GF360" s="205"/>
      <c r="GG360" s="205"/>
      <c r="GH360" s="205"/>
      <c r="GI360" s="205"/>
      <c r="GJ360" s="205"/>
      <c r="GK360" s="205"/>
      <c r="GL360" s="205"/>
      <c r="GM360" s="205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/>
      <c r="AO361"/>
      <c r="AP361"/>
      <c r="AQ361"/>
      <c r="AR361"/>
      <c r="AS361"/>
      <c r="AT361"/>
      <c r="AU361"/>
      <c r="AV361"/>
      <c r="AW361"/>
      <c r="FY361" s="210">
        <v>356</v>
      </c>
      <c r="FZ361" s="205"/>
      <c r="GA361" s="205"/>
      <c r="GB361" s="205"/>
      <c r="GC361" s="205"/>
      <c r="GD361" s="205"/>
      <c r="GE361" s="205"/>
      <c r="GF361" s="205"/>
      <c r="GG361" s="205"/>
      <c r="GH361" s="205"/>
      <c r="GI361" s="205"/>
      <c r="GJ361" s="205"/>
      <c r="GK361" s="205"/>
      <c r="GL361" s="205"/>
      <c r="GM361" s="205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/>
      <c r="AO362"/>
      <c r="AP362"/>
      <c r="AQ362"/>
      <c r="AR362"/>
      <c r="AS362"/>
      <c r="AT362"/>
      <c r="AU362"/>
      <c r="AV362"/>
      <c r="AW362"/>
      <c r="FY362" s="210">
        <v>357</v>
      </c>
      <c r="FZ362" s="205"/>
      <c r="GA362" s="205"/>
      <c r="GB362" s="205"/>
      <c r="GC362" s="205"/>
      <c r="GD362" s="205"/>
      <c r="GE362" s="205"/>
      <c r="GF362" s="205"/>
      <c r="GG362" s="205"/>
      <c r="GH362" s="205"/>
      <c r="GI362" s="205"/>
      <c r="GJ362" s="205"/>
      <c r="GK362" s="205"/>
      <c r="GL362" s="205"/>
      <c r="GM362" s="205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/>
      <c r="AO363"/>
      <c r="AP363"/>
      <c r="AQ363"/>
      <c r="AR363"/>
      <c r="AS363"/>
      <c r="AT363"/>
      <c r="AU363"/>
      <c r="AV363"/>
      <c r="AW363"/>
      <c r="FY363" s="210">
        <v>358</v>
      </c>
      <c r="FZ363" s="205"/>
      <c r="GA363" s="205"/>
      <c r="GB363" s="205"/>
      <c r="GC363" s="205"/>
      <c r="GD363" s="205"/>
      <c r="GE363" s="205"/>
      <c r="GF363" s="205"/>
      <c r="GG363" s="205"/>
      <c r="GH363" s="205"/>
      <c r="GI363" s="205"/>
      <c r="GJ363" s="205"/>
      <c r="GK363" s="205"/>
      <c r="GL363" s="205"/>
      <c r="GM363" s="205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/>
      <c r="AO364"/>
      <c r="AP364"/>
      <c r="AQ364"/>
      <c r="AR364"/>
      <c r="AS364"/>
      <c r="AT364"/>
      <c r="AU364"/>
      <c r="AV364"/>
      <c r="AW364"/>
      <c r="FY364" s="210">
        <v>359</v>
      </c>
      <c r="FZ364" s="205"/>
      <c r="GA364" s="205"/>
      <c r="GB364" s="205"/>
      <c r="GC364" s="205"/>
      <c r="GD364" s="205"/>
      <c r="GE364" s="205"/>
      <c r="GF364" s="205"/>
      <c r="GG364" s="205"/>
      <c r="GH364" s="205"/>
      <c r="GI364" s="205"/>
      <c r="GJ364" s="205"/>
      <c r="GK364" s="205"/>
      <c r="GL364" s="205"/>
      <c r="GM364" s="205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/>
      <c r="AO365"/>
      <c r="AP365"/>
      <c r="AQ365"/>
      <c r="AR365"/>
      <c r="AS365"/>
      <c r="AT365"/>
      <c r="AU365"/>
      <c r="AV365"/>
      <c r="AW365"/>
      <c r="FY365" s="210">
        <v>360</v>
      </c>
      <c r="FZ365" s="205"/>
      <c r="GA365" s="205"/>
      <c r="GB365" s="205"/>
      <c r="GC365" s="205"/>
      <c r="GD365" s="205"/>
      <c r="GE365" s="205"/>
      <c r="GF365" s="205"/>
      <c r="GG365" s="205"/>
      <c r="GH365" s="205"/>
      <c r="GI365" s="205"/>
      <c r="GJ365" s="205"/>
      <c r="GK365" s="205"/>
      <c r="GL365" s="205"/>
      <c r="GM365" s="20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/>
      <c r="AO366"/>
      <c r="AP366"/>
      <c r="AQ366"/>
      <c r="AR366"/>
      <c r="AS366"/>
      <c r="AT366"/>
      <c r="AU366"/>
      <c r="AV366"/>
      <c r="AW366"/>
      <c r="FY366" s="210">
        <v>361</v>
      </c>
      <c r="FZ366" s="205"/>
      <c r="GA366" s="205"/>
      <c r="GB366" s="205"/>
      <c r="GC366" s="205"/>
      <c r="GD366" s="205"/>
      <c r="GE366" s="205"/>
      <c r="GF366" s="205"/>
      <c r="GG366" s="205"/>
      <c r="GH366" s="205"/>
      <c r="GI366" s="205"/>
      <c r="GJ366" s="205"/>
      <c r="GK366" s="205"/>
      <c r="GL366" s="205"/>
      <c r="GM366" s="205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/>
      <c r="AO367"/>
      <c r="AP367"/>
      <c r="AQ367"/>
      <c r="AR367"/>
      <c r="AS367"/>
      <c r="AT367"/>
      <c r="AU367"/>
      <c r="AV367"/>
      <c r="AW367"/>
      <c r="FY367" s="210">
        <v>362</v>
      </c>
      <c r="FZ367" s="205"/>
      <c r="GA367" s="205"/>
      <c r="GB367" s="205"/>
      <c r="GC367" s="205"/>
      <c r="GD367" s="205"/>
      <c r="GE367" s="205"/>
      <c r="GF367" s="205"/>
      <c r="GG367" s="205"/>
      <c r="GH367" s="205"/>
      <c r="GI367" s="205"/>
      <c r="GJ367" s="205"/>
      <c r="GK367" s="205"/>
      <c r="GL367" s="205"/>
      <c r="GM367" s="205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/>
      <c r="AO368"/>
      <c r="AP368"/>
      <c r="AQ368"/>
      <c r="AR368"/>
      <c r="AS368"/>
      <c r="AT368"/>
      <c r="AU368"/>
      <c r="AV368"/>
      <c r="AW368"/>
      <c r="FY368" s="210">
        <v>363</v>
      </c>
      <c r="FZ368" s="205"/>
      <c r="GA368" s="205"/>
      <c r="GB368" s="205"/>
      <c r="GC368" s="205"/>
      <c r="GD368" s="205"/>
      <c r="GE368" s="205"/>
      <c r="GF368" s="205"/>
      <c r="GG368" s="205"/>
      <c r="GH368" s="205"/>
      <c r="GI368" s="205"/>
      <c r="GJ368" s="205"/>
      <c r="GK368" s="205"/>
      <c r="GL368" s="205"/>
      <c r="GM368" s="205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/>
      <c r="AO369"/>
      <c r="AP369"/>
      <c r="AQ369"/>
      <c r="AR369"/>
      <c r="AS369"/>
      <c r="AT369"/>
      <c r="AU369"/>
      <c r="AV369"/>
      <c r="AW369"/>
      <c r="FY369" s="210">
        <v>364</v>
      </c>
      <c r="FZ369" s="205"/>
      <c r="GA369" s="205"/>
      <c r="GB369" s="205"/>
      <c r="GC369" s="205"/>
      <c r="GD369" s="205"/>
      <c r="GE369" s="205"/>
      <c r="GF369" s="205"/>
      <c r="GG369" s="205"/>
      <c r="GH369" s="205"/>
      <c r="GI369" s="205"/>
      <c r="GJ369" s="205"/>
      <c r="GK369" s="205"/>
      <c r="GL369" s="205"/>
      <c r="GM369" s="205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/>
      <c r="AO370"/>
      <c r="AP370"/>
      <c r="AQ370"/>
      <c r="AR370"/>
      <c r="AS370"/>
      <c r="AT370"/>
      <c r="AU370"/>
      <c r="AV370"/>
      <c r="AW370"/>
      <c r="FY370" s="210">
        <v>365</v>
      </c>
      <c r="FZ370" s="205"/>
      <c r="GA370" s="205"/>
      <c r="GB370" s="205"/>
      <c r="GC370" s="205"/>
      <c r="GD370" s="205"/>
      <c r="GE370" s="205"/>
      <c r="GF370" s="205"/>
      <c r="GG370" s="205"/>
      <c r="GH370" s="205"/>
      <c r="GI370" s="205"/>
      <c r="GJ370" s="205"/>
      <c r="GK370" s="205"/>
      <c r="GL370" s="205"/>
      <c r="GM370" s="205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/>
      <c r="AO371"/>
      <c r="AP371"/>
      <c r="AQ371"/>
      <c r="AR371"/>
      <c r="AS371"/>
      <c r="AT371"/>
      <c r="AU371"/>
      <c r="AV371"/>
      <c r="AW371"/>
      <c r="FY371" s="210">
        <v>366</v>
      </c>
      <c r="FZ371" s="205"/>
      <c r="GA371" s="205"/>
      <c r="GB371" s="205"/>
      <c r="GC371" s="205"/>
      <c r="GD371" s="205"/>
      <c r="GE371" s="205"/>
      <c r="GF371" s="205"/>
      <c r="GG371" s="205"/>
      <c r="GH371" s="205"/>
      <c r="GI371" s="205"/>
      <c r="GJ371" s="205"/>
      <c r="GK371" s="205"/>
      <c r="GL371" s="205"/>
      <c r="GM371" s="205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1.1591235947098146E-3</v>
      </c>
      <c r="H372" s="59">
        <f t="shared" ref="H372:AK372" si="353">+H36</f>
        <v>2.3999999999999998E-3</v>
      </c>
      <c r="I372" s="59">
        <f t="shared" si="353"/>
        <v>4.9692716344386118E-3</v>
      </c>
      <c r="J372" s="59">
        <f t="shared" si="353"/>
        <v>7.6065646215566739E-3</v>
      </c>
      <c r="K372" s="59">
        <f t="shared" si="353"/>
        <v>1.0289025240348413E-2</v>
      </c>
      <c r="L372" s="59">
        <f t="shared" si="353"/>
        <v>1.3005580640812416E-2</v>
      </c>
      <c r="M372" s="59">
        <f t="shared" si="353"/>
        <v>1.5749619087260771E-2</v>
      </c>
      <c r="N372" s="59">
        <f t="shared" si="353"/>
        <v>1.8516725298755882E-2</v>
      </c>
      <c r="O372" s="59">
        <f t="shared" si="353"/>
        <v>2.1303733863702618E-2</v>
      </c>
      <c r="P372" s="59">
        <f t="shared" si="353"/>
        <v>2.4108260559132344E-2</v>
      </c>
      <c r="Q372" s="59">
        <f t="shared" si="353"/>
        <v>2.6928442903247123E-2</v>
      </c>
      <c r="R372" s="59">
        <f t="shared" si="353"/>
        <v>2.9762784589766802E-2</v>
      </c>
      <c r="S372" s="59">
        <f t="shared" si="353"/>
        <v>3.2610056409807457E-2</v>
      </c>
      <c r="T372" s="59">
        <f t="shared" si="353"/>
        <v>3.5469230093094682E-2</v>
      </c>
      <c r="U372" s="59">
        <f t="shared" si="353"/>
        <v>3.8339432412416441E-2</v>
      </c>
      <c r="V372" s="59">
        <f t="shared" si="353"/>
        <v>4.1219912327169213E-2</v>
      </c>
      <c r="W372" s="59">
        <f t="shared" si="353"/>
        <v>4.4110016831886138E-2</v>
      </c>
      <c r="X372" s="59">
        <f t="shared" si="353"/>
        <v>4.7009172799427408E-2</v>
      </c>
      <c r="Y372" s="59">
        <f t="shared" si="353"/>
        <v>4.9916873063396441E-2</v>
      </c>
      <c r="Z372" s="59">
        <f t="shared" si="353"/>
        <v>5.2832665568041913E-2</v>
      </c>
      <c r="AA372" s="59">
        <f t="shared" si="353"/>
        <v>5.5756144782794018E-2</v>
      </c>
      <c r="AB372" s="59">
        <f t="shared" si="353"/>
        <v>5.8686944818583303E-2</v>
      </c>
      <c r="AC372" s="59">
        <f t="shared" si="353"/>
        <v>6.1624733843264508E-2</v>
      </c>
      <c r="AD372" s="59">
        <f t="shared" si="353"/>
        <v>6.4569209502812724E-2</v>
      </c>
      <c r="AE372" s="59">
        <f t="shared" si="353"/>
        <v>6.7520095131124683E-2</v>
      </c>
      <c r="AF372" s="59">
        <f t="shared" si="353"/>
        <v>7.0477136585281125E-2</v>
      </c>
      <c r="AG372" s="59">
        <f t="shared" si="353"/>
        <v>7.3440099582079935E-2</v>
      </c>
      <c r="AH372" s="59">
        <f t="shared" si="353"/>
        <v>7.6408767440152542E-2</v>
      </c>
      <c r="AI372" s="59">
        <f t="shared" si="353"/>
        <v>7.9382939153123902E-2</v>
      </c>
      <c r="AJ372" s="59">
        <f t="shared" si="353"/>
        <v>8.2362427735154398E-2</v>
      </c>
      <c r="AK372" s="59">
        <f t="shared" si="353"/>
        <v>8.5347058792270183E-2</v>
      </c>
      <c r="AL372" s="78"/>
      <c r="AM372" s="43">
        <v>356</v>
      </c>
      <c r="AN372"/>
      <c r="AO372"/>
      <c r="AP372"/>
      <c r="AQ372"/>
      <c r="AR372"/>
      <c r="AS372"/>
      <c r="AT372"/>
      <c r="AU372"/>
      <c r="AV372"/>
      <c r="AW372"/>
      <c r="FY372" s="210">
        <v>367</v>
      </c>
      <c r="FZ372" s="205"/>
      <c r="GA372" s="205"/>
      <c r="GB372" s="205"/>
      <c r="GC372" s="205"/>
      <c r="GD372" s="205"/>
      <c r="GE372" s="205"/>
      <c r="GF372" s="205"/>
      <c r="GG372" s="205"/>
      <c r="GH372" s="205"/>
      <c r="GI372" s="205"/>
      <c r="GJ372" s="205"/>
      <c r="GK372" s="205"/>
      <c r="GL372" s="205"/>
      <c r="GM372" s="205"/>
    </row>
    <row r="373" spans="1:195" s="7" customFormat="1">
      <c r="A373" s="95"/>
      <c r="B373" s="71">
        <f t="shared" ref="B373:B378" si="354">+C4</f>
        <v>39646</v>
      </c>
      <c r="C373" s="18">
        <f t="shared" ref="C373:C382" si="355">+D70</f>
        <v>82.291666666666657</v>
      </c>
      <c r="D373" s="18">
        <f t="shared" ref="D373:D382" si="356">SUM(G373:AK373)</f>
        <v>0.52852478748049492</v>
      </c>
      <c r="E373" s="19">
        <f t="shared" ref="E373:E382" si="357">IF(C373&lt;1, 0.000001, D373/C373)</f>
        <v>6.4225796959655086E-3</v>
      </c>
      <c r="F373" s="19"/>
      <c r="G373" s="18">
        <f>AVERAGE(E228:E237)*G$372</f>
        <v>0</v>
      </c>
      <c r="H373" s="18">
        <f t="shared" ref="H373:AK373" si="358">AVERAGE(F228:F237)*H$372</f>
        <v>1.4999999999999999E-2</v>
      </c>
      <c r="I373" s="18">
        <f t="shared" si="358"/>
        <v>0.32610845101003388</v>
      </c>
      <c r="J373" s="18">
        <f t="shared" si="358"/>
        <v>0</v>
      </c>
      <c r="K373" s="18">
        <f t="shared" si="358"/>
        <v>0</v>
      </c>
      <c r="L373" s="18">
        <f t="shared" si="358"/>
        <v>4.0642439502538798E-2</v>
      </c>
      <c r="M373" s="18">
        <f t="shared" si="358"/>
        <v>3.2811706431793271E-2</v>
      </c>
      <c r="N373" s="18">
        <f t="shared" si="358"/>
        <v>3.8576511039074751E-2</v>
      </c>
      <c r="O373" s="18">
        <f t="shared" si="358"/>
        <v>4.4382778882713782E-2</v>
      </c>
      <c r="P373" s="18">
        <f t="shared" si="358"/>
        <v>0</v>
      </c>
      <c r="Q373" s="18">
        <f t="shared" si="358"/>
        <v>0</v>
      </c>
      <c r="R373" s="18">
        <f t="shared" si="358"/>
        <v>3.1002900614340415E-2</v>
      </c>
      <c r="S373" s="18">
        <f t="shared" si="358"/>
        <v>0</v>
      </c>
      <c r="T373" s="18">
        <f t="shared" si="358"/>
        <v>0</v>
      </c>
      <c r="U373" s="18">
        <f t="shared" si="358"/>
        <v>0</v>
      </c>
      <c r="V373" s="18">
        <f t="shared" si="358"/>
        <v>0</v>
      </c>
      <c r="W373" s="18">
        <f t="shared" si="358"/>
        <v>0</v>
      </c>
      <c r="X373" s="18">
        <f t="shared" si="358"/>
        <v>0</v>
      </c>
      <c r="Y373" s="18">
        <f t="shared" si="358"/>
        <v>0</v>
      </c>
      <c r="Z373" s="18">
        <f t="shared" si="358"/>
        <v>0</v>
      </c>
      <c r="AA373" s="18">
        <f t="shared" si="358"/>
        <v>0</v>
      </c>
      <c r="AB373" s="18">
        <f t="shared" si="358"/>
        <v>0</v>
      </c>
      <c r="AC373" s="18">
        <f t="shared" si="358"/>
        <v>0</v>
      </c>
      <c r="AD373" s="18">
        <f t="shared" si="358"/>
        <v>0</v>
      </c>
      <c r="AE373" s="18">
        <f t="shared" si="358"/>
        <v>0</v>
      </c>
      <c r="AF373" s="18">
        <f t="shared" si="358"/>
        <v>0</v>
      </c>
      <c r="AG373" s="18">
        <f t="shared" si="358"/>
        <v>0</v>
      </c>
      <c r="AH373" s="18">
        <f t="shared" si="358"/>
        <v>0</v>
      </c>
      <c r="AI373" s="18">
        <f t="shared" si="358"/>
        <v>0</v>
      </c>
      <c r="AJ373" s="18">
        <f t="shared" si="358"/>
        <v>0</v>
      </c>
      <c r="AK373" s="18">
        <f t="shared" si="358"/>
        <v>0</v>
      </c>
      <c r="AL373" s="78"/>
      <c r="AM373" s="43">
        <v>357</v>
      </c>
      <c r="AN373"/>
      <c r="AO373"/>
      <c r="AP373"/>
      <c r="AQ373"/>
      <c r="AR373"/>
      <c r="AS373"/>
      <c r="AT373"/>
      <c r="AU373"/>
      <c r="AV373"/>
      <c r="AW373"/>
      <c r="FY373" s="210">
        <v>368</v>
      </c>
      <c r="FZ373" s="205"/>
      <c r="GA373" s="205"/>
      <c r="GB373" s="205"/>
      <c r="GC373" s="205"/>
      <c r="GD373" s="205"/>
      <c r="GE373" s="205"/>
      <c r="GF373" s="205"/>
      <c r="GG373" s="205"/>
      <c r="GH373" s="205"/>
      <c r="GI373" s="205"/>
      <c r="GJ373" s="205"/>
      <c r="GK373" s="205"/>
      <c r="GL373" s="205"/>
      <c r="GM373" s="205"/>
    </row>
    <row r="374" spans="1:195" s="7" customFormat="1">
      <c r="A374" s="95"/>
      <c r="B374" s="71">
        <f t="shared" si="354"/>
        <v>39673</v>
      </c>
      <c r="C374" s="18">
        <f t="shared" si="355"/>
        <v>77.982026143790847</v>
      </c>
      <c r="D374" s="18">
        <f t="shared" si="356"/>
        <v>0.56385773849112319</v>
      </c>
      <c r="E374" s="19">
        <f t="shared" si="357"/>
        <v>7.2306115444016215E-3</v>
      </c>
      <c r="F374" s="19">
        <f>IF(F388&lt;0,0,F388)</f>
        <v>4.389028077294378E-3</v>
      </c>
      <c r="G374" s="18">
        <f>AVERAGE(E238:E247)*G$372</f>
        <v>0</v>
      </c>
      <c r="H374" s="18">
        <f t="shared" ref="H374:AK374" si="359">AVERAGE(F238:F247)*H$372</f>
        <v>0</v>
      </c>
      <c r="I374" s="18">
        <f t="shared" si="359"/>
        <v>0.21222930938748236</v>
      </c>
      <c r="J374" s="18">
        <f t="shared" si="359"/>
        <v>0.22869409973307647</v>
      </c>
      <c r="K374" s="18">
        <f t="shared" si="359"/>
        <v>1.0717734625362929E-2</v>
      </c>
      <c r="L374" s="18">
        <f t="shared" si="359"/>
        <v>0</v>
      </c>
      <c r="M374" s="18">
        <f t="shared" si="359"/>
        <v>0</v>
      </c>
      <c r="N374" s="18">
        <f t="shared" si="359"/>
        <v>0</v>
      </c>
      <c r="O374" s="18">
        <f t="shared" si="359"/>
        <v>0</v>
      </c>
      <c r="P374" s="18">
        <f t="shared" si="359"/>
        <v>2.5112771415762854E-2</v>
      </c>
      <c r="Q374" s="18">
        <f t="shared" si="359"/>
        <v>5.6100922715098166E-2</v>
      </c>
      <c r="R374" s="18">
        <f t="shared" si="359"/>
        <v>3.1002900614340415E-2</v>
      </c>
      <c r="S374" s="18">
        <f t="shared" si="359"/>
        <v>0</v>
      </c>
      <c r="T374" s="18">
        <f t="shared" si="359"/>
        <v>0</v>
      </c>
      <c r="U374" s="18">
        <f t="shared" si="359"/>
        <v>0</v>
      </c>
      <c r="V374" s="18">
        <f t="shared" si="359"/>
        <v>0</v>
      </c>
      <c r="W374" s="18">
        <f t="shared" si="359"/>
        <v>0</v>
      </c>
      <c r="X374" s="18">
        <f t="shared" si="359"/>
        <v>0</v>
      </c>
      <c r="Y374" s="18">
        <f t="shared" si="359"/>
        <v>0</v>
      </c>
      <c r="Z374" s="18">
        <f t="shared" si="359"/>
        <v>0</v>
      </c>
      <c r="AA374" s="18">
        <f t="shared" si="359"/>
        <v>0</v>
      </c>
      <c r="AB374" s="18">
        <f t="shared" si="359"/>
        <v>0</v>
      </c>
      <c r="AC374" s="18">
        <f t="shared" si="359"/>
        <v>0</v>
      </c>
      <c r="AD374" s="18">
        <f t="shared" si="359"/>
        <v>0</v>
      </c>
      <c r="AE374" s="18">
        <f t="shared" si="359"/>
        <v>0</v>
      </c>
      <c r="AF374" s="18">
        <f t="shared" si="359"/>
        <v>0</v>
      </c>
      <c r="AG374" s="18">
        <f t="shared" si="359"/>
        <v>0</v>
      </c>
      <c r="AH374" s="18">
        <f t="shared" si="359"/>
        <v>0</v>
      </c>
      <c r="AI374" s="18">
        <f t="shared" si="359"/>
        <v>0</v>
      </c>
      <c r="AJ374" s="18">
        <f t="shared" si="359"/>
        <v>0</v>
      </c>
      <c r="AK374" s="18">
        <f t="shared" si="359"/>
        <v>0</v>
      </c>
      <c r="AL374" s="78"/>
      <c r="AM374" s="43">
        <v>358</v>
      </c>
      <c r="AN374"/>
      <c r="AO374"/>
      <c r="AP374"/>
      <c r="AQ374"/>
      <c r="AR374"/>
      <c r="AS374"/>
      <c r="AT374"/>
      <c r="AU374"/>
      <c r="AV374"/>
      <c r="AW374"/>
      <c r="FY374" s="210">
        <v>369</v>
      </c>
      <c r="FZ374" s="205"/>
      <c r="GA374" s="205"/>
      <c r="GB374" s="205"/>
      <c r="GC374" s="205"/>
      <c r="GD374" s="205"/>
      <c r="GE374" s="205"/>
      <c r="GF374" s="205"/>
      <c r="GG374" s="205"/>
      <c r="GH374" s="205"/>
      <c r="GI374" s="205"/>
      <c r="GJ374" s="205"/>
      <c r="GK374" s="205"/>
      <c r="GL374" s="205"/>
      <c r="GM374" s="205"/>
    </row>
    <row r="375" spans="1:195" s="7" customFormat="1">
      <c r="A375" s="95"/>
      <c r="B375" s="71">
        <f t="shared" si="354"/>
        <v>39714</v>
      </c>
      <c r="C375" s="18">
        <f t="shared" si="355"/>
        <v>127.08333333333334</v>
      </c>
      <c r="D375" s="18">
        <f t="shared" si="356"/>
        <v>1.2238787915473368</v>
      </c>
      <c r="E375" s="19">
        <f t="shared" si="357"/>
        <v>9.6305216384052726E-3</v>
      </c>
      <c r="F375" s="19">
        <f>IF(F389&lt;0,0,F389)</f>
        <v>6.9905798907355715E-3</v>
      </c>
      <c r="G375" s="18">
        <f>AVERAGE(E248:E257)*G$372</f>
        <v>0</v>
      </c>
      <c r="H375" s="18">
        <f t="shared" ref="H375:AK375" si="360">AVERAGE(F248:F257)*H$372</f>
        <v>0</v>
      </c>
      <c r="I375" s="18">
        <f t="shared" si="360"/>
        <v>0</v>
      </c>
      <c r="J375" s="18">
        <f t="shared" si="360"/>
        <v>0.26939916368013223</v>
      </c>
      <c r="K375" s="18">
        <f t="shared" si="360"/>
        <v>0.90028970853048618</v>
      </c>
      <c r="L375" s="18">
        <f t="shared" si="360"/>
        <v>5.4189919336718392E-2</v>
      </c>
      <c r="M375" s="18">
        <f t="shared" si="360"/>
        <v>0</v>
      </c>
      <c r="N375" s="18">
        <f t="shared" si="360"/>
        <v>0</v>
      </c>
      <c r="O375" s="18">
        <f t="shared" si="360"/>
        <v>0</v>
      </c>
      <c r="P375" s="18">
        <f t="shared" si="360"/>
        <v>0</v>
      </c>
      <c r="Q375" s="18">
        <f t="shared" si="360"/>
        <v>0</v>
      </c>
      <c r="R375" s="18">
        <f t="shared" si="360"/>
        <v>0</v>
      </c>
      <c r="S375" s="18">
        <f t="shared" si="360"/>
        <v>0</v>
      </c>
      <c r="T375" s="18">
        <f t="shared" si="360"/>
        <v>0</v>
      </c>
      <c r="U375" s="18">
        <f t="shared" si="360"/>
        <v>0</v>
      </c>
      <c r="V375" s="18">
        <f t="shared" si="360"/>
        <v>0</v>
      </c>
      <c r="W375" s="18">
        <f t="shared" si="360"/>
        <v>0</v>
      </c>
      <c r="X375" s="18">
        <f t="shared" si="360"/>
        <v>0</v>
      </c>
      <c r="Y375" s="18">
        <f t="shared" si="360"/>
        <v>0</v>
      </c>
      <c r="Z375" s="18">
        <f t="shared" si="360"/>
        <v>0</v>
      </c>
      <c r="AA375" s="18">
        <f t="shared" si="360"/>
        <v>0</v>
      </c>
      <c r="AB375" s="18">
        <f t="shared" si="360"/>
        <v>0</v>
      </c>
      <c r="AC375" s="18">
        <f t="shared" si="360"/>
        <v>0</v>
      </c>
      <c r="AD375" s="18">
        <f t="shared" si="360"/>
        <v>0</v>
      </c>
      <c r="AE375" s="18">
        <f t="shared" si="360"/>
        <v>0</v>
      </c>
      <c r="AF375" s="18">
        <f t="shared" si="360"/>
        <v>0</v>
      </c>
      <c r="AG375" s="18">
        <f t="shared" si="360"/>
        <v>0</v>
      </c>
      <c r="AH375" s="18">
        <f t="shared" si="360"/>
        <v>0</v>
      </c>
      <c r="AI375" s="18">
        <f t="shared" si="360"/>
        <v>0</v>
      </c>
      <c r="AJ375" s="18">
        <f t="shared" si="360"/>
        <v>0</v>
      </c>
      <c r="AK375" s="18">
        <f t="shared" si="360"/>
        <v>0</v>
      </c>
      <c r="AL375" s="78"/>
      <c r="AM375" s="43">
        <v>359</v>
      </c>
      <c r="AN375"/>
      <c r="AO375"/>
      <c r="AP375"/>
      <c r="AQ375"/>
      <c r="AR375"/>
      <c r="AS375"/>
      <c r="AT375"/>
      <c r="AU375"/>
      <c r="AV375"/>
      <c r="AW375"/>
      <c r="FY375" s="210">
        <v>370</v>
      </c>
      <c r="FZ375" s="205"/>
      <c r="GA375" s="205"/>
      <c r="GB375" s="205"/>
      <c r="GC375" s="205"/>
      <c r="GD375" s="205"/>
      <c r="GE375" s="205"/>
      <c r="GF375" s="205"/>
      <c r="GG375" s="205"/>
      <c r="GH375" s="205"/>
      <c r="GI375" s="205"/>
      <c r="GJ375" s="205"/>
      <c r="GK375" s="205"/>
      <c r="GL375" s="205"/>
      <c r="GM375" s="205"/>
    </row>
    <row r="376" spans="1:195" s="7" customFormat="1">
      <c r="A376" s="95"/>
      <c r="B376" s="71">
        <f t="shared" si="354"/>
        <v>39747</v>
      </c>
      <c r="C376" s="18">
        <f t="shared" si="355"/>
        <v>79.489607614607607</v>
      </c>
      <c r="D376" s="18">
        <f t="shared" si="356"/>
        <v>0.89090584179585042</v>
      </c>
      <c r="E376" s="19">
        <f t="shared" si="357"/>
        <v>1.120782789764496E-2</v>
      </c>
      <c r="F376" s="19">
        <f>IF(F390&lt;0,0,F390)</f>
        <v>4.5962139758029107E-3</v>
      </c>
      <c r="G376" s="18">
        <f>AVERAGE(E258:E267)*G$372</f>
        <v>0</v>
      </c>
      <c r="H376" s="18">
        <f t="shared" ref="H376:AK376" si="361">AVERAGE(F258:F267)*H$372</f>
        <v>1.6826923076923076E-2</v>
      </c>
      <c r="I376" s="18">
        <f t="shared" si="361"/>
        <v>3.4840646475430975E-2</v>
      </c>
      <c r="J376" s="18">
        <f t="shared" si="361"/>
        <v>0.13205841356869225</v>
      </c>
      <c r="K376" s="18">
        <f t="shared" si="361"/>
        <v>5.3588673126814652E-2</v>
      </c>
      <c r="L376" s="18">
        <f t="shared" si="361"/>
        <v>0.20998593742978378</v>
      </c>
      <c r="M376" s="18">
        <f t="shared" si="361"/>
        <v>0.2945596372854169</v>
      </c>
      <c r="N376" s="18">
        <f t="shared" si="361"/>
        <v>0.14904561083278881</v>
      </c>
      <c r="O376" s="18">
        <f t="shared" si="361"/>
        <v>0</v>
      </c>
      <c r="P376" s="18">
        <f t="shared" si="361"/>
        <v>0</v>
      </c>
      <c r="Q376" s="18">
        <f t="shared" si="361"/>
        <v>0</v>
      </c>
      <c r="R376" s="18">
        <f t="shared" si="361"/>
        <v>0</v>
      </c>
      <c r="S376" s="18">
        <f t="shared" si="361"/>
        <v>0</v>
      </c>
      <c r="T376" s="18">
        <f t="shared" si="361"/>
        <v>0</v>
      </c>
      <c r="U376" s="18">
        <f t="shared" si="361"/>
        <v>0</v>
      </c>
      <c r="V376" s="18">
        <f t="shared" si="361"/>
        <v>0</v>
      </c>
      <c r="W376" s="18">
        <f t="shared" si="361"/>
        <v>0</v>
      </c>
      <c r="X376" s="18">
        <f t="shared" si="361"/>
        <v>0</v>
      </c>
      <c r="Y376" s="18">
        <f t="shared" si="361"/>
        <v>0</v>
      </c>
      <c r="Z376" s="18">
        <f t="shared" si="361"/>
        <v>0</v>
      </c>
      <c r="AA376" s="18">
        <f t="shared" si="361"/>
        <v>0</v>
      </c>
      <c r="AB376" s="18">
        <f t="shared" si="361"/>
        <v>0</v>
      </c>
      <c r="AC376" s="18">
        <f t="shared" si="361"/>
        <v>0</v>
      </c>
      <c r="AD376" s="18">
        <f t="shared" si="361"/>
        <v>0</v>
      </c>
      <c r="AE376" s="18">
        <f t="shared" si="361"/>
        <v>0</v>
      </c>
      <c r="AF376" s="18">
        <f t="shared" si="361"/>
        <v>0</v>
      </c>
      <c r="AG376" s="18">
        <f t="shared" si="361"/>
        <v>0</v>
      </c>
      <c r="AH376" s="18">
        <f t="shared" si="361"/>
        <v>0</v>
      </c>
      <c r="AI376" s="18">
        <f t="shared" si="361"/>
        <v>0</v>
      </c>
      <c r="AJ376" s="18">
        <f t="shared" si="361"/>
        <v>0</v>
      </c>
      <c r="AK376" s="18">
        <f t="shared" si="361"/>
        <v>0</v>
      </c>
      <c r="AL376" s="78"/>
      <c r="AM376" s="43">
        <v>360</v>
      </c>
      <c r="AN376"/>
      <c r="AO376"/>
      <c r="AP376"/>
      <c r="AQ376"/>
      <c r="AR376"/>
      <c r="AS376"/>
      <c r="AT376"/>
      <c r="AU376"/>
      <c r="AV376"/>
      <c r="AW376"/>
      <c r="FY376" s="210">
        <v>371</v>
      </c>
      <c r="FZ376" s="205"/>
      <c r="GA376" s="205"/>
      <c r="GB376" s="205"/>
      <c r="GC376" s="205"/>
      <c r="GD376" s="205"/>
      <c r="GE376" s="205"/>
      <c r="GF376" s="205"/>
      <c r="GG376" s="205"/>
      <c r="GH376" s="205"/>
      <c r="GI376" s="205"/>
      <c r="GJ376" s="205"/>
      <c r="GK376" s="205"/>
      <c r="GL376" s="205"/>
      <c r="GM376" s="205"/>
    </row>
    <row r="377" spans="1:195" s="7" customFormat="1">
      <c r="A377" s="95"/>
      <c r="B377" s="71">
        <f t="shared" si="354"/>
        <v>39775</v>
      </c>
      <c r="C377" s="18">
        <f t="shared" si="355"/>
        <v>96.437937062937053</v>
      </c>
      <c r="D377" s="18">
        <f t="shared" si="356"/>
        <v>1.2696156871447726</v>
      </c>
      <c r="E377" s="19">
        <f t="shared" si="357"/>
        <v>1.31651062415012E-2</v>
      </c>
      <c r="F377" s="19">
        <f>IF(F391&lt;0,0,F391)</f>
        <v>5.7484789038860932E-3</v>
      </c>
      <c r="G377" s="18">
        <f>AVERAGE(E268:E277)*G$372</f>
        <v>0</v>
      </c>
      <c r="H377" s="18">
        <f t="shared" ref="H377:AK377" si="362">AVERAGE(F268:F277)*H$372</f>
        <v>0</v>
      </c>
      <c r="I377" s="18">
        <f t="shared" si="362"/>
        <v>1.0352649238413773E-2</v>
      </c>
      <c r="J377" s="18">
        <f t="shared" si="362"/>
        <v>0</v>
      </c>
      <c r="K377" s="18">
        <f t="shared" si="362"/>
        <v>0.2591743100315036</v>
      </c>
      <c r="L377" s="18">
        <f t="shared" si="362"/>
        <v>0.46020378467016149</v>
      </c>
      <c r="M377" s="18">
        <f t="shared" si="362"/>
        <v>0.48728060996959183</v>
      </c>
      <c r="N377" s="18">
        <f t="shared" si="362"/>
        <v>5.2604333235101934E-2</v>
      </c>
      <c r="O377" s="18">
        <f t="shared" si="362"/>
        <v>0</v>
      </c>
      <c r="P377" s="18">
        <f t="shared" si="362"/>
        <v>0</v>
      </c>
      <c r="Q377" s="18">
        <f t="shared" si="362"/>
        <v>0</v>
      </c>
      <c r="R377" s="18">
        <f t="shared" si="362"/>
        <v>0</v>
      </c>
      <c r="S377" s="18">
        <f t="shared" si="362"/>
        <v>0</v>
      </c>
      <c r="T377" s="18">
        <f t="shared" si="362"/>
        <v>0</v>
      </c>
      <c r="U377" s="18">
        <f t="shared" si="362"/>
        <v>0</v>
      </c>
      <c r="V377" s="18">
        <f t="shared" si="362"/>
        <v>0</v>
      </c>
      <c r="W377" s="18">
        <f t="shared" si="362"/>
        <v>0</v>
      </c>
      <c r="X377" s="18">
        <f t="shared" si="362"/>
        <v>0</v>
      </c>
      <c r="Y377" s="18">
        <f t="shared" si="362"/>
        <v>0</v>
      </c>
      <c r="Z377" s="18">
        <f t="shared" si="362"/>
        <v>0</v>
      </c>
      <c r="AA377" s="18">
        <f t="shared" si="362"/>
        <v>0</v>
      </c>
      <c r="AB377" s="18">
        <f t="shared" si="362"/>
        <v>0</v>
      </c>
      <c r="AC377" s="18">
        <f t="shared" si="362"/>
        <v>0</v>
      </c>
      <c r="AD377" s="18">
        <f t="shared" si="362"/>
        <v>0</v>
      </c>
      <c r="AE377" s="18">
        <f t="shared" si="362"/>
        <v>0</v>
      </c>
      <c r="AF377" s="18">
        <f t="shared" si="362"/>
        <v>0</v>
      </c>
      <c r="AG377" s="18">
        <f t="shared" si="362"/>
        <v>0</v>
      </c>
      <c r="AH377" s="18">
        <f t="shared" si="362"/>
        <v>0</v>
      </c>
      <c r="AI377" s="18">
        <f t="shared" si="362"/>
        <v>0</v>
      </c>
      <c r="AJ377" s="18">
        <f t="shared" si="362"/>
        <v>0</v>
      </c>
      <c r="AK377" s="18">
        <f t="shared" si="362"/>
        <v>0</v>
      </c>
      <c r="AL377" s="78"/>
      <c r="AM377" s="43">
        <v>361</v>
      </c>
      <c r="AN377"/>
      <c r="AO377"/>
      <c r="AP377"/>
      <c r="AQ377"/>
      <c r="AR377"/>
      <c r="AS377"/>
      <c r="AT377"/>
      <c r="AU377"/>
      <c r="AV377"/>
      <c r="AW377"/>
      <c r="FY377" s="210">
        <v>372</v>
      </c>
      <c r="FZ377" s="205"/>
      <c r="GA377" s="205"/>
      <c r="GB377" s="205"/>
      <c r="GC377" s="205"/>
      <c r="GD377" s="205"/>
      <c r="GE377" s="205"/>
      <c r="GF377" s="205"/>
      <c r="GG377" s="205"/>
      <c r="GH377" s="205"/>
      <c r="GI377" s="205"/>
      <c r="GJ377" s="205"/>
      <c r="GK377" s="205"/>
      <c r="GL377" s="205"/>
      <c r="GM377" s="205"/>
    </row>
    <row r="378" spans="1:195" s="7" customFormat="1">
      <c r="A378" s="95"/>
      <c r="B378" s="71">
        <f t="shared" si="354"/>
        <v>39799</v>
      </c>
      <c r="C378" s="18">
        <f t="shared" si="355"/>
        <v>64.823717948717942</v>
      </c>
      <c r="D378" s="18">
        <f t="shared" si="356"/>
        <v>0.76719255778190654</v>
      </c>
      <c r="E378" s="19">
        <f t="shared" si="357"/>
        <v>1.1835059482222738E-2</v>
      </c>
      <c r="F378" s="19">
        <f t="shared" ref="F378:F382" si="363">IF(F392&lt;0,0,F392)</f>
        <v>0</v>
      </c>
      <c r="G378" s="18">
        <f>AVERAGE(E278:E287)*G$372</f>
        <v>0</v>
      </c>
      <c r="H378" s="18">
        <f t="shared" ref="H378:AK378" si="364">AVERAGE(F278:F287)*H$372</f>
        <v>0</v>
      </c>
      <c r="I378" s="18">
        <f t="shared" si="364"/>
        <v>0.11109188990451706</v>
      </c>
      <c r="J378" s="18">
        <f t="shared" si="364"/>
        <v>0</v>
      </c>
      <c r="K378" s="18">
        <f t="shared" si="364"/>
        <v>4.9466467501675063E-2</v>
      </c>
      <c r="L378" s="18">
        <f t="shared" si="364"/>
        <v>7.1905854504491717E-2</v>
      </c>
      <c r="M378" s="18">
        <f t="shared" si="364"/>
        <v>0.3975264433082647</v>
      </c>
      <c r="N378" s="18">
        <f t="shared" si="364"/>
        <v>6.3799614410777472E-2</v>
      </c>
      <c r="O378" s="18">
        <f t="shared" si="364"/>
        <v>7.3402288152180487E-2</v>
      </c>
      <c r="P378" s="18">
        <f t="shared" si="364"/>
        <v>0</v>
      </c>
      <c r="Q378" s="18">
        <f t="shared" si="364"/>
        <v>0</v>
      </c>
      <c r="R378" s="18">
        <f t="shared" si="364"/>
        <v>0</v>
      </c>
      <c r="S378" s="18">
        <f t="shared" si="364"/>
        <v>0</v>
      </c>
      <c r="T378" s="18">
        <f t="shared" si="364"/>
        <v>0</v>
      </c>
      <c r="U378" s="18">
        <f t="shared" si="364"/>
        <v>0</v>
      </c>
      <c r="V378" s="18">
        <f t="shared" si="364"/>
        <v>0</v>
      </c>
      <c r="W378" s="18">
        <f t="shared" si="364"/>
        <v>0</v>
      </c>
      <c r="X378" s="18">
        <f t="shared" si="364"/>
        <v>0</v>
      </c>
      <c r="Y378" s="18">
        <f t="shared" si="364"/>
        <v>0</v>
      </c>
      <c r="Z378" s="18">
        <f t="shared" si="364"/>
        <v>0</v>
      </c>
      <c r="AA378" s="18">
        <f t="shared" si="364"/>
        <v>0</v>
      </c>
      <c r="AB378" s="18">
        <f t="shared" si="364"/>
        <v>0</v>
      </c>
      <c r="AC378" s="18">
        <f t="shared" si="364"/>
        <v>0</v>
      </c>
      <c r="AD378" s="18">
        <f t="shared" si="364"/>
        <v>0</v>
      </c>
      <c r="AE378" s="18">
        <f t="shared" si="364"/>
        <v>0</v>
      </c>
      <c r="AF378" s="18">
        <f t="shared" si="364"/>
        <v>0</v>
      </c>
      <c r="AG378" s="18">
        <f t="shared" si="364"/>
        <v>0</v>
      </c>
      <c r="AH378" s="18">
        <f t="shared" si="364"/>
        <v>0</v>
      </c>
      <c r="AI378" s="18">
        <f t="shared" si="364"/>
        <v>0</v>
      </c>
      <c r="AJ378" s="18">
        <f t="shared" si="364"/>
        <v>0</v>
      </c>
      <c r="AK378" s="18">
        <f t="shared" si="364"/>
        <v>0</v>
      </c>
      <c r="AL378" s="78"/>
      <c r="AM378" s="43">
        <v>362</v>
      </c>
      <c r="AN378"/>
      <c r="AO378"/>
      <c r="AP378"/>
      <c r="AQ378"/>
      <c r="AR378"/>
      <c r="AS378"/>
      <c r="AT378"/>
      <c r="AU378"/>
      <c r="AV378"/>
      <c r="AW378"/>
      <c r="FY378" s="210">
        <v>373</v>
      </c>
      <c r="FZ378" s="205"/>
      <c r="GA378" s="205"/>
      <c r="GB378" s="205"/>
      <c r="GC378" s="205"/>
      <c r="GD378" s="205"/>
      <c r="GE378" s="205"/>
      <c r="GF378" s="205"/>
      <c r="GG378" s="205"/>
      <c r="GH378" s="205"/>
      <c r="GI378" s="205"/>
      <c r="GJ378" s="205"/>
      <c r="GK378" s="205"/>
      <c r="GL378" s="205"/>
      <c r="GM378" s="205"/>
    </row>
    <row r="379" spans="1:195" s="7" customFormat="1">
      <c r="A379" s="77" t="s">
        <v>61</v>
      </c>
      <c r="B379" s="71">
        <f t="shared" ref="B379:B382" si="365">+C10</f>
        <v>39847</v>
      </c>
      <c r="C379" s="18">
        <f t="shared" si="355"/>
        <v>69.791666666666671</v>
      </c>
      <c r="D379" s="18">
        <f t="shared" si="356"/>
        <v>0.87318251892419008</v>
      </c>
      <c r="E379" s="19">
        <f t="shared" si="357"/>
        <v>1.2511271912943617E-2</v>
      </c>
      <c r="F379" s="19">
        <f t="shared" si="363"/>
        <v>1.1575775436789184E-3</v>
      </c>
      <c r="G379" s="18">
        <f>AVERAGE(E288:E297)*G$372</f>
        <v>0</v>
      </c>
      <c r="H379" s="18">
        <f t="shared" ref="H379:AK379" si="366">AVERAGE(F288:F297)*H$372</f>
        <v>0</v>
      </c>
      <c r="I379" s="18">
        <f t="shared" si="366"/>
        <v>5.1763246192068874E-2</v>
      </c>
      <c r="J379" s="18">
        <f t="shared" si="366"/>
        <v>3.1694019256486135E-2</v>
      </c>
      <c r="K379" s="18">
        <f t="shared" si="366"/>
        <v>2.1435469250725859E-2</v>
      </c>
      <c r="L379" s="18">
        <f t="shared" si="366"/>
        <v>0.43351935469374725</v>
      </c>
      <c r="M379" s="18">
        <f t="shared" si="366"/>
        <v>0.18046438537486301</v>
      </c>
      <c r="N379" s="18">
        <f t="shared" si="366"/>
        <v>0.154306044156299</v>
      </c>
      <c r="O379" s="18">
        <f t="shared" si="366"/>
        <v>0</v>
      </c>
      <c r="P379" s="18">
        <f t="shared" si="366"/>
        <v>0</v>
      </c>
      <c r="Q379" s="18">
        <f t="shared" si="366"/>
        <v>0</v>
      </c>
      <c r="R379" s="18">
        <f t="shared" si="366"/>
        <v>0</v>
      </c>
      <c r="S379" s="18">
        <f t="shared" si="366"/>
        <v>0</v>
      </c>
      <c r="T379" s="18">
        <f t="shared" si="366"/>
        <v>0</v>
      </c>
      <c r="U379" s="18">
        <f t="shared" si="366"/>
        <v>0</v>
      </c>
      <c r="V379" s="18">
        <f t="shared" si="366"/>
        <v>0</v>
      </c>
      <c r="W379" s="18">
        <f t="shared" si="366"/>
        <v>0</v>
      </c>
      <c r="X379" s="18">
        <f t="shared" si="366"/>
        <v>0</v>
      </c>
      <c r="Y379" s="18">
        <f t="shared" si="366"/>
        <v>0</v>
      </c>
      <c r="Z379" s="18">
        <f t="shared" si="366"/>
        <v>0</v>
      </c>
      <c r="AA379" s="18">
        <f t="shared" si="366"/>
        <v>0</v>
      </c>
      <c r="AB379" s="18">
        <f t="shared" si="366"/>
        <v>0</v>
      </c>
      <c r="AC379" s="18">
        <f t="shared" si="366"/>
        <v>0</v>
      </c>
      <c r="AD379" s="18">
        <f t="shared" si="366"/>
        <v>0</v>
      </c>
      <c r="AE379" s="18">
        <f t="shared" si="366"/>
        <v>0</v>
      </c>
      <c r="AF379" s="18">
        <f t="shared" si="366"/>
        <v>0</v>
      </c>
      <c r="AG379" s="18">
        <f t="shared" si="366"/>
        <v>0</v>
      </c>
      <c r="AH379" s="18">
        <f t="shared" si="366"/>
        <v>0</v>
      </c>
      <c r="AI379" s="18">
        <f t="shared" si="366"/>
        <v>0</v>
      </c>
      <c r="AJ379" s="18">
        <f t="shared" si="366"/>
        <v>0</v>
      </c>
      <c r="AK379" s="18">
        <f t="shared" si="366"/>
        <v>0</v>
      </c>
      <c r="AL379" s="78"/>
      <c r="AM379" s="43">
        <v>363</v>
      </c>
      <c r="AN379"/>
      <c r="AO379"/>
      <c r="AP379"/>
      <c r="AQ379"/>
      <c r="AR379"/>
      <c r="AS379"/>
      <c r="AT379"/>
      <c r="AU379"/>
      <c r="AV379"/>
      <c r="AW379"/>
      <c r="FY379" s="210">
        <v>374</v>
      </c>
      <c r="FZ379" s="205"/>
      <c r="GA379" s="205"/>
      <c r="GB379" s="205"/>
      <c r="GC379" s="205"/>
      <c r="GD379" s="205"/>
      <c r="GE379" s="205"/>
      <c r="GF379" s="205"/>
      <c r="GG379" s="205"/>
      <c r="GH379" s="205"/>
      <c r="GI379" s="205"/>
      <c r="GJ379" s="205"/>
      <c r="GK379" s="205"/>
      <c r="GL379" s="205"/>
      <c r="GM379" s="205"/>
    </row>
    <row r="380" spans="1:195" s="7" customFormat="1">
      <c r="A380" s="77" t="s">
        <v>62</v>
      </c>
      <c r="B380" s="71">
        <f t="shared" si="365"/>
        <v>39910</v>
      </c>
      <c r="C380" s="18">
        <f t="shared" si="355"/>
        <v>96.117424242424235</v>
      </c>
      <c r="D380" s="18">
        <f t="shared" si="356"/>
        <v>1.6371279616723022</v>
      </c>
      <c r="E380" s="19">
        <f t="shared" si="357"/>
        <v>1.7032582537201489E-2</v>
      </c>
      <c r="F380" s="19">
        <f t="shared" si="363"/>
        <v>4.8967958493739087E-3</v>
      </c>
      <c r="G380" s="18">
        <f>AVERAGE(E298:E307)*G$372</f>
        <v>0</v>
      </c>
      <c r="H380" s="18">
        <f t="shared" ref="H380:AK380" si="367">AVERAGE(F298:F307)*H$372</f>
        <v>0</v>
      </c>
      <c r="I380" s="18">
        <f t="shared" si="367"/>
        <v>0</v>
      </c>
      <c r="J380" s="18">
        <f t="shared" si="367"/>
        <v>0.21393462998128146</v>
      </c>
      <c r="K380" s="18">
        <f t="shared" si="367"/>
        <v>0</v>
      </c>
      <c r="L380" s="18">
        <f t="shared" si="367"/>
        <v>0</v>
      </c>
      <c r="M380" s="18">
        <f t="shared" si="367"/>
        <v>0.18344726777775328</v>
      </c>
      <c r="N380" s="18">
        <f t="shared" si="367"/>
        <v>0.3734907659692237</v>
      </c>
      <c r="O380" s="18">
        <f t="shared" si="367"/>
        <v>4.4382778882713782E-2</v>
      </c>
      <c r="P380" s="18">
        <f t="shared" si="367"/>
        <v>0.82187251906132985</v>
      </c>
      <c r="Q380" s="18">
        <f t="shared" si="367"/>
        <v>0</v>
      </c>
      <c r="R380" s="18">
        <f t="shared" si="367"/>
        <v>0</v>
      </c>
      <c r="S380" s="18">
        <f t="shared" si="367"/>
        <v>0</v>
      </c>
      <c r="T380" s="18">
        <f t="shared" si="367"/>
        <v>0</v>
      </c>
      <c r="U380" s="18">
        <f t="shared" si="367"/>
        <v>0</v>
      </c>
      <c r="V380" s="18">
        <f t="shared" si="367"/>
        <v>0</v>
      </c>
      <c r="W380" s="18">
        <f t="shared" si="367"/>
        <v>0</v>
      </c>
      <c r="X380" s="18">
        <f t="shared" si="367"/>
        <v>0</v>
      </c>
      <c r="Y380" s="18">
        <f t="shared" si="367"/>
        <v>0</v>
      </c>
      <c r="Z380" s="18">
        <f t="shared" si="367"/>
        <v>0</v>
      </c>
      <c r="AA380" s="18">
        <f t="shared" si="367"/>
        <v>0</v>
      </c>
      <c r="AB380" s="18">
        <f t="shared" si="367"/>
        <v>0</v>
      </c>
      <c r="AC380" s="18">
        <f t="shared" si="367"/>
        <v>0</v>
      </c>
      <c r="AD380" s="18">
        <f t="shared" si="367"/>
        <v>0</v>
      </c>
      <c r="AE380" s="18">
        <f t="shared" si="367"/>
        <v>0</v>
      </c>
      <c r="AF380" s="18">
        <f t="shared" si="367"/>
        <v>0</v>
      </c>
      <c r="AG380" s="18">
        <f t="shared" si="367"/>
        <v>0</v>
      </c>
      <c r="AH380" s="18">
        <f t="shared" si="367"/>
        <v>0</v>
      </c>
      <c r="AI380" s="18">
        <f t="shared" si="367"/>
        <v>0</v>
      </c>
      <c r="AJ380" s="18">
        <f t="shared" si="367"/>
        <v>0</v>
      </c>
      <c r="AK380" s="18">
        <f t="shared" si="367"/>
        <v>0</v>
      </c>
      <c r="AL380" s="78"/>
      <c r="AM380" s="43">
        <v>364</v>
      </c>
      <c r="AN380"/>
      <c r="AO380"/>
      <c r="AP380"/>
      <c r="AQ380"/>
      <c r="AR380"/>
      <c r="AS380"/>
      <c r="AT380"/>
      <c r="AU380"/>
      <c r="AV380"/>
      <c r="AW380"/>
      <c r="FY380" s="210">
        <v>375</v>
      </c>
      <c r="FZ380" s="205"/>
      <c r="GA380" s="205"/>
      <c r="GB380" s="205"/>
      <c r="GC380" s="205"/>
      <c r="GD380" s="205"/>
      <c r="GE380" s="205"/>
      <c r="GF380" s="205"/>
      <c r="GG380" s="205"/>
      <c r="GH380" s="205"/>
      <c r="GI380" s="205"/>
      <c r="GJ380" s="205"/>
      <c r="GK380" s="205"/>
      <c r="GL380" s="205"/>
      <c r="GM380" s="205"/>
    </row>
    <row r="381" spans="1:195" s="7" customFormat="1">
      <c r="A381" s="1"/>
      <c r="B381" s="71">
        <f t="shared" si="365"/>
        <v>39949</v>
      </c>
      <c r="C381" s="18">
        <f t="shared" si="355"/>
        <v>15.625</v>
      </c>
      <c r="D381" s="18">
        <f t="shared" si="356"/>
        <v>0.30130244969303532</v>
      </c>
      <c r="E381" s="19">
        <f t="shared" si="357"/>
        <v>1.9283356780354262E-2</v>
      </c>
      <c r="F381" s="19">
        <f t="shared" si="363"/>
        <v>3.1824167018747705E-3</v>
      </c>
      <c r="G381" s="18">
        <f>AVERAGE(E308:E317)*G$372</f>
        <v>0</v>
      </c>
      <c r="H381" s="18">
        <f t="shared" ref="H381:AK381" si="368">AVERAGE(F308:F317)*H$372</f>
        <v>0</v>
      </c>
      <c r="I381" s="18">
        <f t="shared" si="368"/>
        <v>0</v>
      </c>
      <c r="J381" s="18">
        <f t="shared" si="368"/>
        <v>7.9235048141215337E-3</v>
      </c>
      <c r="K381" s="18">
        <f t="shared" si="368"/>
        <v>0</v>
      </c>
      <c r="L381" s="18">
        <f t="shared" si="368"/>
        <v>1.3547479834179598E-2</v>
      </c>
      <c r="M381" s="18">
        <f t="shared" si="368"/>
        <v>0</v>
      </c>
      <c r="N381" s="18">
        <f t="shared" si="368"/>
        <v>9.6441277597686892E-2</v>
      </c>
      <c r="O381" s="18">
        <f t="shared" si="368"/>
        <v>0.15533972608949825</v>
      </c>
      <c r="P381" s="18">
        <f t="shared" si="368"/>
        <v>0</v>
      </c>
      <c r="Q381" s="18">
        <f t="shared" si="368"/>
        <v>2.8050461357549083E-2</v>
      </c>
      <c r="R381" s="18">
        <f t="shared" si="368"/>
        <v>0</v>
      </c>
      <c r="S381" s="18">
        <f t="shared" si="368"/>
        <v>0</v>
      </c>
      <c r="T381" s="18">
        <f t="shared" si="368"/>
        <v>0</v>
      </c>
      <c r="U381" s="18">
        <f t="shared" si="368"/>
        <v>0</v>
      </c>
      <c r="V381" s="18">
        <f t="shared" si="368"/>
        <v>0</v>
      </c>
      <c r="W381" s="18">
        <f t="shared" si="368"/>
        <v>0</v>
      </c>
      <c r="X381" s="18">
        <f t="shared" si="368"/>
        <v>0</v>
      </c>
      <c r="Y381" s="18">
        <f t="shared" si="368"/>
        <v>0</v>
      </c>
      <c r="Z381" s="18">
        <f t="shared" si="368"/>
        <v>0</v>
      </c>
      <c r="AA381" s="18">
        <f t="shared" si="368"/>
        <v>0</v>
      </c>
      <c r="AB381" s="18">
        <f t="shared" si="368"/>
        <v>0</v>
      </c>
      <c r="AC381" s="18">
        <f t="shared" si="368"/>
        <v>0</v>
      </c>
      <c r="AD381" s="18">
        <f t="shared" si="368"/>
        <v>0</v>
      </c>
      <c r="AE381" s="18">
        <f t="shared" si="368"/>
        <v>0</v>
      </c>
      <c r="AF381" s="18">
        <f t="shared" si="368"/>
        <v>0</v>
      </c>
      <c r="AG381" s="18">
        <f t="shared" si="368"/>
        <v>0</v>
      </c>
      <c r="AH381" s="18">
        <f t="shared" si="368"/>
        <v>0</v>
      </c>
      <c r="AI381" s="18">
        <f t="shared" si="368"/>
        <v>0</v>
      </c>
      <c r="AJ381" s="18">
        <f t="shared" si="368"/>
        <v>0</v>
      </c>
      <c r="AK381" s="18">
        <f t="shared" si="368"/>
        <v>0</v>
      </c>
      <c r="AL381" s="78"/>
      <c r="AM381" s="43">
        <v>365</v>
      </c>
      <c r="AN381"/>
      <c r="AO381"/>
      <c r="AP381"/>
      <c r="AQ381"/>
      <c r="AR381"/>
      <c r="AS381"/>
      <c r="AT381"/>
      <c r="AU381"/>
      <c r="AV381"/>
      <c r="AW381"/>
      <c r="FY381" s="210">
        <v>376</v>
      </c>
      <c r="FZ381" s="205"/>
      <c r="GA381" s="205"/>
      <c r="GB381" s="205"/>
      <c r="GC381" s="205"/>
      <c r="GD381" s="205"/>
      <c r="GE381" s="205"/>
      <c r="GF381" s="205"/>
      <c r="GG381" s="205"/>
      <c r="GH381" s="205"/>
      <c r="GI381" s="205"/>
      <c r="GJ381" s="205"/>
      <c r="GK381" s="205"/>
      <c r="GL381" s="205"/>
      <c r="GM381" s="205"/>
    </row>
    <row r="382" spans="1:195" s="7" customFormat="1">
      <c r="A382" s="1"/>
      <c r="B382" s="71">
        <f t="shared" si="365"/>
        <v>39987</v>
      </c>
      <c r="C382" s="18">
        <f t="shared" si="355"/>
        <v>11.458333333333332</v>
      </c>
      <c r="D382" s="18">
        <f t="shared" si="356"/>
        <v>0.35914689773269937</v>
      </c>
      <c r="E382" s="19">
        <f t="shared" si="357"/>
        <v>3.1343729256671948E-2</v>
      </c>
      <c r="F382" s="19">
        <f t="shared" si="363"/>
        <v>1.2783469538644465E-2</v>
      </c>
      <c r="G382" s="18">
        <f>AVERAGE(E318:E327)*G$372</f>
        <v>0</v>
      </c>
      <c r="H382" s="18">
        <f t="shared" ref="H382:AK382" si="369">AVERAGE(F318:F327)*H$372</f>
        <v>0</v>
      </c>
      <c r="I382" s="18">
        <f t="shared" si="369"/>
        <v>0</v>
      </c>
      <c r="J382" s="18">
        <f t="shared" si="369"/>
        <v>0</v>
      </c>
      <c r="K382" s="18">
        <f t="shared" si="369"/>
        <v>0</v>
      </c>
      <c r="L382" s="18">
        <f t="shared" si="369"/>
        <v>0</v>
      </c>
      <c r="M382" s="18">
        <f t="shared" si="369"/>
        <v>0</v>
      </c>
      <c r="N382" s="18">
        <f t="shared" si="369"/>
        <v>0</v>
      </c>
      <c r="O382" s="18">
        <f t="shared" si="369"/>
        <v>4.4382778882713782E-2</v>
      </c>
      <c r="P382" s="18">
        <f t="shared" si="369"/>
        <v>0</v>
      </c>
      <c r="Q382" s="18">
        <f t="shared" si="369"/>
        <v>2.8050461357549083E-2</v>
      </c>
      <c r="R382" s="18">
        <f t="shared" si="369"/>
        <v>9.3008701843021249E-2</v>
      </c>
      <c r="S382" s="18">
        <f t="shared" si="369"/>
        <v>0</v>
      </c>
      <c r="T382" s="18">
        <f t="shared" si="369"/>
        <v>7.3894229360613906E-2</v>
      </c>
      <c r="U382" s="18">
        <f t="shared" si="369"/>
        <v>0.11981072628880138</v>
      </c>
      <c r="V382" s="18">
        <f t="shared" si="369"/>
        <v>0</v>
      </c>
      <c r="W382" s="18">
        <f t="shared" si="369"/>
        <v>0</v>
      </c>
      <c r="X382" s="18">
        <f t="shared" si="369"/>
        <v>0</v>
      </c>
      <c r="Y382" s="18">
        <f t="shared" si="369"/>
        <v>0</v>
      </c>
      <c r="Z382" s="18">
        <f t="shared" si="369"/>
        <v>0</v>
      </c>
      <c r="AA382" s="18">
        <f t="shared" si="369"/>
        <v>0</v>
      </c>
      <c r="AB382" s="18">
        <f t="shared" si="369"/>
        <v>0</v>
      </c>
      <c r="AC382" s="18">
        <f t="shared" si="369"/>
        <v>0</v>
      </c>
      <c r="AD382" s="18">
        <f t="shared" si="369"/>
        <v>0</v>
      </c>
      <c r="AE382" s="18">
        <f t="shared" si="369"/>
        <v>0</v>
      </c>
      <c r="AF382" s="18">
        <f t="shared" si="369"/>
        <v>0</v>
      </c>
      <c r="AG382" s="18">
        <f t="shared" si="369"/>
        <v>0</v>
      </c>
      <c r="AH382" s="18">
        <f t="shared" si="369"/>
        <v>0</v>
      </c>
      <c r="AI382" s="18">
        <f t="shared" si="369"/>
        <v>0</v>
      </c>
      <c r="AJ382" s="18">
        <f t="shared" si="369"/>
        <v>0</v>
      </c>
      <c r="AK382" s="18">
        <f t="shared" si="369"/>
        <v>0</v>
      </c>
      <c r="AL382" s="78"/>
      <c r="AM382" s="43">
        <v>366</v>
      </c>
      <c r="AN382"/>
      <c r="AO382"/>
      <c r="AP382"/>
      <c r="AQ382"/>
      <c r="AR382"/>
      <c r="AS382"/>
      <c r="AT382"/>
      <c r="AU382"/>
      <c r="AV382"/>
      <c r="AW382"/>
      <c r="FY382" s="210">
        <v>377</v>
      </c>
      <c r="FZ382" s="205"/>
      <c r="GA382" s="205"/>
      <c r="GB382" s="205"/>
      <c r="GC382" s="205"/>
      <c r="GD382" s="205"/>
      <c r="GE382" s="205"/>
      <c r="GF382" s="205"/>
      <c r="GG382" s="205"/>
      <c r="GH382" s="205"/>
      <c r="GI382" s="205"/>
      <c r="GJ382" s="205"/>
      <c r="GK382" s="205"/>
      <c r="GL382" s="205"/>
      <c r="GM382" s="205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/>
      <c r="AO383"/>
      <c r="AP383"/>
      <c r="AQ383"/>
      <c r="AR383"/>
      <c r="AS383"/>
      <c r="AT383"/>
      <c r="AU383"/>
      <c r="AV383"/>
      <c r="AW383"/>
      <c r="FY383" s="210">
        <v>378</v>
      </c>
      <c r="FZ383" s="205"/>
      <c r="GA383" s="205"/>
      <c r="GB383" s="205"/>
      <c r="GC383" s="205"/>
      <c r="GD383" s="205"/>
      <c r="GE383" s="205"/>
      <c r="GF383" s="205"/>
      <c r="GG383" s="205"/>
      <c r="GH383" s="205"/>
      <c r="GI383" s="205"/>
      <c r="GJ383" s="205"/>
      <c r="GK383" s="205"/>
      <c r="GL383" s="205"/>
      <c r="GM383" s="205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/>
      <c r="AO384"/>
      <c r="AP384"/>
      <c r="AQ384"/>
      <c r="AR384"/>
      <c r="AS384"/>
      <c r="AT384"/>
      <c r="AU384"/>
      <c r="AV384"/>
      <c r="AW384"/>
      <c r="FY384" s="210">
        <v>379</v>
      </c>
      <c r="FZ384" s="205"/>
      <c r="GA384" s="205"/>
      <c r="GB384" s="205"/>
      <c r="GC384" s="205"/>
      <c r="GD384" s="205"/>
      <c r="GE384" s="205"/>
      <c r="GF384" s="205"/>
      <c r="GG384" s="205"/>
      <c r="GH384" s="205"/>
      <c r="GI384" s="205"/>
      <c r="GJ384" s="205"/>
      <c r="GK384" s="205"/>
      <c r="GL384" s="205"/>
      <c r="GM384" s="205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/>
      <c r="AO385"/>
      <c r="AP385"/>
      <c r="AQ385"/>
      <c r="AR385"/>
      <c r="AS385"/>
      <c r="AT385"/>
      <c r="AU385"/>
      <c r="AV385"/>
      <c r="AW385"/>
      <c r="FY385" s="210">
        <v>380</v>
      </c>
      <c r="FZ385" s="205"/>
      <c r="GA385" s="205"/>
      <c r="GB385" s="205"/>
      <c r="GC385" s="205"/>
      <c r="GD385" s="205"/>
      <c r="GE385" s="205"/>
      <c r="GF385" s="205"/>
      <c r="GG385" s="205"/>
      <c r="GH385" s="205"/>
      <c r="GI385" s="205"/>
      <c r="GJ385" s="205"/>
      <c r="GK385" s="205"/>
      <c r="GL385" s="205"/>
      <c r="GM385" s="20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/>
      <c r="AO386"/>
      <c r="AP386"/>
      <c r="AQ386"/>
      <c r="AR386"/>
      <c r="AS386"/>
      <c r="AT386"/>
      <c r="AU386"/>
      <c r="AV386"/>
      <c r="AW386"/>
      <c r="FY386" s="210">
        <v>381</v>
      </c>
      <c r="FZ386" s="205"/>
      <c r="GA386" s="205"/>
      <c r="GB386" s="205"/>
      <c r="GC386" s="205"/>
      <c r="GD386" s="205"/>
      <c r="GE386" s="205"/>
      <c r="GF386" s="205"/>
      <c r="GG386" s="205"/>
      <c r="GH386" s="205"/>
      <c r="GI386" s="205"/>
      <c r="GJ386" s="205"/>
      <c r="GK386" s="205"/>
      <c r="GL386" s="205"/>
      <c r="GM386" s="205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/>
      <c r="AO387"/>
      <c r="AP387"/>
      <c r="AQ387"/>
      <c r="AR387"/>
      <c r="AS387"/>
      <c r="AT387"/>
      <c r="AU387"/>
      <c r="AV387"/>
      <c r="AW387"/>
      <c r="FY387" s="210">
        <v>382</v>
      </c>
      <c r="FZ387" s="205"/>
      <c r="GA387" s="205"/>
      <c r="GB387" s="205"/>
      <c r="GC387" s="205"/>
      <c r="GD387" s="205"/>
      <c r="GE387" s="205"/>
      <c r="GF387" s="205"/>
      <c r="GG387" s="205"/>
      <c r="GH387" s="205"/>
      <c r="GI387" s="205"/>
      <c r="GJ387" s="205"/>
      <c r="GK387" s="205"/>
      <c r="GL387" s="205"/>
      <c r="GM387" s="205"/>
    </row>
    <row r="388" spans="1:195" s="7" customFormat="1">
      <c r="A388" s="1"/>
      <c r="B388" s="13"/>
      <c r="C388" s="21"/>
      <c r="D388" s="96"/>
      <c r="E388" s="3"/>
      <c r="F388" s="19">
        <f t="shared" ref="F388:F398" si="370">IF(C374&lt;1,0,LN(E374/E373)/E21)</f>
        <v>4.389028077294378E-3</v>
      </c>
      <c r="G388" s="13"/>
      <c r="H388" s="19">
        <f>IF(G406&lt;0,0,G406)</f>
        <v>3.672834862364785E-2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/>
      <c r="AO388"/>
      <c r="AP388"/>
      <c r="AQ388"/>
      <c r="AR388"/>
      <c r="AS388"/>
      <c r="AT388"/>
      <c r="AU388"/>
      <c r="AV388"/>
      <c r="AW388"/>
      <c r="FY388" s="210">
        <v>383</v>
      </c>
      <c r="FZ388" s="205"/>
      <c r="GA388" s="205"/>
      <c r="GB388" s="205"/>
      <c r="GC388" s="205"/>
      <c r="GD388" s="205"/>
      <c r="GE388" s="205"/>
      <c r="GF388" s="205"/>
      <c r="GG388" s="205"/>
      <c r="GH388" s="205"/>
      <c r="GI388" s="205"/>
      <c r="GJ388" s="205"/>
      <c r="GK388" s="205"/>
      <c r="GL388" s="205"/>
      <c r="GM388" s="205"/>
    </row>
    <row r="389" spans="1:195" s="7" customFormat="1">
      <c r="A389" s="1"/>
      <c r="B389" s="13"/>
      <c r="C389" s="21"/>
      <c r="D389" s="96"/>
      <c r="E389" s="3"/>
      <c r="F389" s="19">
        <f t="shared" si="370"/>
        <v>6.9905798907355715E-3</v>
      </c>
      <c r="G389" s="13"/>
      <c r="H389" s="19">
        <f t="shared" ref="H389:H398" si="371">IF(G407&lt;0,0,G407)</f>
        <v>0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/>
      <c r="AO389"/>
      <c r="AP389"/>
      <c r="AQ389"/>
      <c r="AR389"/>
      <c r="AS389"/>
      <c r="AT389"/>
      <c r="AU389"/>
      <c r="AV389"/>
      <c r="AW389"/>
      <c r="FY389" s="210">
        <v>384</v>
      </c>
      <c r="FZ389" s="205"/>
      <c r="GA389" s="205"/>
      <c r="GB389" s="205"/>
      <c r="GC389" s="205"/>
      <c r="GD389" s="205"/>
      <c r="GE389" s="205"/>
      <c r="GF389" s="205"/>
      <c r="GG389" s="205"/>
      <c r="GH389" s="205"/>
      <c r="GI389" s="205"/>
      <c r="GJ389" s="205"/>
      <c r="GK389" s="205"/>
      <c r="GL389" s="205"/>
      <c r="GM389" s="205"/>
    </row>
    <row r="390" spans="1:195" s="7" customFormat="1">
      <c r="A390" s="1"/>
      <c r="B390" s="13"/>
      <c r="C390" s="21"/>
      <c r="D390" s="96"/>
      <c r="E390" s="3"/>
      <c r="F390" s="19">
        <f t="shared" si="370"/>
        <v>4.5962139758029107E-3</v>
      </c>
      <c r="G390" s="13"/>
      <c r="H390" s="19">
        <f t="shared" si="371"/>
        <v>0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/>
      <c r="AO390"/>
      <c r="AP390"/>
      <c r="AQ390"/>
      <c r="AR390"/>
      <c r="AS390"/>
      <c r="AT390"/>
      <c r="AU390"/>
      <c r="AV390"/>
      <c r="AW390"/>
      <c r="FY390" s="210">
        <v>385</v>
      </c>
      <c r="FZ390" s="205"/>
      <c r="GA390" s="205"/>
      <c r="GB390" s="205"/>
      <c r="GC390" s="205"/>
      <c r="GD390" s="205"/>
      <c r="GE390" s="205"/>
      <c r="GF390" s="205"/>
      <c r="GG390" s="205"/>
      <c r="GH390" s="205"/>
      <c r="GI390" s="205"/>
      <c r="GJ390" s="205"/>
      <c r="GK390" s="205"/>
      <c r="GL390" s="205"/>
      <c r="GM390" s="205"/>
    </row>
    <row r="391" spans="1:195" s="7" customFormat="1">
      <c r="A391" s="1"/>
      <c r="B391" s="13"/>
      <c r="C391" s="21"/>
      <c r="D391" s="96"/>
      <c r="E391" s="3"/>
      <c r="F391" s="19">
        <f t="shared" si="370"/>
        <v>5.7484789038860932E-3</v>
      </c>
      <c r="G391" s="13"/>
      <c r="H391" s="19">
        <f t="shared" si="371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/>
      <c r="AO391"/>
      <c r="AP391"/>
      <c r="AQ391"/>
      <c r="AR391"/>
      <c r="AS391"/>
      <c r="AT391"/>
      <c r="AU391"/>
      <c r="AV391"/>
      <c r="AW391"/>
      <c r="FY391" s="210">
        <v>386</v>
      </c>
      <c r="FZ391" s="205"/>
      <c r="GA391" s="205"/>
      <c r="GB391" s="205"/>
      <c r="GC391" s="205"/>
      <c r="GD391" s="205"/>
      <c r="GE391" s="205"/>
      <c r="GF391" s="205"/>
      <c r="GG391" s="205"/>
      <c r="GH391" s="205"/>
      <c r="GI391" s="205"/>
      <c r="GJ391" s="205"/>
      <c r="GK391" s="205"/>
      <c r="GL391" s="205"/>
      <c r="GM391" s="205"/>
    </row>
    <row r="392" spans="1:195" s="7" customFormat="1">
      <c r="A392" s="1"/>
      <c r="B392" s="13"/>
      <c r="C392" s="21"/>
      <c r="D392" s="96"/>
      <c r="E392" s="3"/>
      <c r="F392" s="19">
        <f t="shared" si="370"/>
        <v>-4.4376497499940774E-3</v>
      </c>
      <c r="G392" s="13"/>
      <c r="H392" s="19">
        <f t="shared" si="371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/>
      <c r="AO392"/>
      <c r="AP392"/>
      <c r="AQ392"/>
      <c r="AR392"/>
      <c r="AS392"/>
      <c r="AT392"/>
      <c r="AU392"/>
      <c r="AV392"/>
      <c r="AW392"/>
      <c r="FY392" s="210">
        <v>387</v>
      </c>
      <c r="FZ392" s="205"/>
      <c r="GA392" s="205"/>
      <c r="GB392" s="205"/>
      <c r="GC392" s="205"/>
      <c r="GD392" s="205"/>
      <c r="GE392" s="205"/>
      <c r="GF392" s="205"/>
      <c r="GG392" s="205"/>
      <c r="GH392" s="205"/>
      <c r="GI392" s="205"/>
      <c r="GJ392" s="205"/>
      <c r="GK392" s="205"/>
      <c r="GL392" s="205"/>
      <c r="GM392" s="205"/>
    </row>
    <row r="393" spans="1:195" s="7" customFormat="1">
      <c r="A393" s="1"/>
      <c r="B393" s="13"/>
      <c r="C393" s="21"/>
      <c r="D393" s="96"/>
      <c r="E393" s="3"/>
      <c r="F393" s="19">
        <f t="shared" si="370"/>
        <v>1.1575775436789184E-3</v>
      </c>
      <c r="G393" s="13"/>
      <c r="H393" s="19">
        <f t="shared" si="371"/>
        <v>0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/>
      <c r="AO393"/>
      <c r="AP393"/>
      <c r="AQ393"/>
      <c r="AR393"/>
      <c r="AS393"/>
      <c r="AT393"/>
      <c r="AU393"/>
      <c r="AV393"/>
      <c r="AW393"/>
      <c r="FY393" s="210">
        <v>388</v>
      </c>
      <c r="FZ393" s="205"/>
      <c r="GA393" s="205"/>
      <c r="GB393" s="205"/>
      <c r="GC393" s="205"/>
      <c r="GD393" s="205"/>
      <c r="GE393" s="205"/>
      <c r="GF393" s="205"/>
      <c r="GG393" s="205"/>
      <c r="GH393" s="205"/>
      <c r="GI393" s="205"/>
      <c r="GJ393" s="205"/>
      <c r="GK393" s="205"/>
      <c r="GL393" s="205"/>
      <c r="GM393" s="205"/>
    </row>
    <row r="394" spans="1:195" s="7" customFormat="1">
      <c r="A394" s="1"/>
      <c r="B394" s="13"/>
      <c r="C394" s="21"/>
      <c r="D394" s="96"/>
      <c r="E394" s="3"/>
      <c r="F394" s="19">
        <f t="shared" si="370"/>
        <v>4.8967958493739087E-3</v>
      </c>
      <c r="G394" s="13"/>
      <c r="H394" s="19">
        <f t="shared" si="371"/>
        <v>0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/>
      <c r="AO394"/>
      <c r="AP394"/>
      <c r="AQ394"/>
      <c r="AR394"/>
      <c r="AS394"/>
      <c r="AT394"/>
      <c r="AU394"/>
      <c r="AV394"/>
      <c r="AW394"/>
      <c r="FY394" s="210">
        <v>389</v>
      </c>
      <c r="FZ394" s="205"/>
      <c r="GA394" s="205"/>
      <c r="GB394" s="205"/>
      <c r="GC394" s="205"/>
      <c r="GD394" s="205"/>
      <c r="GE394" s="205"/>
      <c r="GF394" s="205"/>
      <c r="GG394" s="205"/>
      <c r="GH394" s="205"/>
      <c r="GI394" s="205"/>
      <c r="GJ394" s="205"/>
      <c r="GK394" s="205"/>
      <c r="GL394" s="205"/>
      <c r="GM394" s="205"/>
    </row>
    <row r="395" spans="1:195" s="7" customFormat="1">
      <c r="A395" s="1"/>
      <c r="B395" s="13"/>
      <c r="C395" s="21"/>
      <c r="D395" s="96"/>
      <c r="E395" s="3"/>
      <c r="F395" s="19">
        <f t="shared" si="370"/>
        <v>3.1824167018747705E-3</v>
      </c>
      <c r="G395" s="13"/>
      <c r="H395" s="19">
        <f t="shared" si="371"/>
        <v>0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/>
      <c r="AO395"/>
      <c r="AP395"/>
      <c r="AQ395"/>
      <c r="AR395"/>
      <c r="AS395"/>
      <c r="AT395"/>
      <c r="AU395"/>
      <c r="AV395"/>
      <c r="AW395"/>
      <c r="FY395" s="210">
        <v>390</v>
      </c>
      <c r="FZ395" s="205"/>
      <c r="GA395" s="205"/>
      <c r="GB395" s="205"/>
      <c r="GC395" s="205"/>
      <c r="GD395" s="205"/>
      <c r="GE395" s="205"/>
      <c r="GF395" s="205"/>
      <c r="GG395" s="205"/>
      <c r="GH395" s="205"/>
      <c r="GI395" s="205"/>
      <c r="GJ395" s="205"/>
      <c r="GK395" s="205"/>
      <c r="GL395" s="205"/>
      <c r="GM395" s="205"/>
    </row>
    <row r="396" spans="1:195" s="7" customFormat="1">
      <c r="A396" s="1"/>
      <c r="B396" s="13"/>
      <c r="C396" s="21"/>
      <c r="D396" s="96"/>
      <c r="E396" s="3"/>
      <c r="F396" s="19">
        <f t="shared" si="370"/>
        <v>1.2783469538644465E-2</v>
      </c>
      <c r="G396" s="13"/>
      <c r="H396" s="19">
        <f t="shared" si="371"/>
        <v>0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/>
      <c r="AO396"/>
      <c r="AP396"/>
      <c r="AQ396"/>
      <c r="AR396"/>
      <c r="AS396"/>
      <c r="AT396"/>
      <c r="AU396"/>
      <c r="AV396"/>
      <c r="AW396"/>
      <c r="FY396" s="210">
        <v>391</v>
      </c>
      <c r="FZ396" s="205"/>
      <c r="GA396" s="205"/>
      <c r="GB396" s="205"/>
      <c r="GC396" s="205"/>
      <c r="GD396" s="205"/>
      <c r="GE396" s="205"/>
      <c r="GF396" s="205"/>
      <c r="GG396" s="205"/>
      <c r="GH396" s="205"/>
      <c r="GI396" s="205"/>
      <c r="GJ396" s="205"/>
      <c r="GK396" s="205"/>
      <c r="GL396" s="205"/>
      <c r="GM396" s="205"/>
    </row>
    <row r="397" spans="1:195" s="7" customFormat="1">
      <c r="A397" s="1"/>
      <c r="B397" s="13"/>
      <c r="C397" s="21"/>
      <c r="D397" s="96"/>
      <c r="E397" s="3"/>
      <c r="F397" s="19">
        <f t="shared" si="370"/>
        <v>0</v>
      </c>
      <c r="G397" s="13"/>
      <c r="H397" s="19">
        <f t="shared" si="371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/>
      <c r="AO397"/>
      <c r="AP397"/>
      <c r="AQ397"/>
      <c r="AR397"/>
      <c r="AS397"/>
      <c r="AT397"/>
      <c r="AU397"/>
      <c r="AV397"/>
      <c r="AW397"/>
      <c r="FY397" s="210">
        <v>392</v>
      </c>
      <c r="FZ397" s="205"/>
      <c r="GA397" s="205"/>
      <c r="GB397" s="205"/>
      <c r="GC397" s="205"/>
      <c r="GD397" s="205"/>
      <c r="GE397" s="205"/>
      <c r="GF397" s="205"/>
      <c r="GG397" s="205"/>
      <c r="GH397" s="205"/>
      <c r="GI397" s="205"/>
      <c r="GJ397" s="205"/>
      <c r="GK397" s="205"/>
      <c r="GL397" s="205"/>
      <c r="GM397" s="205"/>
    </row>
    <row r="398" spans="1:195" s="7" customFormat="1">
      <c r="A398" s="1"/>
      <c r="B398" s="13"/>
      <c r="C398" s="21"/>
      <c r="D398" s="96"/>
      <c r="E398" s="3"/>
      <c r="F398" s="19">
        <f t="shared" si="370"/>
        <v>0</v>
      </c>
      <c r="G398" s="13"/>
      <c r="H398" s="19">
        <f t="shared" si="371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/>
      <c r="AO398"/>
      <c r="AP398"/>
      <c r="AQ398"/>
      <c r="AR398"/>
      <c r="AS398"/>
      <c r="AT398"/>
      <c r="AU398"/>
      <c r="AV398"/>
      <c r="AW398"/>
      <c r="FY398" s="210">
        <v>393</v>
      </c>
      <c r="FZ398" s="205"/>
      <c r="GA398" s="205"/>
      <c r="GB398" s="205"/>
      <c r="GC398" s="205"/>
      <c r="GD398" s="205"/>
      <c r="GE398" s="205"/>
      <c r="GF398" s="205"/>
      <c r="GG398" s="205"/>
      <c r="GH398" s="205"/>
      <c r="GI398" s="205"/>
      <c r="GJ398" s="205"/>
      <c r="GK398" s="205"/>
      <c r="GL398" s="205"/>
      <c r="GM398" s="205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/>
      <c r="AO399"/>
      <c r="AP399"/>
      <c r="AQ399"/>
      <c r="AR399"/>
      <c r="AS399"/>
      <c r="AT399"/>
      <c r="AU399"/>
      <c r="AV399"/>
      <c r="AW399"/>
      <c r="FY399" s="210">
        <v>394</v>
      </c>
      <c r="FZ399" s="205"/>
      <c r="GA399" s="205"/>
      <c r="GB399" s="205"/>
      <c r="GC399" s="205"/>
      <c r="GD399" s="205"/>
      <c r="GE399" s="205"/>
      <c r="GF399" s="205"/>
      <c r="GG399" s="205"/>
      <c r="GH399" s="205"/>
      <c r="GI399" s="205"/>
      <c r="GJ399" s="205"/>
      <c r="GK399" s="205"/>
      <c r="GL399" s="205"/>
      <c r="GM399" s="205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/>
      <c r="AO400"/>
      <c r="AP400"/>
      <c r="AQ400"/>
      <c r="AR400"/>
      <c r="AS400"/>
      <c r="AT400"/>
      <c r="AU400"/>
      <c r="AV400"/>
      <c r="AW400"/>
      <c r="FY400" s="210">
        <v>395</v>
      </c>
      <c r="FZ400" s="205"/>
      <c r="GA400" s="205"/>
      <c r="GB400" s="205"/>
      <c r="GC400" s="205"/>
      <c r="GD400" s="205"/>
      <c r="GE400" s="205"/>
      <c r="GF400" s="205"/>
      <c r="GG400" s="205"/>
      <c r="GH400" s="205"/>
      <c r="GI400" s="205"/>
      <c r="GJ400" s="205"/>
      <c r="GK400" s="205"/>
      <c r="GL400" s="205"/>
      <c r="GM400" s="205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/>
      <c r="AO401"/>
      <c r="AP401"/>
      <c r="AQ401"/>
      <c r="AR401"/>
      <c r="AS401"/>
      <c r="AT401"/>
      <c r="AU401"/>
      <c r="AV401"/>
      <c r="AW401"/>
      <c r="FY401" s="210">
        <v>396</v>
      </c>
      <c r="FZ401" s="205"/>
      <c r="GA401" s="205"/>
      <c r="GB401" s="205"/>
      <c r="GC401" s="205"/>
      <c r="GD401" s="205"/>
      <c r="GE401" s="205"/>
      <c r="GF401" s="205"/>
      <c r="GG401" s="205"/>
      <c r="GH401" s="205"/>
      <c r="GI401" s="205"/>
      <c r="GJ401" s="205"/>
      <c r="GK401" s="205"/>
      <c r="GL401" s="205"/>
      <c r="GM401" s="205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/>
      <c r="AO402"/>
      <c r="AP402"/>
      <c r="AQ402"/>
      <c r="AR402"/>
      <c r="AS402"/>
      <c r="AT402"/>
      <c r="AU402"/>
      <c r="AV402"/>
      <c r="AW402"/>
      <c r="FY402" s="210">
        <v>397</v>
      </c>
      <c r="FZ402" s="205"/>
      <c r="GA402" s="205"/>
      <c r="GB402" s="205"/>
      <c r="GC402" s="205"/>
      <c r="GD402" s="205"/>
      <c r="GE402" s="205"/>
      <c r="GF402" s="205"/>
      <c r="GG402" s="205"/>
      <c r="GH402" s="205"/>
      <c r="GI402" s="205"/>
      <c r="GJ402" s="205"/>
      <c r="GK402" s="205"/>
      <c r="GL402" s="205"/>
      <c r="GM402" s="205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/>
      <c r="AO403"/>
      <c r="AP403"/>
      <c r="AQ403"/>
      <c r="AR403"/>
      <c r="AS403"/>
      <c r="AT403"/>
      <c r="AU403"/>
      <c r="AV403"/>
      <c r="AW403"/>
      <c r="FY403" s="210">
        <v>398</v>
      </c>
      <c r="FZ403" s="205"/>
      <c r="GA403" s="205"/>
      <c r="GB403" s="205"/>
      <c r="GC403" s="205"/>
      <c r="GD403" s="205"/>
      <c r="GE403" s="205"/>
      <c r="GF403" s="205"/>
      <c r="GG403" s="205"/>
      <c r="GH403" s="205"/>
      <c r="GI403" s="205"/>
      <c r="GJ403" s="205"/>
      <c r="GK403" s="205"/>
      <c r="GL403" s="205"/>
      <c r="GM403" s="205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/>
      <c r="AO404"/>
      <c r="AP404"/>
      <c r="AQ404"/>
      <c r="AR404"/>
      <c r="AS404"/>
      <c r="AT404"/>
      <c r="AU404"/>
      <c r="AV404"/>
      <c r="AW404"/>
      <c r="FY404" s="210">
        <v>399</v>
      </c>
      <c r="FZ404" s="205"/>
      <c r="GA404" s="205"/>
      <c r="GB404" s="205"/>
      <c r="GC404" s="205"/>
      <c r="GD404" s="205"/>
      <c r="GE404" s="205"/>
      <c r="GF404" s="205"/>
      <c r="GG404" s="205"/>
      <c r="GH404" s="205"/>
      <c r="GI404" s="205"/>
      <c r="GJ404" s="205"/>
      <c r="GK404" s="205"/>
      <c r="GL404" s="205"/>
      <c r="GM404" s="205"/>
    </row>
    <row r="405" spans="1:195" s="7" customFormat="1">
      <c r="A405" s="189">
        <v>13.69</v>
      </c>
      <c r="B405" s="71">
        <f t="shared" ref="B405:B414" si="372">+C4</f>
        <v>39646</v>
      </c>
      <c r="C405" s="61">
        <v>0</v>
      </c>
      <c r="D405" s="61">
        <f t="shared" ref="D405:D414" si="373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2.5316455696202538</v>
      </c>
      <c r="E405" s="108">
        <f t="shared" ref="E405:E414" si="374">IF(D405=0,0.00000001,(1-$A$43/100)*($A$39*(D405^($A$41))))</f>
        <v>6.3647931098623671E-3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/>
      <c r="AO405"/>
      <c r="AP405"/>
      <c r="AQ405"/>
      <c r="AR405"/>
      <c r="AS405"/>
      <c r="AT405"/>
      <c r="AU405"/>
      <c r="AV405"/>
      <c r="AW405"/>
      <c r="FY405" s="210">
        <v>400</v>
      </c>
      <c r="FZ405" s="205"/>
      <c r="GA405" s="205"/>
      <c r="GB405" s="205"/>
      <c r="GC405" s="205"/>
      <c r="GD405" s="205"/>
      <c r="GE405" s="205"/>
      <c r="GF405" s="205"/>
      <c r="GG405" s="205"/>
      <c r="GH405" s="205"/>
      <c r="GI405" s="205"/>
      <c r="GJ405" s="205"/>
      <c r="GK405" s="205"/>
      <c r="GL405" s="205"/>
      <c r="GM405" s="205"/>
    </row>
    <row r="406" spans="1:195" s="7" customFormat="1">
      <c r="A406" s="189">
        <v>9.4499999999999993</v>
      </c>
      <c r="B406" s="71">
        <f t="shared" si="372"/>
        <v>39673</v>
      </c>
      <c r="C406" s="61">
        <f>B406-B405</f>
        <v>27</v>
      </c>
      <c r="D406" s="61">
        <f t="shared" si="373"/>
        <v>2.839706652697747</v>
      </c>
      <c r="E406" s="108">
        <f t="shared" si="374"/>
        <v>7.1803959707228424E-3</v>
      </c>
      <c r="F406" s="19">
        <f t="shared" ref="F406:F414" si="375">IF(C374&lt;1,0,LN(E406/E405)/E21)</f>
        <v>4.465659389861246E-3</v>
      </c>
      <c r="G406" s="19">
        <f t="shared" ref="G406:G414" si="376">IF(D406=0, 0, 0.051-(0.068*LN(D406))+(0.006*A406))</f>
        <v>3.672834862364785E-2</v>
      </c>
      <c r="H406" s="19">
        <f t="shared" ref="H406:H414" si="377">+IF((G406&gt;0),G406,0)</f>
        <v>3.672834862364785E-2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/>
      <c r="AO406"/>
      <c r="AP406"/>
      <c r="AQ406"/>
      <c r="AR406"/>
      <c r="AS406"/>
      <c r="AT406"/>
      <c r="AU406"/>
      <c r="AV406"/>
      <c r="AW406"/>
      <c r="FY406" s="210">
        <v>401</v>
      </c>
      <c r="FZ406" s="205"/>
      <c r="GA406" s="205"/>
      <c r="GB406" s="205"/>
      <c r="GC406" s="205"/>
      <c r="GD406" s="205"/>
      <c r="GE406" s="205"/>
      <c r="GF406" s="205"/>
      <c r="GG406" s="205"/>
      <c r="GH406" s="205"/>
      <c r="GI406" s="205"/>
      <c r="GJ406" s="205"/>
      <c r="GK406" s="205"/>
      <c r="GL406" s="205"/>
      <c r="GM406" s="205"/>
    </row>
    <row r="407" spans="1:195" s="7" customFormat="1">
      <c r="A407" s="189">
        <v>4.03</v>
      </c>
      <c r="B407" s="71">
        <f t="shared" si="372"/>
        <v>39714</v>
      </c>
      <c r="C407" s="61">
        <f>B407-$B$405</f>
        <v>68</v>
      </c>
      <c r="D407" s="61">
        <f t="shared" si="373"/>
        <v>3.7540983606557372</v>
      </c>
      <c r="E407" s="108">
        <f t="shared" si="374"/>
        <v>9.6259183027804732E-3</v>
      </c>
      <c r="F407" s="19">
        <f t="shared" si="375"/>
        <v>7.1488964155769479E-3</v>
      </c>
      <c r="G407" s="19">
        <f t="shared" si="376"/>
        <v>-1.4773673477903131E-2</v>
      </c>
      <c r="H407" s="19">
        <f t="shared" si="377"/>
        <v>0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/>
      <c r="AO407"/>
      <c r="AP407"/>
      <c r="AQ407"/>
      <c r="AR407"/>
      <c r="AS407"/>
      <c r="AT407"/>
      <c r="AU407"/>
      <c r="AV407"/>
      <c r="AW407"/>
      <c r="FY407" s="210">
        <v>402</v>
      </c>
      <c r="FZ407" s="205"/>
      <c r="GA407" s="205"/>
      <c r="GB407" s="205"/>
      <c r="GC407" s="205"/>
      <c r="GD407" s="205"/>
      <c r="GE407" s="205"/>
      <c r="GF407" s="205"/>
      <c r="GG407" s="205"/>
      <c r="GH407" s="205"/>
      <c r="GI407" s="205"/>
      <c r="GJ407" s="205"/>
      <c r="GK407" s="205"/>
      <c r="GL407" s="205"/>
      <c r="GM407" s="205"/>
    </row>
    <row r="408" spans="1:195" s="7" customFormat="1">
      <c r="A408" s="189">
        <v>0.78</v>
      </c>
      <c r="B408" s="71">
        <f t="shared" si="372"/>
        <v>39747</v>
      </c>
      <c r="C408" s="61">
        <f t="shared" ref="C408:C414" si="378">B408-$B$405</f>
        <v>101</v>
      </c>
      <c r="D408" s="61">
        <f t="shared" si="373"/>
        <v>4.3180499129425431</v>
      </c>
      <c r="E408" s="108">
        <f t="shared" si="374"/>
        <v>1.1149702581194935E-2</v>
      </c>
      <c r="F408" s="19">
        <f t="shared" si="375"/>
        <v>4.453137561036183E-3</v>
      </c>
      <c r="G408" s="19">
        <f t="shared" si="376"/>
        <v>-4.3790664608346158E-2</v>
      </c>
      <c r="H408" s="19">
        <f t="shared" si="377"/>
        <v>0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/>
      <c r="AO408"/>
      <c r="AP408"/>
      <c r="AQ408"/>
      <c r="AR408"/>
      <c r="AS408"/>
      <c r="AT408"/>
      <c r="AU408"/>
      <c r="AV408"/>
      <c r="AW408"/>
      <c r="FY408" s="210">
        <v>403</v>
      </c>
      <c r="FZ408" s="205"/>
      <c r="GA408" s="205"/>
      <c r="GB408" s="205"/>
      <c r="GC408" s="205"/>
      <c r="GD408" s="205"/>
      <c r="GE408" s="205"/>
      <c r="GF408" s="205"/>
      <c r="GG408" s="205"/>
      <c r="GH408" s="205"/>
      <c r="GI408" s="205"/>
      <c r="GJ408" s="205"/>
      <c r="GK408" s="205"/>
      <c r="GL408" s="205"/>
      <c r="GM408" s="205"/>
    </row>
    <row r="409" spans="1:195" s="7" customFormat="1">
      <c r="A409" s="189">
        <v>0.14000000000000001</v>
      </c>
      <c r="B409" s="71">
        <f t="shared" si="372"/>
        <v>39775</v>
      </c>
      <c r="C409" s="61">
        <f t="shared" si="378"/>
        <v>129</v>
      </c>
      <c r="D409" s="61">
        <f t="shared" si="373"/>
        <v>5.0537301407457766</v>
      </c>
      <c r="E409" s="108">
        <f t="shared" si="374"/>
        <v>1.3152366183285646E-2</v>
      </c>
      <c r="F409" s="19">
        <f t="shared" si="375"/>
        <v>5.8996020396881645E-3</v>
      </c>
      <c r="G409" s="19">
        <f t="shared" si="376"/>
        <v>-5.8328609640314041E-2</v>
      </c>
      <c r="H409" s="19">
        <f t="shared" si="377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/>
      <c r="AO409"/>
      <c r="AP409"/>
      <c r="AQ409"/>
      <c r="AR409"/>
      <c r="AS409"/>
      <c r="AT409"/>
      <c r="AU409"/>
      <c r="AV409"/>
      <c r="AW409"/>
      <c r="FY409" s="210">
        <v>404</v>
      </c>
      <c r="FZ409" s="205"/>
      <c r="GA409" s="205"/>
      <c r="GB409" s="205"/>
      <c r="GC409" s="205"/>
      <c r="GD409" s="205"/>
      <c r="GE409" s="205"/>
      <c r="GF409" s="205"/>
      <c r="GG409" s="205"/>
      <c r="GH409" s="205"/>
      <c r="GI409" s="205"/>
      <c r="GJ409" s="205"/>
      <c r="GK409" s="205"/>
      <c r="GL409" s="205"/>
      <c r="GM409" s="205"/>
    </row>
    <row r="410" spans="1:195" s="7" customFormat="1">
      <c r="A410" s="189">
        <v>0.21</v>
      </c>
      <c r="B410" s="71">
        <f t="shared" si="372"/>
        <v>39799</v>
      </c>
      <c r="C410" s="61">
        <f t="shared" si="378"/>
        <v>153</v>
      </c>
      <c r="D410" s="61">
        <f t="shared" si="373"/>
        <v>4.5463535228677383</v>
      </c>
      <c r="E410" s="108">
        <f t="shared" si="374"/>
        <v>1.1769488941132526E-2</v>
      </c>
      <c r="F410" s="19">
        <f t="shared" si="375"/>
        <v>-4.6287991860155748E-3</v>
      </c>
      <c r="G410" s="19">
        <f t="shared" si="376"/>
        <v>-5.0714133191192702E-2</v>
      </c>
      <c r="H410" s="19">
        <f t="shared" si="377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/>
      <c r="AO410"/>
      <c r="AP410"/>
      <c r="AQ410"/>
      <c r="AR410"/>
      <c r="AS410"/>
      <c r="AT410"/>
      <c r="AU410"/>
      <c r="AV410"/>
      <c r="AW410"/>
      <c r="FY410" s="210">
        <v>405</v>
      </c>
      <c r="FZ410" s="205"/>
      <c r="GA410" s="205"/>
      <c r="GB410" s="205"/>
      <c r="GC410" s="205"/>
      <c r="GD410" s="205"/>
      <c r="GE410" s="205"/>
      <c r="GF410" s="205"/>
      <c r="GG410" s="205"/>
      <c r="GH410" s="205"/>
      <c r="GI410" s="205"/>
      <c r="GJ410" s="205"/>
      <c r="GK410" s="205"/>
      <c r="GL410" s="205"/>
      <c r="GM410" s="205"/>
    </row>
    <row r="411" spans="1:195" s="7" customFormat="1">
      <c r="A411" s="189">
        <v>1.28</v>
      </c>
      <c r="B411" s="71">
        <f>+C10</f>
        <v>39847</v>
      </c>
      <c r="C411" s="61">
        <f t="shared" si="378"/>
        <v>201</v>
      </c>
      <c r="D411" s="61">
        <f t="shared" si="373"/>
        <v>4.8059701492537314</v>
      </c>
      <c r="E411" s="108">
        <f t="shared" si="374"/>
        <v>1.2476172308092431E-2</v>
      </c>
      <c r="F411" s="19">
        <f t="shared" si="375"/>
        <v>1.2147939572927323E-3</v>
      </c>
      <c r="G411" s="19">
        <f t="shared" si="376"/>
        <v>-4.8070406978434094E-2</v>
      </c>
      <c r="H411" s="19">
        <f t="shared" si="377"/>
        <v>0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/>
      <c r="AO411"/>
      <c r="AP411"/>
      <c r="AQ411"/>
      <c r="AR411"/>
      <c r="AS411"/>
      <c r="AT411"/>
      <c r="AU411"/>
      <c r="AV411"/>
      <c r="AW411"/>
      <c r="FY411" s="210">
        <v>406</v>
      </c>
      <c r="FZ411" s="205"/>
      <c r="GA411" s="205"/>
      <c r="GB411" s="205"/>
      <c r="GC411" s="205"/>
      <c r="GD411" s="205"/>
      <c r="GE411" s="205"/>
      <c r="GF411" s="205"/>
      <c r="GG411" s="205"/>
      <c r="GH411" s="205"/>
      <c r="GI411" s="205"/>
      <c r="GJ411" s="205"/>
      <c r="GK411" s="205"/>
      <c r="GL411" s="205"/>
      <c r="GM411" s="205"/>
    </row>
    <row r="412" spans="1:195" s="7" customFormat="1">
      <c r="A412" s="189">
        <v>4</v>
      </c>
      <c r="B412" s="71">
        <f t="shared" si="372"/>
        <v>39910</v>
      </c>
      <c r="C412" s="61">
        <f t="shared" si="378"/>
        <v>264</v>
      </c>
      <c r="D412" s="61">
        <f t="shared" si="373"/>
        <v>6.4394088669950742</v>
      </c>
      <c r="E412" s="108">
        <f t="shared" si="374"/>
        <v>1.6962878174842509E-2</v>
      </c>
      <c r="F412" s="19">
        <f t="shared" si="375"/>
        <v>4.8762969818418132E-3</v>
      </c>
      <c r="G412" s="19">
        <f t="shared" si="376"/>
        <v>-5.1645698664348698E-2</v>
      </c>
      <c r="H412" s="19">
        <f t="shared" si="377"/>
        <v>0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/>
      <c r="AO412"/>
      <c r="AP412"/>
      <c r="AQ412"/>
      <c r="AR412"/>
      <c r="AS412"/>
      <c r="AT412"/>
      <c r="AU412"/>
      <c r="AV412"/>
      <c r="AW412"/>
      <c r="FY412" s="210">
        <v>407</v>
      </c>
      <c r="FZ412" s="205"/>
      <c r="GA412" s="205"/>
      <c r="GB412" s="205"/>
      <c r="GC412" s="205"/>
      <c r="GD412" s="205"/>
      <c r="GE412" s="205"/>
      <c r="GF412" s="205"/>
      <c r="GG412" s="205"/>
      <c r="GH412" s="205"/>
      <c r="GI412" s="205"/>
      <c r="GJ412" s="205"/>
      <c r="GK412" s="205"/>
      <c r="GL412" s="205"/>
      <c r="GM412" s="205"/>
    </row>
    <row r="413" spans="1:195" s="7" customFormat="1">
      <c r="A413" s="190">
        <v>7.33</v>
      </c>
      <c r="B413" s="71">
        <f t="shared" si="372"/>
        <v>39949</v>
      </c>
      <c r="C413" s="61">
        <f t="shared" si="378"/>
        <v>303</v>
      </c>
      <c r="D413" s="61">
        <f t="shared" si="373"/>
        <v>7.2666666666666657</v>
      </c>
      <c r="E413" s="108">
        <f t="shared" si="374"/>
        <v>1.9258091354758873E-2</v>
      </c>
      <c r="F413" s="19">
        <f t="shared" si="375"/>
        <v>3.2539482786187479E-3</v>
      </c>
      <c r="G413" s="19">
        <f t="shared" si="376"/>
        <v>-3.9884242316631506E-2</v>
      </c>
      <c r="H413" s="19">
        <f t="shared" si="377"/>
        <v>0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/>
      <c r="AO413"/>
      <c r="AP413"/>
      <c r="AQ413"/>
      <c r="AR413"/>
      <c r="AS413"/>
      <c r="AT413"/>
      <c r="AU413"/>
      <c r="AV413"/>
      <c r="AW413"/>
      <c r="FY413" s="210">
        <v>408</v>
      </c>
      <c r="FZ413" s="205"/>
      <c r="GA413" s="205"/>
      <c r="GB413" s="205"/>
      <c r="GC413" s="205"/>
      <c r="GD413" s="205"/>
      <c r="GE413" s="205"/>
      <c r="GF413" s="205"/>
      <c r="GG413" s="205"/>
      <c r="GH413" s="205"/>
      <c r="GI413" s="205"/>
      <c r="GJ413" s="205"/>
      <c r="GK413" s="205"/>
      <c r="GL413" s="205"/>
      <c r="GM413" s="205"/>
    </row>
    <row r="414" spans="1:195" s="7" customFormat="1">
      <c r="A414" s="189">
        <v>10.51</v>
      </c>
      <c r="B414" s="71">
        <f t="shared" si="372"/>
        <v>39987</v>
      </c>
      <c r="C414" s="61">
        <f t="shared" si="378"/>
        <v>341</v>
      </c>
      <c r="D414" s="61">
        <f t="shared" si="373"/>
        <v>11.545454545454545</v>
      </c>
      <c r="E414" s="108">
        <f t="shared" si="374"/>
        <v>3.1314308751543569E-2</v>
      </c>
      <c r="F414" s="19">
        <f t="shared" si="375"/>
        <v>1.2793258925261881E-2</v>
      </c>
      <c r="G414" s="19">
        <f t="shared" si="376"/>
        <v>-5.2287843328895023E-2</v>
      </c>
      <c r="H414" s="19">
        <f t="shared" si="377"/>
        <v>0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/>
      <c r="AO414"/>
      <c r="AP414"/>
      <c r="AQ414"/>
      <c r="AR414"/>
      <c r="AS414"/>
      <c r="AT414"/>
      <c r="AU414"/>
      <c r="AV414"/>
      <c r="AW414"/>
      <c r="FY414" s="210">
        <v>409</v>
      </c>
      <c r="FZ414" s="205"/>
      <c r="GA414" s="205"/>
      <c r="GB414" s="205"/>
      <c r="GC414" s="205"/>
      <c r="GD414" s="205"/>
      <c r="GE414" s="205"/>
      <c r="GF414" s="205"/>
      <c r="GG414" s="205"/>
      <c r="GH414" s="205"/>
      <c r="GI414" s="205"/>
      <c r="GJ414" s="205"/>
      <c r="GK414" s="205"/>
      <c r="GL414" s="205"/>
      <c r="GM414" s="205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/>
      <c r="AO415"/>
      <c r="AP415"/>
      <c r="AQ415"/>
      <c r="AR415"/>
      <c r="AS415"/>
      <c r="AT415"/>
      <c r="AU415"/>
      <c r="AV415"/>
      <c r="AW415"/>
      <c r="FY415" s="210">
        <v>410</v>
      </c>
      <c r="FZ415" s="205"/>
      <c r="GA415" s="205"/>
      <c r="GB415" s="205"/>
      <c r="GC415" s="205"/>
      <c r="GD415" s="205"/>
      <c r="GE415" s="205"/>
      <c r="GF415" s="205"/>
      <c r="GG415" s="205"/>
      <c r="GH415" s="205"/>
      <c r="GI415" s="205"/>
      <c r="GJ415" s="205"/>
      <c r="GK415" s="205"/>
      <c r="GL415" s="205"/>
      <c r="GM415" s="20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/>
      <c r="AO416"/>
      <c r="AP416"/>
      <c r="AQ416"/>
      <c r="AR416"/>
      <c r="AS416"/>
      <c r="AT416"/>
      <c r="AU416"/>
      <c r="AV416"/>
      <c r="AW416"/>
      <c r="FY416" s="210">
        <v>411</v>
      </c>
      <c r="FZ416" s="205"/>
      <c r="GA416" s="205"/>
      <c r="GB416" s="205"/>
      <c r="GC416" s="205"/>
      <c r="GD416" s="205"/>
      <c r="GE416" s="205"/>
      <c r="GF416" s="205"/>
      <c r="GG416" s="205"/>
      <c r="GH416" s="205"/>
      <c r="GI416" s="205"/>
      <c r="GJ416" s="205"/>
      <c r="GK416" s="205"/>
      <c r="GL416" s="205"/>
      <c r="GM416" s="205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/>
      <c r="AO417"/>
      <c r="AP417"/>
      <c r="AQ417"/>
      <c r="AR417"/>
      <c r="AS417"/>
      <c r="AT417"/>
      <c r="AU417"/>
      <c r="AV417"/>
      <c r="AW417"/>
      <c r="FY417" s="210">
        <v>412</v>
      </c>
      <c r="FZ417" s="205"/>
      <c r="GA417" s="205"/>
      <c r="GB417" s="205"/>
      <c r="GC417" s="205"/>
      <c r="GD417" s="205"/>
      <c r="GE417" s="205"/>
      <c r="GF417" s="205"/>
      <c r="GG417" s="205"/>
      <c r="GH417" s="205"/>
      <c r="GI417" s="205"/>
      <c r="GJ417" s="205"/>
      <c r="GK417" s="205"/>
      <c r="GL417" s="205"/>
      <c r="GM417" s="205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/>
      <c r="AO418"/>
      <c r="AP418"/>
      <c r="AQ418"/>
      <c r="AR418"/>
      <c r="AS418"/>
      <c r="AT418"/>
      <c r="AU418"/>
      <c r="AV418"/>
      <c r="AW418"/>
      <c r="FY418" s="210">
        <v>413</v>
      </c>
      <c r="FZ418" s="205"/>
      <c r="GA418" s="205"/>
      <c r="GB418" s="205"/>
      <c r="GC418" s="205"/>
      <c r="GD418" s="205"/>
      <c r="GE418" s="205"/>
      <c r="GF418" s="205"/>
      <c r="GG418" s="205"/>
      <c r="GH418" s="205"/>
      <c r="GI418" s="205"/>
      <c r="GJ418" s="205"/>
      <c r="GK418" s="205"/>
      <c r="GL418" s="205"/>
      <c r="GM418" s="205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/>
      <c r="AO419"/>
      <c r="AP419"/>
      <c r="AQ419"/>
      <c r="AR419"/>
      <c r="AS419"/>
      <c r="AT419"/>
      <c r="AU419"/>
      <c r="AV419"/>
      <c r="AW419"/>
      <c r="FY419" s="210">
        <v>414</v>
      </c>
      <c r="FZ419" s="205"/>
      <c r="GA419" s="205"/>
      <c r="GB419" s="205"/>
      <c r="GC419" s="205"/>
      <c r="GD419" s="205"/>
      <c r="GE419" s="205"/>
      <c r="GF419" s="205"/>
      <c r="GG419" s="205"/>
      <c r="GH419" s="205"/>
      <c r="GI419" s="205"/>
      <c r="GJ419" s="205"/>
      <c r="GK419" s="205"/>
      <c r="GL419" s="205"/>
      <c r="GM419" s="205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/>
      <c r="AO420"/>
      <c r="AP420"/>
      <c r="AQ420"/>
      <c r="AR420"/>
      <c r="AS420"/>
      <c r="AT420"/>
      <c r="AU420"/>
      <c r="AV420"/>
      <c r="AW420"/>
      <c r="FY420" s="210">
        <v>415</v>
      </c>
      <c r="FZ420" s="205"/>
      <c r="GA420" s="205"/>
      <c r="GB420" s="205"/>
      <c r="GC420" s="205"/>
      <c r="GD420" s="205"/>
      <c r="GE420" s="205"/>
      <c r="GF420" s="205"/>
      <c r="GG420" s="205"/>
      <c r="GH420" s="205"/>
      <c r="GI420" s="205"/>
      <c r="GJ420" s="205"/>
      <c r="GK420" s="205"/>
      <c r="GL420" s="205"/>
      <c r="GM420" s="205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/>
      <c r="AO421"/>
      <c r="AP421"/>
      <c r="AQ421"/>
      <c r="AR421"/>
      <c r="AS421"/>
      <c r="AT421"/>
      <c r="AU421"/>
      <c r="AV421"/>
      <c r="AW421"/>
      <c r="FY421" s="210">
        <v>416</v>
      </c>
      <c r="FZ421" s="205"/>
      <c r="GA421" s="205"/>
      <c r="GB421" s="205"/>
      <c r="GC421" s="205"/>
      <c r="GD421" s="205"/>
      <c r="GE421" s="205"/>
      <c r="GF421" s="205"/>
      <c r="GG421" s="205"/>
      <c r="GH421" s="205"/>
      <c r="GI421" s="205"/>
      <c r="GJ421" s="205"/>
      <c r="GK421" s="205"/>
      <c r="GL421" s="205"/>
      <c r="GM421" s="205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v>0.5</v>
      </c>
      <c r="H422" s="45">
        <v>1</v>
      </c>
      <c r="I422" s="45">
        <v>2</v>
      </c>
      <c r="J422" s="45">
        <v>3</v>
      </c>
      <c r="K422" s="45">
        <v>4</v>
      </c>
      <c r="L422" s="45">
        <v>5</v>
      </c>
      <c r="M422" s="45">
        <v>6</v>
      </c>
      <c r="N422" s="45">
        <v>7</v>
      </c>
      <c r="O422" s="46">
        <v>8</v>
      </c>
      <c r="P422" s="46">
        <v>9</v>
      </c>
      <c r="Q422" s="47">
        <v>10</v>
      </c>
      <c r="R422" s="46">
        <v>11</v>
      </c>
      <c r="S422" s="47">
        <v>12</v>
      </c>
      <c r="T422" s="46">
        <v>13</v>
      </c>
      <c r="U422" s="47">
        <v>14</v>
      </c>
      <c r="V422" s="46">
        <v>15</v>
      </c>
      <c r="W422" s="47">
        <v>16</v>
      </c>
      <c r="X422" s="46">
        <v>17</v>
      </c>
      <c r="Y422" s="47">
        <v>18</v>
      </c>
      <c r="Z422" s="46">
        <v>19</v>
      </c>
      <c r="AA422" s="47">
        <v>20</v>
      </c>
      <c r="AB422" s="46">
        <v>21</v>
      </c>
      <c r="AC422" s="47">
        <v>22</v>
      </c>
      <c r="AD422" s="46">
        <v>23</v>
      </c>
      <c r="AE422" s="47">
        <v>24</v>
      </c>
      <c r="AF422" s="46">
        <v>25</v>
      </c>
      <c r="AG422" s="47">
        <v>26</v>
      </c>
      <c r="AH422" s="46">
        <v>27</v>
      </c>
      <c r="AI422" s="47">
        <v>28</v>
      </c>
      <c r="AJ422" s="46">
        <v>29</v>
      </c>
      <c r="AK422" s="47">
        <v>30</v>
      </c>
      <c r="AL422" s="4"/>
      <c r="AM422" s="43">
        <v>406</v>
      </c>
      <c r="AN422"/>
      <c r="AO422"/>
      <c r="AP422"/>
      <c r="AQ422"/>
      <c r="AR422"/>
      <c r="AS422"/>
      <c r="AT422"/>
      <c r="AU422"/>
      <c r="AV422"/>
      <c r="AW422"/>
      <c r="FY422" s="210">
        <v>417</v>
      </c>
      <c r="FZ422" s="205"/>
      <c r="GA422" s="205"/>
      <c r="GB422" s="205"/>
      <c r="GC422" s="205"/>
      <c r="GD422" s="205"/>
      <c r="GE422" s="205"/>
      <c r="GF422" s="205"/>
      <c r="GG422" s="205"/>
      <c r="GH422" s="205"/>
      <c r="GI422" s="205"/>
      <c r="GJ422" s="205"/>
      <c r="GK422" s="205"/>
      <c r="GL422" s="205"/>
      <c r="GM422" s="205"/>
    </row>
    <row r="423" spans="1:195" s="7" customFormat="1">
      <c r="A423" s="4"/>
      <c r="B423" s="48" t="s">
        <v>38</v>
      </c>
      <c r="C423" s="107" t="e">
        <f t="shared" ref="C423:C432" si="379">SUM(G423:AK423)</f>
        <v>#NUM!</v>
      </c>
      <c r="D423" s="191">
        <f>$A$405</f>
        <v>13.69</v>
      </c>
      <c r="E423" s="8"/>
      <c r="F423" s="124"/>
      <c r="G423" s="107" t="e">
        <f>(LN($A$455)-LN($A$453))/$A$457</f>
        <v>#NUM!</v>
      </c>
      <c r="H423" s="107">
        <f t="shared" ref="H423:AK423" si="380">(($A$453-$A$455*LN(H$422)+($A$457*$D423))*($E21*H37))</f>
        <v>5.5771912125000003E-2</v>
      </c>
      <c r="I423" s="107">
        <f t="shared" si="380"/>
        <v>2.0111257449021083</v>
      </c>
      <c r="J423" s="107">
        <f t="shared" si="380"/>
        <v>0.85672198678603739</v>
      </c>
      <c r="K423" s="107">
        <f t="shared" si="380"/>
        <v>4.0228863386275973E-2</v>
      </c>
      <c r="L423" s="107">
        <f t="shared" si="380"/>
        <v>0.15278212681536993</v>
      </c>
      <c r="M423" s="107">
        <f t="shared" si="380"/>
        <v>0.12349759595935818</v>
      </c>
      <c r="N423" s="107">
        <f t="shared" si="380"/>
        <v>0.14534699602350482</v>
      </c>
      <c r="O423" s="107">
        <f t="shared" si="380"/>
        <v>0.16737477234857498</v>
      </c>
      <c r="P423" s="107">
        <f t="shared" si="380"/>
        <v>9.4779840777727914E-2</v>
      </c>
      <c r="Q423" s="107">
        <f t="shared" si="380"/>
        <v>0.21188511633587986</v>
      </c>
      <c r="R423" s="107">
        <f t="shared" si="380"/>
        <v>0.23433772550084933</v>
      </c>
      <c r="S423" s="107">
        <f t="shared" si="380"/>
        <v>0</v>
      </c>
      <c r="T423" s="107">
        <f t="shared" si="380"/>
        <v>0</v>
      </c>
      <c r="U423" s="107">
        <f t="shared" si="380"/>
        <v>0</v>
      </c>
      <c r="V423" s="107">
        <f t="shared" si="380"/>
        <v>0</v>
      </c>
      <c r="W423" s="107">
        <f t="shared" si="380"/>
        <v>0</v>
      </c>
      <c r="X423" s="107">
        <f t="shared" si="380"/>
        <v>0</v>
      </c>
      <c r="Y423" s="107">
        <f t="shared" si="380"/>
        <v>0</v>
      </c>
      <c r="Z423" s="107">
        <f t="shared" si="380"/>
        <v>0</v>
      </c>
      <c r="AA423" s="107">
        <f t="shared" si="380"/>
        <v>0</v>
      </c>
      <c r="AB423" s="107">
        <f t="shared" si="380"/>
        <v>0</v>
      </c>
      <c r="AC423" s="107">
        <f t="shared" si="380"/>
        <v>0</v>
      </c>
      <c r="AD423" s="107">
        <f t="shared" si="380"/>
        <v>0</v>
      </c>
      <c r="AE423" s="107">
        <f t="shared" si="380"/>
        <v>0</v>
      </c>
      <c r="AF423" s="107">
        <f t="shared" si="380"/>
        <v>0</v>
      </c>
      <c r="AG423" s="107">
        <f t="shared" si="380"/>
        <v>0</v>
      </c>
      <c r="AH423" s="107">
        <f t="shared" si="380"/>
        <v>0</v>
      </c>
      <c r="AI423" s="107">
        <f t="shared" si="380"/>
        <v>0</v>
      </c>
      <c r="AJ423" s="107">
        <f t="shared" si="380"/>
        <v>0</v>
      </c>
      <c r="AK423" s="107">
        <f t="shared" si="380"/>
        <v>0</v>
      </c>
      <c r="AL423" s="4"/>
      <c r="AM423" s="43">
        <v>407</v>
      </c>
      <c r="AN423"/>
      <c r="AO423"/>
      <c r="AP423"/>
      <c r="AQ423"/>
      <c r="AR423"/>
      <c r="AS423"/>
      <c r="AT423"/>
      <c r="AU423"/>
      <c r="AV423"/>
      <c r="AW423"/>
      <c r="FY423" s="210">
        <v>418</v>
      </c>
      <c r="FZ423" s="205"/>
      <c r="GA423" s="205"/>
      <c r="GB423" s="205"/>
      <c r="GC423" s="205"/>
      <c r="GD423" s="205"/>
      <c r="GE423" s="205"/>
      <c r="GF423" s="205"/>
      <c r="GG423" s="205"/>
      <c r="GH423" s="205"/>
      <c r="GI423" s="205"/>
      <c r="GJ423" s="205"/>
      <c r="GK423" s="205"/>
      <c r="GL423" s="205"/>
      <c r="GM423" s="205"/>
    </row>
    <row r="424" spans="1:195" s="7" customFormat="1">
      <c r="A424" s="4"/>
      <c r="B424" s="48" t="s">
        <v>39</v>
      </c>
      <c r="C424" s="107">
        <f t="shared" si="379"/>
        <v>7.1783775358237136</v>
      </c>
      <c r="D424" s="191">
        <f>$A$406</f>
        <v>9.4499999999999993</v>
      </c>
      <c r="E424" s="8"/>
      <c r="F424" s="124"/>
      <c r="G424" s="107">
        <f t="shared" ref="G424:G432" si="381">(($A$453-$A$455*LN(G$422)+($A$457*$D424))*($E22*G38))</f>
        <v>0</v>
      </c>
      <c r="H424" s="107">
        <f t="shared" ref="H424:V424" si="382">(($A$453-$A$455*LN(H$422)+($A$457*$D424))*($E22*H38))</f>
        <v>0</v>
      </c>
      <c r="I424" s="107">
        <f t="shared" si="382"/>
        <v>0.84728164268337769</v>
      </c>
      <c r="J424" s="107">
        <f t="shared" si="382"/>
        <v>1.9963564016313289</v>
      </c>
      <c r="K424" s="107">
        <f t="shared" si="382"/>
        <v>3.6614658234816697</v>
      </c>
      <c r="L424" s="107">
        <f t="shared" si="382"/>
        <v>0.21826517092827777</v>
      </c>
      <c r="M424" s="107">
        <f t="shared" si="382"/>
        <v>0</v>
      </c>
      <c r="N424" s="107">
        <f t="shared" si="382"/>
        <v>0</v>
      </c>
      <c r="O424" s="107">
        <f t="shared" si="382"/>
        <v>0</v>
      </c>
      <c r="P424" s="107">
        <f t="shared" si="382"/>
        <v>0.10172046496487394</v>
      </c>
      <c r="Q424" s="107">
        <f t="shared" si="382"/>
        <v>0.22746836322115105</v>
      </c>
      <c r="R424" s="107">
        <f t="shared" si="382"/>
        <v>0.12581966891303512</v>
      </c>
      <c r="S424" s="107">
        <f t="shared" si="382"/>
        <v>0</v>
      </c>
      <c r="T424" s="107">
        <f t="shared" si="382"/>
        <v>0</v>
      </c>
      <c r="U424" s="107">
        <f t="shared" si="382"/>
        <v>0</v>
      </c>
      <c r="V424" s="107">
        <f t="shared" si="382"/>
        <v>0</v>
      </c>
      <c r="W424" s="107">
        <f t="shared" ref="W424:AK424" si="383">(($A$453-$A$455*LN(W$422)+($A$457*$D424))*($E22*W38))</f>
        <v>0</v>
      </c>
      <c r="X424" s="107">
        <f t="shared" si="383"/>
        <v>0</v>
      </c>
      <c r="Y424" s="107">
        <f t="shared" si="383"/>
        <v>0</v>
      </c>
      <c r="Z424" s="107">
        <f t="shared" si="383"/>
        <v>0</v>
      </c>
      <c r="AA424" s="107">
        <f t="shared" si="383"/>
        <v>0</v>
      </c>
      <c r="AB424" s="107">
        <f t="shared" si="383"/>
        <v>0</v>
      </c>
      <c r="AC424" s="107">
        <f t="shared" si="383"/>
        <v>0</v>
      </c>
      <c r="AD424" s="107">
        <f t="shared" si="383"/>
        <v>0</v>
      </c>
      <c r="AE424" s="107">
        <f t="shared" si="383"/>
        <v>0</v>
      </c>
      <c r="AF424" s="107">
        <f t="shared" si="383"/>
        <v>0</v>
      </c>
      <c r="AG424" s="107">
        <f t="shared" si="383"/>
        <v>0</v>
      </c>
      <c r="AH424" s="107">
        <f t="shared" si="383"/>
        <v>0</v>
      </c>
      <c r="AI424" s="107">
        <f t="shared" si="383"/>
        <v>0</v>
      </c>
      <c r="AJ424" s="107">
        <f t="shared" si="383"/>
        <v>0</v>
      </c>
      <c r="AK424" s="107">
        <f t="shared" si="383"/>
        <v>0</v>
      </c>
      <c r="AL424" s="4"/>
      <c r="AM424" s="43">
        <v>408</v>
      </c>
      <c r="AN424"/>
      <c r="AO424"/>
      <c r="AP424"/>
      <c r="AQ424"/>
      <c r="AR424"/>
      <c r="AS424"/>
      <c r="AT424"/>
      <c r="AU424"/>
      <c r="AV424"/>
      <c r="AW424"/>
      <c r="FY424" s="210">
        <v>419</v>
      </c>
      <c r="FZ424" s="205"/>
      <c r="GA424" s="205"/>
      <c r="GB424" s="205"/>
      <c r="GC424" s="205"/>
      <c r="GD424" s="205"/>
      <c r="GE424" s="205"/>
      <c r="GF424" s="205"/>
      <c r="GG424" s="205"/>
      <c r="GH424" s="205"/>
      <c r="GI424" s="205"/>
      <c r="GJ424" s="205"/>
      <c r="GK424" s="205"/>
      <c r="GL424" s="205"/>
      <c r="GM424" s="205"/>
    </row>
    <row r="425" spans="1:195" s="7" customFormat="1">
      <c r="A425" s="4"/>
      <c r="B425" s="48" t="s">
        <v>40</v>
      </c>
      <c r="C425" s="107">
        <f t="shared" si="379"/>
        <v>3.1874978515984767</v>
      </c>
      <c r="D425" s="191">
        <f>A$407</f>
        <v>4.03</v>
      </c>
      <c r="E425" s="8"/>
      <c r="F425" s="124"/>
      <c r="G425" s="107">
        <f t="shared" si="381"/>
        <v>0</v>
      </c>
      <c r="H425" s="107">
        <f t="shared" ref="H425:V425" si="384">(($A$453-$A$455*LN(H$422)+($A$457*$D425))*($E23*H39))</f>
        <v>2.4610592848557693E-2</v>
      </c>
      <c r="I425" s="107">
        <f t="shared" si="384"/>
        <v>5.1709796398928948E-2</v>
      </c>
      <c r="J425" s="107">
        <f t="shared" si="384"/>
        <v>0.60090969474684064</v>
      </c>
      <c r="K425" s="107">
        <f t="shared" si="384"/>
        <v>1.4363385756805824</v>
      </c>
      <c r="L425" s="107">
        <f t="shared" si="384"/>
        <v>0.39963047061217494</v>
      </c>
      <c r="M425" s="107">
        <f t="shared" si="384"/>
        <v>0.44726751232814288</v>
      </c>
      <c r="N425" s="107">
        <f t="shared" si="384"/>
        <v>0.22703120898324955</v>
      </c>
      <c r="O425" s="107">
        <f t="shared" si="384"/>
        <v>0</v>
      </c>
      <c r="P425" s="107">
        <f t="shared" si="384"/>
        <v>0</v>
      </c>
      <c r="Q425" s="107">
        <f t="shared" si="384"/>
        <v>0</v>
      </c>
      <c r="R425" s="107">
        <f t="shared" si="384"/>
        <v>0</v>
      </c>
      <c r="S425" s="107">
        <f t="shared" si="384"/>
        <v>0</v>
      </c>
      <c r="T425" s="107">
        <f t="shared" si="384"/>
        <v>0</v>
      </c>
      <c r="U425" s="107">
        <f t="shared" si="384"/>
        <v>0</v>
      </c>
      <c r="V425" s="107">
        <f t="shared" si="384"/>
        <v>0</v>
      </c>
      <c r="W425" s="107">
        <f t="shared" ref="W425:AK425" si="385">(($A$453-$A$455*LN(W$422)+($A$457*$D425))*($E23*W39))</f>
        <v>0</v>
      </c>
      <c r="X425" s="107">
        <f t="shared" si="385"/>
        <v>0</v>
      </c>
      <c r="Y425" s="107">
        <f t="shared" si="385"/>
        <v>0</v>
      </c>
      <c r="Z425" s="107">
        <f t="shared" si="385"/>
        <v>0</v>
      </c>
      <c r="AA425" s="107">
        <f t="shared" si="385"/>
        <v>0</v>
      </c>
      <c r="AB425" s="107">
        <f t="shared" si="385"/>
        <v>0</v>
      </c>
      <c r="AC425" s="107">
        <f t="shared" si="385"/>
        <v>0</v>
      </c>
      <c r="AD425" s="107">
        <f t="shared" si="385"/>
        <v>0</v>
      </c>
      <c r="AE425" s="107">
        <f t="shared" si="385"/>
        <v>0</v>
      </c>
      <c r="AF425" s="107">
        <f t="shared" si="385"/>
        <v>0</v>
      </c>
      <c r="AG425" s="107">
        <f t="shared" si="385"/>
        <v>0</v>
      </c>
      <c r="AH425" s="107">
        <f t="shared" si="385"/>
        <v>0</v>
      </c>
      <c r="AI425" s="107">
        <f t="shared" si="385"/>
        <v>0</v>
      </c>
      <c r="AJ425" s="107">
        <f t="shared" si="385"/>
        <v>0</v>
      </c>
      <c r="AK425" s="107">
        <f t="shared" si="385"/>
        <v>0</v>
      </c>
      <c r="AL425" s="4"/>
      <c r="AM425" s="43">
        <v>409</v>
      </c>
      <c r="AN425"/>
      <c r="AO425"/>
      <c r="AP425"/>
      <c r="AQ425"/>
      <c r="AR425"/>
      <c r="AS425"/>
      <c r="AT425"/>
      <c r="AU425"/>
      <c r="AV425"/>
      <c r="AW425"/>
      <c r="FY425" s="210">
        <v>420</v>
      </c>
      <c r="FZ425" s="205"/>
      <c r="GA425" s="205"/>
      <c r="GB425" s="205"/>
      <c r="GC425" s="205"/>
      <c r="GD425" s="205"/>
      <c r="GE425" s="205"/>
      <c r="GF425" s="205"/>
      <c r="GG425" s="205"/>
      <c r="GH425" s="205"/>
      <c r="GI425" s="205"/>
      <c r="GJ425" s="205"/>
      <c r="GK425" s="205"/>
      <c r="GL425" s="205"/>
      <c r="GM425" s="205"/>
    </row>
    <row r="426" spans="1:195" s="7" customFormat="1">
      <c r="A426" s="128" t="s">
        <v>92</v>
      </c>
      <c r="B426" s="48" t="s">
        <v>41</v>
      </c>
      <c r="C426" s="107">
        <f t="shared" si="379"/>
        <v>0.87253727333697095</v>
      </c>
      <c r="D426" s="191">
        <f>A$408</f>
        <v>0.78</v>
      </c>
      <c r="E426" s="8"/>
      <c r="F426" s="124"/>
      <c r="G426" s="107">
        <f t="shared" si="381"/>
        <v>0</v>
      </c>
      <c r="H426" s="107">
        <f t="shared" ref="H426:V426" si="386">(($A$453-$A$455*LN(H$422)+($A$457*$D426))*($E24*H40))</f>
        <v>6.0783557692307699E-3</v>
      </c>
      <c r="I426" s="107">
        <f t="shared" si="386"/>
        <v>1.7153652354829577E-2</v>
      </c>
      <c r="J426" s="107">
        <f t="shared" si="386"/>
        <v>5.1540617976159726E-2</v>
      </c>
      <c r="K426" s="107">
        <f t="shared" si="386"/>
        <v>0.12444706585649343</v>
      </c>
      <c r="L426" s="107">
        <f t="shared" si="386"/>
        <v>0.2706212390257951</v>
      </c>
      <c r="M426" s="107">
        <f t="shared" si="386"/>
        <v>0.31947587168677677</v>
      </c>
      <c r="N426" s="107">
        <f t="shared" si="386"/>
        <v>8.3220470667685537E-2</v>
      </c>
      <c r="O426" s="107">
        <f t="shared" si="386"/>
        <v>0</v>
      </c>
      <c r="P426" s="107">
        <f t="shared" si="386"/>
        <v>0</v>
      </c>
      <c r="Q426" s="107">
        <f t="shared" si="386"/>
        <v>0</v>
      </c>
      <c r="R426" s="107">
        <f t="shared" si="386"/>
        <v>0</v>
      </c>
      <c r="S426" s="107">
        <f t="shared" si="386"/>
        <v>0</v>
      </c>
      <c r="T426" s="107">
        <f t="shared" si="386"/>
        <v>0</v>
      </c>
      <c r="U426" s="107">
        <f t="shared" si="386"/>
        <v>0</v>
      </c>
      <c r="V426" s="107">
        <f t="shared" si="386"/>
        <v>0</v>
      </c>
      <c r="W426" s="107">
        <f t="shared" ref="W426:AK426" si="387">(($A$453-$A$455*LN(W$422)+($A$457*$D426))*($E24*W40))</f>
        <v>0</v>
      </c>
      <c r="X426" s="107">
        <f t="shared" si="387"/>
        <v>0</v>
      </c>
      <c r="Y426" s="107">
        <f t="shared" si="387"/>
        <v>0</v>
      </c>
      <c r="Z426" s="107">
        <f t="shared" si="387"/>
        <v>0</v>
      </c>
      <c r="AA426" s="107">
        <f t="shared" si="387"/>
        <v>0</v>
      </c>
      <c r="AB426" s="107">
        <f t="shared" si="387"/>
        <v>0</v>
      </c>
      <c r="AC426" s="107">
        <f t="shared" si="387"/>
        <v>0</v>
      </c>
      <c r="AD426" s="107">
        <f t="shared" si="387"/>
        <v>0</v>
      </c>
      <c r="AE426" s="107">
        <f t="shared" si="387"/>
        <v>0</v>
      </c>
      <c r="AF426" s="107">
        <f t="shared" si="387"/>
        <v>0</v>
      </c>
      <c r="AG426" s="107">
        <f t="shared" si="387"/>
        <v>0</v>
      </c>
      <c r="AH426" s="107">
        <f t="shared" si="387"/>
        <v>0</v>
      </c>
      <c r="AI426" s="107">
        <f t="shared" si="387"/>
        <v>0</v>
      </c>
      <c r="AJ426" s="107">
        <f t="shared" si="387"/>
        <v>0</v>
      </c>
      <c r="AK426" s="107">
        <f t="shared" si="387"/>
        <v>0</v>
      </c>
      <c r="AL426" s="4"/>
      <c r="AM426" s="43">
        <v>410</v>
      </c>
      <c r="AN426"/>
      <c r="AO426"/>
      <c r="AP426"/>
      <c r="AQ426"/>
      <c r="AR426"/>
      <c r="AS426"/>
      <c r="AT426"/>
      <c r="AU426"/>
      <c r="AV426"/>
      <c r="AW426"/>
      <c r="FY426" s="210">
        <v>421</v>
      </c>
      <c r="FZ426" s="205"/>
      <c r="GA426" s="205"/>
      <c r="GB426" s="205"/>
      <c r="GC426" s="205"/>
      <c r="GD426" s="205"/>
      <c r="GE426" s="205"/>
      <c r="GF426" s="205"/>
      <c r="GG426" s="205"/>
      <c r="GH426" s="205"/>
      <c r="GI426" s="205"/>
      <c r="GJ426" s="205"/>
      <c r="GK426" s="205"/>
      <c r="GL426" s="205"/>
      <c r="GM426" s="205"/>
    </row>
    <row r="427" spans="1:195" s="7" customFormat="1">
      <c r="A427" s="128" t="s">
        <v>93</v>
      </c>
      <c r="B427" s="48" t="s">
        <v>42</v>
      </c>
      <c r="C427" s="107">
        <f t="shared" si="379"/>
        <v>0.4037567144749345</v>
      </c>
      <c r="D427" s="191">
        <f>A$409</f>
        <v>0.14000000000000001</v>
      </c>
      <c r="E427" s="8"/>
      <c r="F427" s="124"/>
      <c r="G427" s="107">
        <f t="shared" si="381"/>
        <v>0</v>
      </c>
      <c r="H427" s="107">
        <f t="shared" ref="H427:V427" si="388">(($A$453-$A$455*LN(H$422)+($A$457*$D427))*($E25*H41))</f>
        <v>0</v>
      </c>
      <c r="I427" s="107">
        <f t="shared" si="388"/>
        <v>2.1476975579414279E-2</v>
      </c>
      <c r="J427" s="107">
        <f t="shared" si="388"/>
        <v>0</v>
      </c>
      <c r="K427" s="107">
        <f t="shared" si="388"/>
        <v>5.9432087638704174E-2</v>
      </c>
      <c r="L427" s="107">
        <f t="shared" si="388"/>
        <v>0.10515536459456254</v>
      </c>
      <c r="M427" s="107">
        <f t="shared" si="388"/>
        <v>0.17851270214551976</v>
      </c>
      <c r="N427" s="107">
        <f t="shared" si="388"/>
        <v>2.389168868351408E-2</v>
      </c>
      <c r="O427" s="107">
        <f t="shared" si="388"/>
        <v>1.5287895833219616E-2</v>
      </c>
      <c r="P427" s="107">
        <f t="shared" si="388"/>
        <v>0</v>
      </c>
      <c r="Q427" s="107">
        <f t="shared" si="388"/>
        <v>0</v>
      </c>
      <c r="R427" s="107">
        <f t="shared" si="388"/>
        <v>0</v>
      </c>
      <c r="S427" s="107">
        <f t="shared" si="388"/>
        <v>0</v>
      </c>
      <c r="T427" s="107">
        <f t="shared" si="388"/>
        <v>0</v>
      </c>
      <c r="U427" s="107">
        <f t="shared" si="388"/>
        <v>0</v>
      </c>
      <c r="V427" s="107">
        <f t="shared" si="388"/>
        <v>0</v>
      </c>
      <c r="W427" s="107">
        <f t="shared" ref="W427:AK427" si="389">(($A$453-$A$455*LN(W$422)+($A$457*$D427))*($E25*W41))</f>
        <v>0</v>
      </c>
      <c r="X427" s="107">
        <f t="shared" si="389"/>
        <v>0</v>
      </c>
      <c r="Y427" s="107">
        <f t="shared" si="389"/>
        <v>0</v>
      </c>
      <c r="Z427" s="107">
        <f t="shared" si="389"/>
        <v>0</v>
      </c>
      <c r="AA427" s="107">
        <f t="shared" si="389"/>
        <v>0</v>
      </c>
      <c r="AB427" s="107">
        <f t="shared" si="389"/>
        <v>0</v>
      </c>
      <c r="AC427" s="107">
        <f t="shared" si="389"/>
        <v>0</v>
      </c>
      <c r="AD427" s="107">
        <f t="shared" si="389"/>
        <v>0</v>
      </c>
      <c r="AE427" s="107">
        <f t="shared" si="389"/>
        <v>0</v>
      </c>
      <c r="AF427" s="107">
        <f t="shared" si="389"/>
        <v>0</v>
      </c>
      <c r="AG427" s="107">
        <f t="shared" si="389"/>
        <v>0</v>
      </c>
      <c r="AH427" s="107">
        <f t="shared" si="389"/>
        <v>0</v>
      </c>
      <c r="AI427" s="107">
        <f t="shared" si="389"/>
        <v>0</v>
      </c>
      <c r="AJ427" s="107">
        <f t="shared" si="389"/>
        <v>0</v>
      </c>
      <c r="AK427" s="107">
        <f t="shared" si="389"/>
        <v>0</v>
      </c>
      <c r="AL427" s="4"/>
      <c r="AM427" s="43">
        <v>411</v>
      </c>
      <c r="AN427"/>
      <c r="AO427"/>
      <c r="AP427"/>
      <c r="AQ427"/>
      <c r="AR427"/>
      <c r="AS427"/>
      <c r="AT427"/>
      <c r="AU427"/>
      <c r="AV427"/>
      <c r="AW427"/>
      <c r="FY427" s="210">
        <v>422</v>
      </c>
      <c r="FZ427" s="205"/>
      <c r="GA427" s="205"/>
      <c r="GB427" s="205"/>
      <c r="GC427" s="205"/>
      <c r="GD427" s="205"/>
      <c r="GE427" s="205"/>
      <c r="GF427" s="205"/>
      <c r="GG427" s="205"/>
      <c r="GH427" s="205"/>
      <c r="GI427" s="205"/>
      <c r="GJ427" s="205"/>
      <c r="GK427" s="205"/>
      <c r="GL427" s="205"/>
      <c r="GM427" s="205"/>
    </row>
    <row r="428" spans="1:195" s="7" customFormat="1">
      <c r="A428" s="138" t="s">
        <v>95</v>
      </c>
      <c r="B428" s="48" t="s">
        <v>118</v>
      </c>
      <c r="C428" s="107">
        <f t="shared" si="379"/>
        <v>0.70307737459054831</v>
      </c>
      <c r="D428" s="191">
        <f>A$410</f>
        <v>0.21</v>
      </c>
      <c r="E428" s="8"/>
      <c r="F428" s="124"/>
      <c r="G428" s="107">
        <f t="shared" si="381"/>
        <v>0</v>
      </c>
      <c r="H428" s="107">
        <f t="shared" ref="H428:V428" si="390">(($A$453-$A$455*LN(H$422)+($A$457*$D428))*($E26*H42))</f>
        <v>0</v>
      </c>
      <c r="I428" s="107">
        <f t="shared" si="390"/>
        <v>6.2890535155653529E-2</v>
      </c>
      <c r="J428" s="107">
        <f t="shared" si="390"/>
        <v>1.2822125987882639E-2</v>
      </c>
      <c r="K428" s="107">
        <f t="shared" si="390"/>
        <v>2.9608948169467332E-2</v>
      </c>
      <c r="L428" s="107">
        <f t="shared" si="390"/>
        <v>0.2161816153427302</v>
      </c>
      <c r="M428" s="107">
        <f t="shared" si="390"/>
        <v>0.25199782140773241</v>
      </c>
      <c r="N428" s="107">
        <f t="shared" si="390"/>
        <v>9.6616225015053417E-2</v>
      </c>
      <c r="O428" s="107">
        <f t="shared" si="390"/>
        <v>3.2960103512028882E-2</v>
      </c>
      <c r="P428" s="107">
        <f t="shared" si="390"/>
        <v>0</v>
      </c>
      <c r="Q428" s="107">
        <f t="shared" si="390"/>
        <v>0</v>
      </c>
      <c r="R428" s="107">
        <f t="shared" si="390"/>
        <v>0</v>
      </c>
      <c r="S428" s="107">
        <f t="shared" si="390"/>
        <v>0</v>
      </c>
      <c r="T428" s="107">
        <f t="shared" si="390"/>
        <v>0</v>
      </c>
      <c r="U428" s="107">
        <f t="shared" si="390"/>
        <v>0</v>
      </c>
      <c r="V428" s="107">
        <f t="shared" si="390"/>
        <v>0</v>
      </c>
      <c r="W428" s="107">
        <f t="shared" ref="W428:AK428" si="391">(($A$453-$A$455*LN(W$422)+($A$457*$D428))*($E26*W42))</f>
        <v>0</v>
      </c>
      <c r="X428" s="107">
        <f t="shared" si="391"/>
        <v>0</v>
      </c>
      <c r="Y428" s="107">
        <f t="shared" si="391"/>
        <v>0</v>
      </c>
      <c r="Z428" s="107">
        <f t="shared" si="391"/>
        <v>0</v>
      </c>
      <c r="AA428" s="107">
        <f t="shared" si="391"/>
        <v>0</v>
      </c>
      <c r="AB428" s="107">
        <f t="shared" si="391"/>
        <v>0</v>
      </c>
      <c r="AC428" s="107">
        <f t="shared" si="391"/>
        <v>0</v>
      </c>
      <c r="AD428" s="107">
        <f t="shared" si="391"/>
        <v>0</v>
      </c>
      <c r="AE428" s="107">
        <f t="shared" si="391"/>
        <v>0</v>
      </c>
      <c r="AF428" s="107">
        <f t="shared" si="391"/>
        <v>0</v>
      </c>
      <c r="AG428" s="107">
        <f t="shared" si="391"/>
        <v>0</v>
      </c>
      <c r="AH428" s="107">
        <f t="shared" si="391"/>
        <v>0</v>
      </c>
      <c r="AI428" s="107">
        <f t="shared" si="391"/>
        <v>0</v>
      </c>
      <c r="AJ428" s="107">
        <f t="shared" si="391"/>
        <v>0</v>
      </c>
      <c r="AK428" s="107">
        <f t="shared" si="391"/>
        <v>0</v>
      </c>
      <c r="AL428" s="4"/>
      <c r="AM428" s="43">
        <v>412</v>
      </c>
      <c r="AN428"/>
      <c r="AO428"/>
      <c r="AP428"/>
      <c r="AQ428"/>
      <c r="AR428"/>
      <c r="AS428"/>
      <c r="AT428"/>
      <c r="AU428"/>
      <c r="AV428"/>
      <c r="AW428"/>
      <c r="FY428" s="210">
        <v>423</v>
      </c>
      <c r="FZ428" s="205"/>
      <c r="GA428" s="205"/>
      <c r="GB428" s="205"/>
      <c r="GC428" s="205"/>
      <c r="GD428" s="205"/>
      <c r="GE428" s="205"/>
      <c r="GF428" s="205"/>
      <c r="GG428" s="205"/>
      <c r="GH428" s="205"/>
      <c r="GI428" s="205"/>
      <c r="GJ428" s="205"/>
      <c r="GK428" s="205"/>
      <c r="GL428" s="205"/>
      <c r="GM428" s="205"/>
    </row>
    <row r="429" spans="1:195" s="7" customFormat="1">
      <c r="A429" s="138" t="s">
        <v>94</v>
      </c>
      <c r="B429" s="48" t="s">
        <v>119</v>
      </c>
      <c r="C429" s="107">
        <f t="shared" si="379"/>
        <v>3.0791205718511607</v>
      </c>
      <c r="D429" s="191">
        <f>A$411</f>
        <v>1.28</v>
      </c>
      <c r="E429" s="8"/>
      <c r="F429" s="124"/>
      <c r="G429" s="107">
        <f t="shared" si="381"/>
        <v>0</v>
      </c>
      <c r="H429" s="107">
        <f t="shared" ref="H429:V429" si="392">(($A$453-$A$455*LN(H$422)+($A$457*$D429))*($E27*H43))</f>
        <v>0</v>
      </c>
      <c r="I429" s="107">
        <f t="shared" si="392"/>
        <v>5.9969816270853037E-2</v>
      </c>
      <c r="J429" s="107">
        <f t="shared" si="392"/>
        <v>0.29049785767517117</v>
      </c>
      <c r="K429" s="107">
        <f t="shared" si="392"/>
        <v>2.5718098456999284E-2</v>
      </c>
      <c r="L429" s="107">
        <f t="shared" si="392"/>
        <v>0.52589003804292034</v>
      </c>
      <c r="M429" s="107">
        <f t="shared" si="392"/>
        <v>0.44539952991766463</v>
      </c>
      <c r="N429" s="107">
        <f t="shared" si="392"/>
        <v>0.65082418995548763</v>
      </c>
      <c r="O429" s="107">
        <f t="shared" si="392"/>
        <v>5.5080934855899669E-2</v>
      </c>
      <c r="P429" s="107">
        <f t="shared" si="392"/>
        <v>1.0257401066761649</v>
      </c>
      <c r="Q429" s="107">
        <f t="shared" si="392"/>
        <v>0</v>
      </c>
      <c r="R429" s="107">
        <f t="shared" si="392"/>
        <v>0</v>
      </c>
      <c r="S429" s="107">
        <f t="shared" si="392"/>
        <v>0</v>
      </c>
      <c r="T429" s="107">
        <f t="shared" si="392"/>
        <v>0</v>
      </c>
      <c r="U429" s="107">
        <f t="shared" si="392"/>
        <v>0</v>
      </c>
      <c r="V429" s="107">
        <f t="shared" si="392"/>
        <v>0</v>
      </c>
      <c r="W429" s="107">
        <f t="shared" ref="W429:AK429" si="393">(($A$453-$A$455*LN(W$422)+($A$457*$D429))*($E27*W43))</f>
        <v>0</v>
      </c>
      <c r="X429" s="107">
        <f t="shared" si="393"/>
        <v>0</v>
      </c>
      <c r="Y429" s="107">
        <f t="shared" si="393"/>
        <v>0</v>
      </c>
      <c r="Z429" s="107">
        <f t="shared" si="393"/>
        <v>0</v>
      </c>
      <c r="AA429" s="107">
        <f t="shared" si="393"/>
        <v>0</v>
      </c>
      <c r="AB429" s="107">
        <f t="shared" si="393"/>
        <v>0</v>
      </c>
      <c r="AC429" s="107">
        <f t="shared" si="393"/>
        <v>0</v>
      </c>
      <c r="AD429" s="107">
        <f t="shared" si="393"/>
        <v>0</v>
      </c>
      <c r="AE429" s="107">
        <f t="shared" si="393"/>
        <v>0</v>
      </c>
      <c r="AF429" s="107">
        <f t="shared" si="393"/>
        <v>0</v>
      </c>
      <c r="AG429" s="107">
        <f t="shared" si="393"/>
        <v>0</v>
      </c>
      <c r="AH429" s="107">
        <f t="shared" si="393"/>
        <v>0</v>
      </c>
      <c r="AI429" s="107">
        <f t="shared" si="393"/>
        <v>0</v>
      </c>
      <c r="AJ429" s="107">
        <f t="shared" si="393"/>
        <v>0</v>
      </c>
      <c r="AK429" s="107">
        <f t="shared" si="393"/>
        <v>0</v>
      </c>
      <c r="AL429" s="4"/>
      <c r="AM429" s="43">
        <v>413</v>
      </c>
      <c r="AN429"/>
      <c r="AO429"/>
      <c r="AP429"/>
      <c r="AQ429"/>
      <c r="AR429"/>
      <c r="AS429"/>
      <c r="AT429"/>
      <c r="AU429"/>
      <c r="AV429"/>
      <c r="AW429"/>
      <c r="FY429" s="210">
        <v>424</v>
      </c>
      <c r="FZ429" s="205"/>
      <c r="GA429" s="205"/>
      <c r="GB429" s="205"/>
      <c r="GC429" s="205"/>
      <c r="GD429" s="205"/>
      <c r="GE429" s="205"/>
      <c r="GF429" s="205"/>
      <c r="GG429" s="205"/>
      <c r="GH429" s="205"/>
      <c r="GI429" s="205"/>
      <c r="GJ429" s="205"/>
      <c r="GK429" s="205"/>
      <c r="GL429" s="205"/>
      <c r="GM429" s="205"/>
    </row>
    <row r="430" spans="1:195" s="7" customFormat="1">
      <c r="A430" s="128" t="s">
        <v>18</v>
      </c>
      <c r="B430" s="48" t="s">
        <v>120</v>
      </c>
      <c r="C430" s="107">
        <f t="shared" si="379"/>
        <v>3.4684324596644074</v>
      </c>
      <c r="D430" s="191">
        <f>A$412</f>
        <v>4</v>
      </c>
      <c r="E430" s="8"/>
      <c r="F430" s="124"/>
      <c r="G430" s="107">
        <f t="shared" si="381"/>
        <v>0</v>
      </c>
      <c r="H430" s="107">
        <f t="shared" ref="H430:V430" si="394">(($A$453-$A$455*LN(H$422)+($A$457*$D430))*($E28*H44))</f>
        <v>0</v>
      </c>
      <c r="I430" s="107">
        <f t="shared" si="394"/>
        <v>0</v>
      </c>
      <c r="J430" s="107">
        <f t="shared" si="394"/>
        <v>0.38995072767155164</v>
      </c>
      <c r="K430" s="107">
        <f t="shared" si="394"/>
        <v>0</v>
      </c>
      <c r="L430" s="107">
        <f t="shared" si="394"/>
        <v>2.4066793316232585E-2</v>
      </c>
      <c r="M430" s="107">
        <f t="shared" si="394"/>
        <v>0.32712215668888622</v>
      </c>
      <c r="N430" s="107">
        <f t="shared" si="394"/>
        <v>0.84064902975928191</v>
      </c>
      <c r="O430" s="107">
        <f t="shared" si="394"/>
        <v>0.35826084806672231</v>
      </c>
      <c r="P430" s="107">
        <f t="shared" si="394"/>
        <v>1.4778355802764658</v>
      </c>
      <c r="Q430" s="107">
        <f t="shared" si="394"/>
        <v>5.0547323885266893E-2</v>
      </c>
      <c r="R430" s="107">
        <f t="shared" si="394"/>
        <v>0</v>
      </c>
      <c r="S430" s="107">
        <f t="shared" si="394"/>
        <v>0</v>
      </c>
      <c r="T430" s="107">
        <f t="shared" si="394"/>
        <v>0</v>
      </c>
      <c r="U430" s="107">
        <f t="shared" si="394"/>
        <v>0</v>
      </c>
      <c r="V430" s="107">
        <f t="shared" si="394"/>
        <v>0</v>
      </c>
      <c r="W430" s="107">
        <f t="shared" ref="W430:AK430" si="395">(($A$453-$A$455*LN(W$422)+($A$457*$D430))*($E28*W44))</f>
        <v>0</v>
      </c>
      <c r="X430" s="107">
        <f t="shared" si="395"/>
        <v>0</v>
      </c>
      <c r="Y430" s="107">
        <f t="shared" si="395"/>
        <v>0</v>
      </c>
      <c r="Z430" s="107">
        <f t="shared" si="395"/>
        <v>0</v>
      </c>
      <c r="AA430" s="107">
        <f t="shared" si="395"/>
        <v>0</v>
      </c>
      <c r="AB430" s="107">
        <f t="shared" si="395"/>
        <v>0</v>
      </c>
      <c r="AC430" s="107">
        <f t="shared" si="395"/>
        <v>0</v>
      </c>
      <c r="AD430" s="107">
        <f t="shared" si="395"/>
        <v>0</v>
      </c>
      <c r="AE430" s="107">
        <f t="shared" si="395"/>
        <v>0</v>
      </c>
      <c r="AF430" s="107">
        <f t="shared" si="395"/>
        <v>0</v>
      </c>
      <c r="AG430" s="107">
        <f t="shared" si="395"/>
        <v>0</v>
      </c>
      <c r="AH430" s="107">
        <f t="shared" si="395"/>
        <v>0</v>
      </c>
      <c r="AI430" s="107">
        <f t="shared" si="395"/>
        <v>0</v>
      </c>
      <c r="AJ430" s="107">
        <f t="shared" si="395"/>
        <v>0</v>
      </c>
      <c r="AK430" s="107">
        <f t="shared" si="395"/>
        <v>0</v>
      </c>
      <c r="AL430" s="4"/>
      <c r="AM430" s="43">
        <v>414</v>
      </c>
      <c r="AN430"/>
      <c r="AO430"/>
      <c r="AP430"/>
      <c r="AQ430"/>
      <c r="AR430"/>
      <c r="AS430"/>
      <c r="AT430"/>
      <c r="AU430"/>
      <c r="AV430"/>
      <c r="AW430"/>
      <c r="FY430" s="210">
        <v>425</v>
      </c>
      <c r="FZ430" s="205"/>
      <c r="GA430" s="205"/>
      <c r="GB430" s="205"/>
      <c r="GC430" s="205"/>
      <c r="GD430" s="205"/>
      <c r="GE430" s="205"/>
      <c r="GF430" s="205"/>
      <c r="GG430" s="205"/>
      <c r="GH430" s="205"/>
      <c r="GI430" s="205"/>
      <c r="GJ430" s="205"/>
      <c r="GK430" s="205"/>
      <c r="GL430" s="205"/>
      <c r="GM430" s="205"/>
    </row>
    <row r="431" spans="1:195" s="7" customFormat="1">
      <c r="A431" s="128" t="s">
        <v>17</v>
      </c>
      <c r="B431" s="48" t="s">
        <v>121</v>
      </c>
      <c r="C431" s="107">
        <f t="shared" si="379"/>
        <v>1.9665142201693628</v>
      </c>
      <c r="D431" s="191">
        <f>A$413</f>
        <v>7.33</v>
      </c>
      <c r="E431" s="8"/>
      <c r="F431" s="124"/>
      <c r="G431" s="107">
        <f t="shared" si="381"/>
        <v>0</v>
      </c>
      <c r="H431" s="107">
        <f t="shared" ref="H431:V431" si="396">(($A$453-$A$455*LN(H$422)+($A$457*$D431))*($E29*H45))</f>
        <v>0</v>
      </c>
      <c r="I431" s="107">
        <f t="shared" si="396"/>
        <v>0</v>
      </c>
      <c r="J431" s="107">
        <f t="shared" si="396"/>
        <v>2.3262739058904847E-2</v>
      </c>
      <c r="K431" s="107">
        <f t="shared" si="396"/>
        <v>0</v>
      </c>
      <c r="L431" s="107">
        <f t="shared" si="396"/>
        <v>4.0022672916227485E-2</v>
      </c>
      <c r="M431" s="107">
        <f t="shared" si="396"/>
        <v>0</v>
      </c>
      <c r="N431" s="107">
        <f t="shared" si="396"/>
        <v>0.28607670347161096</v>
      </c>
      <c r="O431" s="107">
        <f t="shared" si="396"/>
        <v>0.59340029574552655</v>
      </c>
      <c r="P431" s="107">
        <f t="shared" si="396"/>
        <v>0</v>
      </c>
      <c r="Q431" s="107">
        <f t="shared" si="396"/>
        <v>0.16713216384074175</v>
      </c>
      <c r="R431" s="107">
        <f t="shared" si="396"/>
        <v>0.27740359451105745</v>
      </c>
      <c r="S431" s="107">
        <f t="shared" si="396"/>
        <v>0</v>
      </c>
      <c r="T431" s="107">
        <f t="shared" si="396"/>
        <v>0.22083674454994759</v>
      </c>
      <c r="U431" s="107">
        <f t="shared" si="396"/>
        <v>0.35837930607534652</v>
      </c>
      <c r="V431" s="107">
        <f t="shared" si="396"/>
        <v>0</v>
      </c>
      <c r="W431" s="107">
        <f t="shared" ref="W431:AK431" si="397">(($A$453-$A$455*LN(W$422)+($A$457*$D431))*($E29*W45))</f>
        <v>0</v>
      </c>
      <c r="X431" s="107">
        <f t="shared" si="397"/>
        <v>0</v>
      </c>
      <c r="Y431" s="107">
        <f t="shared" si="397"/>
        <v>0</v>
      </c>
      <c r="Z431" s="107">
        <f t="shared" si="397"/>
        <v>0</v>
      </c>
      <c r="AA431" s="107">
        <f t="shared" si="397"/>
        <v>0</v>
      </c>
      <c r="AB431" s="107">
        <f t="shared" si="397"/>
        <v>0</v>
      </c>
      <c r="AC431" s="107">
        <f t="shared" si="397"/>
        <v>0</v>
      </c>
      <c r="AD431" s="107">
        <f t="shared" si="397"/>
        <v>0</v>
      </c>
      <c r="AE431" s="107">
        <f t="shared" si="397"/>
        <v>0</v>
      </c>
      <c r="AF431" s="107">
        <f t="shared" si="397"/>
        <v>0</v>
      </c>
      <c r="AG431" s="107">
        <f t="shared" si="397"/>
        <v>0</v>
      </c>
      <c r="AH431" s="107">
        <f t="shared" si="397"/>
        <v>0</v>
      </c>
      <c r="AI431" s="107">
        <f t="shared" si="397"/>
        <v>0</v>
      </c>
      <c r="AJ431" s="107">
        <f t="shared" si="397"/>
        <v>0</v>
      </c>
      <c r="AK431" s="107">
        <f t="shared" si="397"/>
        <v>0</v>
      </c>
      <c r="AL431" s="4"/>
      <c r="AM431" s="43">
        <v>415</v>
      </c>
      <c r="AN431"/>
      <c r="AO431"/>
      <c r="AP431"/>
      <c r="AQ431"/>
      <c r="AR431"/>
      <c r="AS431"/>
      <c r="AT431"/>
      <c r="AU431"/>
      <c r="AV431"/>
      <c r="AW431"/>
      <c r="FY431" s="210">
        <v>426</v>
      </c>
      <c r="FZ431" s="205"/>
      <c r="GA431" s="205"/>
      <c r="GB431" s="205"/>
      <c r="GC431" s="205"/>
      <c r="GD431" s="205"/>
      <c r="GE431" s="205"/>
      <c r="GF431" s="205"/>
      <c r="GG431" s="205"/>
      <c r="GH431" s="205"/>
      <c r="GI431" s="205"/>
      <c r="GJ431" s="205"/>
      <c r="GK431" s="205"/>
      <c r="GL431" s="205"/>
      <c r="GM431" s="205"/>
    </row>
    <row r="432" spans="1:195" s="7" customFormat="1">
      <c r="A432" s="4"/>
      <c r="B432" s="48" t="s">
        <v>122</v>
      </c>
      <c r="C432" s="107">
        <f t="shared" si="379"/>
        <v>4.3826779342097932</v>
      </c>
      <c r="D432" s="191">
        <f>A$414</f>
        <v>10.51</v>
      </c>
      <c r="E432" s="8"/>
      <c r="F432" s="124"/>
      <c r="G432" s="107">
        <f t="shared" si="381"/>
        <v>0</v>
      </c>
      <c r="H432" s="107">
        <f t="shared" ref="H432:V432" si="398">(($A$453-$A$455*LN(H$422)+($A$457*$D432))*($E30*H46))</f>
        <v>1.6341079165384614E-2</v>
      </c>
      <c r="I432" s="107">
        <f t="shared" si="398"/>
        <v>0.38556718731590195</v>
      </c>
      <c r="J432" s="107">
        <f t="shared" si="398"/>
        <v>0.45812724775054503</v>
      </c>
      <c r="K432" s="107">
        <f t="shared" si="398"/>
        <v>0.6728692208119782</v>
      </c>
      <c r="L432" s="107">
        <f t="shared" si="398"/>
        <v>0.66861899619480025</v>
      </c>
      <c r="M432" s="107">
        <f t="shared" si="398"/>
        <v>0.82202573270210355</v>
      </c>
      <c r="N432" s="107">
        <f t="shared" si="398"/>
        <v>0.48479440267969115</v>
      </c>
      <c r="O432" s="107">
        <f t="shared" si="398"/>
        <v>0.18921964392518487</v>
      </c>
      <c r="P432" s="107">
        <f t="shared" si="398"/>
        <v>0.44331094858136944</v>
      </c>
      <c r="Q432" s="107">
        <f t="shared" si="398"/>
        <v>5.8779896348367063E-2</v>
      </c>
      <c r="R432" s="107">
        <f t="shared" si="398"/>
        <v>8.1275428480884843E-2</v>
      </c>
      <c r="S432" s="107">
        <f t="shared" si="398"/>
        <v>0</v>
      </c>
      <c r="T432" s="107">
        <f t="shared" si="398"/>
        <v>3.8799348997839732E-2</v>
      </c>
      <c r="U432" s="107">
        <f t="shared" si="398"/>
        <v>6.2948801255742121E-2</v>
      </c>
      <c r="V432" s="107">
        <f t="shared" si="398"/>
        <v>0</v>
      </c>
      <c r="W432" s="107">
        <f t="shared" ref="W432:AK432" si="399">(($A$453-$A$455*LN(W$422)+($A$457*$D432))*($E30*W46))</f>
        <v>0</v>
      </c>
      <c r="X432" s="107">
        <f t="shared" si="399"/>
        <v>0</v>
      </c>
      <c r="Y432" s="107">
        <f t="shared" si="399"/>
        <v>0</v>
      </c>
      <c r="Z432" s="107">
        <f t="shared" si="399"/>
        <v>0</v>
      </c>
      <c r="AA432" s="107">
        <f t="shared" si="399"/>
        <v>0</v>
      </c>
      <c r="AB432" s="107">
        <f t="shared" si="399"/>
        <v>0</v>
      </c>
      <c r="AC432" s="107">
        <f t="shared" si="399"/>
        <v>0</v>
      </c>
      <c r="AD432" s="107">
        <f t="shared" si="399"/>
        <v>0</v>
      </c>
      <c r="AE432" s="107">
        <f t="shared" si="399"/>
        <v>0</v>
      </c>
      <c r="AF432" s="107">
        <f t="shared" si="399"/>
        <v>0</v>
      </c>
      <c r="AG432" s="107">
        <f t="shared" si="399"/>
        <v>0</v>
      </c>
      <c r="AH432" s="107">
        <f t="shared" si="399"/>
        <v>0</v>
      </c>
      <c r="AI432" s="107">
        <f t="shared" si="399"/>
        <v>0</v>
      </c>
      <c r="AJ432" s="107">
        <f t="shared" si="399"/>
        <v>0</v>
      </c>
      <c r="AK432" s="107">
        <f t="shared" si="399"/>
        <v>0</v>
      </c>
      <c r="AL432" s="4"/>
      <c r="AM432" s="43">
        <v>416</v>
      </c>
      <c r="AN432"/>
      <c r="AO432"/>
      <c r="AP432"/>
      <c r="AQ432"/>
      <c r="AR432"/>
      <c r="AS432"/>
      <c r="AT432"/>
      <c r="AU432"/>
      <c r="AV432"/>
      <c r="AW432"/>
      <c r="FY432" s="210">
        <v>427</v>
      </c>
      <c r="FZ432" s="205"/>
      <c r="GA432" s="205"/>
      <c r="GB432" s="205"/>
      <c r="GC432" s="205"/>
      <c r="GD432" s="205"/>
      <c r="GE432" s="205"/>
      <c r="GF432" s="205"/>
      <c r="GG432" s="205"/>
      <c r="GH432" s="205"/>
      <c r="GI432" s="205"/>
      <c r="GJ432" s="205"/>
      <c r="GK432" s="205"/>
      <c r="GL432" s="205"/>
      <c r="GM432" s="205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/>
      <c r="AO433"/>
      <c r="AP433"/>
      <c r="AQ433"/>
      <c r="AR433"/>
      <c r="AS433"/>
      <c r="AT433"/>
      <c r="AU433"/>
      <c r="AV433"/>
      <c r="AW433"/>
      <c r="FY433" s="210">
        <v>428</v>
      </c>
      <c r="FZ433" s="205"/>
      <c r="GA433" s="205"/>
      <c r="GB433" s="205"/>
      <c r="GC433" s="205"/>
      <c r="GD433" s="205"/>
      <c r="GE433" s="205"/>
      <c r="GF433" s="205"/>
      <c r="GG433" s="205"/>
      <c r="GH433" s="205"/>
      <c r="GI433" s="205"/>
      <c r="GJ433" s="205"/>
      <c r="GK433" s="205"/>
      <c r="GL433" s="205"/>
      <c r="GM433" s="205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/>
      <c r="AO434"/>
      <c r="AP434"/>
      <c r="AQ434"/>
      <c r="AR434"/>
      <c r="AS434"/>
      <c r="AT434"/>
      <c r="AU434"/>
      <c r="AV434"/>
      <c r="AW434"/>
      <c r="FY434" s="210">
        <v>429</v>
      </c>
      <c r="FZ434" s="205"/>
      <c r="GA434" s="205"/>
      <c r="GB434" s="205"/>
      <c r="GC434" s="205"/>
      <c r="GD434" s="205"/>
      <c r="GE434" s="205"/>
      <c r="GF434" s="205"/>
      <c r="GG434" s="205"/>
      <c r="GH434" s="205"/>
      <c r="GI434" s="205"/>
      <c r="GJ434" s="205"/>
      <c r="GK434" s="205"/>
      <c r="GL434" s="205"/>
      <c r="GM434" s="205"/>
    </row>
    <row r="435" spans="1:195" s="7" customFormat="1">
      <c r="A435" s="4"/>
      <c r="B435" s="52" t="s">
        <v>53</v>
      </c>
      <c r="C435" s="53" t="e">
        <f>SUM(C423:C434)</f>
        <v>#NUM!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/>
      <c r="AO435"/>
      <c r="AP435"/>
      <c r="AQ435"/>
      <c r="AR435"/>
      <c r="AS435"/>
      <c r="AT435"/>
      <c r="AU435"/>
      <c r="AV435"/>
      <c r="AW435"/>
      <c r="FY435" s="210">
        <v>430</v>
      </c>
      <c r="FZ435" s="205"/>
      <c r="GA435" s="205"/>
      <c r="GB435" s="205"/>
      <c r="GC435" s="205"/>
      <c r="GD435" s="205"/>
      <c r="GE435" s="205"/>
      <c r="GF435" s="205"/>
      <c r="GG435" s="205"/>
      <c r="GH435" s="205"/>
      <c r="GI435" s="205"/>
      <c r="GJ435" s="205"/>
      <c r="GK435" s="205"/>
      <c r="GL435" s="205"/>
      <c r="GM435" s="20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/>
      <c r="AO436"/>
      <c r="AP436"/>
      <c r="AQ436"/>
      <c r="AR436"/>
      <c r="AS436"/>
      <c r="AT436"/>
      <c r="AU436"/>
      <c r="AV436"/>
      <c r="AW436"/>
      <c r="FY436" s="210">
        <v>431</v>
      </c>
      <c r="FZ436" s="205"/>
      <c r="GA436" s="205"/>
      <c r="GB436" s="205"/>
      <c r="GC436" s="205"/>
      <c r="GD436" s="205"/>
      <c r="GE436" s="205"/>
      <c r="GF436" s="205"/>
      <c r="GG436" s="205"/>
      <c r="GH436" s="205"/>
      <c r="GI436" s="205"/>
      <c r="GJ436" s="205"/>
      <c r="GK436" s="205"/>
      <c r="GL436" s="205"/>
      <c r="GM436" s="205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/>
      <c r="AO437"/>
      <c r="AP437"/>
      <c r="AQ437"/>
      <c r="AR437"/>
      <c r="AS437"/>
      <c r="AT437"/>
      <c r="AU437"/>
      <c r="AV437"/>
      <c r="AW437"/>
      <c r="FY437" s="210">
        <v>432</v>
      </c>
      <c r="FZ437" s="205"/>
      <c r="GA437" s="205"/>
      <c r="GB437" s="205"/>
      <c r="GC437" s="205"/>
      <c r="GD437" s="205"/>
      <c r="GE437" s="205"/>
      <c r="GF437" s="205"/>
      <c r="GG437" s="205"/>
      <c r="GH437" s="205"/>
      <c r="GI437" s="205"/>
      <c r="GJ437" s="205"/>
      <c r="GK437" s="205"/>
      <c r="GL437" s="205"/>
      <c r="GM437" s="205"/>
    </row>
    <row r="438" spans="1:195" s="7" customFormat="1">
      <c r="A438" s="1">
        <f>SUM(E4:E15)</f>
        <v>100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/>
      <c r="AO438"/>
      <c r="AP438"/>
      <c r="AQ438"/>
      <c r="AR438"/>
      <c r="AS438"/>
      <c r="AT438"/>
      <c r="AU438"/>
      <c r="AV438"/>
      <c r="AW438"/>
      <c r="FY438" s="210">
        <v>433</v>
      </c>
      <c r="FZ438" s="205"/>
      <c r="GA438" s="205"/>
      <c r="GB438" s="205"/>
      <c r="GC438" s="205"/>
      <c r="GD438" s="205"/>
      <c r="GE438" s="205"/>
      <c r="GF438" s="205"/>
      <c r="GG438" s="205"/>
      <c r="GH438" s="205"/>
      <c r="GI438" s="205"/>
      <c r="GJ438" s="205"/>
      <c r="GK438" s="205"/>
      <c r="GL438" s="205"/>
      <c r="GM438" s="205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/>
      <c r="AO439"/>
      <c r="AP439"/>
      <c r="AQ439"/>
      <c r="AR439"/>
      <c r="AS439"/>
      <c r="AT439"/>
      <c r="AU439"/>
      <c r="AV439"/>
      <c r="AW439"/>
      <c r="FY439" s="210">
        <v>434</v>
      </c>
      <c r="FZ439" s="205"/>
      <c r="GA439" s="205"/>
      <c r="GB439" s="205"/>
      <c r="GC439" s="205"/>
      <c r="GD439" s="205"/>
      <c r="GE439" s="205"/>
      <c r="GF439" s="205"/>
      <c r="GG439" s="205"/>
      <c r="GH439" s="205"/>
      <c r="GI439" s="205"/>
      <c r="GJ439" s="205"/>
      <c r="GK439" s="205"/>
      <c r="GL439" s="205"/>
      <c r="GM439" s="205"/>
    </row>
    <row r="440" spans="1:195" s="7" customFormat="1">
      <c r="A440" s="1">
        <v>30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/>
      <c r="AO440"/>
      <c r="AP440"/>
      <c r="AQ440"/>
      <c r="AR440"/>
      <c r="AS440"/>
      <c r="AT440"/>
      <c r="AU440"/>
      <c r="AV440"/>
      <c r="AW440"/>
      <c r="FY440" s="210">
        <v>435</v>
      </c>
      <c r="FZ440" s="205"/>
      <c r="GA440" s="205"/>
      <c r="GB440" s="205"/>
      <c r="GC440" s="205"/>
      <c r="GD440" s="205"/>
      <c r="GE440" s="205"/>
      <c r="GF440" s="205"/>
      <c r="GG440" s="205"/>
      <c r="GH440" s="205"/>
      <c r="GI440" s="205"/>
      <c r="GJ440" s="205"/>
      <c r="GK440" s="205"/>
      <c r="GL440" s="205"/>
      <c r="GM440" s="205"/>
    </row>
    <row r="441" spans="1:195" s="7" customFormat="1">
      <c r="A441" s="21" t="s">
        <v>97</v>
      </c>
      <c r="B441" s="48" t="s">
        <v>38</v>
      </c>
      <c r="C441" s="107" t="e">
        <f t="shared" ref="C441:C450" si="400">SUM(G441:AK441)</f>
        <v>#NUM!</v>
      </c>
      <c r="D441" s="191">
        <f>$A$405</f>
        <v>13.69</v>
      </c>
      <c r="E441" s="8"/>
      <c r="F441" s="124"/>
      <c r="G441" s="107" t="e">
        <f t="shared" ref="G441:G450" si="401">IF(G423&lt;=0, "0.000", G423)</f>
        <v>#NUM!</v>
      </c>
      <c r="H441" s="107">
        <f t="shared" ref="H441:AK441" si="402">IF(H423&lt;=0, "0.000", H423)</f>
        <v>5.5771912125000003E-2</v>
      </c>
      <c r="I441" s="107">
        <f t="shared" si="402"/>
        <v>2.0111257449021083</v>
      </c>
      <c r="J441" s="107">
        <f t="shared" si="402"/>
        <v>0.85672198678603739</v>
      </c>
      <c r="K441" s="107">
        <f t="shared" si="402"/>
        <v>4.0228863386275973E-2</v>
      </c>
      <c r="L441" s="107">
        <f t="shared" si="402"/>
        <v>0.15278212681536993</v>
      </c>
      <c r="M441" s="107">
        <f t="shared" si="402"/>
        <v>0.12349759595935818</v>
      </c>
      <c r="N441" s="107">
        <f t="shared" si="402"/>
        <v>0.14534699602350482</v>
      </c>
      <c r="O441" s="107">
        <f t="shared" si="402"/>
        <v>0.16737477234857498</v>
      </c>
      <c r="P441" s="107">
        <f t="shared" si="402"/>
        <v>9.4779840777727914E-2</v>
      </c>
      <c r="Q441" s="107">
        <f t="shared" si="402"/>
        <v>0.21188511633587986</v>
      </c>
      <c r="R441" s="107">
        <f t="shared" si="402"/>
        <v>0.23433772550084933</v>
      </c>
      <c r="S441" s="107" t="str">
        <f t="shared" si="402"/>
        <v>0.000</v>
      </c>
      <c r="T441" s="107" t="str">
        <f t="shared" si="402"/>
        <v>0.000</v>
      </c>
      <c r="U441" s="107" t="str">
        <f t="shared" si="402"/>
        <v>0.000</v>
      </c>
      <c r="V441" s="107" t="str">
        <f t="shared" si="402"/>
        <v>0.000</v>
      </c>
      <c r="W441" s="107" t="str">
        <f t="shared" si="402"/>
        <v>0.000</v>
      </c>
      <c r="X441" s="107" t="str">
        <f t="shared" si="402"/>
        <v>0.000</v>
      </c>
      <c r="Y441" s="107" t="str">
        <f t="shared" si="402"/>
        <v>0.000</v>
      </c>
      <c r="Z441" s="107" t="str">
        <f t="shared" si="402"/>
        <v>0.000</v>
      </c>
      <c r="AA441" s="107" t="str">
        <f t="shared" si="402"/>
        <v>0.000</v>
      </c>
      <c r="AB441" s="107" t="str">
        <f t="shared" si="402"/>
        <v>0.000</v>
      </c>
      <c r="AC441" s="107" t="str">
        <f t="shared" si="402"/>
        <v>0.000</v>
      </c>
      <c r="AD441" s="107" t="str">
        <f t="shared" si="402"/>
        <v>0.000</v>
      </c>
      <c r="AE441" s="107" t="str">
        <f t="shared" si="402"/>
        <v>0.000</v>
      </c>
      <c r="AF441" s="107" t="str">
        <f t="shared" si="402"/>
        <v>0.000</v>
      </c>
      <c r="AG441" s="107" t="str">
        <f t="shared" si="402"/>
        <v>0.000</v>
      </c>
      <c r="AH441" s="107" t="str">
        <f t="shared" si="402"/>
        <v>0.000</v>
      </c>
      <c r="AI441" s="107" t="str">
        <f t="shared" si="402"/>
        <v>0.000</v>
      </c>
      <c r="AJ441" s="107" t="str">
        <f t="shared" si="402"/>
        <v>0.000</v>
      </c>
      <c r="AK441" s="107" t="str">
        <f t="shared" si="402"/>
        <v>0.000</v>
      </c>
      <c r="AL441" s="4"/>
      <c r="AM441" s="43">
        <v>425</v>
      </c>
      <c r="AN441"/>
      <c r="AO441"/>
      <c r="AP441"/>
      <c r="AQ441"/>
      <c r="AR441"/>
      <c r="AS441"/>
      <c r="AT441"/>
      <c r="AU441"/>
      <c r="AV441"/>
      <c r="AW441"/>
      <c r="FY441" s="210">
        <v>436</v>
      </c>
      <c r="FZ441" s="205"/>
      <c r="GA441" s="205"/>
      <c r="GB441" s="205"/>
      <c r="GC441" s="205"/>
      <c r="GD441" s="205"/>
      <c r="GE441" s="205"/>
      <c r="GF441" s="205"/>
      <c r="GG441" s="205"/>
      <c r="GH441" s="205"/>
      <c r="GI441" s="205"/>
      <c r="GJ441" s="205"/>
      <c r="GK441" s="205"/>
      <c r="GL441" s="205"/>
      <c r="GM441" s="205"/>
    </row>
    <row r="442" spans="1:195" s="7" customFormat="1">
      <c r="A442" s="1">
        <v>200</v>
      </c>
      <c r="B442" s="48" t="s">
        <v>39</v>
      </c>
      <c r="C442" s="107">
        <f t="shared" si="400"/>
        <v>7.1783775358237136</v>
      </c>
      <c r="D442" s="191">
        <f>$A$406</f>
        <v>9.4499999999999993</v>
      </c>
      <c r="E442" s="8"/>
      <c r="F442" s="124"/>
      <c r="G442" s="173" t="str">
        <f t="shared" si="401"/>
        <v>0.000</v>
      </c>
      <c r="H442" s="173" t="str">
        <f t="shared" ref="H442:V442" si="403">IF(H424&lt;=0, "0.000", H424)</f>
        <v>0.000</v>
      </c>
      <c r="I442" s="173">
        <f t="shared" si="403"/>
        <v>0.84728164268337769</v>
      </c>
      <c r="J442" s="173">
        <f t="shared" si="403"/>
        <v>1.9963564016313289</v>
      </c>
      <c r="K442" s="173">
        <f t="shared" si="403"/>
        <v>3.6614658234816697</v>
      </c>
      <c r="L442" s="173">
        <f t="shared" si="403"/>
        <v>0.21826517092827777</v>
      </c>
      <c r="M442" s="173" t="str">
        <f t="shared" si="403"/>
        <v>0.000</v>
      </c>
      <c r="N442" s="173" t="str">
        <f t="shared" si="403"/>
        <v>0.000</v>
      </c>
      <c r="O442" s="173" t="str">
        <f t="shared" si="403"/>
        <v>0.000</v>
      </c>
      <c r="P442" s="173">
        <f t="shared" si="403"/>
        <v>0.10172046496487394</v>
      </c>
      <c r="Q442" s="173">
        <f t="shared" si="403"/>
        <v>0.22746836322115105</v>
      </c>
      <c r="R442" s="173">
        <f t="shared" si="403"/>
        <v>0.12581966891303512</v>
      </c>
      <c r="S442" s="173" t="str">
        <f t="shared" si="403"/>
        <v>0.000</v>
      </c>
      <c r="T442" s="173" t="str">
        <f t="shared" si="403"/>
        <v>0.000</v>
      </c>
      <c r="U442" s="173" t="str">
        <f t="shared" si="403"/>
        <v>0.000</v>
      </c>
      <c r="V442" s="173" t="str">
        <f t="shared" si="403"/>
        <v>0.000</v>
      </c>
      <c r="W442" s="173" t="str">
        <f t="shared" ref="W442:AK442" si="404">IF(W424&lt;=0, "0.000", W424)</f>
        <v>0.000</v>
      </c>
      <c r="X442" s="173" t="str">
        <f t="shared" si="404"/>
        <v>0.000</v>
      </c>
      <c r="Y442" s="173" t="str">
        <f t="shared" si="404"/>
        <v>0.000</v>
      </c>
      <c r="Z442" s="173" t="str">
        <f t="shared" si="404"/>
        <v>0.000</v>
      </c>
      <c r="AA442" s="173" t="str">
        <f t="shared" si="404"/>
        <v>0.000</v>
      </c>
      <c r="AB442" s="173" t="str">
        <f t="shared" si="404"/>
        <v>0.000</v>
      </c>
      <c r="AC442" s="173" t="str">
        <f t="shared" si="404"/>
        <v>0.000</v>
      </c>
      <c r="AD442" s="173" t="str">
        <f t="shared" si="404"/>
        <v>0.000</v>
      </c>
      <c r="AE442" s="173" t="str">
        <f t="shared" si="404"/>
        <v>0.000</v>
      </c>
      <c r="AF442" s="173" t="str">
        <f t="shared" si="404"/>
        <v>0.000</v>
      </c>
      <c r="AG442" s="173" t="str">
        <f t="shared" si="404"/>
        <v>0.000</v>
      </c>
      <c r="AH442" s="173" t="str">
        <f t="shared" si="404"/>
        <v>0.000</v>
      </c>
      <c r="AI442" s="173" t="str">
        <f t="shared" si="404"/>
        <v>0.000</v>
      </c>
      <c r="AJ442" s="173" t="str">
        <f t="shared" si="404"/>
        <v>0.000</v>
      </c>
      <c r="AK442" s="173" t="str">
        <f t="shared" si="404"/>
        <v>0.000</v>
      </c>
      <c r="AL442" s="4"/>
      <c r="AM442" s="43">
        <v>426</v>
      </c>
      <c r="AN442"/>
      <c r="AO442"/>
      <c r="AP442"/>
      <c r="AQ442"/>
      <c r="AR442"/>
      <c r="AS442"/>
      <c r="AT442"/>
      <c r="AU442"/>
      <c r="AV442"/>
      <c r="AW442"/>
      <c r="FY442" s="210">
        <v>437</v>
      </c>
      <c r="FZ442" s="205"/>
      <c r="GA442" s="205"/>
      <c r="GB442" s="205"/>
      <c r="GC442" s="205"/>
      <c r="GD442" s="205"/>
      <c r="GE442" s="205"/>
      <c r="GF442" s="205"/>
      <c r="GG442" s="205"/>
      <c r="GH442" s="205"/>
      <c r="GI442" s="205"/>
      <c r="GJ442" s="205"/>
      <c r="GK442" s="205"/>
      <c r="GL442" s="205"/>
      <c r="GM442" s="205"/>
    </row>
    <row r="443" spans="1:195" s="7" customFormat="1">
      <c r="A443" s="103" t="s">
        <v>98</v>
      </c>
      <c r="B443" s="48" t="s">
        <v>40</v>
      </c>
      <c r="C443" s="107">
        <f t="shared" si="400"/>
        <v>3.1874978515984767</v>
      </c>
      <c r="D443" s="191">
        <f>A$407</f>
        <v>4.03</v>
      </c>
      <c r="E443" s="8"/>
      <c r="F443" s="124"/>
      <c r="G443" s="173" t="str">
        <f t="shared" si="401"/>
        <v>0.000</v>
      </c>
      <c r="H443" s="173">
        <f t="shared" ref="H443:V443" si="405">IF(H425&lt;=0, "0.000", H425)</f>
        <v>2.4610592848557693E-2</v>
      </c>
      <c r="I443" s="173">
        <f t="shared" si="405"/>
        <v>5.1709796398928948E-2</v>
      </c>
      <c r="J443" s="173">
        <f t="shared" si="405"/>
        <v>0.60090969474684064</v>
      </c>
      <c r="K443" s="173">
        <f t="shared" si="405"/>
        <v>1.4363385756805824</v>
      </c>
      <c r="L443" s="173">
        <f t="shared" si="405"/>
        <v>0.39963047061217494</v>
      </c>
      <c r="M443" s="173">
        <f t="shared" si="405"/>
        <v>0.44726751232814288</v>
      </c>
      <c r="N443" s="173">
        <f t="shared" si="405"/>
        <v>0.22703120898324955</v>
      </c>
      <c r="O443" s="173" t="str">
        <f t="shared" si="405"/>
        <v>0.000</v>
      </c>
      <c r="P443" s="173" t="str">
        <f t="shared" si="405"/>
        <v>0.000</v>
      </c>
      <c r="Q443" s="173" t="str">
        <f t="shared" si="405"/>
        <v>0.000</v>
      </c>
      <c r="R443" s="173" t="str">
        <f t="shared" si="405"/>
        <v>0.000</v>
      </c>
      <c r="S443" s="173" t="str">
        <f t="shared" si="405"/>
        <v>0.000</v>
      </c>
      <c r="T443" s="173" t="str">
        <f t="shared" si="405"/>
        <v>0.000</v>
      </c>
      <c r="U443" s="173" t="str">
        <f t="shared" si="405"/>
        <v>0.000</v>
      </c>
      <c r="V443" s="173" t="str">
        <f t="shared" si="405"/>
        <v>0.000</v>
      </c>
      <c r="W443" s="173" t="str">
        <f t="shared" ref="W443:AK443" si="406">IF(W425&lt;=0, "0.000", W425)</f>
        <v>0.000</v>
      </c>
      <c r="X443" s="173" t="str">
        <f t="shared" si="406"/>
        <v>0.000</v>
      </c>
      <c r="Y443" s="173" t="str">
        <f t="shared" si="406"/>
        <v>0.000</v>
      </c>
      <c r="Z443" s="173" t="str">
        <f t="shared" si="406"/>
        <v>0.000</v>
      </c>
      <c r="AA443" s="173" t="str">
        <f t="shared" si="406"/>
        <v>0.000</v>
      </c>
      <c r="AB443" s="173" t="str">
        <f t="shared" si="406"/>
        <v>0.000</v>
      </c>
      <c r="AC443" s="173" t="str">
        <f t="shared" si="406"/>
        <v>0.000</v>
      </c>
      <c r="AD443" s="173" t="str">
        <f t="shared" si="406"/>
        <v>0.000</v>
      </c>
      <c r="AE443" s="173" t="str">
        <f t="shared" si="406"/>
        <v>0.000</v>
      </c>
      <c r="AF443" s="173" t="str">
        <f t="shared" si="406"/>
        <v>0.000</v>
      </c>
      <c r="AG443" s="173" t="str">
        <f t="shared" si="406"/>
        <v>0.000</v>
      </c>
      <c r="AH443" s="173" t="str">
        <f t="shared" si="406"/>
        <v>0.000</v>
      </c>
      <c r="AI443" s="173" t="str">
        <f t="shared" si="406"/>
        <v>0.000</v>
      </c>
      <c r="AJ443" s="173" t="str">
        <f t="shared" si="406"/>
        <v>0.000</v>
      </c>
      <c r="AK443" s="173" t="str">
        <f t="shared" si="406"/>
        <v>0.000</v>
      </c>
      <c r="AL443" s="4"/>
      <c r="AM443" s="43">
        <v>427</v>
      </c>
      <c r="AN443"/>
      <c r="AO443"/>
      <c r="AP443"/>
      <c r="AQ443"/>
      <c r="AR443"/>
      <c r="AS443"/>
      <c r="AT443"/>
      <c r="AU443"/>
      <c r="AV443"/>
      <c r="AW443"/>
      <c r="FY443" s="210">
        <v>438</v>
      </c>
      <c r="FZ443" s="205"/>
      <c r="GA443" s="205"/>
      <c r="GB443" s="205"/>
      <c r="GC443" s="205"/>
      <c r="GD443" s="205"/>
      <c r="GE443" s="205"/>
      <c r="GF443" s="205"/>
      <c r="GG443" s="205"/>
      <c r="GH443" s="205"/>
      <c r="GI443" s="205"/>
      <c r="GJ443" s="205"/>
      <c r="GK443" s="205"/>
      <c r="GL443" s="205"/>
      <c r="GM443" s="205"/>
    </row>
    <row r="444" spans="1:195" s="7" customFormat="1">
      <c r="A444" s="1">
        <v>160</v>
      </c>
      <c r="B444" s="48" t="s">
        <v>41</v>
      </c>
      <c r="C444" s="107">
        <f t="shared" si="400"/>
        <v>0.87253727333697095</v>
      </c>
      <c r="D444" s="191">
        <f>A$408</f>
        <v>0.78</v>
      </c>
      <c r="E444" s="8"/>
      <c r="F444" s="124"/>
      <c r="G444" s="173" t="str">
        <f t="shared" si="401"/>
        <v>0.000</v>
      </c>
      <c r="H444" s="173">
        <f t="shared" ref="H444:V444" si="407">IF(H426&lt;=0, "0.000", H426)</f>
        <v>6.0783557692307699E-3</v>
      </c>
      <c r="I444" s="173">
        <f t="shared" si="407"/>
        <v>1.7153652354829577E-2</v>
      </c>
      <c r="J444" s="173">
        <f t="shared" si="407"/>
        <v>5.1540617976159726E-2</v>
      </c>
      <c r="K444" s="173">
        <f t="shared" si="407"/>
        <v>0.12444706585649343</v>
      </c>
      <c r="L444" s="173">
        <f t="shared" si="407"/>
        <v>0.2706212390257951</v>
      </c>
      <c r="M444" s="173">
        <f t="shared" si="407"/>
        <v>0.31947587168677677</v>
      </c>
      <c r="N444" s="173">
        <f t="shared" si="407"/>
        <v>8.3220470667685537E-2</v>
      </c>
      <c r="O444" s="173" t="str">
        <f t="shared" si="407"/>
        <v>0.000</v>
      </c>
      <c r="P444" s="173" t="str">
        <f t="shared" si="407"/>
        <v>0.000</v>
      </c>
      <c r="Q444" s="173" t="str">
        <f t="shared" si="407"/>
        <v>0.000</v>
      </c>
      <c r="R444" s="173" t="str">
        <f t="shared" si="407"/>
        <v>0.000</v>
      </c>
      <c r="S444" s="173" t="str">
        <f t="shared" si="407"/>
        <v>0.000</v>
      </c>
      <c r="T444" s="173" t="str">
        <f t="shared" si="407"/>
        <v>0.000</v>
      </c>
      <c r="U444" s="173" t="str">
        <f t="shared" si="407"/>
        <v>0.000</v>
      </c>
      <c r="V444" s="173" t="str">
        <f t="shared" si="407"/>
        <v>0.000</v>
      </c>
      <c r="W444" s="173" t="str">
        <f t="shared" ref="W444:AK444" si="408">IF(W426&lt;=0, "0.000", W426)</f>
        <v>0.000</v>
      </c>
      <c r="X444" s="173" t="str">
        <f t="shared" si="408"/>
        <v>0.000</v>
      </c>
      <c r="Y444" s="173" t="str">
        <f t="shared" si="408"/>
        <v>0.000</v>
      </c>
      <c r="Z444" s="173" t="str">
        <f t="shared" si="408"/>
        <v>0.000</v>
      </c>
      <c r="AA444" s="173" t="str">
        <f t="shared" si="408"/>
        <v>0.000</v>
      </c>
      <c r="AB444" s="173" t="str">
        <f t="shared" si="408"/>
        <v>0.000</v>
      </c>
      <c r="AC444" s="173" t="str">
        <f t="shared" si="408"/>
        <v>0.000</v>
      </c>
      <c r="AD444" s="173" t="str">
        <f t="shared" si="408"/>
        <v>0.000</v>
      </c>
      <c r="AE444" s="173" t="str">
        <f t="shared" si="408"/>
        <v>0.000</v>
      </c>
      <c r="AF444" s="173" t="str">
        <f t="shared" si="408"/>
        <v>0.000</v>
      </c>
      <c r="AG444" s="173" t="str">
        <f t="shared" si="408"/>
        <v>0.000</v>
      </c>
      <c r="AH444" s="173" t="str">
        <f t="shared" si="408"/>
        <v>0.000</v>
      </c>
      <c r="AI444" s="173" t="str">
        <f t="shared" si="408"/>
        <v>0.000</v>
      </c>
      <c r="AJ444" s="173" t="str">
        <f t="shared" si="408"/>
        <v>0.000</v>
      </c>
      <c r="AK444" s="173" t="str">
        <f t="shared" si="408"/>
        <v>0.000</v>
      </c>
      <c r="AL444" s="4"/>
      <c r="AM444" s="43">
        <v>428</v>
      </c>
      <c r="AN444"/>
      <c r="AO444"/>
      <c r="AP444"/>
      <c r="AQ444"/>
      <c r="AR444"/>
      <c r="AS444"/>
      <c r="AT444"/>
      <c r="AU444"/>
      <c r="AV444"/>
      <c r="AW444"/>
      <c r="FY444" s="210">
        <v>439</v>
      </c>
      <c r="FZ444" s="205"/>
      <c r="GA444" s="205"/>
      <c r="GB444" s="205"/>
      <c r="GC444" s="205"/>
      <c r="GD444" s="205"/>
      <c r="GE444" s="205"/>
      <c r="GF444" s="205"/>
      <c r="GG444" s="205"/>
      <c r="GH444" s="205"/>
      <c r="GI444" s="205"/>
      <c r="GJ444" s="205"/>
      <c r="GK444" s="205"/>
      <c r="GL444" s="205"/>
      <c r="GM444" s="205"/>
    </row>
    <row r="445" spans="1:195" s="7" customFormat="1">
      <c r="A445" s="4"/>
      <c r="B445" s="48" t="s">
        <v>42</v>
      </c>
      <c r="C445" s="107">
        <f t="shared" si="400"/>
        <v>0.4037567144749345</v>
      </c>
      <c r="D445" s="191">
        <f>A$409</f>
        <v>0.14000000000000001</v>
      </c>
      <c r="E445" s="8"/>
      <c r="F445" s="124"/>
      <c r="G445" s="173" t="str">
        <f t="shared" si="401"/>
        <v>0.000</v>
      </c>
      <c r="H445" s="173" t="str">
        <f t="shared" ref="H445:V445" si="409">IF(H427&lt;=0, "0.000", H427)</f>
        <v>0.000</v>
      </c>
      <c r="I445" s="173">
        <f t="shared" si="409"/>
        <v>2.1476975579414279E-2</v>
      </c>
      <c r="J445" s="173" t="str">
        <f t="shared" si="409"/>
        <v>0.000</v>
      </c>
      <c r="K445" s="173">
        <f t="shared" si="409"/>
        <v>5.9432087638704174E-2</v>
      </c>
      <c r="L445" s="173">
        <f t="shared" si="409"/>
        <v>0.10515536459456254</v>
      </c>
      <c r="M445" s="173">
        <f t="shared" si="409"/>
        <v>0.17851270214551976</v>
      </c>
      <c r="N445" s="173">
        <f t="shared" si="409"/>
        <v>2.389168868351408E-2</v>
      </c>
      <c r="O445" s="173">
        <f t="shared" si="409"/>
        <v>1.5287895833219616E-2</v>
      </c>
      <c r="P445" s="173" t="str">
        <f t="shared" si="409"/>
        <v>0.000</v>
      </c>
      <c r="Q445" s="173" t="str">
        <f t="shared" si="409"/>
        <v>0.000</v>
      </c>
      <c r="R445" s="173" t="str">
        <f t="shared" si="409"/>
        <v>0.000</v>
      </c>
      <c r="S445" s="173" t="str">
        <f t="shared" si="409"/>
        <v>0.000</v>
      </c>
      <c r="T445" s="173" t="str">
        <f t="shared" si="409"/>
        <v>0.000</v>
      </c>
      <c r="U445" s="173" t="str">
        <f t="shared" si="409"/>
        <v>0.000</v>
      </c>
      <c r="V445" s="173" t="str">
        <f t="shared" si="409"/>
        <v>0.000</v>
      </c>
      <c r="W445" s="173" t="str">
        <f t="shared" ref="W445:AK445" si="410">IF(W427&lt;=0, "0.000", W427)</f>
        <v>0.000</v>
      </c>
      <c r="X445" s="173" t="str">
        <f t="shared" si="410"/>
        <v>0.000</v>
      </c>
      <c r="Y445" s="173" t="str">
        <f t="shared" si="410"/>
        <v>0.000</v>
      </c>
      <c r="Z445" s="173" t="str">
        <f t="shared" si="410"/>
        <v>0.000</v>
      </c>
      <c r="AA445" s="173" t="str">
        <f t="shared" si="410"/>
        <v>0.000</v>
      </c>
      <c r="AB445" s="173" t="str">
        <f t="shared" si="410"/>
        <v>0.000</v>
      </c>
      <c r="AC445" s="173" t="str">
        <f t="shared" si="410"/>
        <v>0.000</v>
      </c>
      <c r="AD445" s="173" t="str">
        <f t="shared" si="410"/>
        <v>0.000</v>
      </c>
      <c r="AE445" s="173" t="str">
        <f t="shared" si="410"/>
        <v>0.000</v>
      </c>
      <c r="AF445" s="173" t="str">
        <f t="shared" si="410"/>
        <v>0.000</v>
      </c>
      <c r="AG445" s="173" t="str">
        <f t="shared" si="410"/>
        <v>0.000</v>
      </c>
      <c r="AH445" s="173" t="str">
        <f t="shared" si="410"/>
        <v>0.000</v>
      </c>
      <c r="AI445" s="173" t="str">
        <f t="shared" si="410"/>
        <v>0.000</v>
      </c>
      <c r="AJ445" s="173" t="str">
        <f t="shared" si="410"/>
        <v>0.000</v>
      </c>
      <c r="AK445" s="173" t="str">
        <f t="shared" si="410"/>
        <v>0.000</v>
      </c>
      <c r="AL445" s="4"/>
      <c r="AM445" s="43">
        <v>429</v>
      </c>
      <c r="AN445"/>
      <c r="AO445"/>
      <c r="AP445"/>
      <c r="AQ445"/>
      <c r="AR445"/>
      <c r="AS445"/>
      <c r="AT445"/>
      <c r="AU445"/>
      <c r="AV445"/>
      <c r="AW445"/>
      <c r="FY445" s="210">
        <v>440</v>
      </c>
      <c r="FZ445" s="205"/>
      <c r="GA445" s="205"/>
      <c r="GB445" s="205"/>
      <c r="GC445" s="205"/>
      <c r="GD445" s="205"/>
      <c r="GE445" s="205"/>
      <c r="GF445" s="205"/>
      <c r="GG445" s="205"/>
      <c r="GH445" s="205"/>
      <c r="GI445" s="205"/>
      <c r="GJ445" s="205"/>
      <c r="GK445" s="205"/>
      <c r="GL445" s="205"/>
      <c r="GM445" s="205"/>
    </row>
    <row r="446" spans="1:195" s="7" customFormat="1">
      <c r="A446" s="4"/>
      <c r="B446" s="48" t="s">
        <v>118</v>
      </c>
      <c r="C446" s="107">
        <f t="shared" si="400"/>
        <v>0.70307737459054831</v>
      </c>
      <c r="D446" s="191">
        <f>A$410</f>
        <v>0.21</v>
      </c>
      <c r="E446" s="8"/>
      <c r="F446" s="124"/>
      <c r="G446" s="173" t="str">
        <f t="shared" si="401"/>
        <v>0.000</v>
      </c>
      <c r="H446" s="173" t="str">
        <f t="shared" ref="H446:V446" si="411">IF(H428&lt;=0, "0.000", H428)</f>
        <v>0.000</v>
      </c>
      <c r="I446" s="173">
        <f t="shared" si="411"/>
        <v>6.2890535155653529E-2</v>
      </c>
      <c r="J446" s="173">
        <f t="shared" si="411"/>
        <v>1.2822125987882639E-2</v>
      </c>
      <c r="K446" s="173">
        <f t="shared" si="411"/>
        <v>2.9608948169467332E-2</v>
      </c>
      <c r="L446" s="173">
        <f t="shared" si="411"/>
        <v>0.2161816153427302</v>
      </c>
      <c r="M446" s="173">
        <f t="shared" si="411"/>
        <v>0.25199782140773241</v>
      </c>
      <c r="N446" s="173">
        <f t="shared" si="411"/>
        <v>9.6616225015053417E-2</v>
      </c>
      <c r="O446" s="173">
        <f t="shared" si="411"/>
        <v>3.2960103512028882E-2</v>
      </c>
      <c r="P446" s="173" t="str">
        <f t="shared" si="411"/>
        <v>0.000</v>
      </c>
      <c r="Q446" s="173" t="str">
        <f t="shared" si="411"/>
        <v>0.000</v>
      </c>
      <c r="R446" s="173" t="str">
        <f t="shared" si="411"/>
        <v>0.000</v>
      </c>
      <c r="S446" s="173" t="str">
        <f t="shared" si="411"/>
        <v>0.000</v>
      </c>
      <c r="T446" s="173" t="str">
        <f t="shared" si="411"/>
        <v>0.000</v>
      </c>
      <c r="U446" s="173" t="str">
        <f t="shared" si="411"/>
        <v>0.000</v>
      </c>
      <c r="V446" s="173" t="str">
        <f t="shared" si="411"/>
        <v>0.000</v>
      </c>
      <c r="W446" s="173" t="str">
        <f t="shared" ref="W446:AK446" si="412">IF(W428&lt;=0, "0.000", W428)</f>
        <v>0.000</v>
      </c>
      <c r="X446" s="173" t="str">
        <f t="shared" si="412"/>
        <v>0.000</v>
      </c>
      <c r="Y446" s="173" t="str">
        <f t="shared" si="412"/>
        <v>0.000</v>
      </c>
      <c r="Z446" s="173" t="str">
        <f t="shared" si="412"/>
        <v>0.000</v>
      </c>
      <c r="AA446" s="173" t="str">
        <f t="shared" si="412"/>
        <v>0.000</v>
      </c>
      <c r="AB446" s="173" t="str">
        <f t="shared" si="412"/>
        <v>0.000</v>
      </c>
      <c r="AC446" s="173" t="str">
        <f t="shared" si="412"/>
        <v>0.000</v>
      </c>
      <c r="AD446" s="173" t="str">
        <f t="shared" si="412"/>
        <v>0.000</v>
      </c>
      <c r="AE446" s="173" t="str">
        <f t="shared" si="412"/>
        <v>0.000</v>
      </c>
      <c r="AF446" s="173" t="str">
        <f t="shared" si="412"/>
        <v>0.000</v>
      </c>
      <c r="AG446" s="173" t="str">
        <f t="shared" si="412"/>
        <v>0.000</v>
      </c>
      <c r="AH446" s="173" t="str">
        <f t="shared" si="412"/>
        <v>0.000</v>
      </c>
      <c r="AI446" s="173" t="str">
        <f t="shared" si="412"/>
        <v>0.000</v>
      </c>
      <c r="AJ446" s="173" t="str">
        <f t="shared" si="412"/>
        <v>0.000</v>
      </c>
      <c r="AK446" s="173" t="str">
        <f t="shared" si="412"/>
        <v>0.000</v>
      </c>
      <c r="AL446" s="4"/>
      <c r="AM446" s="43">
        <v>430</v>
      </c>
      <c r="AN446"/>
      <c r="AO446"/>
      <c r="AP446"/>
      <c r="AQ446"/>
      <c r="AR446"/>
      <c r="AS446"/>
      <c r="AT446"/>
      <c r="AU446"/>
      <c r="AV446"/>
      <c r="AW446"/>
      <c r="FY446" s="210">
        <v>441</v>
      </c>
      <c r="FZ446" s="205"/>
      <c r="GA446" s="205"/>
      <c r="GB446" s="205"/>
      <c r="GC446" s="205"/>
      <c r="GD446" s="205"/>
      <c r="GE446" s="205"/>
      <c r="GF446" s="205"/>
      <c r="GG446" s="205"/>
      <c r="GH446" s="205"/>
      <c r="GI446" s="205"/>
      <c r="GJ446" s="205"/>
      <c r="GK446" s="205"/>
      <c r="GL446" s="205"/>
      <c r="GM446" s="205"/>
    </row>
    <row r="447" spans="1:195" s="7" customFormat="1">
      <c r="A447" s="4"/>
      <c r="B447" s="48" t="s">
        <v>119</v>
      </c>
      <c r="C447" s="107">
        <f t="shared" si="400"/>
        <v>3.0791205718511607</v>
      </c>
      <c r="D447" s="191">
        <f>A$411</f>
        <v>1.28</v>
      </c>
      <c r="E447" s="8"/>
      <c r="F447" s="124"/>
      <c r="G447" s="173" t="str">
        <f t="shared" si="401"/>
        <v>0.000</v>
      </c>
      <c r="H447" s="173" t="str">
        <f t="shared" ref="H447:V447" si="413">IF(H429&lt;=0, "0.000", H429)</f>
        <v>0.000</v>
      </c>
      <c r="I447" s="173">
        <f t="shared" si="413"/>
        <v>5.9969816270853037E-2</v>
      </c>
      <c r="J447" s="173">
        <f t="shared" si="413"/>
        <v>0.29049785767517117</v>
      </c>
      <c r="K447" s="173">
        <f t="shared" si="413"/>
        <v>2.5718098456999284E-2</v>
      </c>
      <c r="L447" s="173">
        <f t="shared" si="413"/>
        <v>0.52589003804292034</v>
      </c>
      <c r="M447" s="173">
        <f t="shared" si="413"/>
        <v>0.44539952991766463</v>
      </c>
      <c r="N447" s="173">
        <f t="shared" si="413"/>
        <v>0.65082418995548763</v>
      </c>
      <c r="O447" s="173">
        <f t="shared" si="413"/>
        <v>5.5080934855899669E-2</v>
      </c>
      <c r="P447" s="173">
        <f t="shared" si="413"/>
        <v>1.0257401066761649</v>
      </c>
      <c r="Q447" s="173" t="str">
        <f t="shared" si="413"/>
        <v>0.000</v>
      </c>
      <c r="R447" s="173" t="str">
        <f t="shared" si="413"/>
        <v>0.000</v>
      </c>
      <c r="S447" s="173" t="str">
        <f t="shared" si="413"/>
        <v>0.000</v>
      </c>
      <c r="T447" s="173" t="str">
        <f t="shared" si="413"/>
        <v>0.000</v>
      </c>
      <c r="U447" s="173" t="str">
        <f t="shared" si="413"/>
        <v>0.000</v>
      </c>
      <c r="V447" s="173" t="str">
        <f t="shared" si="413"/>
        <v>0.000</v>
      </c>
      <c r="W447" s="173" t="str">
        <f t="shared" ref="W447:AK447" si="414">IF(W429&lt;=0, "0.000", W429)</f>
        <v>0.000</v>
      </c>
      <c r="X447" s="173" t="str">
        <f t="shared" si="414"/>
        <v>0.000</v>
      </c>
      <c r="Y447" s="173" t="str">
        <f t="shared" si="414"/>
        <v>0.000</v>
      </c>
      <c r="Z447" s="173" t="str">
        <f t="shared" si="414"/>
        <v>0.000</v>
      </c>
      <c r="AA447" s="173" t="str">
        <f t="shared" si="414"/>
        <v>0.000</v>
      </c>
      <c r="AB447" s="173" t="str">
        <f t="shared" si="414"/>
        <v>0.000</v>
      </c>
      <c r="AC447" s="173" t="str">
        <f t="shared" si="414"/>
        <v>0.000</v>
      </c>
      <c r="AD447" s="173" t="str">
        <f t="shared" si="414"/>
        <v>0.000</v>
      </c>
      <c r="AE447" s="173" t="str">
        <f t="shared" si="414"/>
        <v>0.000</v>
      </c>
      <c r="AF447" s="173" t="str">
        <f t="shared" si="414"/>
        <v>0.000</v>
      </c>
      <c r="AG447" s="173" t="str">
        <f t="shared" si="414"/>
        <v>0.000</v>
      </c>
      <c r="AH447" s="173" t="str">
        <f t="shared" si="414"/>
        <v>0.000</v>
      </c>
      <c r="AI447" s="173" t="str">
        <f t="shared" si="414"/>
        <v>0.000</v>
      </c>
      <c r="AJ447" s="173" t="str">
        <f t="shared" si="414"/>
        <v>0.000</v>
      </c>
      <c r="AK447" s="173" t="str">
        <f t="shared" si="414"/>
        <v>0.000</v>
      </c>
      <c r="AL447" s="4"/>
      <c r="AM447" s="43">
        <v>431</v>
      </c>
      <c r="AN447"/>
      <c r="AO447"/>
      <c r="AP447"/>
      <c r="AQ447"/>
      <c r="AR447"/>
      <c r="AS447"/>
      <c r="AT447"/>
      <c r="AU447"/>
      <c r="AV447"/>
      <c r="AW447"/>
      <c r="FY447" s="210">
        <v>442</v>
      </c>
      <c r="FZ447" s="205"/>
      <c r="GA447" s="205"/>
      <c r="GB447" s="205"/>
      <c r="GC447" s="205"/>
      <c r="GD447" s="205"/>
      <c r="GE447" s="205"/>
      <c r="GF447" s="205"/>
      <c r="GG447" s="205"/>
      <c r="GH447" s="205"/>
      <c r="GI447" s="205"/>
      <c r="GJ447" s="205"/>
      <c r="GK447" s="205"/>
      <c r="GL447" s="205"/>
      <c r="GM447" s="205"/>
    </row>
    <row r="448" spans="1:195" s="7" customFormat="1">
      <c r="A448" s="4"/>
      <c r="B448" s="48" t="s">
        <v>120</v>
      </c>
      <c r="C448" s="107">
        <f t="shared" si="400"/>
        <v>3.4684324596644074</v>
      </c>
      <c r="D448" s="191">
        <f>A$412</f>
        <v>4</v>
      </c>
      <c r="E448" s="8"/>
      <c r="F448" s="124"/>
      <c r="G448" s="173" t="str">
        <f t="shared" si="401"/>
        <v>0.000</v>
      </c>
      <c r="H448" s="173" t="str">
        <f t="shared" ref="H448:V448" si="415">IF(H430&lt;=0, "0.000", H430)</f>
        <v>0.000</v>
      </c>
      <c r="I448" s="173" t="str">
        <f t="shared" si="415"/>
        <v>0.000</v>
      </c>
      <c r="J448" s="173">
        <f t="shared" si="415"/>
        <v>0.38995072767155164</v>
      </c>
      <c r="K448" s="173" t="str">
        <f t="shared" si="415"/>
        <v>0.000</v>
      </c>
      <c r="L448" s="173">
        <f t="shared" si="415"/>
        <v>2.4066793316232585E-2</v>
      </c>
      <c r="M448" s="173">
        <f t="shared" si="415"/>
        <v>0.32712215668888622</v>
      </c>
      <c r="N448" s="173">
        <f t="shared" si="415"/>
        <v>0.84064902975928191</v>
      </c>
      <c r="O448" s="173">
        <f t="shared" si="415"/>
        <v>0.35826084806672231</v>
      </c>
      <c r="P448" s="173">
        <f t="shared" si="415"/>
        <v>1.4778355802764658</v>
      </c>
      <c r="Q448" s="173">
        <f t="shared" si="415"/>
        <v>5.0547323885266893E-2</v>
      </c>
      <c r="R448" s="173" t="str">
        <f t="shared" si="415"/>
        <v>0.000</v>
      </c>
      <c r="S448" s="173" t="str">
        <f t="shared" si="415"/>
        <v>0.000</v>
      </c>
      <c r="T448" s="173" t="str">
        <f t="shared" si="415"/>
        <v>0.000</v>
      </c>
      <c r="U448" s="173" t="str">
        <f t="shared" si="415"/>
        <v>0.000</v>
      </c>
      <c r="V448" s="173" t="str">
        <f t="shared" si="415"/>
        <v>0.000</v>
      </c>
      <c r="W448" s="173" t="str">
        <f t="shared" ref="W448:AK448" si="416">IF(W430&lt;=0, "0.000", W430)</f>
        <v>0.000</v>
      </c>
      <c r="X448" s="173" t="str">
        <f t="shared" si="416"/>
        <v>0.000</v>
      </c>
      <c r="Y448" s="173" t="str">
        <f t="shared" si="416"/>
        <v>0.000</v>
      </c>
      <c r="Z448" s="173" t="str">
        <f t="shared" si="416"/>
        <v>0.000</v>
      </c>
      <c r="AA448" s="173" t="str">
        <f t="shared" si="416"/>
        <v>0.000</v>
      </c>
      <c r="AB448" s="173" t="str">
        <f t="shared" si="416"/>
        <v>0.000</v>
      </c>
      <c r="AC448" s="173" t="str">
        <f t="shared" si="416"/>
        <v>0.000</v>
      </c>
      <c r="AD448" s="173" t="str">
        <f t="shared" si="416"/>
        <v>0.000</v>
      </c>
      <c r="AE448" s="173" t="str">
        <f t="shared" si="416"/>
        <v>0.000</v>
      </c>
      <c r="AF448" s="173" t="str">
        <f t="shared" si="416"/>
        <v>0.000</v>
      </c>
      <c r="AG448" s="173" t="str">
        <f t="shared" si="416"/>
        <v>0.000</v>
      </c>
      <c r="AH448" s="173" t="str">
        <f t="shared" si="416"/>
        <v>0.000</v>
      </c>
      <c r="AI448" s="173" t="str">
        <f t="shared" si="416"/>
        <v>0.000</v>
      </c>
      <c r="AJ448" s="173" t="str">
        <f t="shared" si="416"/>
        <v>0.000</v>
      </c>
      <c r="AK448" s="173" t="str">
        <f t="shared" si="416"/>
        <v>0.000</v>
      </c>
      <c r="AL448" s="4"/>
      <c r="AM448" s="43">
        <v>432</v>
      </c>
      <c r="AN448"/>
      <c r="AO448"/>
      <c r="AP448"/>
      <c r="AQ448"/>
      <c r="AR448"/>
      <c r="AS448"/>
      <c r="AT448"/>
      <c r="AU448"/>
      <c r="AV448"/>
      <c r="AW448"/>
      <c r="FY448" s="210">
        <v>443</v>
      </c>
      <c r="FZ448" s="205"/>
      <c r="GA448" s="205"/>
      <c r="GB448" s="205"/>
      <c r="GC448" s="205"/>
      <c r="GD448" s="205"/>
      <c r="GE448" s="205"/>
      <c r="GF448" s="205"/>
      <c r="GG448" s="205"/>
      <c r="GH448" s="205"/>
      <c r="GI448" s="205"/>
      <c r="GJ448" s="205"/>
      <c r="GK448" s="205"/>
      <c r="GL448" s="205"/>
      <c r="GM448" s="205"/>
    </row>
    <row r="449" spans="1:195" s="7" customFormat="1">
      <c r="A449" s="4"/>
      <c r="B449" s="48" t="s">
        <v>121</v>
      </c>
      <c r="C449" s="107">
        <f t="shared" si="400"/>
        <v>1.9665142201693628</v>
      </c>
      <c r="D449" s="191">
        <f>A$413</f>
        <v>7.33</v>
      </c>
      <c r="E449" s="8"/>
      <c r="F449" s="124"/>
      <c r="G449" s="173" t="str">
        <f t="shared" si="401"/>
        <v>0.000</v>
      </c>
      <c r="H449" s="173" t="str">
        <f t="shared" ref="H449:V449" si="417">IF(H431&lt;=0, "0.000", H431)</f>
        <v>0.000</v>
      </c>
      <c r="I449" s="173" t="str">
        <f t="shared" si="417"/>
        <v>0.000</v>
      </c>
      <c r="J449" s="173">
        <f t="shared" si="417"/>
        <v>2.3262739058904847E-2</v>
      </c>
      <c r="K449" s="173" t="str">
        <f t="shared" si="417"/>
        <v>0.000</v>
      </c>
      <c r="L449" s="173">
        <f t="shared" si="417"/>
        <v>4.0022672916227485E-2</v>
      </c>
      <c r="M449" s="173" t="str">
        <f t="shared" si="417"/>
        <v>0.000</v>
      </c>
      <c r="N449" s="173">
        <f t="shared" si="417"/>
        <v>0.28607670347161096</v>
      </c>
      <c r="O449" s="173">
        <f t="shared" si="417"/>
        <v>0.59340029574552655</v>
      </c>
      <c r="P449" s="173" t="str">
        <f t="shared" si="417"/>
        <v>0.000</v>
      </c>
      <c r="Q449" s="173">
        <f t="shared" si="417"/>
        <v>0.16713216384074175</v>
      </c>
      <c r="R449" s="173">
        <f t="shared" si="417"/>
        <v>0.27740359451105745</v>
      </c>
      <c r="S449" s="173" t="str">
        <f t="shared" si="417"/>
        <v>0.000</v>
      </c>
      <c r="T449" s="173">
        <f t="shared" si="417"/>
        <v>0.22083674454994759</v>
      </c>
      <c r="U449" s="173">
        <f t="shared" si="417"/>
        <v>0.35837930607534652</v>
      </c>
      <c r="V449" s="173" t="str">
        <f t="shared" si="417"/>
        <v>0.000</v>
      </c>
      <c r="W449" s="173" t="str">
        <f t="shared" ref="W449:AK449" si="418">IF(W431&lt;=0, "0.000", W431)</f>
        <v>0.000</v>
      </c>
      <c r="X449" s="173" t="str">
        <f t="shared" si="418"/>
        <v>0.000</v>
      </c>
      <c r="Y449" s="173" t="str">
        <f t="shared" si="418"/>
        <v>0.000</v>
      </c>
      <c r="Z449" s="173" t="str">
        <f t="shared" si="418"/>
        <v>0.000</v>
      </c>
      <c r="AA449" s="173" t="str">
        <f t="shared" si="418"/>
        <v>0.000</v>
      </c>
      <c r="AB449" s="173" t="str">
        <f t="shared" si="418"/>
        <v>0.000</v>
      </c>
      <c r="AC449" s="173" t="str">
        <f t="shared" si="418"/>
        <v>0.000</v>
      </c>
      <c r="AD449" s="173" t="str">
        <f t="shared" si="418"/>
        <v>0.000</v>
      </c>
      <c r="AE449" s="173" t="str">
        <f t="shared" si="418"/>
        <v>0.000</v>
      </c>
      <c r="AF449" s="173" t="str">
        <f t="shared" si="418"/>
        <v>0.000</v>
      </c>
      <c r="AG449" s="173" t="str">
        <f t="shared" si="418"/>
        <v>0.000</v>
      </c>
      <c r="AH449" s="173" t="str">
        <f t="shared" si="418"/>
        <v>0.000</v>
      </c>
      <c r="AI449" s="173" t="str">
        <f t="shared" si="418"/>
        <v>0.000</v>
      </c>
      <c r="AJ449" s="173" t="str">
        <f t="shared" si="418"/>
        <v>0.000</v>
      </c>
      <c r="AK449" s="173" t="str">
        <f t="shared" si="418"/>
        <v>0.000</v>
      </c>
      <c r="AL449" s="4"/>
      <c r="AM449" s="43">
        <v>433</v>
      </c>
      <c r="AN449"/>
      <c r="AO449"/>
      <c r="AP449"/>
      <c r="AQ449"/>
      <c r="AR449"/>
      <c r="AS449"/>
      <c r="AT449"/>
      <c r="AU449"/>
      <c r="AV449"/>
      <c r="AW449"/>
      <c r="FY449" s="210">
        <v>444</v>
      </c>
      <c r="FZ449" s="205"/>
      <c r="GA449" s="205"/>
      <c r="GB449" s="205"/>
      <c r="GC449" s="205"/>
      <c r="GD449" s="205"/>
      <c r="GE449" s="205"/>
      <c r="GF449" s="205"/>
      <c r="GG449" s="205"/>
      <c r="GH449" s="205"/>
      <c r="GI449" s="205"/>
      <c r="GJ449" s="205"/>
      <c r="GK449" s="205"/>
      <c r="GL449" s="205"/>
      <c r="GM449" s="205"/>
    </row>
    <row r="450" spans="1:195" s="7" customFormat="1">
      <c r="A450" s="13" t="s">
        <v>12</v>
      </c>
      <c r="B450" s="48" t="s">
        <v>122</v>
      </c>
      <c r="C450" s="107">
        <f t="shared" si="400"/>
        <v>4.3826779342097932</v>
      </c>
      <c r="D450" s="191">
        <f>A$414</f>
        <v>10.51</v>
      </c>
      <c r="E450" s="8"/>
      <c r="F450" s="124"/>
      <c r="G450" s="173" t="str">
        <f t="shared" si="401"/>
        <v>0.000</v>
      </c>
      <c r="H450" s="173">
        <f t="shared" ref="H450:V450" si="419">IF(H432&lt;=0, "0.000", H432)</f>
        <v>1.6341079165384614E-2</v>
      </c>
      <c r="I450" s="173">
        <f t="shared" si="419"/>
        <v>0.38556718731590195</v>
      </c>
      <c r="J450" s="173">
        <f t="shared" si="419"/>
        <v>0.45812724775054503</v>
      </c>
      <c r="K450" s="173">
        <f t="shared" si="419"/>
        <v>0.6728692208119782</v>
      </c>
      <c r="L450" s="173">
        <f t="shared" si="419"/>
        <v>0.66861899619480025</v>
      </c>
      <c r="M450" s="173">
        <f t="shared" si="419"/>
        <v>0.82202573270210355</v>
      </c>
      <c r="N450" s="173">
        <f t="shared" si="419"/>
        <v>0.48479440267969115</v>
      </c>
      <c r="O450" s="173">
        <f t="shared" si="419"/>
        <v>0.18921964392518487</v>
      </c>
      <c r="P450" s="173">
        <f t="shared" si="419"/>
        <v>0.44331094858136944</v>
      </c>
      <c r="Q450" s="173">
        <f t="shared" si="419"/>
        <v>5.8779896348367063E-2</v>
      </c>
      <c r="R450" s="173">
        <f t="shared" si="419"/>
        <v>8.1275428480884843E-2</v>
      </c>
      <c r="S450" s="173" t="str">
        <f t="shared" si="419"/>
        <v>0.000</v>
      </c>
      <c r="T450" s="173">
        <f t="shared" si="419"/>
        <v>3.8799348997839732E-2</v>
      </c>
      <c r="U450" s="173">
        <f t="shared" si="419"/>
        <v>6.2948801255742121E-2</v>
      </c>
      <c r="V450" s="173" t="str">
        <f t="shared" si="419"/>
        <v>0.000</v>
      </c>
      <c r="W450" s="173" t="str">
        <f t="shared" ref="W450:AK450" si="420">IF(W432&lt;=0, "0.000", W432)</f>
        <v>0.000</v>
      </c>
      <c r="X450" s="173" t="str">
        <f t="shared" si="420"/>
        <v>0.000</v>
      </c>
      <c r="Y450" s="173" t="str">
        <f t="shared" si="420"/>
        <v>0.000</v>
      </c>
      <c r="Z450" s="173" t="str">
        <f t="shared" si="420"/>
        <v>0.000</v>
      </c>
      <c r="AA450" s="173" t="str">
        <f t="shared" si="420"/>
        <v>0.000</v>
      </c>
      <c r="AB450" s="173" t="str">
        <f t="shared" si="420"/>
        <v>0.000</v>
      </c>
      <c r="AC450" s="173" t="str">
        <f t="shared" si="420"/>
        <v>0.000</v>
      </c>
      <c r="AD450" s="173" t="str">
        <f t="shared" si="420"/>
        <v>0.000</v>
      </c>
      <c r="AE450" s="173" t="str">
        <f t="shared" si="420"/>
        <v>0.000</v>
      </c>
      <c r="AF450" s="173" t="str">
        <f t="shared" si="420"/>
        <v>0.000</v>
      </c>
      <c r="AG450" s="173" t="str">
        <f t="shared" si="420"/>
        <v>0.000</v>
      </c>
      <c r="AH450" s="173" t="str">
        <f t="shared" si="420"/>
        <v>0.000</v>
      </c>
      <c r="AI450" s="173" t="str">
        <f t="shared" si="420"/>
        <v>0.000</v>
      </c>
      <c r="AJ450" s="173" t="str">
        <f t="shared" si="420"/>
        <v>0.000</v>
      </c>
      <c r="AK450" s="173" t="str">
        <f t="shared" si="420"/>
        <v>0.000</v>
      </c>
      <c r="AL450" s="4"/>
      <c r="AM450" s="43">
        <v>434</v>
      </c>
      <c r="AN450"/>
      <c r="AO450"/>
      <c r="AP450"/>
      <c r="AQ450"/>
      <c r="AR450"/>
      <c r="AS450"/>
      <c r="AT450"/>
      <c r="AU450"/>
      <c r="AV450"/>
      <c r="AW450"/>
      <c r="FY450" s="210">
        <v>445</v>
      </c>
      <c r="FZ450" s="205"/>
      <c r="GA450" s="205"/>
      <c r="GB450" s="205"/>
      <c r="GC450" s="205"/>
      <c r="GD450" s="205"/>
      <c r="GE450" s="205"/>
      <c r="GF450" s="205"/>
      <c r="GG450" s="205"/>
      <c r="GH450" s="205"/>
      <c r="GI450" s="205"/>
      <c r="GJ450" s="205"/>
      <c r="GK450" s="205"/>
      <c r="GL450" s="205"/>
      <c r="GM450" s="205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/>
      <c r="AO451"/>
      <c r="AP451"/>
      <c r="AQ451"/>
      <c r="AR451"/>
      <c r="AS451"/>
      <c r="AT451"/>
      <c r="AU451"/>
      <c r="AV451"/>
      <c r="AW451"/>
      <c r="FY451" s="210">
        <v>446</v>
      </c>
      <c r="FZ451" s="205"/>
      <c r="GA451" s="205"/>
      <c r="GB451" s="205"/>
      <c r="GC451" s="205"/>
      <c r="GD451" s="205"/>
      <c r="GE451" s="205"/>
      <c r="GF451" s="205"/>
      <c r="GG451" s="205"/>
      <c r="GH451" s="205"/>
      <c r="GI451" s="205"/>
      <c r="GJ451" s="205"/>
      <c r="GK451" s="205"/>
      <c r="GL451" s="205"/>
      <c r="GM451" s="205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/>
      <c r="AO452"/>
      <c r="AP452"/>
      <c r="AQ452"/>
      <c r="AR452"/>
      <c r="AS452"/>
      <c r="AT452"/>
      <c r="AU452"/>
      <c r="AV452"/>
      <c r="AW452"/>
      <c r="FY452" s="210">
        <v>447</v>
      </c>
      <c r="FZ452" s="205"/>
      <c r="GA452" s="205"/>
      <c r="GB452" s="205"/>
      <c r="GC452" s="205"/>
      <c r="GD452" s="205"/>
      <c r="GE452" s="205"/>
      <c r="GF452" s="205"/>
      <c r="GG452" s="205"/>
      <c r="GH452" s="205"/>
      <c r="GI452" s="205"/>
      <c r="GJ452" s="205"/>
      <c r="GK452" s="205"/>
      <c r="GL452" s="205"/>
      <c r="GM452" s="205"/>
    </row>
    <row r="453" spans="1:195" s="7" customFormat="1">
      <c r="A453" s="1">
        <v>1.07207E-2</v>
      </c>
      <c r="B453" s="52" t="s">
        <v>53</v>
      </c>
      <c r="C453" s="53" t="e">
        <f>SUM(C441:C452)</f>
        <v>#NUM!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/>
      <c r="AO453"/>
      <c r="AP453"/>
      <c r="AQ453"/>
      <c r="AR453"/>
      <c r="AS453"/>
      <c r="AT453"/>
      <c r="AU453"/>
      <c r="AV453"/>
      <c r="AW453"/>
      <c r="FY453" s="210">
        <v>448</v>
      </c>
      <c r="FZ453" s="205"/>
      <c r="GA453" s="205"/>
      <c r="GB453" s="205"/>
      <c r="GC453" s="205"/>
      <c r="GD453" s="205"/>
      <c r="GE453" s="205"/>
      <c r="GF453" s="205"/>
      <c r="GG453" s="205"/>
      <c r="GH453" s="205"/>
      <c r="GI453" s="205"/>
      <c r="GJ453" s="205"/>
      <c r="GK453" s="205"/>
      <c r="GL453" s="205"/>
      <c r="GM453" s="205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/>
      <c r="AO454"/>
      <c r="AP454"/>
      <c r="AQ454"/>
      <c r="AR454"/>
      <c r="AS454"/>
      <c r="AT454"/>
      <c r="AU454"/>
      <c r="AV454"/>
      <c r="AW454"/>
      <c r="FY454" s="210">
        <v>449</v>
      </c>
      <c r="FZ454" s="205"/>
      <c r="GA454" s="205"/>
      <c r="GB454" s="205"/>
      <c r="GC454" s="205"/>
      <c r="GD454" s="205"/>
      <c r="GE454" s="205"/>
      <c r="GF454" s="205"/>
      <c r="GG454" s="205"/>
      <c r="GH454" s="205"/>
      <c r="GI454" s="205"/>
      <c r="GJ454" s="205"/>
      <c r="GK454" s="205"/>
      <c r="GL454" s="205"/>
      <c r="GM454" s="205"/>
    </row>
    <row r="455" spans="1:195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30"/>
      <c r="P455" s="230"/>
      <c r="Q455" s="230"/>
      <c r="R455" s="230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/>
      <c r="AO455"/>
      <c r="AP455"/>
      <c r="AQ455"/>
      <c r="AR455"/>
      <c r="AS455"/>
      <c r="AT455"/>
      <c r="AU455"/>
      <c r="AV455"/>
      <c r="AW455"/>
      <c r="FY455" s="210">
        <v>450</v>
      </c>
      <c r="FZ455" s="205"/>
      <c r="GA455" s="205"/>
      <c r="GB455" s="205"/>
      <c r="GC455" s="205"/>
      <c r="GD455" s="205"/>
      <c r="GE455" s="205"/>
      <c r="GF455" s="205"/>
      <c r="GG455" s="205"/>
      <c r="GH455" s="205"/>
      <c r="GI455" s="205"/>
      <c r="GJ455" s="205"/>
      <c r="GK455" s="205"/>
      <c r="GL455" s="205"/>
      <c r="GM455" s="20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/>
      <c r="AO456"/>
      <c r="AP456"/>
      <c r="AQ456"/>
      <c r="AR456"/>
      <c r="AS456"/>
      <c r="AT456"/>
      <c r="AU456"/>
      <c r="AV456"/>
      <c r="AW456"/>
      <c r="FY456" s="210">
        <v>451</v>
      </c>
      <c r="FZ456" s="205"/>
      <c r="GA456" s="205"/>
      <c r="GB456" s="205"/>
      <c r="GC456" s="205"/>
      <c r="GD456" s="205"/>
      <c r="GE456" s="205"/>
      <c r="GF456" s="205"/>
      <c r="GG456" s="205"/>
      <c r="GH456" s="205"/>
      <c r="GI456" s="205"/>
      <c r="GJ456" s="205"/>
      <c r="GK456" s="205"/>
      <c r="GL456" s="205"/>
      <c r="GM456" s="205"/>
    </row>
    <row r="457" spans="1:195" s="7" customFormat="1">
      <c r="A457" s="1">
        <v>1.9335000000000001E-2</v>
      </c>
      <c r="B457" s="4"/>
      <c r="C457" s="100">
        <v>0.5</v>
      </c>
      <c r="D457" s="101">
        <f>SUM($E$228:$E$347)/$A$438</f>
        <v>0</v>
      </c>
      <c r="E457" s="97">
        <f>+G36</f>
        <v>1.1591235947098146E-3</v>
      </c>
      <c r="F457" s="102">
        <f>+D457-D459</f>
        <v>-1.3261217948717949</v>
      </c>
      <c r="G457" s="101">
        <f>+D457*E457</f>
        <v>0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/>
      <c r="AO457"/>
      <c r="AP457"/>
      <c r="AQ457"/>
      <c r="AR457"/>
      <c r="AS457"/>
      <c r="AT457"/>
      <c r="AU457"/>
      <c r="AV457"/>
      <c r="AW457"/>
      <c r="FY457" s="210">
        <v>452</v>
      </c>
      <c r="FZ457" s="205"/>
      <c r="GA457" s="205"/>
      <c r="GB457" s="205"/>
      <c r="GC457" s="205"/>
      <c r="GD457" s="205"/>
      <c r="GE457" s="205"/>
      <c r="GF457" s="205"/>
      <c r="GG457" s="205"/>
      <c r="GH457" s="205"/>
      <c r="GI457" s="205"/>
      <c r="GJ457" s="205"/>
      <c r="GK457" s="205"/>
      <c r="GL457" s="205"/>
      <c r="GM457" s="205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1.6679018638108042E-3</v>
      </c>
      <c r="I458" s="101">
        <f>+H458*F457</f>
        <v>-2.2118410133067958E-3</v>
      </c>
      <c r="J458" s="101">
        <f>+I458*$A$440</f>
        <v>-6.6355230399203879E-2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/>
      <c r="AO458"/>
      <c r="AP458"/>
      <c r="AQ458"/>
      <c r="AR458"/>
      <c r="AS458"/>
      <c r="AT458"/>
      <c r="AU458"/>
      <c r="AV458"/>
      <c r="AW458"/>
      <c r="FY458" s="210">
        <v>453</v>
      </c>
      <c r="FZ458" s="205"/>
      <c r="GA458" s="205"/>
      <c r="GB458" s="205"/>
      <c r="GC458" s="205"/>
      <c r="GD458" s="205"/>
      <c r="GE458" s="205"/>
      <c r="GF458" s="205"/>
      <c r="GG458" s="205"/>
      <c r="GH458" s="205"/>
      <c r="GI458" s="205"/>
      <c r="GJ458" s="205"/>
      <c r="GK458" s="205"/>
      <c r="GL458" s="205"/>
      <c r="GM458" s="205"/>
    </row>
    <row r="459" spans="1:195" s="7" customFormat="1">
      <c r="A459" s="4"/>
      <c r="B459" s="4"/>
      <c r="C459" s="63">
        <v>1</v>
      </c>
      <c r="D459" s="101">
        <f>SUM($F$228:$F$347)/$A$438</f>
        <v>1.3261217948717949</v>
      </c>
      <c r="E459" s="97">
        <f>+H36</f>
        <v>2.3999999999999998E-3</v>
      </c>
      <c r="F459" s="102">
        <f>+D459-D461</f>
        <v>-13.693910256410257</v>
      </c>
      <c r="G459" s="101">
        <f>+D459*E459</f>
        <v>3.1826923076923074E-3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/>
      <c r="AO459"/>
      <c r="AP459"/>
      <c r="AQ459"/>
      <c r="AR459"/>
      <c r="AS459"/>
      <c r="AT459"/>
      <c r="AU459"/>
      <c r="AV459"/>
      <c r="AW459"/>
      <c r="FY459" s="210">
        <v>454</v>
      </c>
      <c r="FZ459" s="205"/>
      <c r="GA459" s="205"/>
      <c r="GB459" s="205"/>
      <c r="GC459" s="205"/>
      <c r="GD459" s="205"/>
      <c r="GE459" s="205"/>
      <c r="GF459" s="205"/>
      <c r="GG459" s="205"/>
      <c r="GH459" s="205"/>
      <c r="GI459" s="205"/>
      <c r="GJ459" s="205"/>
      <c r="GK459" s="205"/>
      <c r="GL459" s="205"/>
      <c r="GM459" s="205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3.4534405920259681E-3</v>
      </c>
      <c r="I460" s="101">
        <f>+H460*F459</f>
        <v>-4.7291105543047912E-2</v>
      </c>
      <c r="J460" s="101">
        <f>+I460*$A$440</f>
        <v>-1.4187331662914373</v>
      </c>
      <c r="K460" s="61">
        <f>IF(AND(J460&lt;0, J458&lt;0), 0, J460)</f>
        <v>0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/>
      <c r="AO460"/>
      <c r="AP460"/>
      <c r="AQ460"/>
      <c r="AR460"/>
      <c r="AS460"/>
      <c r="AT460"/>
      <c r="AU460"/>
      <c r="AV460"/>
      <c r="AW460"/>
      <c r="FY460" s="210">
        <v>455</v>
      </c>
      <c r="FZ460" s="205"/>
      <c r="GA460" s="205"/>
      <c r="GB460" s="205"/>
      <c r="GC460" s="205"/>
      <c r="GD460" s="205"/>
      <c r="GE460" s="205"/>
      <c r="GF460" s="205"/>
      <c r="GG460" s="205"/>
      <c r="GH460" s="205"/>
      <c r="GI460" s="205"/>
      <c r="GJ460" s="205"/>
      <c r="GK460" s="205"/>
      <c r="GL460" s="205"/>
      <c r="GM460" s="205"/>
    </row>
    <row r="461" spans="1:195" s="7" customFormat="1">
      <c r="A461" s="4"/>
      <c r="B461" s="4"/>
      <c r="C461" s="63">
        <v>2</v>
      </c>
      <c r="D461" s="101">
        <f>SUM($G$228:$G$347)/$A$438</f>
        <v>15.020032051282053</v>
      </c>
      <c r="E461" s="97">
        <f>+I36</f>
        <v>4.9692716344386118E-3</v>
      </c>
      <c r="F461" s="102">
        <f>+D461-D463</f>
        <v>3.4023849924585239</v>
      </c>
      <c r="G461" s="101">
        <f>+D461*E461</f>
        <v>7.4638619220794705E-2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/>
      <c r="AO461"/>
      <c r="AP461"/>
      <c r="AQ461"/>
      <c r="AR461"/>
      <c r="AS461"/>
      <c r="AT461"/>
      <c r="AU461"/>
      <c r="AV461"/>
      <c r="AW461"/>
      <c r="FY461" s="210">
        <v>456</v>
      </c>
      <c r="FZ461" s="205"/>
      <c r="GA461" s="205"/>
      <c r="GB461" s="205"/>
      <c r="GC461" s="205"/>
      <c r="GD461" s="205"/>
      <c r="GE461" s="205"/>
      <c r="GF461" s="205"/>
      <c r="GG461" s="205"/>
      <c r="GH461" s="205"/>
      <c r="GI461" s="205"/>
      <c r="GJ461" s="205"/>
      <c r="GK461" s="205"/>
      <c r="GL461" s="205"/>
      <c r="GM461" s="205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6.1480961125722367E-3</v>
      </c>
      <c r="I462" s="101">
        <f>+H462*F461</f>
        <v>2.091818994560837E-2</v>
      </c>
      <c r="J462" s="101">
        <f>+I462*$A$440</f>
        <v>0.62754569836825114</v>
      </c>
      <c r="K462" s="61">
        <f>IF(AND(J462&lt;0, J460&lt;0), 0, J462)</f>
        <v>0.62754569836825114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/>
      <c r="AO462"/>
      <c r="AP462"/>
      <c r="AQ462"/>
      <c r="AR462"/>
      <c r="AS462"/>
      <c r="AT462"/>
      <c r="AU462"/>
      <c r="AV462"/>
      <c r="AW462"/>
      <c r="FY462" s="210">
        <v>457</v>
      </c>
      <c r="FZ462" s="205"/>
      <c r="GA462" s="205"/>
      <c r="GB462" s="205"/>
      <c r="GC462" s="205"/>
      <c r="GD462" s="205"/>
      <c r="GE462" s="205"/>
      <c r="GF462" s="205"/>
      <c r="GG462" s="205"/>
      <c r="GH462" s="205"/>
      <c r="GI462" s="205"/>
      <c r="GJ462" s="205"/>
      <c r="GK462" s="205"/>
      <c r="GL462" s="205"/>
      <c r="GM462" s="205"/>
    </row>
    <row r="463" spans="1:195" s="7" customFormat="1">
      <c r="A463" s="4"/>
      <c r="B463" s="4"/>
      <c r="C463" s="63">
        <v>3</v>
      </c>
      <c r="D463" s="101">
        <f>SUM($H$228:$H$347)/$A$438</f>
        <v>11.617647058823529</v>
      </c>
      <c r="E463" s="97">
        <f>+J36</f>
        <v>7.6065646215566739E-3</v>
      </c>
      <c r="F463" s="102">
        <f>+D463-D465</f>
        <v>-0.96539489921842758</v>
      </c>
      <c r="G463" s="101">
        <f>+D463*E463</f>
        <v>8.8370383103378997E-2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/>
      <c r="AO463"/>
      <c r="AP463"/>
      <c r="AQ463"/>
      <c r="AR463"/>
      <c r="AS463"/>
      <c r="AT463"/>
      <c r="AU463"/>
      <c r="AV463"/>
      <c r="AW463"/>
      <c r="FY463" s="210">
        <v>458</v>
      </c>
      <c r="FZ463" s="205"/>
      <c r="GA463" s="205"/>
      <c r="GB463" s="205"/>
      <c r="GC463" s="205"/>
      <c r="GD463" s="205"/>
      <c r="GE463" s="205"/>
      <c r="GF463" s="205"/>
      <c r="GG463" s="205"/>
      <c r="GH463" s="205"/>
      <c r="GI463" s="205"/>
      <c r="GJ463" s="205"/>
      <c r="GK463" s="205"/>
      <c r="GL463" s="205"/>
      <c r="GM463" s="205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8.8467019495141741E-3</v>
      </c>
      <c r="I464" s="101">
        <f>+H464*F463</f>
        <v>-8.540560936966703E-3</v>
      </c>
      <c r="J464" s="101">
        <f>+I464*$A$440</f>
        <v>-0.25621682810900109</v>
      </c>
      <c r="K464" s="61">
        <f>IF(AND(J464&lt;0, J462&lt;0), 0, J464)</f>
        <v>-0.25621682810900109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/>
      <c r="AO464"/>
      <c r="AP464"/>
      <c r="AQ464"/>
      <c r="AR464"/>
      <c r="AS464"/>
      <c r="AT464"/>
      <c r="AU464"/>
      <c r="AV464"/>
      <c r="AW464"/>
      <c r="FY464" s="210">
        <v>459</v>
      </c>
      <c r="FZ464" s="205"/>
      <c r="GA464" s="205"/>
      <c r="GB464" s="205"/>
      <c r="GC464" s="205"/>
      <c r="GD464" s="205"/>
      <c r="GE464" s="205"/>
      <c r="GF464" s="205"/>
      <c r="GG464" s="205"/>
      <c r="GH464" s="205"/>
      <c r="GI464" s="205"/>
      <c r="GJ464" s="205"/>
      <c r="GK464" s="205"/>
      <c r="GL464" s="205"/>
      <c r="GM464" s="205"/>
    </row>
    <row r="465" spans="1:195" s="7" customFormat="1">
      <c r="A465" s="4"/>
      <c r="B465" s="4"/>
      <c r="C465" s="63">
        <v>4</v>
      </c>
      <c r="D465" s="101">
        <f>SUM($I$228:$I$347)/$A$438</f>
        <v>12.583041958041957</v>
      </c>
      <c r="E465" s="97">
        <f>+K36</f>
        <v>1.0289025240348413E-2</v>
      </c>
      <c r="F465" s="102">
        <f>+D465-D467</f>
        <v>2.7103972416472448</v>
      </c>
      <c r="G465" s="101">
        <f>+D465*E465</f>
        <v>0.12946723630665682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/>
      <c r="AO465"/>
      <c r="AP465"/>
      <c r="AQ465"/>
      <c r="AR465"/>
      <c r="AS465"/>
      <c r="AT465"/>
      <c r="AU465"/>
      <c r="AV465"/>
      <c r="AW465"/>
      <c r="FY465" s="210">
        <v>460</v>
      </c>
      <c r="FZ465" s="205"/>
      <c r="GA465" s="205"/>
      <c r="GB465" s="205"/>
      <c r="GC465" s="205"/>
      <c r="GD465" s="205"/>
      <c r="GE465" s="205"/>
      <c r="GF465" s="205"/>
      <c r="GG465" s="205"/>
      <c r="GH465" s="205"/>
      <c r="GI465" s="205"/>
      <c r="GJ465" s="205"/>
      <c r="GK465" s="205"/>
      <c r="GL465" s="205"/>
      <c r="GM465" s="20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1.1567832445134466E-2</v>
      </c>
      <c r="I466" s="101">
        <f>+H466*F465</f>
        <v>3.1353421151129962E-2</v>
      </c>
      <c r="J466" s="101">
        <f>+I466*$A$440</f>
        <v>0.94060263453389892</v>
      </c>
      <c r="K466" s="61">
        <f>IF(AND(J466&lt;0, J464&lt;0), 0, J466)</f>
        <v>0.94060263453389892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/>
      <c r="AO466"/>
      <c r="AP466"/>
      <c r="AQ466"/>
      <c r="AR466"/>
      <c r="AS466"/>
      <c r="AT466"/>
      <c r="AU466"/>
      <c r="AV466"/>
      <c r="AW466"/>
      <c r="FY466" s="210">
        <v>461</v>
      </c>
      <c r="FZ466" s="205"/>
      <c r="GA466" s="205"/>
      <c r="GB466" s="205"/>
      <c r="GC466" s="205"/>
      <c r="GD466" s="205"/>
      <c r="GE466" s="205"/>
      <c r="GF466" s="205"/>
      <c r="GG466" s="205"/>
      <c r="GH466" s="205"/>
      <c r="GI466" s="205"/>
      <c r="GJ466" s="205"/>
      <c r="GK466" s="205"/>
      <c r="GL466" s="205"/>
      <c r="GM466" s="205"/>
    </row>
    <row r="467" spans="1:195" s="7" customFormat="1">
      <c r="A467" s="4"/>
      <c r="B467" s="4"/>
      <c r="C467" s="63">
        <v>5</v>
      </c>
      <c r="D467" s="101">
        <f>SUM($J$228:$J$347)/$A$438</f>
        <v>9.8726447163947118</v>
      </c>
      <c r="E467" s="97">
        <f>L36</f>
        <v>1.3005580640812416E-2</v>
      </c>
      <c r="F467" s="102">
        <f>+D467-D469</f>
        <v>-0.13451825951826102</v>
      </c>
      <c r="G467" s="101">
        <f>+D467*E467</f>
        <v>0.12839947699716206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/>
      <c r="AO467"/>
      <c r="AP467"/>
      <c r="AQ467"/>
      <c r="AR467"/>
      <c r="AS467"/>
      <c r="AT467"/>
      <c r="AU467"/>
      <c r="AV467"/>
      <c r="AW467"/>
      <c r="FY467" s="210">
        <v>462</v>
      </c>
      <c r="FZ467" s="205"/>
      <c r="GA467" s="205"/>
      <c r="GB467" s="205"/>
      <c r="GC467" s="205"/>
      <c r="GD467" s="205"/>
      <c r="GE467" s="205"/>
      <c r="GF467" s="205"/>
      <c r="GG467" s="205"/>
      <c r="GH467" s="205"/>
      <c r="GI467" s="205"/>
      <c r="GJ467" s="205"/>
      <c r="GK467" s="205"/>
      <c r="GL467" s="205"/>
      <c r="GM467" s="205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1.4311985924442786E-2</v>
      </c>
      <c r="I468" s="101">
        <f>+H468*F467</f>
        <v>-1.9252234368058935E-3</v>
      </c>
      <c r="J468" s="101">
        <f>+I468*$A$440</f>
        <v>-5.7756703104176806E-2</v>
      </c>
      <c r="K468" s="61">
        <f>IF(AND(J468&lt;0, J466&lt;0), 0, J468)</f>
        <v>-5.7756703104176806E-2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/>
      <c r="AO468"/>
      <c r="AP468"/>
      <c r="AQ468"/>
      <c r="AR468"/>
      <c r="AS468"/>
      <c r="AT468"/>
      <c r="AU468"/>
      <c r="AV468"/>
      <c r="AW468"/>
      <c r="FY468" s="210">
        <v>463</v>
      </c>
      <c r="FZ468" s="205"/>
      <c r="GA468" s="205"/>
      <c r="GB468" s="205"/>
      <c r="GC468" s="205"/>
      <c r="GD468" s="205"/>
      <c r="GE468" s="205"/>
      <c r="GF468" s="205"/>
      <c r="GG468" s="205"/>
      <c r="GH468" s="205"/>
      <c r="GI468" s="205"/>
      <c r="GJ468" s="205"/>
      <c r="GK468" s="205"/>
      <c r="GL468" s="205"/>
      <c r="GM468" s="205"/>
    </row>
    <row r="469" spans="1:195" s="7" customFormat="1">
      <c r="A469" s="4"/>
      <c r="B469" s="4"/>
      <c r="C469" s="63">
        <v>6</v>
      </c>
      <c r="D469" s="101">
        <f>SUM($K$228:$K$347)/$A$438</f>
        <v>10.007162975912973</v>
      </c>
      <c r="E469" s="97">
        <f>M36</f>
        <v>1.5749619087260771E-2</v>
      </c>
      <c r="F469" s="102">
        <f>+D469-D471</f>
        <v>4.9940510878010853</v>
      </c>
      <c r="G469" s="101">
        <f>+D469*E469</f>
        <v>0.15760900501476827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/>
      <c r="AO469"/>
      <c r="AP469"/>
      <c r="AQ469"/>
      <c r="AR469"/>
      <c r="AS469"/>
      <c r="AT469"/>
      <c r="AU469"/>
      <c r="AV469"/>
      <c r="AW469"/>
      <c r="FY469" s="210">
        <v>464</v>
      </c>
      <c r="FZ469" s="205"/>
      <c r="GA469" s="205"/>
      <c r="GB469" s="205"/>
      <c r="GC469" s="205"/>
      <c r="GD469" s="205"/>
      <c r="GE469" s="205"/>
      <c r="GF469" s="205"/>
      <c r="GG469" s="205"/>
      <c r="GH469" s="205"/>
      <c r="GI469" s="205"/>
      <c r="GJ469" s="205"/>
      <c r="GK469" s="205"/>
      <c r="GL469" s="205"/>
      <c r="GM469" s="205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1.7077217870568089E-2</v>
      </c>
      <c r="I470" s="101">
        <f>+H470*F469</f>
        <v>8.5284498483126692E-2</v>
      </c>
      <c r="J470" s="101">
        <f>+I470*$A$440</f>
        <v>2.5585349544938008</v>
      </c>
      <c r="K470" s="61">
        <f>IF(AND(J470&lt;0, J468&lt;0), 0, J470)</f>
        <v>2.5585349544938008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/>
      <c r="AO470"/>
      <c r="AP470"/>
      <c r="AQ470"/>
      <c r="AR470"/>
      <c r="AS470"/>
      <c r="AT470"/>
      <c r="AU470"/>
      <c r="AV470"/>
      <c r="AW470"/>
      <c r="FY470" s="210">
        <v>465</v>
      </c>
      <c r="FZ470" s="205"/>
      <c r="GA470" s="205"/>
      <c r="GB470" s="205"/>
      <c r="GC470" s="205"/>
      <c r="GD470" s="205"/>
      <c r="GE470" s="205"/>
      <c r="GF470" s="205"/>
      <c r="GG470" s="205"/>
      <c r="GH470" s="205"/>
      <c r="GI470" s="205"/>
      <c r="GJ470" s="205"/>
      <c r="GK470" s="205"/>
      <c r="GL470" s="205"/>
      <c r="GM470" s="205"/>
    </row>
    <row r="471" spans="1:195" s="7" customFormat="1">
      <c r="A471" s="4"/>
      <c r="B471" s="4"/>
      <c r="C471" s="63">
        <v>7</v>
      </c>
      <c r="D471" s="101">
        <f>SUM($L$228:$L$347)/$A$438</f>
        <v>5.0131118881118875</v>
      </c>
      <c r="E471" s="97">
        <f>+N36</f>
        <v>1.8516725298755882E-2</v>
      </c>
      <c r="F471" s="102">
        <f>+D471-D473</f>
        <v>3.3143939393939394</v>
      </c>
      <c r="G471" s="101">
        <f>+D471*E471</f>
        <v>9.2826415724095251E-2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/>
      <c r="AO471"/>
      <c r="AP471"/>
      <c r="AQ471"/>
      <c r="AR471"/>
      <c r="AS471"/>
      <c r="AT471"/>
      <c r="AU471"/>
      <c r="AV471"/>
      <c r="AW471"/>
      <c r="FY471" s="210">
        <v>466</v>
      </c>
      <c r="FZ471" s="205"/>
      <c r="GA471" s="205"/>
      <c r="GB471" s="205"/>
      <c r="GC471" s="205"/>
      <c r="GD471" s="205"/>
      <c r="GE471" s="205"/>
      <c r="GF471" s="205"/>
      <c r="GG471" s="205"/>
      <c r="GH471" s="205"/>
      <c r="GI471" s="205"/>
      <c r="GJ471" s="205"/>
      <c r="GK471" s="205"/>
      <c r="GL471" s="205"/>
      <c r="GM471" s="205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1.9861404476823503E-2</v>
      </c>
      <c r="I472" s="101">
        <f>+H472*F471</f>
        <v>6.5828518625835483E-2</v>
      </c>
      <c r="J472" s="101">
        <f>+I472*$A$440</f>
        <v>1.9748555587750645</v>
      </c>
      <c r="K472" s="61">
        <f>IF(AND(J472&lt;0, J470&lt;0), 0, J472)</f>
        <v>1.9748555587750645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/>
      <c r="AO472"/>
      <c r="AP472"/>
      <c r="AQ472"/>
      <c r="AR472"/>
      <c r="AS472"/>
      <c r="AT472"/>
      <c r="AU472"/>
      <c r="AV472"/>
      <c r="AW472"/>
      <c r="FY472" s="210">
        <v>467</v>
      </c>
      <c r="FZ472" s="205"/>
      <c r="GA472" s="205"/>
      <c r="GB472" s="205"/>
      <c r="GC472" s="205"/>
      <c r="GD472" s="205"/>
      <c r="GE472" s="205"/>
      <c r="GF472" s="205"/>
      <c r="GG472" s="205"/>
      <c r="GH472" s="205"/>
      <c r="GI472" s="205"/>
      <c r="GJ472" s="205"/>
      <c r="GK472" s="205"/>
      <c r="GL472" s="205"/>
      <c r="GM472" s="205"/>
    </row>
    <row r="473" spans="1:195" s="7" customFormat="1">
      <c r="A473" s="4"/>
      <c r="B473" s="16"/>
      <c r="C473" s="63">
        <v>8</v>
      </c>
      <c r="D473" s="101">
        <f>SUM($M$228:$M$347)/$A$438</f>
        <v>1.6987179487179482</v>
      </c>
      <c r="E473" s="97">
        <f>O36</f>
        <v>2.1303733863702618E-2</v>
      </c>
      <c r="F473" s="102">
        <f>+D473-D475</f>
        <v>-1.8145396270396275</v>
      </c>
      <c r="G473" s="101">
        <f>+D473*E473</f>
        <v>3.6189035088982004E-2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/>
      <c r="AO473"/>
      <c r="AP473"/>
      <c r="AQ473"/>
      <c r="AR473"/>
      <c r="AS473"/>
      <c r="AT473"/>
      <c r="AU473"/>
      <c r="AV473"/>
      <c r="AW473"/>
      <c r="FY473" s="210">
        <v>468</v>
      </c>
      <c r="FZ473" s="205"/>
      <c r="GA473" s="205"/>
      <c r="GB473" s="205"/>
      <c r="GC473" s="205"/>
      <c r="GD473" s="205"/>
      <c r="GE473" s="205"/>
      <c r="GF473" s="205"/>
      <c r="GG473" s="205"/>
      <c r="GH473" s="205"/>
      <c r="GI473" s="205"/>
      <c r="GJ473" s="205"/>
      <c r="GK473" s="205"/>
      <c r="GL473" s="205"/>
      <c r="GM473" s="205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2.2662655777038885E-2</v>
      </c>
      <c r="I474" s="101">
        <f>+H474*F473</f>
        <v>-4.1122286961395596E-2</v>
      </c>
      <c r="J474" s="101">
        <f>+I474*$A$440</f>
        <v>-1.2336686088418678</v>
      </c>
      <c r="K474" s="61">
        <f>IF(AND(J474&lt;0, J472&lt;0), 0, J474)</f>
        <v>-1.2336686088418678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/>
      <c r="AO474"/>
      <c r="AP474"/>
      <c r="AQ474"/>
      <c r="AR474"/>
      <c r="AS474"/>
      <c r="AT474"/>
      <c r="AU474"/>
      <c r="AV474"/>
      <c r="AW474"/>
      <c r="FY474" s="210">
        <v>469</v>
      </c>
      <c r="FZ474" s="205"/>
      <c r="GA474" s="205"/>
      <c r="GB474" s="205"/>
      <c r="GC474" s="205"/>
      <c r="GD474" s="205"/>
      <c r="GE474" s="205"/>
      <c r="GF474" s="205"/>
      <c r="GG474" s="205"/>
      <c r="GH474" s="205"/>
      <c r="GI474" s="205"/>
      <c r="GJ474" s="205"/>
      <c r="GK474" s="205"/>
      <c r="GL474" s="205"/>
      <c r="GM474" s="205"/>
    </row>
    <row r="475" spans="1:195" s="7" customFormat="1">
      <c r="A475" s="4"/>
      <c r="B475" s="16"/>
      <c r="C475" s="63">
        <v>9</v>
      </c>
      <c r="D475" s="101">
        <f>SUM($N$228:$N$347)/$A$438</f>
        <v>3.5132575757575757</v>
      </c>
      <c r="E475" s="97">
        <f>P36</f>
        <v>2.4108260559132344E-2</v>
      </c>
      <c r="F475" s="102">
        <f>+D475-D477</f>
        <v>3.0965909090909092</v>
      </c>
      <c r="G475" s="101">
        <f>+D475*E475</f>
        <v>8.4698529047709276E-2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/>
      <c r="AO475"/>
      <c r="AP475"/>
      <c r="AQ475"/>
      <c r="AR475"/>
      <c r="AS475"/>
      <c r="AT475"/>
      <c r="AU475"/>
      <c r="AV475"/>
      <c r="AW475"/>
      <c r="FY475" s="210">
        <v>470</v>
      </c>
      <c r="FZ475" s="205"/>
      <c r="GA475" s="205"/>
      <c r="GB475" s="205"/>
      <c r="GC475" s="205"/>
      <c r="GD475" s="205"/>
      <c r="GE475" s="205"/>
      <c r="GF475" s="205"/>
      <c r="GG475" s="205"/>
      <c r="GH475" s="205"/>
      <c r="GI475" s="205"/>
      <c r="GJ475" s="205"/>
      <c r="GK475" s="205"/>
      <c r="GL475" s="205"/>
      <c r="GM475" s="20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2.5479362589421264E-2</v>
      </c>
      <c r="I476" s="101">
        <f>+H476*F475</f>
        <v>7.8899162563832892E-2</v>
      </c>
      <c r="J476" s="101">
        <f>+I476*$A$440</f>
        <v>2.3669748769149868</v>
      </c>
      <c r="K476" s="61">
        <f>IF(AND(J476&lt;0, J474&lt;0), 0, J476)</f>
        <v>2.3669748769149868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/>
      <c r="AO476"/>
      <c r="AP476"/>
      <c r="AQ476"/>
      <c r="AR476"/>
      <c r="AS476"/>
      <c r="AT476"/>
      <c r="AU476"/>
      <c r="AV476"/>
      <c r="AW476"/>
      <c r="FY476" s="210">
        <v>471</v>
      </c>
      <c r="FZ476" s="205"/>
      <c r="GA476" s="205"/>
      <c r="GB476" s="205"/>
      <c r="GC476" s="205"/>
      <c r="GD476" s="205"/>
      <c r="GE476" s="205"/>
      <c r="GF476" s="205"/>
      <c r="GG476" s="205"/>
      <c r="GH476" s="205"/>
      <c r="GI476" s="205"/>
      <c r="GJ476" s="205"/>
      <c r="GK476" s="205"/>
      <c r="GL476" s="205"/>
      <c r="GM476" s="205"/>
    </row>
    <row r="477" spans="1:195" s="7" customFormat="1">
      <c r="A477" s="4"/>
      <c r="B477" s="16"/>
      <c r="C477" s="63">
        <v>10</v>
      </c>
      <c r="D477" s="101">
        <f>SUM($O$228:$O$347)/$A$438</f>
        <v>0.41666666666666663</v>
      </c>
      <c r="E477" s="97">
        <f>Q36</f>
        <v>2.6928442903247123E-2</v>
      </c>
      <c r="F477" s="102">
        <f>+D477-D479</f>
        <v>-0.10416666666666663</v>
      </c>
      <c r="G477" s="101">
        <f>+D477*E477</f>
        <v>1.1220184543019634E-2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/>
      <c r="AO477"/>
      <c r="AP477"/>
      <c r="AQ477"/>
      <c r="AR477"/>
      <c r="AS477"/>
      <c r="AT477"/>
      <c r="AU477"/>
      <c r="AV477"/>
      <c r="AW477"/>
      <c r="FY477" s="210">
        <v>472</v>
      </c>
      <c r="FZ477" s="205"/>
      <c r="GA477" s="205"/>
      <c r="GB477" s="205"/>
      <c r="GC477" s="205"/>
      <c r="GD477" s="205"/>
      <c r="GE477" s="205"/>
      <c r="GF477" s="205"/>
      <c r="GG477" s="205"/>
      <c r="GH477" s="205"/>
      <c r="GI477" s="205"/>
      <c r="GJ477" s="205"/>
      <c r="GK477" s="205"/>
      <c r="GL477" s="205"/>
      <c r="GM477" s="205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2.8310165055456294E-2</v>
      </c>
      <c r="I478" s="101">
        <f>+H478*F477</f>
        <v>-2.9489755266100294E-3</v>
      </c>
      <c r="J478" s="101">
        <f>+I478*$A$440</f>
        <v>-8.8469265798300889E-2</v>
      </c>
      <c r="K478" s="61">
        <f>IF(AND(J478&lt;0, J476&lt;0), 0, J478)</f>
        <v>-8.8469265798300889E-2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/>
      <c r="AO478"/>
      <c r="AP478"/>
      <c r="AQ478"/>
      <c r="AR478"/>
      <c r="AS478"/>
      <c r="AT478"/>
      <c r="AU478"/>
      <c r="AV478"/>
      <c r="AW478"/>
      <c r="FY478" s="210">
        <v>473</v>
      </c>
      <c r="FZ478" s="205"/>
      <c r="GA478" s="205"/>
      <c r="GB478" s="205"/>
      <c r="GC478" s="205"/>
      <c r="GD478" s="205"/>
      <c r="GE478" s="205"/>
      <c r="GF478" s="205"/>
      <c r="GG478" s="205"/>
      <c r="GH478" s="205"/>
      <c r="GI478" s="205"/>
      <c r="GJ478" s="205"/>
      <c r="GK478" s="205"/>
      <c r="GL478" s="205"/>
      <c r="GM478" s="205"/>
    </row>
    <row r="479" spans="1:195" s="7" customFormat="1">
      <c r="A479" s="4"/>
      <c r="B479" s="4"/>
      <c r="C479" s="100">
        <v>11</v>
      </c>
      <c r="D479" s="101">
        <f>SUM($P$228:$P$347)/$A$438</f>
        <v>0.52083333333333326</v>
      </c>
      <c r="E479" s="97">
        <f>R36</f>
        <v>2.9762784589766802E-2</v>
      </c>
      <c r="F479" s="102">
        <f>+D479-D481</f>
        <v>0.52083333333333326</v>
      </c>
      <c r="G479" s="101">
        <f>+D479*E479</f>
        <v>1.5501450307170208E-2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/>
      <c r="AO479"/>
      <c r="AP479"/>
      <c r="AQ479"/>
      <c r="AR479"/>
      <c r="AS479"/>
      <c r="AT479"/>
      <c r="AU479"/>
      <c r="AV479"/>
      <c r="AW479"/>
      <c r="FY479" s="210">
        <v>474</v>
      </c>
      <c r="FZ479" s="205"/>
      <c r="GA479" s="205"/>
      <c r="GB479" s="205"/>
      <c r="GC479" s="205"/>
      <c r="GD479" s="205"/>
      <c r="GE479" s="205"/>
      <c r="GF479" s="205"/>
      <c r="GG479" s="205"/>
      <c r="GH479" s="205"/>
      <c r="GI479" s="205"/>
      <c r="GJ479" s="205"/>
      <c r="GK479" s="205"/>
      <c r="GL479" s="205"/>
      <c r="GM479" s="205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3.1153909616374691E-2</v>
      </c>
      <c r="I480" s="101">
        <f>+H480*F479</f>
        <v>1.6225994591861817E-2</v>
      </c>
      <c r="J480" s="101">
        <f>+I480*$A$440</f>
        <v>0.48677983775585454</v>
      </c>
      <c r="K480" s="61">
        <f>IF(AND(J480&lt;0, J478&lt;0), 0, J480)</f>
        <v>0.48677983775585454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/>
      <c r="AO480"/>
      <c r="AP480"/>
      <c r="AQ480"/>
      <c r="AR480"/>
      <c r="AS480"/>
      <c r="AT480"/>
      <c r="AU480"/>
      <c r="AV480"/>
      <c r="AW480"/>
      <c r="FY480" s="210">
        <v>475</v>
      </c>
      <c r="FZ480" s="205"/>
      <c r="GA480" s="205"/>
      <c r="GB480" s="205"/>
      <c r="GC480" s="205"/>
      <c r="GD480" s="205"/>
      <c r="GE480" s="205"/>
      <c r="GF480" s="205"/>
      <c r="GG480" s="205"/>
      <c r="GH480" s="205"/>
      <c r="GI480" s="205"/>
      <c r="GJ480" s="205"/>
      <c r="GK480" s="205"/>
      <c r="GL480" s="205"/>
      <c r="GM480" s="205"/>
    </row>
    <row r="481" spans="1:195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3.2610056409807457E-2</v>
      </c>
      <c r="F481" s="102">
        <f>+D481-D483</f>
        <v>-0.20833333333333331</v>
      </c>
      <c r="G481" s="101">
        <f>+D481*E481</f>
        <v>0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/>
      <c r="AO481"/>
      <c r="AP481"/>
      <c r="AQ481"/>
      <c r="AR481"/>
      <c r="AS481"/>
      <c r="AT481"/>
      <c r="AU481"/>
      <c r="AV481"/>
      <c r="AW481"/>
      <c r="FY481" s="210">
        <v>476</v>
      </c>
      <c r="FZ481" s="205"/>
      <c r="GA481" s="205"/>
      <c r="GB481" s="205"/>
      <c r="GC481" s="205"/>
      <c r="GD481" s="205"/>
      <c r="GE481" s="205"/>
      <c r="GF481" s="205"/>
      <c r="GG481" s="205"/>
      <c r="GH481" s="205"/>
      <c r="GI481" s="205"/>
      <c r="GJ481" s="205"/>
      <c r="GK481" s="205"/>
      <c r="GL481" s="205"/>
      <c r="GM481" s="205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3.4009610320441162E-2</v>
      </c>
      <c r="I482" s="101">
        <f>+H482*F481</f>
        <v>-7.0853354834252416E-3</v>
      </c>
      <c r="J482" s="101">
        <f>+I482*$A$440</f>
        <v>-0.21256006450275725</v>
      </c>
      <c r="K482" s="61">
        <f>IF(AND(J482&lt;0, J480&lt;0), 0, J482)</f>
        <v>-0.21256006450275725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/>
      <c r="AO482"/>
      <c r="AP482"/>
      <c r="AQ482"/>
      <c r="AR482"/>
      <c r="AS482"/>
      <c r="AT482"/>
      <c r="AU482"/>
      <c r="AV482"/>
      <c r="AW482"/>
      <c r="FY482" s="210">
        <v>477</v>
      </c>
      <c r="FZ482" s="205"/>
      <c r="GA482" s="205"/>
      <c r="GB482" s="205"/>
      <c r="GC482" s="205"/>
      <c r="GD482" s="205"/>
      <c r="GE482" s="205"/>
      <c r="GF482" s="205"/>
      <c r="GG482" s="205"/>
      <c r="GH482" s="205"/>
      <c r="GI482" s="205"/>
      <c r="GJ482" s="205"/>
      <c r="GK482" s="205"/>
      <c r="GL482" s="205"/>
      <c r="GM482" s="205"/>
    </row>
    <row r="483" spans="1:195" s="7" customFormat="1">
      <c r="A483" s="4"/>
      <c r="B483" s="4"/>
      <c r="C483" s="63">
        <v>13</v>
      </c>
      <c r="D483" s="101">
        <f>SUM($R$228:$R$347)/$A$438</f>
        <v>0.20833333333333331</v>
      </c>
      <c r="E483" s="97">
        <f>+T36</f>
        <v>3.5469230093094682E-2</v>
      </c>
      <c r="F483" s="102">
        <f>+D483-D485</f>
        <v>-0.10416666666666669</v>
      </c>
      <c r="G483" s="101">
        <f>+D483*E483</f>
        <v>7.3894229360613913E-3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/>
      <c r="AO483"/>
      <c r="AP483"/>
      <c r="AQ483"/>
      <c r="AR483"/>
      <c r="AS483"/>
      <c r="AT483"/>
      <c r="AU483"/>
      <c r="AV483"/>
      <c r="AW483"/>
      <c r="FY483" s="210">
        <v>478</v>
      </c>
      <c r="FZ483" s="205"/>
      <c r="GA483" s="205"/>
      <c r="GB483" s="205"/>
      <c r="GC483" s="205"/>
      <c r="GD483" s="205"/>
      <c r="GE483" s="205"/>
      <c r="GF483" s="205"/>
      <c r="GG483" s="205"/>
      <c r="GH483" s="205"/>
      <c r="GI483" s="205"/>
      <c r="GJ483" s="205"/>
      <c r="GK483" s="205"/>
      <c r="GL483" s="205"/>
      <c r="GM483" s="205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3.6876417259200371E-2</v>
      </c>
      <c r="I484" s="101">
        <f>+H484*F483</f>
        <v>-3.8412934645000395E-3</v>
      </c>
      <c r="J484" s="101">
        <f>+I484*$A$440</f>
        <v>-0.11523880393500119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/>
      <c r="AO484"/>
      <c r="AP484"/>
      <c r="AQ484"/>
      <c r="AR484"/>
      <c r="AS484"/>
      <c r="AT484"/>
      <c r="AU484"/>
      <c r="AV484"/>
      <c r="AW484"/>
      <c r="FY484" s="210">
        <v>479</v>
      </c>
      <c r="FZ484" s="205"/>
      <c r="GA484" s="205"/>
      <c r="GB484" s="205"/>
      <c r="GC484" s="205"/>
      <c r="GD484" s="205"/>
      <c r="GE484" s="205"/>
      <c r="GF484" s="205"/>
      <c r="GG484" s="205"/>
      <c r="GH484" s="205"/>
      <c r="GI484" s="205"/>
      <c r="GJ484" s="205"/>
      <c r="GK484" s="205"/>
      <c r="GL484" s="205"/>
      <c r="GM484" s="205"/>
    </row>
    <row r="485" spans="1:195" s="7" customFormat="1">
      <c r="A485" s="4"/>
      <c r="B485" s="4"/>
      <c r="C485" s="63">
        <v>14</v>
      </c>
      <c r="D485" s="101">
        <f>SUM($S$228:$S$347)/$A$438</f>
        <v>0.3125</v>
      </c>
      <c r="E485" s="97">
        <f>+U36</f>
        <v>3.8339432412416441E-2</v>
      </c>
      <c r="F485" s="102">
        <f>+D485-D487</f>
        <v>0.3125</v>
      </c>
      <c r="G485" s="101">
        <f>+D485*E485</f>
        <v>1.1981072628880138E-2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/>
      <c r="AO485"/>
      <c r="AP485"/>
      <c r="AQ485"/>
      <c r="AR485"/>
      <c r="AS485"/>
      <c r="AT485"/>
      <c r="AU485"/>
      <c r="AV485"/>
      <c r="AW485"/>
      <c r="FY485" s="210">
        <v>480</v>
      </c>
      <c r="FZ485" s="205"/>
      <c r="GA485" s="205"/>
      <c r="GB485" s="205"/>
      <c r="GC485" s="205"/>
      <c r="GD485" s="205"/>
      <c r="GE485" s="205"/>
      <c r="GF485" s="205"/>
      <c r="GG485" s="205"/>
      <c r="GH485" s="205"/>
      <c r="GI485" s="205"/>
      <c r="GJ485" s="205"/>
      <c r="GK485" s="205"/>
      <c r="GL485" s="205"/>
      <c r="GM485" s="20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3.9753591569985668E-2</v>
      </c>
      <c r="I486" s="101">
        <f>+H486*F485</f>
        <v>1.2422997365620522E-2</v>
      </c>
      <c r="J486" s="101">
        <f>+I486*$A$440</f>
        <v>0.37268992096861564</v>
      </c>
      <c r="K486" s="61">
        <f>IF(AND(J486&lt;0, J484&lt;0), 0, J486)</f>
        <v>0.37268992096861564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/>
      <c r="AO486"/>
      <c r="AP486"/>
      <c r="AQ486"/>
      <c r="AR486"/>
      <c r="AS486"/>
      <c r="AT486"/>
      <c r="AU486"/>
      <c r="AV486"/>
      <c r="AW486"/>
      <c r="FY486" s="210">
        <v>481</v>
      </c>
      <c r="FZ486" s="205"/>
      <c r="GA486" s="205"/>
      <c r="GB486" s="205"/>
      <c r="GC486" s="205"/>
      <c r="GD486" s="205"/>
      <c r="GE486" s="205"/>
      <c r="GF486" s="205"/>
      <c r="GG486" s="205"/>
      <c r="GH486" s="205"/>
      <c r="GI486" s="205"/>
      <c r="GJ486" s="205"/>
      <c r="GK486" s="205"/>
      <c r="GL486" s="205"/>
      <c r="GM486" s="205"/>
    </row>
    <row r="487" spans="1:195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4.1219912327169213E-2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/>
      <c r="AO487"/>
      <c r="AP487"/>
      <c r="AQ487"/>
      <c r="AR487"/>
      <c r="AS487"/>
      <c r="AT487"/>
      <c r="AU487"/>
      <c r="AV487"/>
      <c r="AW487"/>
      <c r="FY487" s="210">
        <v>482</v>
      </c>
      <c r="FZ487" s="205"/>
      <c r="GA487" s="205"/>
      <c r="GB487" s="205"/>
      <c r="GC487" s="205"/>
      <c r="GD487" s="205"/>
      <c r="GE487" s="205"/>
      <c r="GF487" s="205"/>
      <c r="GG487" s="205"/>
      <c r="GH487" s="205"/>
      <c r="GI487" s="205"/>
      <c r="GJ487" s="205"/>
      <c r="GK487" s="205"/>
      <c r="GL487" s="205"/>
      <c r="GM487" s="205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4.2640485768343506E-2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/>
      <c r="AO488"/>
      <c r="AP488"/>
      <c r="AQ488"/>
      <c r="AR488"/>
      <c r="AS488"/>
      <c r="AT488"/>
      <c r="AU488"/>
      <c r="AV488"/>
      <c r="AW488"/>
      <c r="FY488" s="210">
        <v>483</v>
      </c>
      <c r="FZ488" s="205"/>
      <c r="GA488" s="205"/>
      <c r="GB488" s="205"/>
      <c r="GC488" s="205"/>
      <c r="GD488" s="205"/>
      <c r="GE488" s="205"/>
      <c r="GF488" s="205"/>
      <c r="GG488" s="205"/>
      <c r="GH488" s="205"/>
      <c r="GI488" s="205"/>
      <c r="GJ488" s="205"/>
      <c r="GK488" s="205"/>
      <c r="GL488" s="205"/>
      <c r="GM488" s="205"/>
    </row>
    <row r="489" spans="1:195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4.4110016831886138E-2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/>
      <c r="AO489"/>
      <c r="AP489"/>
      <c r="AQ489"/>
      <c r="AR489"/>
      <c r="AS489"/>
      <c r="AT489"/>
      <c r="AU489"/>
      <c r="AV489"/>
      <c r="AW489"/>
      <c r="FY489" s="210">
        <v>484</v>
      </c>
      <c r="FZ489" s="205"/>
      <c r="GA489" s="205"/>
      <c r="GB489" s="205"/>
      <c r="GC489" s="205"/>
      <c r="GD489" s="205"/>
      <c r="GE489" s="205"/>
      <c r="GF489" s="205"/>
      <c r="GG489" s="205"/>
      <c r="GH489" s="205"/>
      <c r="GI489" s="205"/>
      <c r="GJ489" s="205"/>
      <c r="GK489" s="205"/>
      <c r="GL489" s="205"/>
      <c r="GM489" s="205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4.5536528232132355E-2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/>
      <c r="AO490"/>
      <c r="AP490"/>
      <c r="AQ490"/>
      <c r="AR490"/>
      <c r="AS490"/>
      <c r="AT490"/>
      <c r="AU490"/>
      <c r="AV490"/>
      <c r="AW490"/>
      <c r="FY490" s="210">
        <v>485</v>
      </c>
      <c r="FZ490" s="205"/>
      <c r="GA490" s="205"/>
      <c r="GB490" s="205"/>
      <c r="GC490" s="205"/>
      <c r="GD490" s="205"/>
      <c r="GE490" s="205"/>
      <c r="GF490" s="205"/>
      <c r="GG490" s="205"/>
      <c r="GH490" s="205"/>
      <c r="GI490" s="205"/>
      <c r="GJ490" s="205"/>
      <c r="GK490" s="205"/>
      <c r="GL490" s="205"/>
      <c r="GM490" s="205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4.7009172799427408E-2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/>
      <c r="AO491"/>
      <c r="AP491"/>
      <c r="AQ491"/>
      <c r="AR491"/>
      <c r="AS491"/>
      <c r="AT491"/>
      <c r="AU491"/>
      <c r="AV491"/>
      <c r="AW491"/>
      <c r="FY491" s="210">
        <v>486</v>
      </c>
      <c r="FZ491" s="205"/>
      <c r="GA491" s="205"/>
      <c r="GB491" s="205"/>
      <c r="GC491" s="205"/>
      <c r="GD491" s="205"/>
      <c r="GE491" s="205"/>
      <c r="GF491" s="205"/>
      <c r="GG491" s="205"/>
      <c r="GH491" s="205"/>
      <c r="GI491" s="205"/>
      <c r="GJ491" s="205"/>
      <c r="GK491" s="205"/>
      <c r="GL491" s="205"/>
      <c r="GM491" s="205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4.8441210879211993E-2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/>
      <c r="AO492"/>
      <c r="AP492"/>
      <c r="AQ492"/>
      <c r="AR492"/>
      <c r="AS492"/>
      <c r="AT492"/>
      <c r="AU492"/>
      <c r="AV492"/>
      <c r="AW492"/>
      <c r="FY492" s="210">
        <v>487</v>
      </c>
      <c r="FZ492" s="205"/>
      <c r="GA492" s="205"/>
      <c r="GB492" s="205"/>
      <c r="GC492" s="205"/>
      <c r="GD492" s="205"/>
      <c r="GE492" s="205"/>
      <c r="GF492" s="205"/>
      <c r="GG492" s="205"/>
      <c r="GH492" s="205"/>
      <c r="GI492" s="205"/>
      <c r="GJ492" s="205"/>
      <c r="GK492" s="205"/>
      <c r="GL492" s="205"/>
      <c r="GM492" s="205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4.9916873063396441E-2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/>
      <c r="AO493"/>
      <c r="AP493"/>
      <c r="AQ493"/>
      <c r="AR493"/>
      <c r="AS493"/>
      <c r="AT493"/>
      <c r="AU493"/>
      <c r="AV493"/>
      <c r="AW493"/>
      <c r="FY493" s="210">
        <v>488</v>
      </c>
      <c r="FZ493" s="205"/>
      <c r="GA493" s="205"/>
      <c r="GB493" s="205"/>
      <c r="GC493" s="205"/>
      <c r="GD493" s="205"/>
      <c r="GE493" s="205"/>
      <c r="GF493" s="205"/>
      <c r="GG493" s="205"/>
      <c r="GH493" s="205"/>
      <c r="GI493" s="205"/>
      <c r="GJ493" s="205"/>
      <c r="GK493" s="205"/>
      <c r="GL493" s="205"/>
      <c r="GM493" s="205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5.1354079300098679E-2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/>
      <c r="AO494"/>
      <c r="AP494"/>
      <c r="AQ494"/>
      <c r="AR494"/>
      <c r="AS494"/>
      <c r="AT494"/>
      <c r="AU494"/>
      <c r="AV494"/>
      <c r="AW494"/>
      <c r="FY494" s="210">
        <v>489</v>
      </c>
      <c r="FZ494" s="205"/>
      <c r="GA494" s="205"/>
      <c r="GB494" s="205"/>
      <c r="GC494" s="205"/>
      <c r="GD494" s="205"/>
      <c r="GE494" s="205"/>
      <c r="GF494" s="205"/>
      <c r="GG494" s="205"/>
      <c r="GH494" s="205"/>
      <c r="GI494" s="205"/>
      <c r="GJ494" s="205"/>
      <c r="GK494" s="205"/>
      <c r="GL494" s="205"/>
      <c r="GM494" s="205"/>
    </row>
    <row r="495" spans="1:195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5.2832665568041913E-2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/>
      <c r="AO495"/>
      <c r="AP495"/>
      <c r="AQ495"/>
      <c r="AR495"/>
      <c r="AS495"/>
      <c r="AT495"/>
      <c r="AU495"/>
      <c r="AV495"/>
      <c r="AW495"/>
      <c r="FY495" s="210">
        <v>490</v>
      </c>
      <c r="FZ495" s="205"/>
      <c r="GA495" s="205"/>
      <c r="GB495" s="205"/>
      <c r="GC495" s="205"/>
      <c r="GD495" s="205"/>
      <c r="GE495" s="205"/>
      <c r="GF495" s="205"/>
      <c r="GG495" s="205"/>
      <c r="GH495" s="205"/>
      <c r="GI495" s="205"/>
      <c r="GJ495" s="205"/>
      <c r="GK495" s="205"/>
      <c r="GL495" s="205"/>
      <c r="GM495" s="20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5.4274724786706023E-2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/>
      <c r="AO496"/>
      <c r="AP496"/>
      <c r="AQ496"/>
      <c r="AR496"/>
      <c r="AS496"/>
      <c r="AT496"/>
      <c r="AU496"/>
      <c r="AV496"/>
      <c r="AW496"/>
      <c r="FY496" s="210">
        <v>491</v>
      </c>
      <c r="FZ496" s="205"/>
      <c r="GA496" s="205"/>
      <c r="GB496" s="205"/>
      <c r="GC496" s="205"/>
      <c r="GD496" s="205"/>
      <c r="GE496" s="205"/>
      <c r="GF496" s="205"/>
      <c r="GG496" s="205"/>
      <c r="GH496" s="205"/>
      <c r="GI496" s="205"/>
      <c r="GJ496" s="205"/>
      <c r="GK496" s="205"/>
      <c r="GL496" s="205"/>
      <c r="GM496" s="205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5.5756144782794018E-2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/>
      <c r="AO497"/>
      <c r="AP497"/>
      <c r="AQ497"/>
      <c r="AR497"/>
      <c r="AS497"/>
      <c r="AT497"/>
      <c r="AU497"/>
      <c r="AV497"/>
      <c r="AW497"/>
      <c r="FY497" s="210">
        <v>492</v>
      </c>
      <c r="FZ497" s="205"/>
      <c r="GA497" s="205"/>
      <c r="GB497" s="205"/>
      <c r="GC497" s="205"/>
      <c r="GD497" s="205"/>
      <c r="GE497" s="205"/>
      <c r="GF497" s="205"/>
      <c r="GG497" s="205"/>
      <c r="GH497" s="205"/>
      <c r="GI497" s="205"/>
      <c r="GJ497" s="205"/>
      <c r="GK497" s="205"/>
      <c r="GL497" s="205"/>
      <c r="GM497" s="205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5.7202777836087418E-2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/>
      <c r="AO498"/>
      <c r="AP498"/>
      <c r="AQ498"/>
      <c r="AR498"/>
      <c r="AS498"/>
      <c r="AT498"/>
      <c r="AU498"/>
      <c r="AV498"/>
      <c r="AW498"/>
      <c r="FY498" s="210">
        <v>493</v>
      </c>
      <c r="FZ498" s="205"/>
      <c r="GA498" s="205"/>
      <c r="GB498" s="205"/>
      <c r="GC498" s="205"/>
      <c r="GD498" s="205"/>
      <c r="GE498" s="205"/>
      <c r="GF498" s="205"/>
      <c r="GG498" s="205"/>
      <c r="GH498" s="205"/>
      <c r="GI498" s="205"/>
      <c r="GJ498" s="205"/>
      <c r="GK498" s="205"/>
      <c r="GL498" s="205"/>
      <c r="GM498" s="205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5.8686944818583303E-2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/>
      <c r="AO499"/>
      <c r="AP499"/>
      <c r="AQ499"/>
      <c r="AR499"/>
      <c r="AS499"/>
      <c r="AT499"/>
      <c r="AU499"/>
      <c r="AV499"/>
      <c r="AW499"/>
      <c r="FY499" s="210">
        <v>494</v>
      </c>
      <c r="FZ499" s="205"/>
      <c r="GA499" s="205"/>
      <c r="GB499" s="205"/>
      <c r="GC499" s="205"/>
      <c r="GD499" s="205"/>
      <c r="GE499" s="205"/>
      <c r="GF499" s="205"/>
      <c r="GG499" s="205"/>
      <c r="GH499" s="205"/>
      <c r="GI499" s="205"/>
      <c r="GJ499" s="205"/>
      <c r="GK499" s="205"/>
      <c r="GL499" s="205"/>
      <c r="GM499" s="205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6.013790281111861E-2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/>
      <c r="AO500"/>
      <c r="AP500"/>
      <c r="AQ500"/>
      <c r="AR500"/>
      <c r="AS500"/>
      <c r="AT500"/>
      <c r="AU500"/>
      <c r="AV500"/>
      <c r="AW500"/>
      <c r="FY500" s="210">
        <v>495</v>
      </c>
      <c r="FZ500" s="205"/>
      <c r="GA500" s="205"/>
      <c r="GB500" s="205"/>
      <c r="GC500" s="205"/>
      <c r="GD500" s="205"/>
      <c r="GE500" s="205"/>
      <c r="GF500" s="205"/>
      <c r="GG500" s="205"/>
      <c r="GH500" s="205"/>
      <c r="GI500" s="205"/>
      <c r="GJ500" s="205"/>
      <c r="GK500" s="205"/>
      <c r="GL500" s="205"/>
      <c r="GM500" s="205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6.1624733843264508E-2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/>
      <c r="AO501"/>
      <c r="AP501"/>
      <c r="AQ501"/>
      <c r="AR501"/>
      <c r="AS501"/>
      <c r="AT501"/>
      <c r="AU501"/>
      <c r="AV501"/>
      <c r="AW501"/>
      <c r="FY501" s="210">
        <v>496</v>
      </c>
      <c r="FZ501" s="205"/>
      <c r="GA501" s="205"/>
      <c r="GB501" s="205"/>
      <c r="GC501" s="205"/>
      <c r="GD501" s="205"/>
      <c r="GE501" s="205"/>
      <c r="GF501" s="205"/>
      <c r="GG501" s="205"/>
      <c r="GH501" s="205"/>
      <c r="GI501" s="205"/>
      <c r="GJ501" s="205"/>
      <c r="GK501" s="205"/>
      <c r="GL501" s="205"/>
      <c r="GM501" s="205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6.307979351647261E-2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/>
      <c r="AO502"/>
      <c r="AP502"/>
      <c r="AQ502"/>
      <c r="AR502"/>
      <c r="AS502"/>
      <c r="AT502"/>
      <c r="AU502"/>
      <c r="AV502"/>
      <c r="AW502"/>
      <c r="FY502" s="210">
        <v>497</v>
      </c>
      <c r="FZ502" s="205"/>
      <c r="GA502" s="205"/>
      <c r="GB502" s="205"/>
      <c r="GC502" s="205"/>
      <c r="GD502" s="205"/>
      <c r="GE502" s="205"/>
      <c r="GF502" s="205"/>
      <c r="GG502" s="205"/>
      <c r="GH502" s="205"/>
      <c r="GI502" s="205"/>
      <c r="GJ502" s="205"/>
      <c r="GK502" s="205"/>
      <c r="GL502" s="205"/>
      <c r="GM502" s="205"/>
    </row>
    <row r="503" spans="1:195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6.4569209502812724E-2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/>
      <c r="AO503"/>
      <c r="AP503"/>
      <c r="AQ503"/>
      <c r="AR503"/>
      <c r="AS503"/>
      <c r="AT503"/>
      <c r="AU503"/>
      <c r="AV503"/>
      <c r="AW503"/>
      <c r="FY503" s="210">
        <v>498</v>
      </c>
      <c r="FZ503" s="205"/>
      <c r="GA503" s="205"/>
      <c r="GB503" s="205"/>
      <c r="GC503" s="205"/>
      <c r="GD503" s="205"/>
      <c r="GE503" s="205"/>
      <c r="GF503" s="205"/>
      <c r="GG503" s="205"/>
      <c r="GH503" s="205"/>
      <c r="GI503" s="205"/>
      <c r="GJ503" s="205"/>
      <c r="GK503" s="205"/>
      <c r="GL503" s="205"/>
      <c r="GM503" s="205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6.6028169504927472E-2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/>
      <c r="AO504"/>
      <c r="AP504"/>
      <c r="AQ504"/>
      <c r="AR504"/>
      <c r="AS504"/>
      <c r="AT504"/>
      <c r="AU504"/>
      <c r="AV504"/>
      <c r="AW504"/>
      <c r="FY504" s="210">
        <v>499</v>
      </c>
      <c r="FZ504" s="205"/>
      <c r="GA504" s="205"/>
      <c r="GB504" s="205"/>
      <c r="GC504" s="205"/>
      <c r="GD504" s="205"/>
      <c r="GE504" s="205"/>
      <c r="GF504" s="205"/>
      <c r="GG504" s="205"/>
      <c r="GH504" s="205"/>
      <c r="GI504" s="205"/>
      <c r="GJ504" s="205"/>
      <c r="GK504" s="205"/>
      <c r="GL504" s="205"/>
      <c r="GM504" s="205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6.7520095131124683E-2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/>
      <c r="AO505"/>
      <c r="AP505"/>
      <c r="AQ505"/>
      <c r="AR505"/>
      <c r="AS505"/>
      <c r="AT505"/>
      <c r="AU505"/>
      <c r="AV505"/>
      <c r="AW505"/>
      <c r="FY505" s="210">
        <v>500</v>
      </c>
      <c r="FZ505" s="205"/>
      <c r="GA505" s="205"/>
      <c r="GB505" s="205"/>
      <c r="GC505" s="205"/>
      <c r="GD505" s="205"/>
      <c r="GE505" s="205"/>
      <c r="GF505" s="205"/>
      <c r="GG505" s="205"/>
      <c r="GH505" s="205"/>
      <c r="GI505" s="205"/>
      <c r="GJ505" s="205"/>
      <c r="GK505" s="205"/>
      <c r="GL505" s="205"/>
      <c r="GM505" s="2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6.8982772971282108E-2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/>
      <c r="AO506"/>
      <c r="AP506"/>
      <c r="AQ506"/>
      <c r="AR506"/>
      <c r="AS506"/>
      <c r="AT506"/>
      <c r="AU506"/>
      <c r="AV506"/>
      <c r="AW506"/>
      <c r="FY506" s="210">
        <v>501</v>
      </c>
      <c r="FZ506" s="205"/>
      <c r="GA506" s="205"/>
      <c r="GB506" s="205"/>
      <c r="GC506" s="205"/>
      <c r="GD506" s="205"/>
      <c r="GE506" s="205"/>
      <c r="GF506" s="205"/>
      <c r="GG506" s="205"/>
      <c r="GH506" s="205"/>
      <c r="GI506" s="205"/>
      <c r="GJ506" s="205"/>
      <c r="GK506" s="205"/>
      <c r="GL506" s="205"/>
      <c r="GM506" s="205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7.0477136585281125E-2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/>
      <c r="AO507"/>
      <c r="AP507"/>
      <c r="AQ507"/>
      <c r="AR507"/>
      <c r="AS507"/>
      <c r="AT507"/>
      <c r="AU507"/>
      <c r="AV507"/>
      <c r="AW507"/>
      <c r="FY507" s="210">
        <v>502</v>
      </c>
      <c r="FZ507" s="205"/>
      <c r="GA507" s="205"/>
      <c r="GB507" s="205"/>
      <c r="GC507" s="205"/>
      <c r="GD507" s="205"/>
      <c r="GE507" s="205"/>
      <c r="GF507" s="205"/>
      <c r="GG507" s="205"/>
      <c r="GH507" s="205"/>
      <c r="GI507" s="205"/>
      <c r="GJ507" s="205"/>
      <c r="GK507" s="205"/>
      <c r="GL507" s="205"/>
      <c r="GM507" s="205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7.1943366122825356E-2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/>
      <c r="AO508"/>
      <c r="AP508"/>
      <c r="AQ508"/>
      <c r="AR508"/>
      <c r="AS508"/>
      <c r="AT508"/>
      <c r="AU508"/>
      <c r="AV508"/>
      <c r="AW508"/>
      <c r="FY508" s="210">
        <v>503</v>
      </c>
      <c r="FZ508" s="205"/>
      <c r="GA508" s="205"/>
      <c r="GB508" s="205"/>
      <c r="GC508" s="205"/>
      <c r="GD508" s="205"/>
      <c r="GE508" s="205"/>
      <c r="GF508" s="205"/>
      <c r="GG508" s="205"/>
      <c r="GH508" s="205"/>
      <c r="GI508" s="205"/>
      <c r="GJ508" s="205"/>
      <c r="GK508" s="205"/>
      <c r="GL508" s="205"/>
      <c r="GM508" s="205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7.3440099582079935E-2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/>
      <c r="AO509"/>
      <c r="AP509"/>
      <c r="AQ509"/>
      <c r="AR509"/>
      <c r="AS509"/>
      <c r="AT509"/>
      <c r="AU509"/>
      <c r="AV509"/>
      <c r="AW509"/>
      <c r="FY509" s="210">
        <v>504</v>
      </c>
      <c r="FZ509" s="205"/>
      <c r="GA509" s="205"/>
      <c r="GB509" s="205"/>
      <c r="GC509" s="205"/>
      <c r="GD509" s="205"/>
      <c r="GE509" s="205"/>
      <c r="GF509" s="205"/>
      <c r="GG509" s="205"/>
      <c r="GH509" s="205"/>
      <c r="GI509" s="205"/>
      <c r="GJ509" s="205"/>
      <c r="GK509" s="205"/>
      <c r="GL509" s="205"/>
      <c r="GM509" s="205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7.4909728939229175E-2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/>
      <c r="AO510"/>
      <c r="AP510"/>
      <c r="AQ510"/>
      <c r="AR510"/>
      <c r="AS510"/>
      <c r="AT510"/>
      <c r="AU510"/>
      <c r="AV510"/>
      <c r="AW510"/>
      <c r="FY510" s="210">
        <v>505</v>
      </c>
      <c r="FZ510" s="205"/>
      <c r="GA510" s="205"/>
      <c r="GB510" s="205"/>
      <c r="GC510" s="205"/>
      <c r="GD510" s="205"/>
      <c r="GE510" s="205"/>
      <c r="GF510" s="205"/>
      <c r="GG510" s="205"/>
      <c r="GH510" s="205"/>
      <c r="GI510" s="205"/>
      <c r="GJ510" s="205"/>
      <c r="GK510" s="205"/>
      <c r="GL510" s="205"/>
      <c r="GM510" s="205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7.6408767440152542E-2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/>
      <c r="AO511"/>
      <c r="AP511"/>
      <c r="AQ511"/>
      <c r="AR511"/>
      <c r="AS511"/>
      <c r="AT511"/>
      <c r="AU511"/>
      <c r="AV511"/>
      <c r="AW511"/>
      <c r="FY511" s="210">
        <v>506</v>
      </c>
      <c r="FZ511" s="205"/>
      <c r="GA511" s="205"/>
      <c r="GB511" s="205"/>
      <c r="GC511" s="205"/>
      <c r="GD511" s="205"/>
      <c r="GE511" s="205"/>
      <c r="GF511" s="205"/>
      <c r="GG511" s="205"/>
      <c r="GH511" s="205"/>
      <c r="GI511" s="205"/>
      <c r="GJ511" s="205"/>
      <c r="GK511" s="205"/>
      <c r="GL511" s="205"/>
      <c r="GM511" s="205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7.7881657252955427E-2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/>
      <c r="AO512"/>
      <c r="AP512"/>
      <c r="AQ512"/>
      <c r="AR512"/>
      <c r="AS512"/>
      <c r="AT512"/>
      <c r="AU512"/>
      <c r="AV512"/>
      <c r="AW512"/>
      <c r="FY512" s="210">
        <v>507</v>
      </c>
      <c r="FZ512" s="205"/>
      <c r="GA512" s="205"/>
      <c r="GB512" s="205"/>
      <c r="GC512" s="205"/>
      <c r="GD512" s="205"/>
      <c r="GE512" s="205"/>
      <c r="GF512" s="205"/>
      <c r="GG512" s="205"/>
      <c r="GH512" s="205"/>
      <c r="GI512" s="205"/>
      <c r="GJ512" s="205"/>
      <c r="GK512" s="205"/>
      <c r="GL512" s="205"/>
      <c r="GM512" s="205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7.9382939153123902E-2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/>
      <c r="AO513"/>
      <c r="AP513"/>
      <c r="AQ513"/>
      <c r="AR513"/>
      <c r="AS513"/>
      <c r="AT513"/>
      <c r="AU513"/>
      <c r="AV513"/>
      <c r="AW513"/>
      <c r="FY513" s="210">
        <v>508</v>
      </c>
      <c r="FZ513" s="205"/>
      <c r="GA513" s="205"/>
      <c r="GB513" s="205"/>
      <c r="GC513" s="205"/>
      <c r="GD513" s="205"/>
      <c r="GE513" s="205"/>
      <c r="GF513" s="205"/>
      <c r="GG513" s="205"/>
      <c r="GH513" s="205"/>
      <c r="GI513" s="205"/>
      <c r="GJ513" s="205"/>
      <c r="GK513" s="205"/>
      <c r="GL513" s="205"/>
      <c r="GM513" s="205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8.0858961095251064E-2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/>
      <c r="AO514"/>
      <c r="AP514"/>
      <c r="AQ514"/>
      <c r="AR514"/>
      <c r="AS514"/>
      <c r="AT514"/>
      <c r="AU514"/>
      <c r="AV514"/>
      <c r="AW514"/>
      <c r="FY514" s="210">
        <v>509</v>
      </c>
      <c r="FZ514" s="205"/>
      <c r="GA514" s="205"/>
      <c r="GB514" s="205"/>
      <c r="GC514" s="205"/>
      <c r="GD514" s="205"/>
      <c r="GE514" s="205"/>
      <c r="GF514" s="205"/>
      <c r="GG514" s="205"/>
      <c r="GH514" s="205"/>
      <c r="GI514" s="205"/>
      <c r="GJ514" s="205"/>
      <c r="GK514" s="205"/>
      <c r="GL514" s="205"/>
      <c r="GM514" s="205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8.2362427735154398E-2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/>
      <c r="AO515"/>
      <c r="AP515"/>
      <c r="AQ515"/>
      <c r="AR515"/>
      <c r="AS515"/>
      <c r="AT515"/>
      <c r="AU515"/>
      <c r="AV515"/>
      <c r="AW515"/>
      <c r="FY515" s="210">
        <v>510</v>
      </c>
      <c r="FZ515" s="205"/>
      <c r="GA515" s="205"/>
      <c r="GB515" s="205"/>
      <c r="GC515" s="205"/>
      <c r="GD515" s="205"/>
      <c r="GE515" s="205"/>
      <c r="GF515" s="205"/>
      <c r="GG515" s="205"/>
      <c r="GH515" s="205"/>
      <c r="GI515" s="205"/>
      <c r="GJ515" s="205"/>
      <c r="GK515" s="205"/>
      <c r="GL515" s="205"/>
      <c r="GM515" s="20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8.3841463263628263E-2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/>
      <c r="AO516"/>
      <c r="AP516"/>
      <c r="AQ516"/>
      <c r="AR516"/>
      <c r="AS516"/>
      <c r="AT516"/>
      <c r="AU516"/>
      <c r="AV516"/>
      <c r="AW516"/>
      <c r="FY516" s="210">
        <v>511</v>
      </c>
      <c r="FZ516" s="205"/>
      <c r="GA516" s="205"/>
      <c r="GB516" s="205"/>
      <c r="GC516" s="205"/>
      <c r="GD516" s="205"/>
      <c r="GE516" s="205"/>
      <c r="GF516" s="205"/>
      <c r="GG516" s="205"/>
      <c r="GH516" s="205"/>
      <c r="GI516" s="205"/>
      <c r="GJ516" s="205"/>
      <c r="GK516" s="205"/>
      <c r="GL516" s="205"/>
      <c r="GM516" s="205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8.5347058792270183E-2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/>
      <c r="AO517"/>
      <c r="AP517"/>
      <c r="AQ517"/>
      <c r="AR517"/>
      <c r="AS517"/>
      <c r="AT517"/>
      <c r="AU517"/>
      <c r="AV517"/>
      <c r="AW517"/>
      <c r="FY517" s="210">
        <v>512</v>
      </c>
      <c r="FZ517" s="205"/>
      <c r="GA517" s="205"/>
      <c r="GB517" s="205"/>
      <c r="GC517" s="205"/>
      <c r="GD517" s="205"/>
      <c r="GE517" s="205"/>
      <c r="GF517" s="205"/>
      <c r="GG517" s="205"/>
      <c r="GH517" s="205"/>
      <c r="GI517" s="205"/>
      <c r="GJ517" s="205"/>
      <c r="GK517" s="205"/>
      <c r="GL517" s="205"/>
      <c r="GM517" s="205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8.5347058792270183E-2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/>
      <c r="AO518"/>
      <c r="AP518"/>
      <c r="AQ518"/>
      <c r="AR518"/>
      <c r="AS518"/>
      <c r="AT518"/>
      <c r="AU518"/>
      <c r="AV518"/>
      <c r="AW518"/>
      <c r="FY518" s="210">
        <v>513</v>
      </c>
      <c r="FZ518" s="205"/>
      <c r="GA518" s="205"/>
      <c r="GB518" s="205"/>
      <c r="GC518" s="205"/>
      <c r="GD518" s="205"/>
      <c r="GE518" s="205"/>
      <c r="GF518" s="205"/>
      <c r="GG518" s="205"/>
      <c r="GH518" s="205"/>
      <c r="GI518" s="205"/>
      <c r="GJ518" s="205"/>
      <c r="GK518" s="205"/>
      <c r="GL518" s="205"/>
      <c r="GM518" s="205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/>
      <c r="AO519"/>
      <c r="AP519"/>
      <c r="AQ519"/>
      <c r="AR519"/>
      <c r="AS519"/>
      <c r="AT519"/>
      <c r="AU519"/>
      <c r="AV519"/>
      <c r="AW519"/>
      <c r="FY519" s="210">
        <v>514</v>
      </c>
      <c r="FZ519" s="205"/>
      <c r="GA519" s="205"/>
      <c r="GB519" s="205"/>
      <c r="GC519" s="205"/>
      <c r="GD519" s="205"/>
      <c r="GE519" s="205"/>
      <c r="GF519" s="205"/>
      <c r="GG519" s="205"/>
      <c r="GH519" s="205"/>
      <c r="GI519" s="205"/>
      <c r="GJ519" s="205"/>
      <c r="GK519" s="205"/>
      <c r="GL519" s="205"/>
      <c r="GM519" s="205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0.84147352322637092</v>
      </c>
      <c r="H520" s="63" t="s">
        <v>30</v>
      </c>
      <c r="I520" s="101">
        <f>SUM(K458:K518)</f>
        <v>7.4793120114543674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/>
      <c r="AO520"/>
      <c r="AP520"/>
      <c r="AQ520"/>
      <c r="AR520"/>
      <c r="AS520"/>
      <c r="AT520"/>
      <c r="AU520"/>
      <c r="AV520"/>
      <c r="AW520"/>
      <c r="FY520" s="210">
        <v>515</v>
      </c>
      <c r="FZ520" s="205"/>
      <c r="GA520" s="205"/>
      <c r="GB520" s="205"/>
      <c r="GC520" s="205"/>
      <c r="GD520" s="205"/>
      <c r="GE520" s="205"/>
      <c r="GF520" s="205"/>
      <c r="GG520" s="205"/>
      <c r="GH520" s="205"/>
      <c r="GI520" s="205"/>
      <c r="GJ520" s="205"/>
      <c r="GK520" s="205"/>
      <c r="GL520" s="205"/>
      <c r="GM520" s="205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/>
      <c r="AO521"/>
      <c r="AP521"/>
      <c r="AQ521"/>
      <c r="AR521"/>
      <c r="AS521"/>
      <c r="AT521"/>
      <c r="AU521"/>
      <c r="AV521"/>
      <c r="AW521"/>
      <c r="FY521" s="210">
        <v>516</v>
      </c>
      <c r="FZ521" s="205"/>
      <c r="GA521" s="205"/>
      <c r="GB521" s="205"/>
      <c r="GC521" s="205"/>
      <c r="GD521" s="205"/>
      <c r="GE521" s="205"/>
      <c r="GF521" s="205"/>
      <c r="GG521" s="205"/>
      <c r="GH521" s="205"/>
      <c r="GI521" s="205"/>
      <c r="GJ521" s="205"/>
      <c r="GK521" s="205"/>
      <c r="GL521" s="205"/>
      <c r="GM521" s="205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8.8883509760084305</v>
      </c>
      <c r="G522" s="63"/>
      <c r="H522" s="63" t="s">
        <v>101</v>
      </c>
      <c r="I522">
        <v>352.86944580078125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/>
      <c r="AO522"/>
      <c r="AP522"/>
      <c r="AQ522"/>
      <c r="AR522"/>
      <c r="AS522"/>
      <c r="AT522"/>
      <c r="AU522"/>
      <c r="AV522"/>
      <c r="AW522"/>
      <c r="FY522" s="210">
        <v>517</v>
      </c>
      <c r="FZ522" s="205"/>
      <c r="GA522" s="205"/>
      <c r="GB522" s="205"/>
      <c r="GC522" s="205"/>
      <c r="GD522" s="205"/>
      <c r="GE522" s="205"/>
      <c r="GF522" s="205"/>
      <c r="GG522" s="205"/>
      <c r="GH522" s="205"/>
      <c r="GI522" s="205"/>
      <c r="GJ522" s="205"/>
      <c r="GK522" s="205"/>
      <c r="GL522" s="205"/>
      <c r="GM522" s="205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9.1939048417206273</v>
      </c>
      <c r="G523" s="63"/>
      <c r="H523" s="63" t="s">
        <v>103</v>
      </c>
      <c r="I523" s="123">
        <f>+I520*(365/I522)</f>
        <v>7.7364274993706461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/>
      <c r="AO523"/>
      <c r="AP523"/>
      <c r="AQ523"/>
      <c r="AR523"/>
      <c r="AS523"/>
      <c r="AT523"/>
      <c r="AU523"/>
      <c r="AV523"/>
      <c r="AW523"/>
      <c r="FY523" s="210">
        <v>518</v>
      </c>
      <c r="FZ523" s="205"/>
      <c r="GA523" s="205"/>
      <c r="GB523" s="205"/>
      <c r="GC523" s="205"/>
      <c r="GD523" s="205"/>
      <c r="GE523" s="205"/>
      <c r="GF523" s="205"/>
      <c r="GG523" s="205"/>
      <c r="GH523" s="205"/>
      <c r="GI523" s="205"/>
      <c r="GJ523" s="205"/>
      <c r="GK523" s="205"/>
      <c r="GL523" s="205"/>
      <c r="GM523" s="205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/>
      <c r="AO524"/>
      <c r="AP524"/>
      <c r="AQ524"/>
      <c r="AR524"/>
      <c r="AS524"/>
      <c r="AT524"/>
      <c r="AU524"/>
      <c r="AV524"/>
      <c r="AW524"/>
      <c r="FY524" s="210">
        <v>519</v>
      </c>
      <c r="FZ524" s="205"/>
      <c r="GA524" s="205"/>
      <c r="GB524" s="205"/>
      <c r="GC524" s="205"/>
      <c r="GD524" s="205"/>
      <c r="GE524" s="205"/>
      <c r="GF524" s="205"/>
      <c r="GG524" s="205"/>
      <c r="GH524" s="205"/>
      <c r="GI524" s="205"/>
      <c r="GJ524" s="205"/>
      <c r="GK524" s="205"/>
      <c r="GL524" s="205"/>
      <c r="GM524" s="205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/>
      <c r="AO525"/>
      <c r="AP525"/>
      <c r="AQ525"/>
      <c r="AR525"/>
      <c r="AS525"/>
      <c r="AT525"/>
      <c r="AU525"/>
      <c r="AV525"/>
      <c r="AW525"/>
      <c r="FY525" s="210">
        <v>520</v>
      </c>
      <c r="FZ525" s="205"/>
      <c r="GA525" s="205"/>
      <c r="GB525" s="205"/>
      <c r="GC525" s="205"/>
      <c r="GD525" s="205"/>
      <c r="GE525" s="205"/>
      <c r="GF525" s="205"/>
      <c r="GG525" s="205"/>
      <c r="GH525" s="205"/>
      <c r="GI525" s="205"/>
      <c r="GJ525" s="205"/>
      <c r="GK525" s="205"/>
      <c r="GL525" s="205"/>
      <c r="GM525" s="20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/>
      <c r="AO526"/>
      <c r="AP526"/>
      <c r="AQ526"/>
      <c r="AR526"/>
      <c r="AS526"/>
      <c r="AT526"/>
      <c r="AU526"/>
      <c r="AV526"/>
      <c r="AW526"/>
      <c r="FY526" s="210">
        <v>521</v>
      </c>
      <c r="FZ526" s="205"/>
      <c r="GA526" s="205"/>
      <c r="GB526" s="205"/>
      <c r="GC526" s="205"/>
      <c r="GD526" s="205"/>
      <c r="GE526" s="205"/>
      <c r="GF526" s="205"/>
      <c r="GG526" s="205"/>
      <c r="GH526" s="205"/>
      <c r="GI526" s="205"/>
      <c r="GJ526" s="205"/>
      <c r="GK526" s="205"/>
      <c r="GL526" s="205"/>
      <c r="GM526" s="205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/>
      <c r="AO527"/>
      <c r="AP527"/>
      <c r="AQ527"/>
      <c r="AR527"/>
      <c r="AS527"/>
      <c r="AT527"/>
      <c r="AU527"/>
      <c r="AV527"/>
      <c r="AW527"/>
      <c r="FY527" s="210">
        <v>522</v>
      </c>
      <c r="FZ527" s="205"/>
      <c r="GA527" s="205"/>
      <c r="GB527" s="205"/>
      <c r="GC527" s="205"/>
      <c r="GD527" s="205"/>
      <c r="GE527" s="205"/>
      <c r="GF527" s="205"/>
      <c r="GG527" s="205"/>
      <c r="GH527" s="205"/>
      <c r="GI527" s="205"/>
      <c r="GJ527" s="205"/>
      <c r="GK527" s="205"/>
      <c r="GL527" s="205"/>
      <c r="GM527" s="205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/>
      <c r="AO528"/>
      <c r="AP528"/>
      <c r="AQ528"/>
      <c r="AR528"/>
      <c r="AS528"/>
      <c r="AT528"/>
      <c r="AU528"/>
      <c r="AV528"/>
      <c r="AW528"/>
      <c r="FY528" s="210">
        <v>523</v>
      </c>
      <c r="FZ528" s="205"/>
      <c r="GA528" s="205"/>
      <c r="GB528" s="205"/>
      <c r="GC528" s="205"/>
      <c r="GD528" s="205"/>
      <c r="GE528" s="205"/>
      <c r="GF528" s="205"/>
      <c r="GG528" s="205"/>
      <c r="GH528" s="205"/>
      <c r="GI528" s="205"/>
      <c r="GJ528" s="205"/>
      <c r="GK528" s="205"/>
      <c r="GL528" s="205"/>
      <c r="GM528" s="205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/>
      <c r="AO529"/>
      <c r="AP529"/>
      <c r="AQ529"/>
      <c r="AR529"/>
      <c r="AS529"/>
      <c r="AT529"/>
      <c r="AU529"/>
      <c r="AV529"/>
      <c r="AW529"/>
      <c r="FY529" s="210">
        <v>524</v>
      </c>
      <c r="FZ529" s="205"/>
      <c r="GA529" s="205"/>
      <c r="GB529" s="205"/>
      <c r="GC529" s="205"/>
      <c r="GD529" s="205"/>
      <c r="GE529" s="205"/>
      <c r="GF529" s="205"/>
      <c r="GG529" s="205"/>
      <c r="GH529" s="205"/>
      <c r="GI529" s="205"/>
      <c r="GJ529" s="205"/>
      <c r="GK529" s="205"/>
      <c r="GL529" s="205"/>
      <c r="GM529" s="205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/>
      <c r="AO530"/>
      <c r="AP530"/>
      <c r="AQ530"/>
      <c r="AR530"/>
      <c r="AS530"/>
      <c r="AT530"/>
      <c r="AU530"/>
      <c r="AV530"/>
      <c r="AW530"/>
      <c r="FY530" s="210">
        <v>525</v>
      </c>
      <c r="FZ530" s="205"/>
      <c r="GA530" s="205"/>
      <c r="GB530" s="205"/>
      <c r="GC530" s="205"/>
      <c r="GD530" s="205"/>
      <c r="GE530" s="205"/>
      <c r="GF530" s="205"/>
      <c r="GG530" s="205"/>
      <c r="GH530" s="205"/>
      <c r="GI530" s="205"/>
      <c r="GJ530" s="205"/>
      <c r="GK530" s="205"/>
      <c r="GL530" s="205"/>
      <c r="GM530" s="205"/>
    </row>
    <row r="531" spans="1:195" s="7" customFormat="1">
      <c r="A531" s="4"/>
      <c r="B531" s="4"/>
      <c r="C531" s="116">
        <f>C4</f>
        <v>39646</v>
      </c>
      <c r="D531" s="101">
        <f>D70</f>
        <v>82.291666666666657</v>
      </c>
      <c r="E531" s="108">
        <f>E405</f>
        <v>6.3647931098623671E-3</v>
      </c>
      <c r="F531" s="102"/>
      <c r="G531" s="101">
        <f>D531*E531</f>
        <v>0.52376943299909062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/>
      <c r="AO531"/>
      <c r="AP531"/>
      <c r="AQ531"/>
      <c r="AR531"/>
      <c r="AS531"/>
      <c r="AT531"/>
      <c r="AU531"/>
      <c r="AV531"/>
      <c r="AW531"/>
      <c r="FY531" s="210">
        <v>526</v>
      </c>
      <c r="FZ531" s="205"/>
      <c r="GA531" s="205"/>
      <c r="GB531" s="205"/>
      <c r="GC531" s="205"/>
      <c r="GD531" s="205"/>
      <c r="GE531" s="205"/>
      <c r="GF531" s="205"/>
      <c r="GG531" s="205"/>
      <c r="GH531" s="205"/>
      <c r="GI531" s="205"/>
      <c r="GJ531" s="205"/>
      <c r="GK531" s="205"/>
      <c r="GL531" s="205"/>
      <c r="GM531" s="205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>
        <f>E533-E531</f>
        <v>8.1560286086047526E-4</v>
      </c>
      <c r="I532" s="101">
        <f>AVERAGE(D531:D533)</f>
        <v>80.136846405228752</v>
      </c>
      <c r="J532" s="101">
        <f>I532*H532</f>
        <v>6.5359841188441056E-2</v>
      </c>
      <c r="K532" s="61">
        <f>J532/(C533-C531)</f>
        <v>2.4207348588311502E-3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/>
      <c r="AO532"/>
      <c r="AP532"/>
      <c r="AQ532"/>
      <c r="AR532"/>
      <c r="AS532"/>
      <c r="AT532"/>
      <c r="AU532"/>
      <c r="AV532"/>
      <c r="AW532"/>
      <c r="FY532" s="210">
        <v>527</v>
      </c>
      <c r="FZ532" s="205"/>
      <c r="GA532" s="205"/>
      <c r="GB532" s="205"/>
      <c r="GC532" s="205"/>
      <c r="GD532" s="205"/>
      <c r="GE532" s="205"/>
      <c r="GF532" s="205"/>
      <c r="GG532" s="205"/>
      <c r="GH532" s="205"/>
      <c r="GI532" s="205"/>
      <c r="GJ532" s="205"/>
      <c r="GK532" s="205"/>
      <c r="GL532" s="205"/>
      <c r="GM532" s="205"/>
    </row>
    <row r="533" spans="1:195" s="7" customFormat="1">
      <c r="A533" s="4"/>
      <c r="B533" s="4"/>
      <c r="C533" s="117">
        <f>C5</f>
        <v>39673</v>
      </c>
      <c r="D533" s="101">
        <f>D71</f>
        <v>77.982026143790847</v>
      </c>
      <c r="E533" s="108">
        <f>E406</f>
        <v>7.1803959707228424E-3</v>
      </c>
      <c r="F533" s="102"/>
      <c r="G533" s="101">
        <f>D533*E533</f>
        <v>0.5599418263116791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/>
      <c r="AO533"/>
      <c r="AP533"/>
      <c r="AQ533"/>
      <c r="AR533"/>
      <c r="AS533"/>
      <c r="AT533"/>
      <c r="AU533"/>
      <c r="AV533"/>
      <c r="AW533"/>
      <c r="FY533" s="210">
        <v>528</v>
      </c>
      <c r="FZ533" s="205"/>
      <c r="GA533" s="205"/>
      <c r="GB533" s="205"/>
      <c r="GC533" s="205"/>
      <c r="GD533" s="205"/>
      <c r="GE533" s="205"/>
      <c r="GF533" s="205"/>
      <c r="GG533" s="205"/>
      <c r="GH533" s="205"/>
      <c r="GI533" s="205"/>
      <c r="GJ533" s="205"/>
      <c r="GK533" s="205"/>
      <c r="GL533" s="205"/>
      <c r="GM533" s="205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2.4455223320576308E-3</v>
      </c>
      <c r="I534" s="101">
        <f>AVERAGE(D533:D535)</f>
        <v>102.53267973856209</v>
      </c>
      <c r="J534" s="101">
        <f>I534*H534</f>
        <v>0.25074595806636657</v>
      </c>
      <c r="K534" s="61">
        <f>J534/(C535-C533)</f>
        <v>6.1157550747894286E-3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/>
      <c r="AO534"/>
      <c r="AP534"/>
      <c r="AQ534"/>
      <c r="AR534"/>
      <c r="AS534"/>
      <c r="AT534"/>
      <c r="AU534"/>
      <c r="AV534"/>
      <c r="AW534"/>
      <c r="FY534" s="210">
        <v>529</v>
      </c>
      <c r="FZ534" s="205"/>
      <c r="GA534" s="205"/>
      <c r="GB534" s="205"/>
      <c r="GC534" s="205"/>
      <c r="GD534" s="205"/>
      <c r="GE534" s="205"/>
      <c r="GF534" s="205"/>
      <c r="GG534" s="205"/>
      <c r="GH534" s="205"/>
      <c r="GI534" s="205"/>
      <c r="GJ534" s="205"/>
      <c r="GK534" s="205"/>
      <c r="GL534" s="205"/>
      <c r="GM534" s="205"/>
    </row>
    <row r="535" spans="1:195" s="7" customFormat="1">
      <c r="A535" s="4"/>
      <c r="B535" s="4"/>
      <c r="C535" s="117">
        <f>C6</f>
        <v>39714</v>
      </c>
      <c r="D535" s="101">
        <f>D72</f>
        <v>127.08333333333334</v>
      </c>
      <c r="E535" s="108">
        <f>E407</f>
        <v>9.6259183027804732E-3</v>
      </c>
      <c r="F535" s="102"/>
      <c r="G535" s="101">
        <f>D535*E535</f>
        <v>1.2232937843116853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/>
      <c r="AO535"/>
      <c r="AP535"/>
      <c r="AQ535"/>
      <c r="AR535"/>
      <c r="AS535"/>
      <c r="AT535"/>
      <c r="AU535"/>
      <c r="AV535"/>
      <c r="AW535"/>
      <c r="FY535" s="210">
        <v>530</v>
      </c>
      <c r="FZ535" s="205"/>
      <c r="GA535" s="205"/>
      <c r="GB535" s="205"/>
      <c r="GC535" s="205"/>
      <c r="GD535" s="205"/>
      <c r="GE535" s="205"/>
      <c r="GF535" s="205"/>
      <c r="GG535" s="205"/>
      <c r="GH535" s="205"/>
      <c r="GI535" s="205"/>
      <c r="GJ535" s="205"/>
      <c r="GK535" s="205"/>
      <c r="GL535" s="205"/>
      <c r="GM535" s="20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1.5237842784144619E-3</v>
      </c>
      <c r="I536" s="101">
        <f>AVERAGE(D535:D537)</f>
        <v>103.28647047397047</v>
      </c>
      <c r="J536" s="101">
        <f>I536*H536</f>
        <v>0.15738629988115571</v>
      </c>
      <c r="K536" s="61">
        <f>J536/(C537-C535)</f>
        <v>4.7692818145804762E-3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/>
      <c r="AO536"/>
      <c r="AP536"/>
      <c r="AQ536"/>
      <c r="AR536"/>
      <c r="AS536"/>
      <c r="AT536"/>
      <c r="AU536"/>
      <c r="AV536"/>
      <c r="AW536"/>
      <c r="FY536" s="210">
        <v>531</v>
      </c>
      <c r="FZ536" s="205"/>
      <c r="GA536" s="205"/>
      <c r="GB536" s="205"/>
      <c r="GC536" s="205"/>
      <c r="GD536" s="205"/>
      <c r="GE536" s="205"/>
      <c r="GF536" s="205"/>
      <c r="GG536" s="205"/>
      <c r="GH536" s="205"/>
      <c r="GI536" s="205"/>
      <c r="GJ536" s="205"/>
      <c r="GK536" s="205"/>
      <c r="GL536" s="205"/>
      <c r="GM536" s="205"/>
    </row>
    <row r="537" spans="1:195" s="7" customFormat="1">
      <c r="A537" s="4"/>
      <c r="B537" s="4"/>
      <c r="C537" s="117">
        <f>C7</f>
        <v>39747</v>
      </c>
      <c r="D537" s="101">
        <f>D73</f>
        <v>79.489607614607607</v>
      </c>
      <c r="E537" s="108">
        <f>E408</f>
        <v>1.1149702581194935E-2</v>
      </c>
      <c r="F537" s="102"/>
      <c r="G537" s="101">
        <f>D537*E537</f>
        <v>0.88628548319876299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/>
      <c r="AO537"/>
      <c r="AP537"/>
      <c r="AQ537"/>
      <c r="AR537"/>
      <c r="AS537"/>
      <c r="AT537"/>
      <c r="AU537"/>
      <c r="AV537"/>
      <c r="AW537"/>
      <c r="FY537" s="210">
        <v>532</v>
      </c>
      <c r="FZ537" s="205"/>
      <c r="GA537" s="205"/>
      <c r="GB537" s="205"/>
      <c r="GC537" s="205"/>
      <c r="GD537" s="205"/>
      <c r="GE537" s="205"/>
      <c r="GF537" s="205"/>
      <c r="GG537" s="205"/>
      <c r="GH537" s="205"/>
      <c r="GI537" s="205"/>
      <c r="GJ537" s="205"/>
      <c r="GK537" s="205"/>
      <c r="GL537" s="205"/>
      <c r="GM537" s="205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2.0026636020907106E-3</v>
      </c>
      <c r="I538" s="101">
        <f>AVERAGE(D537:D539)</f>
        <v>87.96377233877233</v>
      </c>
      <c r="J538" s="101">
        <f>I538*H538</f>
        <v>0.176161845165453</v>
      </c>
      <c r="K538" s="61">
        <f>J538/(C539-C537)</f>
        <v>6.2914944701947502E-3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/>
      <c r="AO538"/>
      <c r="AP538"/>
      <c r="AQ538"/>
      <c r="AR538"/>
      <c r="AS538"/>
      <c r="AT538"/>
      <c r="AU538"/>
      <c r="AV538"/>
      <c r="AW538"/>
      <c r="FY538" s="210">
        <v>533</v>
      </c>
      <c r="FZ538" s="205"/>
      <c r="GA538" s="205"/>
      <c r="GB538" s="205"/>
      <c r="GC538" s="205"/>
      <c r="GD538" s="205"/>
      <c r="GE538" s="205"/>
      <c r="GF538" s="205"/>
      <c r="GG538" s="205"/>
      <c r="GH538" s="205"/>
      <c r="GI538" s="205"/>
      <c r="GJ538" s="205"/>
      <c r="GK538" s="205"/>
      <c r="GL538" s="205"/>
      <c r="GM538" s="205"/>
    </row>
    <row r="539" spans="1:195" s="7" customFormat="1">
      <c r="A539" s="4"/>
      <c r="B539" s="4"/>
      <c r="C539" s="117">
        <f>C8</f>
        <v>39775</v>
      </c>
      <c r="D539" s="101">
        <f>D74</f>
        <v>96.437937062937053</v>
      </c>
      <c r="E539" s="108">
        <f>E409</f>
        <v>1.3152366183285646E-2</v>
      </c>
      <c r="F539" s="102"/>
      <c r="G539" s="101">
        <f>D539*E539</f>
        <v>1.2683870622124027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/>
      <c r="AO539"/>
      <c r="AP539"/>
      <c r="AQ539"/>
      <c r="AR539"/>
      <c r="AS539"/>
      <c r="AT539"/>
      <c r="AU539"/>
      <c r="AV539"/>
      <c r="AW539"/>
      <c r="FY539" s="210">
        <v>534</v>
      </c>
      <c r="FZ539" s="205"/>
      <c r="GA539" s="205"/>
      <c r="GB539" s="205"/>
      <c r="GC539" s="205"/>
      <c r="GD539" s="205"/>
      <c r="GE539" s="205"/>
      <c r="GF539" s="205"/>
      <c r="GG539" s="205"/>
      <c r="GH539" s="205"/>
      <c r="GI539" s="205"/>
      <c r="GJ539" s="205"/>
      <c r="GK539" s="205"/>
      <c r="GL539" s="205"/>
      <c r="GM539" s="205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-1.3828772421531198E-3</v>
      </c>
      <c r="I540" s="101">
        <f>AVERAGE(D539:D541)</f>
        <v>80.630827505827497</v>
      </c>
      <c r="J540" s="101">
        <f>I540*H540</f>
        <v>-0.11150253637378264</v>
      </c>
      <c r="K540" s="61">
        <f>J540/(C541-C539)</f>
        <v>-4.6459390155742771E-3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/>
      <c r="AO540"/>
      <c r="AP540"/>
      <c r="AQ540"/>
      <c r="AR540"/>
      <c r="AS540"/>
      <c r="AT540"/>
      <c r="AU540"/>
      <c r="AV540"/>
      <c r="AW540"/>
      <c r="FY540" s="210">
        <v>535</v>
      </c>
      <c r="FZ540" s="205"/>
      <c r="GA540" s="205"/>
      <c r="GB540" s="205"/>
      <c r="GC540" s="205"/>
      <c r="GD540" s="205"/>
      <c r="GE540" s="205"/>
      <c r="GF540" s="205"/>
      <c r="GG540" s="205"/>
      <c r="GH540" s="205"/>
      <c r="GI540" s="205"/>
      <c r="GJ540" s="205"/>
      <c r="GK540" s="205"/>
      <c r="GL540" s="205"/>
      <c r="GM540" s="205"/>
    </row>
    <row r="541" spans="1:195" s="7" customFormat="1">
      <c r="A541" s="4"/>
      <c r="B541" s="4"/>
      <c r="C541" s="117">
        <f>C9</f>
        <v>39799</v>
      </c>
      <c r="D541" s="101">
        <f>D75</f>
        <v>64.823717948717942</v>
      </c>
      <c r="E541" s="108">
        <f>E410</f>
        <v>1.1769488941132526E-2</v>
      </c>
      <c r="F541" s="102"/>
      <c r="G541" s="101">
        <f>D541*E541</f>
        <v>0.76294203152052986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/>
      <c r="AO541"/>
      <c r="AP541"/>
      <c r="AQ541"/>
      <c r="AR541"/>
      <c r="AS541"/>
      <c r="AT541"/>
      <c r="AU541"/>
      <c r="AV541"/>
      <c r="AW541"/>
      <c r="FY541" s="210">
        <v>536</v>
      </c>
      <c r="FZ541" s="205"/>
      <c r="GA541" s="205"/>
      <c r="GB541" s="205"/>
      <c r="GC541" s="205"/>
      <c r="GD541" s="205"/>
      <c r="GE541" s="205"/>
      <c r="GF541" s="205"/>
      <c r="GG541" s="205"/>
      <c r="GH541" s="205"/>
      <c r="GI541" s="205"/>
      <c r="GJ541" s="205"/>
      <c r="GK541" s="205"/>
      <c r="GL541" s="205"/>
      <c r="GM541" s="205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>
        <f>E543-E541</f>
        <v>7.0668336695990479E-4</v>
      </c>
      <c r="I542" s="101">
        <f>AVERAGE(D541:D543)</f>
        <v>67.307692307692307</v>
      </c>
      <c r="J542" s="101">
        <f>I542*H542</f>
        <v>4.7565226622301282E-2</v>
      </c>
      <c r="K542" s="61">
        <f>J542/(C543-C541)</f>
        <v>9.9094222129794338E-4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/>
      <c r="AO542"/>
      <c r="AP542"/>
      <c r="AQ542"/>
      <c r="AR542"/>
      <c r="AS542"/>
      <c r="AT542"/>
      <c r="AU542"/>
      <c r="AV542"/>
      <c r="AW542"/>
      <c r="FY542" s="210">
        <v>537</v>
      </c>
      <c r="FZ542" s="205"/>
      <c r="GA542" s="205"/>
      <c r="GB542" s="205"/>
      <c r="GC542" s="205"/>
      <c r="GD542" s="205"/>
      <c r="GE542" s="205"/>
      <c r="GF542" s="205"/>
      <c r="GG542" s="205"/>
      <c r="GH542" s="205"/>
      <c r="GI542" s="205"/>
      <c r="GJ542" s="205"/>
      <c r="GK542" s="205"/>
      <c r="GL542" s="205"/>
      <c r="GM542" s="205"/>
    </row>
    <row r="543" spans="1:195" s="7" customFormat="1">
      <c r="A543" s="4"/>
      <c r="B543" s="4"/>
      <c r="C543" s="117">
        <f>C10</f>
        <v>39847</v>
      </c>
      <c r="D543" s="101">
        <f>D76</f>
        <v>69.791666666666671</v>
      </c>
      <c r="E543" s="108">
        <f>E411</f>
        <v>1.2476172308092431E-2</v>
      </c>
      <c r="F543" s="102"/>
      <c r="G543" s="101">
        <f>D543*E543</f>
        <v>0.87073285900228425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/>
      <c r="AO543"/>
      <c r="AP543"/>
      <c r="AQ543"/>
      <c r="AR543"/>
      <c r="AS543"/>
      <c r="AT543"/>
      <c r="AU543"/>
      <c r="AV543"/>
      <c r="AW543"/>
      <c r="FY543" s="210">
        <v>538</v>
      </c>
      <c r="FZ543" s="205"/>
      <c r="GA543" s="205"/>
      <c r="GB543" s="205"/>
      <c r="GC543" s="205"/>
      <c r="GD543" s="205"/>
      <c r="GE543" s="205"/>
      <c r="GF543" s="205"/>
      <c r="GG543" s="205"/>
      <c r="GH543" s="205"/>
      <c r="GI543" s="205"/>
      <c r="GJ543" s="205"/>
      <c r="GK543" s="205"/>
      <c r="GL543" s="205"/>
      <c r="GM543" s="205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>
        <f>E545-E543</f>
        <v>4.4867058667500785E-3</v>
      </c>
      <c r="I544" s="101">
        <f>AVERAGE(D543:D545)</f>
        <v>82.954545454545453</v>
      </c>
      <c r="J544" s="101">
        <f>I544*H544</f>
        <v>0.37219264576449512</v>
      </c>
      <c r="K544" s="61">
        <f>J544/(C545-C543)</f>
        <v>5.9078197740396049E-3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/>
      <c r="AO544"/>
      <c r="AP544"/>
      <c r="AQ544"/>
      <c r="AR544"/>
      <c r="AS544"/>
      <c r="AT544"/>
      <c r="AU544"/>
      <c r="AV544"/>
      <c r="AW544"/>
      <c r="FY544" s="210">
        <v>539</v>
      </c>
      <c r="FZ544" s="205"/>
      <c r="GA544" s="205"/>
      <c r="GB544" s="205"/>
      <c r="GC544" s="205"/>
      <c r="GD544" s="205"/>
      <c r="GE544" s="205"/>
      <c r="GF544" s="205"/>
      <c r="GG544" s="205"/>
      <c r="GH544" s="205"/>
      <c r="GI544" s="205"/>
      <c r="GJ544" s="205"/>
      <c r="GK544" s="205"/>
      <c r="GL544" s="205"/>
      <c r="GM544" s="205"/>
    </row>
    <row r="545" spans="1:195" s="7" customFormat="1">
      <c r="A545" s="4"/>
      <c r="B545" s="4"/>
      <c r="C545" s="117">
        <f>C11</f>
        <v>39910</v>
      </c>
      <c r="D545" s="101">
        <f>D77</f>
        <v>96.117424242424235</v>
      </c>
      <c r="E545" s="108">
        <f>E412</f>
        <v>1.6962878174842509E-2</v>
      </c>
      <c r="F545" s="102"/>
      <c r="G545" s="101">
        <f>D545*E545</f>
        <v>1.6304281579038964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/>
      <c r="AO545"/>
      <c r="AP545"/>
      <c r="AQ545"/>
      <c r="AR545"/>
      <c r="AS545"/>
      <c r="AT545"/>
      <c r="AU545"/>
      <c r="AV545"/>
      <c r="AW545"/>
      <c r="FY545" s="210">
        <v>540</v>
      </c>
      <c r="FZ545" s="205"/>
      <c r="GA545" s="205"/>
      <c r="GB545" s="205"/>
      <c r="GC545" s="205"/>
      <c r="GD545" s="205"/>
      <c r="GE545" s="205"/>
      <c r="GF545" s="205"/>
      <c r="GG545" s="205"/>
      <c r="GH545" s="205"/>
      <c r="GI545" s="205"/>
      <c r="GJ545" s="205"/>
      <c r="GK545" s="205"/>
      <c r="GL545" s="205"/>
      <c r="GM545" s="20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>
        <f>E547-E545</f>
        <v>2.2952131799163639E-3</v>
      </c>
      <c r="I546" s="101">
        <f>AVERAGE(D545:D547)</f>
        <v>55.871212121212118</v>
      </c>
      <c r="J546" s="101">
        <f>I546*H546</f>
        <v>0.12823634243850895</v>
      </c>
      <c r="K546" s="61">
        <f>J546/(C547-C545)</f>
        <v>3.2881113445771526E-3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/>
      <c r="AO546"/>
      <c r="AP546"/>
      <c r="AQ546"/>
      <c r="AR546"/>
      <c r="AS546"/>
      <c r="AT546"/>
      <c r="AU546"/>
      <c r="AV546"/>
      <c r="AW546"/>
      <c r="FY546" s="210">
        <v>541</v>
      </c>
      <c r="FZ546" s="205"/>
      <c r="GA546" s="205"/>
      <c r="GB546" s="205"/>
      <c r="GC546" s="205"/>
      <c r="GD546" s="205"/>
      <c r="GE546" s="205"/>
      <c r="GF546" s="205"/>
      <c r="GG546" s="205"/>
      <c r="GH546" s="205"/>
      <c r="GI546" s="205"/>
      <c r="GJ546" s="205"/>
      <c r="GK546" s="205"/>
      <c r="GL546" s="205"/>
      <c r="GM546" s="205"/>
    </row>
    <row r="547" spans="1:195" s="7" customFormat="1">
      <c r="A547" s="4"/>
      <c r="B547" s="4"/>
      <c r="C547" s="117">
        <f>C12</f>
        <v>39949</v>
      </c>
      <c r="D547" s="101">
        <f>D78</f>
        <v>15.625</v>
      </c>
      <c r="E547" s="108">
        <f>E413</f>
        <v>1.9258091354758873E-2</v>
      </c>
      <c r="F547" s="102"/>
      <c r="G547" s="101">
        <f>D547*E547</f>
        <v>0.30090767741810737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/>
      <c r="AO547"/>
      <c r="AP547"/>
      <c r="AQ547"/>
      <c r="AR547"/>
      <c r="AS547"/>
      <c r="AT547"/>
      <c r="AU547"/>
      <c r="AV547"/>
      <c r="AW547"/>
      <c r="FY547" s="210">
        <v>542</v>
      </c>
      <c r="FZ547" s="205"/>
      <c r="GA547" s="205"/>
      <c r="GB547" s="205"/>
      <c r="GC547" s="205"/>
      <c r="GD547" s="205"/>
      <c r="GE547" s="205"/>
      <c r="GF547" s="205"/>
      <c r="GG547" s="205"/>
      <c r="GH547" s="205"/>
      <c r="GI547" s="205"/>
      <c r="GJ547" s="205"/>
      <c r="GK547" s="205"/>
      <c r="GL547" s="205"/>
      <c r="GM547" s="205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>
        <f>E549-E547</f>
        <v>1.2056217396784696E-2</v>
      </c>
      <c r="I548" s="101">
        <f>AVERAGE(D547:D549)</f>
        <v>13.541666666666666</v>
      </c>
      <c r="J548" s="101">
        <f>I548*H548</f>
        <v>0.16326127724812609</v>
      </c>
      <c r="K548" s="61">
        <f>J548/(C549-C547)</f>
        <v>4.2963494012664763E-3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/>
      <c r="AO548"/>
      <c r="AP548"/>
      <c r="AQ548"/>
      <c r="AR548"/>
      <c r="AS548"/>
      <c r="AT548"/>
      <c r="AU548"/>
      <c r="AV548"/>
      <c r="AW548"/>
      <c r="FY548" s="210">
        <v>543</v>
      </c>
      <c r="FZ548" s="205"/>
      <c r="GA548" s="205"/>
      <c r="GB548" s="205"/>
      <c r="GC548" s="205"/>
      <c r="GD548" s="205"/>
      <c r="GE548" s="205"/>
      <c r="GF548" s="205"/>
      <c r="GG548" s="205"/>
      <c r="GH548" s="205"/>
      <c r="GI548" s="205"/>
      <c r="GJ548" s="205"/>
      <c r="GK548" s="205"/>
      <c r="GL548" s="205"/>
      <c r="GM548" s="205"/>
    </row>
    <row r="549" spans="1:195" s="7" customFormat="1">
      <c r="A549" s="4"/>
      <c r="B549" s="4"/>
      <c r="C549" s="117">
        <f>C13</f>
        <v>39987</v>
      </c>
      <c r="D549" s="101">
        <f>D79</f>
        <v>11.458333333333332</v>
      </c>
      <c r="E549" s="108">
        <f>E414</f>
        <v>3.1314308751543569E-2</v>
      </c>
      <c r="F549" s="102"/>
      <c r="G549" s="101">
        <f>D549*E549</f>
        <v>0.35880978777810335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/>
      <c r="AO549"/>
      <c r="AP549"/>
      <c r="AQ549"/>
      <c r="AR549"/>
      <c r="AS549"/>
      <c r="AT549"/>
      <c r="AU549"/>
      <c r="AV549"/>
      <c r="AW549"/>
      <c r="FY549" s="210">
        <v>544</v>
      </c>
      <c r="FZ549" s="205"/>
      <c r="GA549" s="205"/>
      <c r="GB549" s="205"/>
      <c r="GC549" s="205"/>
      <c r="GD549" s="205"/>
      <c r="GE549" s="205"/>
      <c r="GF549" s="205"/>
      <c r="GG549" s="205"/>
      <c r="GH549" s="205"/>
      <c r="GI549" s="205"/>
      <c r="GJ549" s="205"/>
      <c r="GK549" s="205"/>
      <c r="GL549" s="205"/>
      <c r="GM549" s="205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>
        <f>E551-E549</f>
        <v>-3.1314308751543569E-2</v>
      </c>
      <c r="I550" s="101">
        <f>AVERAGE(D549:D551)</f>
        <v>5.7291666666666661</v>
      </c>
      <c r="J550" s="101">
        <f>I550*H550</f>
        <v>-0.17940489388905168</v>
      </c>
      <c r="K550" s="61">
        <f>J550/(C551-C549)</f>
        <v>4.4865804858842039E-6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/>
      <c r="AO550"/>
      <c r="AP550"/>
      <c r="AQ550"/>
      <c r="AR550"/>
      <c r="AS550"/>
      <c r="AT550"/>
      <c r="AU550"/>
      <c r="AV550"/>
      <c r="AW550"/>
      <c r="FY550" s="210">
        <v>545</v>
      </c>
      <c r="FZ550" s="205"/>
      <c r="GA550" s="205"/>
      <c r="GB550" s="205"/>
      <c r="GC550" s="205"/>
      <c r="GD550" s="205"/>
      <c r="GE550" s="205"/>
      <c r="GF550" s="205"/>
      <c r="GG550" s="205"/>
      <c r="GH550" s="205"/>
      <c r="GI550" s="205"/>
      <c r="GJ550" s="205"/>
      <c r="GK550" s="205"/>
      <c r="GL550" s="205"/>
      <c r="GM550" s="205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/>
      <c r="AO551"/>
      <c r="AP551"/>
      <c r="AQ551"/>
      <c r="AR551"/>
      <c r="AS551"/>
      <c r="AT551"/>
      <c r="AU551"/>
      <c r="AV551"/>
      <c r="AW551"/>
      <c r="FY551" s="210">
        <v>546</v>
      </c>
      <c r="FZ551" s="205"/>
      <c r="GA551" s="205"/>
      <c r="GB551" s="205"/>
      <c r="GC551" s="205"/>
      <c r="GD551" s="205"/>
      <c r="GE551" s="205"/>
      <c r="GF551" s="205"/>
      <c r="GG551" s="205"/>
      <c r="GH551" s="205"/>
      <c r="GI551" s="205"/>
      <c r="GJ551" s="205"/>
      <c r="GK551" s="205"/>
      <c r="GL551" s="205"/>
      <c r="GM551" s="205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/>
      <c r="AO552"/>
      <c r="AP552"/>
      <c r="AQ552"/>
      <c r="AR552"/>
      <c r="AS552"/>
      <c r="AT552"/>
      <c r="AU552"/>
      <c r="AV552"/>
      <c r="AW552"/>
      <c r="FY552" s="210">
        <v>547</v>
      </c>
      <c r="FZ552" s="205"/>
      <c r="GA552" s="205"/>
      <c r="GB552" s="205"/>
      <c r="GC552" s="205"/>
      <c r="GD552" s="205"/>
      <c r="GE552" s="205"/>
      <c r="GF552" s="205"/>
      <c r="GG552" s="205"/>
      <c r="GH552" s="205"/>
      <c r="GI552" s="205"/>
      <c r="GJ552" s="205"/>
      <c r="GK552" s="205"/>
      <c r="GL552" s="205"/>
      <c r="GM552" s="205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/>
      <c r="AO553"/>
      <c r="AP553"/>
      <c r="AQ553"/>
      <c r="AR553"/>
      <c r="AS553"/>
      <c r="AT553"/>
      <c r="AU553"/>
      <c r="AV553"/>
      <c r="AW553"/>
      <c r="FY553" s="210">
        <v>548</v>
      </c>
      <c r="FZ553" s="205"/>
      <c r="GA553" s="205"/>
      <c r="GB553" s="205"/>
      <c r="GC553" s="205"/>
      <c r="GD553" s="205"/>
      <c r="GE553" s="205"/>
      <c r="GF553" s="205"/>
      <c r="GG553" s="205"/>
      <c r="GH553" s="205"/>
      <c r="GI553" s="205"/>
      <c r="GJ553" s="205"/>
      <c r="GK553" s="205"/>
      <c r="GL553" s="205"/>
      <c r="GM553" s="205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/>
      <c r="AO554"/>
      <c r="AP554"/>
      <c r="AQ554"/>
      <c r="AR554"/>
      <c r="AS554"/>
      <c r="AT554"/>
      <c r="AU554"/>
      <c r="AV554"/>
      <c r="AW554"/>
      <c r="FY554" s="210">
        <v>549</v>
      </c>
      <c r="FZ554" s="205"/>
      <c r="GA554" s="205"/>
      <c r="GB554" s="205"/>
      <c r="GC554" s="205"/>
      <c r="GD554" s="205"/>
      <c r="GE554" s="205"/>
      <c r="GF554" s="205"/>
      <c r="GG554" s="205"/>
      <c r="GH554" s="205"/>
      <c r="GI554" s="205"/>
      <c r="GJ554" s="205"/>
      <c r="GK554" s="205"/>
      <c r="GL554" s="205"/>
      <c r="GM554" s="205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/>
      <c r="AO555"/>
      <c r="AP555"/>
      <c r="AQ555"/>
      <c r="AR555"/>
      <c r="AS555"/>
      <c r="AT555"/>
      <c r="AU555"/>
      <c r="AV555"/>
      <c r="AW555"/>
      <c r="FY555" s="210">
        <v>550</v>
      </c>
      <c r="FZ555" s="205"/>
      <c r="GA555" s="205"/>
      <c r="GB555" s="205"/>
      <c r="GC555" s="205"/>
      <c r="GD555" s="205"/>
      <c r="GE555" s="205"/>
      <c r="GF555" s="205"/>
      <c r="GG555" s="205"/>
      <c r="GH555" s="205"/>
      <c r="GI555" s="205"/>
      <c r="GJ555" s="205"/>
      <c r="GK555" s="205"/>
      <c r="GL555" s="205"/>
      <c r="GM555" s="20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0.69879150855471195</v>
      </c>
      <c r="H556" s="63" t="s">
        <v>103</v>
      </c>
      <c r="I556" s="123">
        <f>SUM(J532:J552)+G531</f>
        <v>1.5937714391111037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/>
      <c r="AO556"/>
      <c r="AP556"/>
      <c r="AQ556"/>
      <c r="AR556"/>
      <c r="AS556"/>
      <c r="AT556"/>
      <c r="AU556"/>
      <c r="AV556"/>
      <c r="AW556"/>
      <c r="FY556" s="210">
        <v>551</v>
      </c>
      <c r="FZ556" s="205"/>
      <c r="GA556" s="205"/>
      <c r="GB556" s="205"/>
      <c r="GC556" s="205"/>
      <c r="GD556" s="205"/>
      <c r="GE556" s="205"/>
      <c r="GF556" s="205"/>
      <c r="GG556" s="205"/>
      <c r="GH556" s="205"/>
      <c r="GI556" s="205"/>
      <c r="GJ556" s="205"/>
      <c r="GK556" s="205"/>
      <c r="GL556" s="205"/>
      <c r="GM556" s="205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/>
      <c r="AO557"/>
      <c r="AP557"/>
      <c r="AQ557"/>
      <c r="AR557"/>
      <c r="AS557"/>
      <c r="AT557"/>
      <c r="AU557"/>
      <c r="AV557"/>
      <c r="AW557"/>
      <c r="FY557" s="210">
        <v>552</v>
      </c>
      <c r="FZ557" s="205"/>
      <c r="GA557" s="205"/>
      <c r="GB557" s="205"/>
      <c r="GC557" s="205"/>
      <c r="GD557" s="205"/>
      <c r="GE557" s="205"/>
      <c r="GF557" s="205"/>
      <c r="GG557" s="205"/>
      <c r="GH557" s="205"/>
      <c r="GI557" s="205"/>
      <c r="GJ557" s="205"/>
      <c r="GK557" s="205"/>
      <c r="GL557" s="205"/>
      <c r="GM557" s="205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/>
      <c r="AO558"/>
      <c r="AP558"/>
      <c r="AQ558"/>
      <c r="AR558"/>
      <c r="AS558"/>
      <c r="AT558"/>
      <c r="AU558"/>
      <c r="AV558"/>
      <c r="AW558"/>
      <c r="FY558" s="210">
        <v>553</v>
      </c>
      <c r="FZ558" s="205"/>
      <c r="GA558" s="205"/>
      <c r="GB558" s="205"/>
      <c r="GC558" s="205"/>
      <c r="GD558" s="205"/>
      <c r="GE558" s="205"/>
      <c r="GF558" s="205"/>
      <c r="GG558" s="205"/>
      <c r="GH558" s="205"/>
      <c r="GI558" s="205"/>
      <c r="GJ558" s="205"/>
      <c r="GK558" s="205"/>
      <c r="GL558" s="205"/>
      <c r="GM558" s="205"/>
    </row>
    <row r="559" spans="1:195" s="7" customFormat="1">
      <c r="A559" s="4"/>
      <c r="B559" s="4"/>
      <c r="C559" s="63"/>
      <c r="D559" s="63"/>
      <c r="E559" s="63" t="s">
        <v>102</v>
      </c>
      <c r="F559" s="101">
        <f>I556/G556</f>
        <v>2.2807538723638041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/>
      <c r="AO559"/>
      <c r="AP559"/>
      <c r="AQ559"/>
      <c r="AR559"/>
      <c r="AS559"/>
      <c r="AT559"/>
      <c r="AU559"/>
      <c r="AV559"/>
      <c r="AW559"/>
      <c r="FY559" s="210">
        <v>554</v>
      </c>
      <c r="FZ559" s="205"/>
      <c r="GA559" s="205"/>
      <c r="GB559" s="205"/>
      <c r="GC559" s="205"/>
      <c r="GD559" s="205"/>
      <c r="GE559" s="205"/>
      <c r="GF559" s="205"/>
      <c r="GG559" s="205"/>
      <c r="GH559" s="205"/>
      <c r="GI559" s="205"/>
      <c r="GJ559" s="205"/>
      <c r="GK559" s="205"/>
      <c r="GL559" s="205"/>
      <c r="GM559" s="205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/>
      <c r="AO560"/>
      <c r="AP560"/>
      <c r="AQ560"/>
      <c r="AR560"/>
      <c r="AS560"/>
      <c r="AT560"/>
      <c r="AU560"/>
      <c r="AV560"/>
      <c r="AW560"/>
      <c r="FY560" s="210">
        <v>555</v>
      </c>
      <c r="FZ560" s="205"/>
      <c r="GA560" s="205"/>
      <c r="GB560" s="205"/>
      <c r="GC560" s="205"/>
      <c r="GD560" s="205"/>
      <c r="GE560" s="205"/>
      <c r="GF560" s="205"/>
      <c r="GG560" s="205"/>
      <c r="GH560" s="205"/>
      <c r="GI560" s="205"/>
      <c r="GJ560" s="205"/>
      <c r="GK560" s="205"/>
      <c r="GL560" s="205"/>
      <c r="GM560" s="205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/>
      <c r="AO561"/>
      <c r="AP561"/>
      <c r="AQ561"/>
      <c r="AR561"/>
      <c r="AS561"/>
      <c r="AT561"/>
      <c r="AU561"/>
      <c r="AV561"/>
      <c r="AW561"/>
      <c r="FY561" s="210">
        <v>556</v>
      </c>
      <c r="FZ561" s="205"/>
      <c r="GA561" s="205"/>
      <c r="GB561" s="205"/>
      <c r="GC561" s="205"/>
      <c r="GD561" s="205"/>
      <c r="GE561" s="205"/>
      <c r="GF561" s="205"/>
      <c r="GG561" s="205"/>
      <c r="GH561" s="205"/>
      <c r="GI561" s="205"/>
      <c r="GJ561" s="205"/>
      <c r="GK561" s="205"/>
      <c r="GL561" s="205"/>
      <c r="GM561" s="205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/>
      <c r="AO562"/>
      <c r="AP562"/>
      <c r="AQ562"/>
      <c r="AR562"/>
      <c r="AS562"/>
      <c r="AT562"/>
      <c r="AU562"/>
      <c r="AV562"/>
      <c r="AW562"/>
      <c r="FY562" s="210">
        <v>557</v>
      </c>
      <c r="FZ562" s="205"/>
      <c r="GA562" s="205"/>
      <c r="GB562" s="205"/>
      <c r="GC562" s="205"/>
      <c r="GD562" s="205"/>
      <c r="GE562" s="205"/>
      <c r="GF562" s="205"/>
      <c r="GG562" s="205"/>
      <c r="GH562" s="205"/>
      <c r="GI562" s="205"/>
      <c r="GJ562" s="205"/>
      <c r="GK562" s="205"/>
      <c r="GL562" s="205"/>
      <c r="GM562" s="205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/>
      <c r="AO563"/>
      <c r="AP563"/>
      <c r="AQ563"/>
      <c r="AR563"/>
      <c r="AS563"/>
      <c r="AT563"/>
      <c r="AU563"/>
      <c r="AV563"/>
      <c r="AW563"/>
      <c r="FY563" s="210">
        <v>558</v>
      </c>
      <c r="FZ563" s="205"/>
      <c r="GA563" s="205"/>
      <c r="GB563" s="205"/>
      <c r="GC563" s="205"/>
      <c r="GD563" s="205"/>
      <c r="GE563" s="205"/>
      <c r="GF563" s="205"/>
      <c r="GG563" s="205"/>
      <c r="GH563" s="205"/>
      <c r="GI563" s="205"/>
      <c r="GJ563" s="205"/>
      <c r="GK563" s="205"/>
      <c r="GL563" s="205"/>
      <c r="GM563" s="205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/>
      <c r="AO564"/>
      <c r="AP564"/>
      <c r="AQ564"/>
      <c r="AR564"/>
      <c r="AS564"/>
      <c r="AT564"/>
      <c r="AU564"/>
      <c r="AV564"/>
      <c r="AW564"/>
      <c r="FY564" s="210">
        <v>559</v>
      </c>
      <c r="FZ564" s="205"/>
      <c r="GA564" s="205"/>
      <c r="GB564" s="205"/>
      <c r="GC564" s="205"/>
      <c r="GD564" s="205"/>
      <c r="GE564" s="205"/>
      <c r="GF564" s="205"/>
      <c r="GG564" s="205"/>
      <c r="GH564" s="205"/>
      <c r="GI564" s="205"/>
      <c r="GJ564" s="205"/>
      <c r="GK564" s="205"/>
      <c r="GL564" s="205"/>
      <c r="GM564" s="205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/>
      <c r="AO565"/>
      <c r="AP565"/>
      <c r="AQ565"/>
      <c r="AR565"/>
      <c r="AS565"/>
      <c r="AT565"/>
      <c r="AU565"/>
      <c r="AV565"/>
      <c r="AW565"/>
      <c r="FY565" s="210">
        <v>560</v>
      </c>
      <c r="FZ565" s="205"/>
      <c r="GA565" s="205"/>
      <c r="GB565" s="205"/>
      <c r="GC565" s="205"/>
      <c r="GD565" s="205"/>
      <c r="GE565" s="205"/>
      <c r="GF565" s="205"/>
      <c r="GG565" s="205"/>
      <c r="GH565" s="205"/>
      <c r="GI565" s="205"/>
      <c r="GJ565" s="205"/>
      <c r="GK565" s="205"/>
      <c r="GL565" s="205"/>
      <c r="GM565" s="20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/>
      <c r="AO566"/>
      <c r="AP566"/>
      <c r="AQ566"/>
      <c r="AR566"/>
      <c r="AS566"/>
      <c r="AT566"/>
      <c r="AU566"/>
      <c r="AV566"/>
      <c r="AW566"/>
      <c r="FY566" s="210">
        <v>561</v>
      </c>
      <c r="FZ566" s="205"/>
      <c r="GA566" s="205"/>
      <c r="GB566" s="205"/>
      <c r="GC566" s="205"/>
      <c r="GD566" s="205"/>
      <c r="GE566" s="205"/>
      <c r="GF566" s="205"/>
      <c r="GG566" s="205"/>
      <c r="GH566" s="205"/>
      <c r="GI566" s="205"/>
      <c r="GJ566" s="205"/>
      <c r="GK566" s="205"/>
      <c r="GL566" s="205"/>
      <c r="GM566" s="205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/>
      <c r="AO567"/>
      <c r="AP567"/>
      <c r="AQ567"/>
      <c r="AR567"/>
      <c r="AS567"/>
      <c r="AT567"/>
      <c r="AU567"/>
      <c r="AV567"/>
      <c r="AW567"/>
      <c r="FY567" s="210">
        <v>562</v>
      </c>
      <c r="FZ567" s="205"/>
      <c r="GA567" s="205"/>
      <c r="GB567" s="205"/>
      <c r="GC567" s="205"/>
      <c r="GD567" s="205"/>
      <c r="GE567" s="205"/>
      <c r="GF567" s="205"/>
      <c r="GG567" s="205"/>
      <c r="GH567" s="205"/>
      <c r="GI567" s="205"/>
      <c r="GJ567" s="205"/>
      <c r="GK567" s="205"/>
      <c r="GL567" s="205"/>
      <c r="GM567" s="205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/>
      <c r="AO568"/>
      <c r="AP568"/>
      <c r="AQ568"/>
      <c r="AR568"/>
      <c r="AS568"/>
      <c r="AT568"/>
      <c r="AU568"/>
      <c r="AV568"/>
      <c r="AW568"/>
      <c r="FY568" s="210">
        <v>563</v>
      </c>
      <c r="FZ568" s="205"/>
      <c r="GA568" s="205"/>
      <c r="GB568" s="205"/>
      <c r="GC568" s="205"/>
      <c r="GD568" s="205"/>
      <c r="GE568" s="205"/>
      <c r="GF568" s="205"/>
      <c r="GG568" s="205"/>
      <c r="GH568" s="205"/>
      <c r="GI568" s="205"/>
      <c r="GJ568" s="205"/>
      <c r="GK568" s="205"/>
      <c r="GL568" s="205"/>
      <c r="GM568" s="205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/>
      <c r="AO569"/>
      <c r="AP569"/>
      <c r="AQ569"/>
      <c r="AR569"/>
      <c r="AS569"/>
      <c r="AT569"/>
      <c r="AU569"/>
      <c r="AV569"/>
      <c r="AW569"/>
      <c r="FY569" s="210">
        <v>564</v>
      </c>
      <c r="FZ569" s="205"/>
      <c r="GA569" s="205"/>
      <c r="GB569" s="205"/>
      <c r="GC569" s="205"/>
      <c r="GD569" s="205"/>
      <c r="GE569" s="205"/>
      <c r="GF569" s="205"/>
      <c r="GG569" s="205"/>
      <c r="GH569" s="205"/>
      <c r="GI569" s="205"/>
      <c r="GJ569" s="205"/>
      <c r="GK569" s="205"/>
      <c r="GL569" s="205"/>
      <c r="GM569" s="205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/>
      <c r="AO570"/>
      <c r="AP570"/>
      <c r="AQ570"/>
      <c r="AR570"/>
      <c r="AS570"/>
      <c r="AT570"/>
      <c r="AU570"/>
      <c r="AV570"/>
      <c r="AW570"/>
      <c r="FY570" s="210">
        <v>565</v>
      </c>
      <c r="FZ570" s="205"/>
      <c r="GA570" s="205"/>
      <c r="GB570" s="205"/>
      <c r="GC570" s="205"/>
      <c r="GD570" s="205"/>
      <c r="GE570" s="205"/>
      <c r="GF570" s="205"/>
      <c r="GG570" s="205"/>
      <c r="GH570" s="205"/>
      <c r="GI570" s="205"/>
      <c r="GJ570" s="205"/>
      <c r="GK570" s="205"/>
      <c r="GL570" s="205"/>
      <c r="GM570" s="205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/>
      <c r="AO571"/>
      <c r="AP571"/>
      <c r="AQ571"/>
      <c r="AR571"/>
      <c r="AS571"/>
      <c r="AT571"/>
      <c r="AU571"/>
      <c r="AV571"/>
      <c r="AW571"/>
      <c r="FY571" s="210">
        <v>566</v>
      </c>
      <c r="FZ571" s="205"/>
      <c r="GA571" s="205"/>
      <c r="GB571" s="205"/>
      <c r="GC571" s="205"/>
      <c r="GD571" s="205"/>
      <c r="GE571" s="205"/>
      <c r="GF571" s="205"/>
      <c r="GG571" s="205"/>
      <c r="GH571" s="205"/>
      <c r="GI571" s="205"/>
      <c r="GJ571" s="205"/>
      <c r="GK571" s="205"/>
      <c r="GL571" s="205"/>
      <c r="GM571" s="205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/>
      <c r="AO572"/>
      <c r="AP572"/>
      <c r="AQ572"/>
      <c r="AR572"/>
      <c r="AS572"/>
      <c r="AT572"/>
      <c r="AU572"/>
      <c r="AV572"/>
      <c r="AW572"/>
      <c r="FY572" s="210">
        <v>567</v>
      </c>
      <c r="FZ572" s="205"/>
      <c r="GA572" s="205"/>
      <c r="GB572" s="205"/>
      <c r="GC572" s="205"/>
      <c r="GD572" s="205"/>
      <c r="GE572" s="205"/>
      <c r="GF572" s="205"/>
      <c r="GG572" s="205"/>
      <c r="GH572" s="205"/>
      <c r="GI572" s="205"/>
      <c r="GJ572" s="205"/>
      <c r="GK572" s="205"/>
      <c r="GL572" s="205"/>
      <c r="GM572" s="205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/>
      <c r="AO573"/>
      <c r="AP573"/>
      <c r="AQ573"/>
      <c r="AR573"/>
      <c r="AS573"/>
      <c r="AT573"/>
      <c r="AU573"/>
      <c r="AV573"/>
      <c r="AW573"/>
      <c r="FY573" s="210">
        <v>568</v>
      </c>
      <c r="FZ573" s="205"/>
      <c r="GA573" s="205"/>
      <c r="GB573" s="205"/>
      <c r="GC573" s="205"/>
      <c r="GD573" s="205"/>
      <c r="GE573" s="205"/>
      <c r="GF573" s="205"/>
      <c r="GG573" s="205"/>
      <c r="GH573" s="205"/>
      <c r="GI573" s="205"/>
      <c r="GJ573" s="205"/>
      <c r="GK573" s="205"/>
      <c r="GL573" s="205"/>
      <c r="GM573" s="205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/>
      <c r="AO574"/>
      <c r="AP574"/>
      <c r="AQ574"/>
      <c r="AR574"/>
      <c r="AS574"/>
      <c r="AT574"/>
      <c r="AU574"/>
      <c r="AV574"/>
      <c r="AW574"/>
      <c r="FY574" s="210">
        <v>569</v>
      </c>
      <c r="FZ574" s="205"/>
      <c r="GA574" s="205"/>
      <c r="GB574" s="205"/>
      <c r="GC574" s="205"/>
      <c r="GD574" s="205"/>
      <c r="GE574" s="205"/>
      <c r="GF574" s="205"/>
      <c r="GG574" s="205"/>
      <c r="GH574" s="205"/>
      <c r="GI574" s="205"/>
      <c r="GJ574" s="205"/>
      <c r="GK574" s="205"/>
      <c r="GL574" s="205"/>
      <c r="GM574" s="205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/>
      <c r="AO575"/>
      <c r="AP575"/>
      <c r="AQ575"/>
      <c r="AR575"/>
      <c r="AS575"/>
      <c r="AT575"/>
      <c r="AU575"/>
      <c r="AV575"/>
      <c r="AW575"/>
      <c r="FY575" s="210">
        <v>570</v>
      </c>
      <c r="FZ575" s="205"/>
      <c r="GA575" s="205"/>
      <c r="GB575" s="205"/>
      <c r="GC575" s="205"/>
      <c r="GD575" s="205"/>
      <c r="GE575" s="205"/>
      <c r="GF575" s="205"/>
      <c r="GG575" s="205"/>
      <c r="GH575" s="205"/>
      <c r="GI575" s="205"/>
      <c r="GJ575" s="205"/>
      <c r="GK575" s="205"/>
      <c r="GL575" s="205"/>
      <c r="GM575" s="20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/>
      <c r="AO576"/>
      <c r="AP576"/>
      <c r="AQ576"/>
      <c r="AR576"/>
      <c r="AS576"/>
      <c r="AT576"/>
      <c r="AU576"/>
      <c r="AV576"/>
      <c r="AW576"/>
      <c r="FY576" s="210">
        <v>571</v>
      </c>
      <c r="FZ576" s="205"/>
      <c r="GA576" s="205"/>
      <c r="GB576" s="205"/>
      <c r="GC576" s="205"/>
      <c r="GD576" s="205"/>
      <c r="GE576" s="205"/>
      <c r="GF576" s="205"/>
      <c r="GG576" s="205"/>
      <c r="GH576" s="205"/>
      <c r="GI576" s="205"/>
      <c r="GJ576" s="205"/>
      <c r="GK576" s="205"/>
      <c r="GL576" s="205"/>
      <c r="GM576" s="205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/>
      <c r="AO577"/>
      <c r="AP577"/>
      <c r="AQ577"/>
      <c r="AR577"/>
      <c r="AS577"/>
      <c r="AT577"/>
      <c r="AU577"/>
      <c r="AV577"/>
      <c r="AW577"/>
      <c r="FY577" s="210">
        <v>572</v>
      </c>
      <c r="FZ577" s="205"/>
      <c r="GA577" s="205"/>
      <c r="GB577" s="205"/>
      <c r="GC577" s="205"/>
      <c r="GD577" s="205"/>
      <c r="GE577" s="205"/>
      <c r="GF577" s="205"/>
      <c r="GG577" s="205"/>
      <c r="GH577" s="205"/>
      <c r="GI577" s="205"/>
      <c r="GJ577" s="205"/>
      <c r="GK577" s="205"/>
      <c r="GL577" s="205"/>
      <c r="GM577" s="205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/>
      <c r="AO578"/>
      <c r="AP578"/>
      <c r="AQ578"/>
      <c r="AR578"/>
      <c r="AS578"/>
      <c r="AT578"/>
      <c r="AU578"/>
      <c r="AV578"/>
      <c r="AW578"/>
      <c r="FY578" s="210">
        <v>573</v>
      </c>
      <c r="FZ578" s="205"/>
      <c r="GA578" s="205"/>
      <c r="GB578" s="205"/>
      <c r="GC578" s="205"/>
      <c r="GD578" s="205"/>
      <c r="GE578" s="205"/>
      <c r="GF578" s="205"/>
      <c r="GG578" s="205"/>
      <c r="GH578" s="205"/>
      <c r="GI578" s="205"/>
      <c r="GJ578" s="205"/>
      <c r="GK578" s="205"/>
      <c r="GL578" s="205"/>
      <c r="GM578" s="205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/>
      <c r="AO579"/>
      <c r="AP579"/>
      <c r="AQ579"/>
      <c r="AR579"/>
      <c r="AS579"/>
      <c r="AT579"/>
      <c r="AU579"/>
      <c r="AV579"/>
      <c r="AW579"/>
      <c r="FY579" s="210">
        <v>574</v>
      </c>
      <c r="FZ579" s="205"/>
      <c r="GA579" s="205"/>
      <c r="GB579" s="205"/>
      <c r="GC579" s="205"/>
      <c r="GD579" s="205"/>
      <c r="GE579" s="205"/>
      <c r="GF579" s="205"/>
      <c r="GG579" s="205"/>
      <c r="GH579" s="205"/>
      <c r="GI579" s="205"/>
      <c r="GJ579" s="205"/>
      <c r="GK579" s="205"/>
      <c r="GL579" s="205"/>
      <c r="GM579" s="205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/>
      <c r="AO580"/>
      <c r="AP580"/>
      <c r="AQ580"/>
      <c r="AR580"/>
      <c r="AS580"/>
      <c r="AT580"/>
      <c r="AU580"/>
      <c r="AV580"/>
      <c r="AW580"/>
      <c r="FY580" s="210">
        <v>575</v>
      </c>
      <c r="FZ580" s="205"/>
      <c r="GA580" s="205"/>
      <c r="GB580" s="205"/>
      <c r="GC580" s="205"/>
      <c r="GD580" s="205"/>
      <c r="GE580" s="205"/>
      <c r="GF580" s="205"/>
      <c r="GG580" s="205"/>
      <c r="GH580" s="205"/>
      <c r="GI580" s="205"/>
      <c r="GJ580" s="205"/>
      <c r="GK580" s="205"/>
      <c r="GL580" s="205"/>
      <c r="GM580" s="205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/>
      <c r="AO581"/>
      <c r="AP581"/>
      <c r="AQ581"/>
      <c r="AR581"/>
      <c r="AS581"/>
      <c r="AT581"/>
      <c r="AU581"/>
      <c r="AV581"/>
      <c r="AW581"/>
      <c r="FY581" s="210">
        <v>576</v>
      </c>
      <c r="FZ581" s="205"/>
      <c r="GA581" s="205"/>
      <c r="GB581" s="205"/>
      <c r="GC581" s="205"/>
      <c r="GD581" s="205"/>
      <c r="GE581" s="205"/>
      <c r="GF581" s="205"/>
      <c r="GG581" s="205"/>
      <c r="GH581" s="205"/>
      <c r="GI581" s="205"/>
      <c r="GJ581" s="205"/>
      <c r="GK581" s="205"/>
      <c r="GL581" s="205"/>
      <c r="GM581" s="205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/>
      <c r="AO582"/>
      <c r="AP582"/>
      <c r="AQ582"/>
      <c r="AR582"/>
      <c r="AS582"/>
      <c r="AT582"/>
      <c r="AU582"/>
      <c r="AV582"/>
      <c r="AW582"/>
      <c r="FY582" s="210">
        <v>577</v>
      </c>
      <c r="FZ582" s="205"/>
      <c r="GA582" s="205"/>
      <c r="GB582" s="205"/>
      <c r="GC582" s="205"/>
      <c r="GD582" s="205"/>
      <c r="GE582" s="205"/>
      <c r="GF582" s="205"/>
      <c r="GG582" s="205"/>
      <c r="GH582" s="205"/>
      <c r="GI582" s="205"/>
      <c r="GJ582" s="205"/>
      <c r="GK582" s="205"/>
      <c r="GL582" s="205"/>
      <c r="GM582" s="205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/>
      <c r="AO583"/>
      <c r="AP583"/>
      <c r="AQ583"/>
      <c r="AR583"/>
      <c r="AS583"/>
      <c r="AT583"/>
      <c r="AU583"/>
      <c r="AV583"/>
      <c r="AW583"/>
      <c r="FY583" s="210">
        <v>578</v>
      </c>
      <c r="FZ583" s="205"/>
      <c r="GA583" s="205"/>
      <c r="GB583" s="205"/>
      <c r="GC583" s="205"/>
      <c r="GD583" s="205"/>
      <c r="GE583" s="205"/>
      <c r="GF583" s="205"/>
      <c r="GG583" s="205"/>
      <c r="GH583" s="205"/>
      <c r="GI583" s="205"/>
      <c r="GJ583" s="205"/>
      <c r="GK583" s="205"/>
      <c r="GL583" s="205"/>
      <c r="GM583" s="205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/>
      <c r="AO584"/>
      <c r="AP584"/>
      <c r="AQ584"/>
      <c r="AR584"/>
      <c r="AS584"/>
      <c r="AT584"/>
      <c r="AU584"/>
      <c r="AV584"/>
      <c r="AW584"/>
      <c r="FY584" s="210">
        <v>579</v>
      </c>
      <c r="FZ584" s="205"/>
      <c r="GA584" s="205"/>
      <c r="GB584" s="205"/>
      <c r="GC584" s="205"/>
      <c r="GD584" s="205"/>
      <c r="GE584" s="205"/>
      <c r="GF584" s="205"/>
      <c r="GG584" s="205"/>
      <c r="GH584" s="205"/>
      <c r="GI584" s="205"/>
      <c r="GJ584" s="205"/>
      <c r="GK584" s="205"/>
      <c r="GL584" s="205"/>
      <c r="GM584" s="205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/>
      <c r="AO585"/>
      <c r="AP585"/>
      <c r="AQ585"/>
      <c r="AR585"/>
      <c r="AS585"/>
      <c r="AT585"/>
      <c r="AU585"/>
      <c r="AV585"/>
      <c r="AW585"/>
      <c r="FY585" s="210">
        <v>580</v>
      </c>
      <c r="FZ585" s="205"/>
      <c r="GA585" s="205"/>
      <c r="GB585" s="205"/>
      <c r="GC585" s="205"/>
      <c r="GD585" s="205"/>
      <c r="GE585" s="205"/>
      <c r="GF585" s="205"/>
      <c r="GG585" s="205"/>
      <c r="GH585" s="205"/>
      <c r="GI585" s="205"/>
      <c r="GJ585" s="205"/>
      <c r="GK585" s="205"/>
      <c r="GL585" s="205"/>
      <c r="GM585" s="20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/>
      <c r="AO586"/>
      <c r="AP586"/>
      <c r="AQ586"/>
      <c r="AR586"/>
      <c r="AS586"/>
      <c r="AT586"/>
      <c r="AU586"/>
      <c r="AV586"/>
      <c r="AW586"/>
      <c r="FY586" s="210">
        <v>581</v>
      </c>
      <c r="FZ586" s="205"/>
      <c r="GA586" s="205"/>
      <c r="GB586" s="205"/>
      <c r="GC586" s="205"/>
      <c r="GD586" s="205"/>
      <c r="GE586" s="205"/>
      <c r="GF586" s="205"/>
      <c r="GG586" s="205"/>
      <c r="GH586" s="205"/>
      <c r="GI586" s="205"/>
      <c r="GJ586" s="205"/>
      <c r="GK586" s="205"/>
      <c r="GL586" s="205"/>
      <c r="GM586" s="205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/>
      <c r="AO587"/>
      <c r="AP587"/>
      <c r="AQ587"/>
      <c r="AR587"/>
      <c r="AS587"/>
      <c r="AT587"/>
      <c r="AU587"/>
      <c r="AV587"/>
      <c r="AW587"/>
      <c r="FY587" s="210">
        <v>582</v>
      </c>
      <c r="FZ587" s="205"/>
      <c r="GA587" s="205"/>
      <c r="GB587" s="205"/>
      <c r="GC587" s="205"/>
      <c r="GD587" s="205"/>
      <c r="GE587" s="205"/>
      <c r="GF587" s="205"/>
      <c r="GG587" s="205"/>
      <c r="GH587" s="205"/>
      <c r="GI587" s="205"/>
      <c r="GJ587" s="205"/>
      <c r="GK587" s="205"/>
      <c r="GL587" s="205"/>
      <c r="GM587" s="205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/>
      <c r="AO588"/>
      <c r="AP588"/>
      <c r="AQ588"/>
      <c r="AR588"/>
      <c r="AS588"/>
      <c r="AT588"/>
      <c r="AU588"/>
      <c r="AV588"/>
      <c r="AW588"/>
      <c r="FY588" s="210">
        <v>583</v>
      </c>
      <c r="FZ588" s="205"/>
      <c r="GA588" s="205"/>
      <c r="GB588" s="205"/>
      <c r="GC588" s="205"/>
      <c r="GD588" s="205"/>
      <c r="GE588" s="205"/>
      <c r="GF588" s="205"/>
      <c r="GG588" s="205"/>
      <c r="GH588" s="205"/>
      <c r="GI588" s="205"/>
      <c r="GJ588" s="205"/>
      <c r="GK588" s="205"/>
      <c r="GL588" s="205"/>
      <c r="GM588" s="205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/>
      <c r="AO589"/>
      <c r="AP589"/>
      <c r="AQ589"/>
      <c r="AR589"/>
      <c r="AS589"/>
      <c r="AT589"/>
      <c r="AU589"/>
      <c r="AV589"/>
      <c r="AW589"/>
      <c r="FY589" s="210">
        <v>584</v>
      </c>
      <c r="FZ589" s="205"/>
      <c r="GA589" s="205"/>
      <c r="GB589" s="205"/>
      <c r="GC589" s="205"/>
      <c r="GD589" s="205"/>
      <c r="GE589" s="205"/>
      <c r="GF589" s="205"/>
      <c r="GG589" s="205"/>
      <c r="GH589" s="205"/>
      <c r="GI589" s="205"/>
      <c r="GJ589" s="205"/>
      <c r="GK589" s="205"/>
      <c r="GL589" s="205"/>
      <c r="GM589" s="205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/>
      <c r="AO590"/>
      <c r="AP590"/>
      <c r="AQ590"/>
      <c r="AR590"/>
      <c r="AS590"/>
      <c r="AT590"/>
      <c r="AU590"/>
      <c r="AV590"/>
      <c r="AW590"/>
      <c r="FY590" s="210">
        <v>585</v>
      </c>
      <c r="FZ590" s="205"/>
      <c r="GA590" s="205"/>
      <c r="GB590" s="205"/>
      <c r="GC590" s="205"/>
      <c r="GD590" s="205"/>
      <c r="GE590" s="205"/>
      <c r="GF590" s="205"/>
      <c r="GG590" s="205"/>
      <c r="GH590" s="205"/>
      <c r="GI590" s="205"/>
      <c r="GJ590" s="205"/>
      <c r="GK590" s="205"/>
      <c r="GL590" s="205"/>
      <c r="GM590" s="205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/>
      <c r="AO591"/>
      <c r="AP591"/>
      <c r="AQ591"/>
      <c r="AR591"/>
      <c r="AS591"/>
      <c r="AT591"/>
      <c r="AU591"/>
      <c r="AV591"/>
      <c r="AW591"/>
      <c r="FY591" s="210">
        <v>586</v>
      </c>
      <c r="FZ591" s="205"/>
      <c r="GA591" s="205"/>
      <c r="GB591" s="205"/>
      <c r="GC591" s="205"/>
      <c r="GD591" s="205"/>
      <c r="GE591" s="205"/>
      <c r="GF591" s="205"/>
      <c r="GG591" s="205"/>
      <c r="GH591" s="205"/>
      <c r="GI591" s="205"/>
      <c r="GJ591" s="205"/>
      <c r="GK591" s="205"/>
      <c r="GL591" s="205"/>
      <c r="GM591" s="205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/>
      <c r="AO592"/>
      <c r="AP592"/>
      <c r="AQ592"/>
      <c r="AR592"/>
      <c r="AS592"/>
      <c r="AT592"/>
      <c r="AU592"/>
      <c r="AV592"/>
      <c r="AW592"/>
      <c r="FY592" s="210">
        <v>587</v>
      </c>
      <c r="FZ592" s="205"/>
      <c r="GA592" s="205"/>
      <c r="GB592" s="205"/>
      <c r="GC592" s="205"/>
      <c r="GD592" s="205"/>
      <c r="GE592" s="205"/>
      <c r="GF592" s="205"/>
      <c r="GG592" s="205"/>
      <c r="GH592" s="205"/>
      <c r="GI592" s="205"/>
      <c r="GJ592" s="205"/>
      <c r="GK592" s="205"/>
      <c r="GL592" s="205"/>
      <c r="GM592" s="205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/>
      <c r="AO593"/>
      <c r="AP593"/>
      <c r="AQ593"/>
      <c r="AR593"/>
      <c r="AS593"/>
      <c r="AT593"/>
      <c r="AU593"/>
      <c r="AV593"/>
      <c r="AW593"/>
      <c r="FY593" s="210">
        <v>588</v>
      </c>
      <c r="FZ593" s="205"/>
      <c r="GA593" s="205"/>
      <c r="GB593" s="205"/>
      <c r="GC593" s="205"/>
      <c r="GD593" s="205"/>
      <c r="GE593" s="205"/>
      <c r="GF593" s="205"/>
      <c r="GG593" s="205"/>
      <c r="GH593" s="205"/>
      <c r="GI593" s="205"/>
      <c r="GJ593" s="205"/>
      <c r="GK593" s="205"/>
      <c r="GL593" s="205"/>
      <c r="GM593" s="205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/>
      <c r="AO594"/>
      <c r="AP594"/>
      <c r="AQ594"/>
      <c r="AR594"/>
      <c r="AS594"/>
      <c r="AT594"/>
      <c r="AU594"/>
      <c r="AV594"/>
      <c r="AW594"/>
      <c r="FY594" s="210">
        <v>589</v>
      </c>
      <c r="FZ594" s="205"/>
      <c r="GA594" s="205"/>
      <c r="GB594" s="205"/>
      <c r="GC594" s="205"/>
      <c r="GD594" s="205"/>
      <c r="GE594" s="205"/>
      <c r="GF594" s="205"/>
      <c r="GG594" s="205"/>
      <c r="GH594" s="205"/>
      <c r="GI594" s="205"/>
      <c r="GJ594" s="205"/>
      <c r="GK594" s="205"/>
      <c r="GL594" s="205"/>
      <c r="GM594" s="205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/>
      <c r="AO595"/>
      <c r="AP595"/>
      <c r="AQ595"/>
      <c r="AR595"/>
      <c r="AS595"/>
      <c r="AT595"/>
      <c r="AU595"/>
      <c r="AV595"/>
      <c r="AW595"/>
      <c r="FY595" s="210">
        <v>590</v>
      </c>
      <c r="FZ595" s="205"/>
      <c r="GA595" s="205"/>
      <c r="GB595" s="205"/>
      <c r="GC595" s="205"/>
      <c r="GD595" s="205"/>
      <c r="GE595" s="205"/>
      <c r="GF595" s="205"/>
      <c r="GG595" s="205"/>
      <c r="GH595" s="205"/>
      <c r="GI595" s="205"/>
      <c r="GJ595" s="205"/>
      <c r="GK595" s="205"/>
      <c r="GL595" s="205"/>
      <c r="GM595" s="20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/>
      <c r="AO596"/>
      <c r="AP596"/>
      <c r="AQ596"/>
      <c r="AR596"/>
      <c r="AS596"/>
      <c r="AT596"/>
      <c r="AU596"/>
      <c r="AV596"/>
      <c r="AW596"/>
      <c r="FY596" s="210">
        <v>591</v>
      </c>
      <c r="FZ596" s="205"/>
      <c r="GA596" s="205"/>
      <c r="GB596" s="205"/>
      <c r="GC596" s="205"/>
      <c r="GD596" s="205"/>
      <c r="GE596" s="205"/>
      <c r="GF596" s="205"/>
      <c r="GG596" s="205"/>
      <c r="GH596" s="205"/>
      <c r="GI596" s="205"/>
      <c r="GJ596" s="205"/>
      <c r="GK596" s="205"/>
      <c r="GL596" s="205"/>
      <c r="GM596" s="205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/>
      <c r="AO597"/>
      <c r="AP597"/>
      <c r="AQ597"/>
      <c r="AR597"/>
      <c r="AS597"/>
      <c r="AT597"/>
      <c r="AU597"/>
      <c r="AV597"/>
      <c r="AW597"/>
      <c r="FY597" s="210">
        <v>592</v>
      </c>
      <c r="FZ597" s="205"/>
      <c r="GA597" s="205"/>
      <c r="GB597" s="205"/>
      <c r="GC597" s="205"/>
      <c r="GD597" s="205"/>
      <c r="GE597" s="205"/>
      <c r="GF597" s="205"/>
      <c r="GG597" s="205"/>
      <c r="GH597" s="205"/>
      <c r="GI597" s="205"/>
      <c r="GJ597" s="205"/>
      <c r="GK597" s="205"/>
      <c r="GL597" s="205"/>
      <c r="GM597" s="205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/>
      <c r="AO598"/>
      <c r="AP598"/>
      <c r="AQ598"/>
      <c r="AR598"/>
      <c r="AS598"/>
      <c r="AT598"/>
      <c r="AU598"/>
      <c r="AV598"/>
      <c r="AW598"/>
      <c r="FY598" s="210">
        <v>593</v>
      </c>
      <c r="FZ598" s="205"/>
      <c r="GA598" s="205"/>
      <c r="GB598" s="205"/>
      <c r="GC598" s="205"/>
      <c r="GD598" s="205"/>
      <c r="GE598" s="205"/>
      <c r="GF598" s="205"/>
      <c r="GG598" s="205"/>
      <c r="GH598" s="205"/>
      <c r="GI598" s="205"/>
      <c r="GJ598" s="205"/>
      <c r="GK598" s="205"/>
      <c r="GL598" s="205"/>
      <c r="GM598" s="205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/>
      <c r="AO599"/>
      <c r="AP599"/>
      <c r="AQ599"/>
      <c r="AR599"/>
      <c r="AS599"/>
      <c r="AT599"/>
      <c r="AU599"/>
      <c r="AV599"/>
      <c r="AW599"/>
      <c r="FY599" s="210">
        <v>594</v>
      </c>
      <c r="FZ599" s="205"/>
      <c r="GA599" s="205"/>
      <c r="GB599" s="205"/>
      <c r="GC599" s="205"/>
      <c r="GD599" s="205"/>
      <c r="GE599" s="205"/>
      <c r="GF599" s="205"/>
      <c r="GG599" s="205"/>
      <c r="GH599" s="205"/>
      <c r="GI599" s="205"/>
      <c r="GJ599" s="205"/>
      <c r="GK599" s="205"/>
      <c r="GL599" s="205"/>
      <c r="GM599" s="205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/>
      <c r="AO600"/>
      <c r="AP600"/>
      <c r="AQ600"/>
      <c r="AR600"/>
      <c r="AS600"/>
      <c r="AT600"/>
      <c r="AU600"/>
      <c r="AV600"/>
      <c r="AW600"/>
      <c r="FY600" s="210">
        <v>595</v>
      </c>
      <c r="FZ600" s="205"/>
      <c r="GA600" s="205"/>
      <c r="GB600" s="205"/>
      <c r="GC600" s="205"/>
      <c r="GD600" s="205"/>
      <c r="GE600" s="205"/>
      <c r="GF600" s="205"/>
      <c r="GG600" s="205"/>
      <c r="GH600" s="205"/>
      <c r="GI600" s="205"/>
      <c r="GJ600" s="205"/>
      <c r="GK600" s="205"/>
      <c r="GL600" s="205"/>
      <c r="GM600" s="205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/>
      <c r="AO601"/>
      <c r="AP601"/>
      <c r="AQ601"/>
      <c r="AR601"/>
      <c r="AS601"/>
      <c r="AT601"/>
      <c r="AU601"/>
      <c r="AV601"/>
      <c r="AW601"/>
      <c r="FY601" s="210">
        <v>596</v>
      </c>
      <c r="FZ601" s="205"/>
      <c r="GA601" s="205"/>
      <c r="GB601" s="205"/>
      <c r="GC601" s="205"/>
      <c r="GD601" s="205"/>
      <c r="GE601" s="205"/>
      <c r="GF601" s="205"/>
      <c r="GG601" s="205"/>
      <c r="GH601" s="205"/>
      <c r="GI601" s="205"/>
      <c r="GJ601" s="205"/>
      <c r="GK601" s="205"/>
      <c r="GL601" s="205"/>
      <c r="GM601" s="205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/>
      <c r="AO602"/>
      <c r="AP602"/>
      <c r="AQ602"/>
      <c r="AR602"/>
      <c r="AS602"/>
      <c r="AT602"/>
      <c r="AU602"/>
      <c r="AV602"/>
      <c r="AW602"/>
      <c r="FY602" s="210">
        <v>597</v>
      </c>
      <c r="FZ602" s="205"/>
      <c r="GA602" s="205"/>
      <c r="GB602" s="205"/>
      <c r="GC602" s="205"/>
      <c r="GD602" s="205"/>
      <c r="GE602" s="205"/>
      <c r="GF602" s="205"/>
      <c r="GG602" s="205"/>
      <c r="GH602" s="205"/>
      <c r="GI602" s="205"/>
      <c r="GJ602" s="205"/>
      <c r="GK602" s="205"/>
      <c r="GL602" s="205"/>
      <c r="GM602" s="205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/>
      <c r="AO603"/>
      <c r="AP603"/>
      <c r="AQ603"/>
      <c r="AR603"/>
      <c r="AS603"/>
      <c r="AT603"/>
      <c r="AU603"/>
      <c r="AV603"/>
      <c r="AW603"/>
      <c r="FY603" s="210">
        <v>598</v>
      </c>
      <c r="FZ603" s="205"/>
      <c r="GA603" s="205"/>
      <c r="GB603" s="205"/>
      <c r="GC603" s="205"/>
      <c r="GD603" s="205"/>
      <c r="GE603" s="205"/>
      <c r="GF603" s="205"/>
      <c r="GG603" s="205"/>
      <c r="GH603" s="205"/>
      <c r="GI603" s="205"/>
      <c r="GJ603" s="205"/>
      <c r="GK603" s="205"/>
      <c r="GL603" s="205"/>
      <c r="GM603" s="205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/>
      <c r="AO604"/>
      <c r="AP604"/>
      <c r="AQ604"/>
      <c r="AR604"/>
      <c r="AS604"/>
      <c r="AT604"/>
      <c r="AU604"/>
      <c r="AV604"/>
      <c r="AW604"/>
      <c r="FY604" s="210">
        <v>599</v>
      </c>
      <c r="FZ604" s="205"/>
      <c r="GA604" s="205"/>
      <c r="GB604" s="205"/>
      <c r="GC604" s="205"/>
      <c r="GD604" s="205"/>
      <c r="GE604" s="205"/>
      <c r="GF604" s="205"/>
      <c r="GG604" s="205"/>
      <c r="GH604" s="205"/>
      <c r="GI604" s="205"/>
      <c r="GJ604" s="205"/>
      <c r="GK604" s="205"/>
      <c r="GL604" s="205"/>
      <c r="GM604" s="205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/>
      <c r="AO605"/>
      <c r="AP605"/>
      <c r="AQ605"/>
      <c r="AR605"/>
      <c r="AS605"/>
      <c r="AT605"/>
      <c r="AU605"/>
      <c r="AV605"/>
      <c r="AW605"/>
      <c r="FY605" s="210">
        <v>600</v>
      </c>
      <c r="FZ605" s="205"/>
      <c r="GA605" s="205"/>
      <c r="GB605" s="205"/>
      <c r="GC605" s="205"/>
      <c r="GD605" s="205"/>
      <c r="GE605" s="205"/>
      <c r="GF605" s="205"/>
      <c r="GG605" s="205"/>
      <c r="GH605" s="205"/>
      <c r="GI605" s="205"/>
      <c r="GJ605" s="205"/>
      <c r="GK605" s="205"/>
      <c r="GL605" s="205"/>
      <c r="GM605" s="2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/>
      <c r="AO606"/>
      <c r="AP606"/>
      <c r="AQ606"/>
      <c r="AR606"/>
      <c r="AS606"/>
      <c r="AT606"/>
      <c r="AU606"/>
      <c r="AV606"/>
      <c r="AW606"/>
      <c r="FY606" s="210">
        <v>601</v>
      </c>
      <c r="FZ606" s="205"/>
      <c r="GA606" s="205"/>
      <c r="GB606" s="205"/>
      <c r="GC606" s="205"/>
      <c r="GD606" s="205"/>
      <c r="GE606" s="205"/>
      <c r="GF606" s="205"/>
      <c r="GG606" s="205"/>
      <c r="GH606" s="205"/>
      <c r="GI606" s="205"/>
      <c r="GJ606" s="205"/>
      <c r="GK606" s="205"/>
      <c r="GL606" s="205"/>
      <c r="GM606" s="205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/>
      <c r="AO607"/>
      <c r="AP607"/>
      <c r="AQ607"/>
      <c r="AR607"/>
      <c r="AS607"/>
      <c r="AT607"/>
      <c r="AU607"/>
      <c r="AV607"/>
      <c r="AW607"/>
      <c r="FY607" s="210">
        <v>602</v>
      </c>
      <c r="FZ607" s="205"/>
      <c r="GA607" s="205"/>
      <c r="GB607" s="205"/>
      <c r="GC607" s="205"/>
      <c r="GD607" s="205"/>
      <c r="GE607" s="205"/>
      <c r="GF607" s="205"/>
      <c r="GG607" s="205"/>
      <c r="GH607" s="205"/>
      <c r="GI607" s="205"/>
      <c r="GJ607" s="205"/>
      <c r="GK607" s="205"/>
      <c r="GL607" s="205"/>
      <c r="GM607" s="205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/>
      <c r="AO608"/>
      <c r="AP608"/>
      <c r="AQ608"/>
      <c r="AR608"/>
      <c r="AS608"/>
      <c r="AT608"/>
      <c r="AU608"/>
      <c r="AV608"/>
      <c r="AW608"/>
      <c r="FY608" s="210">
        <v>603</v>
      </c>
      <c r="FZ608" s="205"/>
      <c r="GA608" s="205"/>
      <c r="GB608" s="205"/>
      <c r="GC608" s="205"/>
      <c r="GD608" s="205"/>
      <c r="GE608" s="205"/>
      <c r="GF608" s="205"/>
      <c r="GG608" s="205"/>
      <c r="GH608" s="205"/>
      <c r="GI608" s="205"/>
      <c r="GJ608" s="205"/>
      <c r="GK608" s="205"/>
      <c r="GL608" s="205"/>
      <c r="GM608" s="205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/>
      <c r="AO609"/>
      <c r="AP609"/>
      <c r="AQ609"/>
      <c r="AR609"/>
      <c r="AS609"/>
      <c r="AT609"/>
      <c r="AU609"/>
      <c r="AV609"/>
      <c r="AW609"/>
      <c r="FY609" s="210">
        <v>604</v>
      </c>
      <c r="FZ609" s="205"/>
      <c r="GA609" s="205"/>
      <c r="GB609" s="205"/>
      <c r="GC609" s="205"/>
      <c r="GD609" s="205"/>
      <c r="GE609" s="205"/>
      <c r="GF609" s="205"/>
      <c r="GG609" s="205"/>
      <c r="GH609" s="205"/>
      <c r="GI609" s="205"/>
      <c r="GJ609" s="205"/>
      <c r="GK609" s="205"/>
      <c r="GL609" s="205"/>
      <c r="GM609" s="205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/>
      <c r="AO610"/>
      <c r="AP610"/>
      <c r="AQ610"/>
      <c r="AR610"/>
      <c r="AS610"/>
      <c r="AT610"/>
      <c r="AU610"/>
      <c r="AV610"/>
      <c r="AW610"/>
      <c r="FY610" s="210">
        <v>605</v>
      </c>
      <c r="FZ610" s="205"/>
      <c r="GA610" s="205"/>
      <c r="GB610" s="205"/>
      <c r="GC610" s="205"/>
      <c r="GD610" s="205"/>
      <c r="GE610" s="205"/>
      <c r="GF610" s="205"/>
      <c r="GG610" s="205"/>
      <c r="GH610" s="205"/>
      <c r="GI610" s="205"/>
      <c r="GJ610" s="205"/>
      <c r="GK610" s="205"/>
      <c r="GL610" s="205"/>
      <c r="GM610" s="205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/>
      <c r="AO611"/>
      <c r="AP611"/>
      <c r="AQ611"/>
      <c r="AR611"/>
      <c r="AS611"/>
      <c r="AT611"/>
      <c r="AU611"/>
      <c r="AV611"/>
      <c r="AW611"/>
      <c r="FY611" s="210">
        <v>606</v>
      </c>
      <c r="FZ611" s="205"/>
      <c r="GA611" s="205"/>
      <c r="GB611" s="205"/>
      <c r="GC611" s="205"/>
      <c r="GD611" s="205"/>
      <c r="GE611" s="205"/>
      <c r="GF611" s="205"/>
      <c r="GG611" s="205"/>
      <c r="GH611" s="205"/>
      <c r="GI611" s="205"/>
      <c r="GJ611" s="205"/>
      <c r="GK611" s="205"/>
      <c r="GL611" s="205"/>
      <c r="GM611" s="205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/>
      <c r="AO612"/>
      <c r="AP612"/>
      <c r="AQ612"/>
      <c r="AR612"/>
      <c r="AS612"/>
      <c r="AT612"/>
      <c r="AU612"/>
      <c r="AV612"/>
      <c r="AW612"/>
      <c r="FY612" s="210">
        <v>607</v>
      </c>
      <c r="FZ612" s="205"/>
      <c r="GA612" s="205"/>
      <c r="GB612" s="205"/>
      <c r="GC612" s="205"/>
      <c r="GD612" s="205"/>
      <c r="GE612" s="205"/>
      <c r="GF612" s="205"/>
      <c r="GG612" s="205"/>
      <c r="GH612" s="205"/>
      <c r="GI612" s="205"/>
      <c r="GJ612" s="205"/>
      <c r="GK612" s="205"/>
      <c r="GL612" s="205"/>
      <c r="GM612" s="205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/>
      <c r="AO613"/>
      <c r="AP613"/>
      <c r="AQ613"/>
      <c r="AR613"/>
      <c r="AS613"/>
      <c r="AT613"/>
      <c r="AU613"/>
      <c r="AV613"/>
      <c r="AW613"/>
      <c r="FY613" s="210">
        <v>608</v>
      </c>
      <c r="FZ613" s="205"/>
      <c r="GA613" s="205"/>
      <c r="GB613" s="205"/>
      <c r="GC613" s="205"/>
      <c r="GD613" s="205"/>
      <c r="GE613" s="205"/>
      <c r="GF613" s="205"/>
      <c r="GG613" s="205"/>
      <c r="GH613" s="205"/>
      <c r="GI613" s="205"/>
      <c r="GJ613" s="205"/>
      <c r="GK613" s="205"/>
      <c r="GL613" s="205"/>
      <c r="GM613" s="205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/>
      <c r="AO614"/>
      <c r="AP614"/>
      <c r="AQ614"/>
      <c r="AR614"/>
      <c r="AS614"/>
      <c r="AT614"/>
      <c r="AU614"/>
      <c r="AV614"/>
      <c r="AW614"/>
      <c r="FY614" s="210">
        <v>609</v>
      </c>
      <c r="FZ614" s="205"/>
      <c r="GA614" s="205"/>
      <c r="GB614" s="205"/>
      <c r="GC614" s="205"/>
      <c r="GD614" s="205"/>
      <c r="GE614" s="205"/>
      <c r="GF614" s="205"/>
      <c r="GG614" s="205"/>
      <c r="GH614" s="205"/>
      <c r="GI614" s="205"/>
      <c r="GJ614" s="205"/>
      <c r="GK614" s="205"/>
      <c r="GL614" s="205"/>
      <c r="GM614" s="205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/>
      <c r="AO615"/>
      <c r="AP615"/>
      <c r="AQ615"/>
      <c r="AR615"/>
      <c r="AS615"/>
      <c r="AT615"/>
      <c r="AU615"/>
      <c r="AV615"/>
      <c r="AW615"/>
      <c r="FY615" s="210">
        <v>610</v>
      </c>
      <c r="FZ615" s="205"/>
      <c r="GA615" s="205"/>
      <c r="GB615" s="205"/>
      <c r="GC615" s="205"/>
      <c r="GD615" s="205"/>
      <c r="GE615" s="205"/>
      <c r="GF615" s="205"/>
      <c r="GG615" s="205"/>
      <c r="GH615" s="205"/>
      <c r="GI615" s="205"/>
      <c r="GJ615" s="205"/>
      <c r="GK615" s="205"/>
      <c r="GL615" s="205"/>
      <c r="GM615" s="20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/>
      <c r="AO616"/>
      <c r="AP616"/>
      <c r="AQ616"/>
      <c r="AR616"/>
      <c r="AS616"/>
      <c r="AT616"/>
      <c r="AU616"/>
      <c r="AV616"/>
      <c r="AW616"/>
      <c r="FY616" s="210">
        <v>611</v>
      </c>
      <c r="FZ616" s="205"/>
      <c r="GA616" s="205"/>
      <c r="GB616" s="205"/>
      <c r="GC616" s="205"/>
      <c r="GD616" s="205"/>
      <c r="GE616" s="205"/>
      <c r="GF616" s="205"/>
      <c r="GG616" s="205"/>
      <c r="GH616" s="205"/>
      <c r="GI616" s="205"/>
      <c r="GJ616" s="205"/>
      <c r="GK616" s="205"/>
      <c r="GL616" s="205"/>
      <c r="GM616" s="205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/>
      <c r="AO617"/>
      <c r="AP617"/>
      <c r="AQ617"/>
      <c r="AR617"/>
      <c r="AS617"/>
      <c r="AT617"/>
      <c r="AU617"/>
      <c r="AV617"/>
      <c r="AW617"/>
      <c r="FY617" s="210">
        <v>612</v>
      </c>
      <c r="FZ617" s="205"/>
      <c r="GA617" s="205"/>
      <c r="GB617" s="205"/>
      <c r="GC617" s="205"/>
      <c r="GD617" s="205"/>
      <c r="GE617" s="205"/>
      <c r="GF617" s="205"/>
      <c r="GG617" s="205"/>
      <c r="GH617" s="205"/>
      <c r="GI617" s="205"/>
      <c r="GJ617" s="205"/>
      <c r="GK617" s="205"/>
      <c r="GL617" s="205"/>
      <c r="GM617" s="205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/>
      <c r="AO618"/>
      <c r="AP618"/>
      <c r="AQ618"/>
      <c r="AR618"/>
      <c r="AS618"/>
      <c r="AT618"/>
      <c r="AU618"/>
      <c r="AV618"/>
      <c r="AW618"/>
      <c r="FY618" s="210">
        <v>613</v>
      </c>
      <c r="FZ618" s="205"/>
      <c r="GA618" s="205"/>
      <c r="GB618" s="205"/>
      <c r="GC618" s="205"/>
      <c r="GD618" s="205"/>
      <c r="GE618" s="205"/>
      <c r="GF618" s="205"/>
      <c r="GG618" s="205"/>
      <c r="GH618" s="205"/>
      <c r="GI618" s="205"/>
      <c r="GJ618" s="205"/>
      <c r="GK618" s="205"/>
      <c r="GL618" s="205"/>
      <c r="GM618" s="205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/>
      <c r="AO619"/>
      <c r="AP619"/>
      <c r="AQ619"/>
      <c r="AR619"/>
      <c r="AS619"/>
      <c r="AT619"/>
      <c r="AU619"/>
      <c r="AV619"/>
      <c r="AW619"/>
      <c r="FY619" s="210">
        <v>614</v>
      </c>
      <c r="FZ619" s="205"/>
      <c r="GA619" s="205"/>
      <c r="GB619" s="205"/>
      <c r="GC619" s="205"/>
      <c r="GD619" s="205"/>
      <c r="GE619" s="205"/>
      <c r="GF619" s="205"/>
      <c r="GG619" s="205"/>
      <c r="GH619" s="205"/>
      <c r="GI619" s="205"/>
      <c r="GJ619" s="205"/>
      <c r="GK619" s="205"/>
      <c r="GL619" s="205"/>
      <c r="GM619" s="205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/>
      <c r="AO620"/>
      <c r="AP620"/>
      <c r="AQ620"/>
      <c r="AR620"/>
      <c r="AS620"/>
      <c r="AT620"/>
      <c r="AU620"/>
      <c r="AV620"/>
      <c r="AW620"/>
      <c r="FY620" s="210">
        <v>615</v>
      </c>
      <c r="FZ620" s="205"/>
      <c r="GA620" s="205"/>
      <c r="GB620" s="205"/>
      <c r="GC620" s="205"/>
      <c r="GD620" s="205"/>
      <c r="GE620" s="205"/>
      <c r="GF620" s="205"/>
      <c r="GG620" s="205"/>
      <c r="GH620" s="205"/>
      <c r="GI620" s="205"/>
      <c r="GJ620" s="205"/>
      <c r="GK620" s="205"/>
      <c r="GL620" s="205"/>
      <c r="GM620" s="205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/>
      <c r="AO621"/>
      <c r="AP621"/>
      <c r="AQ621"/>
      <c r="AR621"/>
      <c r="AS621"/>
      <c r="AT621"/>
      <c r="AU621"/>
      <c r="AV621"/>
      <c r="AW621"/>
      <c r="FY621" s="210">
        <v>616</v>
      </c>
      <c r="FZ621" s="205"/>
      <c r="GA621" s="205"/>
      <c r="GB621" s="205"/>
      <c r="GC621" s="205"/>
      <c r="GD621" s="205"/>
      <c r="GE621" s="205"/>
      <c r="GF621" s="205"/>
      <c r="GG621" s="205"/>
      <c r="GH621" s="205"/>
      <c r="GI621" s="205"/>
      <c r="GJ621" s="205"/>
      <c r="GK621" s="205"/>
      <c r="GL621" s="205"/>
      <c r="GM621" s="205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/>
      <c r="AO622"/>
      <c r="AP622"/>
      <c r="AQ622"/>
      <c r="AR622"/>
      <c r="AS622"/>
      <c r="AT622"/>
      <c r="AU622"/>
      <c r="AV622"/>
      <c r="AW622"/>
      <c r="FY622" s="210">
        <v>617</v>
      </c>
      <c r="FZ622" s="205"/>
      <c r="GA622" s="205"/>
      <c r="GB622" s="205"/>
      <c r="GC622" s="205"/>
      <c r="GD622" s="205"/>
      <c r="GE622" s="205"/>
      <c r="GF622" s="205"/>
      <c r="GG622" s="205"/>
      <c r="GH622" s="205"/>
      <c r="GI622" s="205"/>
      <c r="GJ622" s="205"/>
      <c r="GK622" s="205"/>
      <c r="GL622" s="205"/>
      <c r="GM622" s="205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/>
      <c r="AO623"/>
      <c r="AP623"/>
      <c r="AQ623"/>
      <c r="AR623"/>
      <c r="AS623"/>
      <c r="AT623"/>
      <c r="AU623"/>
      <c r="AV623"/>
      <c r="AW623"/>
      <c r="FY623" s="210">
        <v>618</v>
      </c>
      <c r="FZ623" s="205"/>
      <c r="GA623" s="205"/>
      <c r="GB623" s="205"/>
      <c r="GC623" s="205"/>
      <c r="GD623" s="205"/>
      <c r="GE623" s="205"/>
      <c r="GF623" s="205"/>
      <c r="GG623" s="205"/>
      <c r="GH623" s="205"/>
      <c r="GI623" s="205"/>
      <c r="GJ623" s="205"/>
      <c r="GK623" s="205"/>
      <c r="GL623" s="205"/>
      <c r="GM623" s="205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/>
      <c r="AO624"/>
      <c r="AP624"/>
      <c r="AQ624"/>
      <c r="AR624"/>
      <c r="AS624"/>
      <c r="AT624"/>
      <c r="AU624"/>
      <c r="AV624"/>
      <c r="AW624"/>
      <c r="FY624" s="210">
        <v>619</v>
      </c>
      <c r="FZ624" s="205"/>
      <c r="GA624" s="205"/>
      <c r="GB624" s="205"/>
      <c r="GC624" s="205"/>
      <c r="GD624" s="205"/>
      <c r="GE624" s="205"/>
      <c r="GF624" s="205"/>
      <c r="GG624" s="205"/>
      <c r="GH624" s="205"/>
      <c r="GI624" s="205"/>
      <c r="GJ624" s="205"/>
      <c r="GK624" s="205"/>
      <c r="GL624" s="205"/>
      <c r="GM624" s="205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/>
      <c r="AO625"/>
      <c r="AP625"/>
      <c r="AQ625"/>
      <c r="AR625"/>
      <c r="AS625"/>
      <c r="AT625"/>
      <c r="AU625"/>
      <c r="AV625"/>
      <c r="AW625"/>
      <c r="FY625" s="210">
        <v>620</v>
      </c>
      <c r="FZ625" s="205"/>
      <c r="GA625" s="205"/>
      <c r="GB625" s="205"/>
      <c r="GC625" s="205"/>
      <c r="GD625" s="205"/>
      <c r="GE625" s="205"/>
      <c r="GF625" s="205"/>
      <c r="GG625" s="205"/>
      <c r="GH625" s="205"/>
      <c r="GI625" s="205"/>
      <c r="GJ625" s="205"/>
      <c r="GK625" s="205"/>
      <c r="GL625" s="205"/>
      <c r="GM625" s="20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/>
      <c r="AO626"/>
      <c r="AP626"/>
      <c r="AQ626"/>
      <c r="AR626"/>
      <c r="AS626"/>
      <c r="AT626"/>
      <c r="AU626"/>
      <c r="AV626"/>
      <c r="AW626"/>
      <c r="FY626" s="210">
        <v>621</v>
      </c>
      <c r="FZ626" s="205"/>
      <c r="GA626" s="205"/>
      <c r="GB626" s="205"/>
      <c r="GC626" s="205"/>
      <c r="GD626" s="205"/>
      <c r="GE626" s="205"/>
      <c r="GF626" s="205"/>
      <c r="GG626" s="205"/>
      <c r="GH626" s="205"/>
      <c r="GI626" s="205"/>
      <c r="GJ626" s="205"/>
      <c r="GK626" s="205"/>
      <c r="GL626" s="205"/>
      <c r="GM626" s="205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/>
      <c r="AO627"/>
      <c r="AP627"/>
      <c r="AQ627"/>
      <c r="AR627"/>
      <c r="AS627"/>
      <c r="AT627"/>
      <c r="AU627"/>
      <c r="AV627"/>
      <c r="AW627"/>
      <c r="FY627" s="210">
        <v>622</v>
      </c>
      <c r="FZ627" s="205"/>
      <c r="GA627" s="205"/>
      <c r="GB627" s="205"/>
      <c r="GC627" s="205"/>
      <c r="GD627" s="205"/>
      <c r="GE627" s="205"/>
      <c r="GF627" s="205"/>
      <c r="GG627" s="205"/>
      <c r="GH627" s="205"/>
      <c r="GI627" s="205"/>
      <c r="GJ627" s="205"/>
      <c r="GK627" s="205"/>
      <c r="GL627" s="205"/>
      <c r="GM627" s="205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/>
      <c r="AO628"/>
      <c r="AP628"/>
      <c r="AQ628"/>
      <c r="AR628"/>
      <c r="AS628"/>
      <c r="AT628"/>
      <c r="AU628"/>
      <c r="AV628"/>
      <c r="AW628"/>
      <c r="FY628" s="210">
        <v>623</v>
      </c>
      <c r="FZ628" s="205"/>
      <c r="GA628" s="205"/>
      <c r="GB628" s="205"/>
      <c r="GC628" s="205"/>
      <c r="GD628" s="205"/>
      <c r="GE628" s="205"/>
      <c r="GF628" s="205"/>
      <c r="GG628" s="205"/>
      <c r="GH628" s="205"/>
      <c r="GI628" s="205"/>
      <c r="GJ628" s="205"/>
      <c r="GK628" s="205"/>
      <c r="GL628" s="205"/>
      <c r="GM628" s="205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/>
      <c r="AO629"/>
      <c r="AP629"/>
      <c r="AQ629"/>
      <c r="AR629"/>
      <c r="AS629"/>
      <c r="AT629"/>
      <c r="AU629"/>
      <c r="AV629"/>
      <c r="AW629"/>
      <c r="FY629" s="210">
        <v>624</v>
      </c>
      <c r="FZ629" s="205"/>
      <c r="GA629" s="205"/>
      <c r="GB629" s="205"/>
      <c r="GC629" s="205"/>
      <c r="GD629" s="205"/>
      <c r="GE629" s="205"/>
      <c r="GF629" s="205"/>
      <c r="GG629" s="205"/>
      <c r="GH629" s="205"/>
      <c r="GI629" s="205"/>
      <c r="GJ629" s="205"/>
      <c r="GK629" s="205"/>
      <c r="GL629" s="205"/>
      <c r="GM629" s="205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/>
      <c r="AO630"/>
      <c r="AP630"/>
      <c r="AQ630"/>
      <c r="AR630"/>
      <c r="AS630"/>
      <c r="AT630"/>
      <c r="AU630"/>
      <c r="AV630"/>
      <c r="AW630"/>
      <c r="FY630" s="210">
        <v>625</v>
      </c>
      <c r="FZ630" s="205"/>
      <c r="GA630" s="205"/>
      <c r="GB630" s="205"/>
      <c r="GC630" s="205"/>
      <c r="GD630" s="205"/>
      <c r="GE630" s="205"/>
      <c r="GF630" s="205"/>
      <c r="GG630" s="205"/>
      <c r="GH630" s="205"/>
      <c r="GI630" s="205"/>
      <c r="GJ630" s="205"/>
      <c r="GK630" s="205"/>
      <c r="GL630" s="205"/>
      <c r="GM630" s="205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/>
      <c r="AO631"/>
      <c r="AP631"/>
      <c r="AQ631"/>
      <c r="AR631"/>
      <c r="AS631"/>
      <c r="AT631"/>
      <c r="AU631"/>
      <c r="AV631"/>
      <c r="AW631"/>
      <c r="FY631" s="210">
        <v>626</v>
      </c>
      <c r="FZ631" s="205"/>
      <c r="GA631" s="205"/>
      <c r="GB631" s="205"/>
      <c r="GC631" s="205"/>
      <c r="GD631" s="205"/>
      <c r="GE631" s="205"/>
      <c r="GF631" s="205"/>
      <c r="GG631" s="205"/>
      <c r="GH631" s="205"/>
      <c r="GI631" s="205"/>
      <c r="GJ631" s="205"/>
      <c r="GK631" s="205"/>
      <c r="GL631" s="205"/>
      <c r="GM631" s="205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/>
      <c r="AO632"/>
      <c r="AP632"/>
      <c r="AQ632"/>
      <c r="AR632"/>
      <c r="AS632"/>
      <c r="AT632"/>
      <c r="AU632"/>
      <c r="AV632"/>
      <c r="AW632"/>
      <c r="FY632" s="210">
        <v>627</v>
      </c>
      <c r="FZ632" s="205"/>
      <c r="GA632" s="205"/>
      <c r="GB632" s="205"/>
      <c r="GC632" s="205"/>
      <c r="GD632" s="205"/>
      <c r="GE632" s="205"/>
      <c r="GF632" s="205"/>
      <c r="GG632" s="205"/>
      <c r="GH632" s="205"/>
      <c r="GI632" s="205"/>
      <c r="GJ632" s="205"/>
      <c r="GK632" s="205"/>
      <c r="GL632" s="205"/>
      <c r="GM632" s="205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/>
      <c r="AO633"/>
      <c r="AP633"/>
      <c r="AQ633"/>
      <c r="AR633"/>
      <c r="AS633"/>
      <c r="AT633"/>
      <c r="AU633"/>
      <c r="AV633"/>
      <c r="AW633"/>
      <c r="FY633" s="210">
        <v>628</v>
      </c>
      <c r="FZ633" s="205"/>
      <c r="GA633" s="205"/>
      <c r="GB633" s="205"/>
      <c r="GC633" s="205"/>
      <c r="GD633" s="205"/>
      <c r="GE633" s="205"/>
      <c r="GF633" s="205"/>
      <c r="GG633" s="205"/>
      <c r="GH633" s="205"/>
      <c r="GI633" s="205"/>
      <c r="GJ633" s="205"/>
      <c r="GK633" s="205"/>
      <c r="GL633" s="205"/>
      <c r="GM633" s="205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/>
      <c r="AO634"/>
      <c r="AP634"/>
      <c r="AQ634"/>
      <c r="AR634"/>
      <c r="AS634"/>
      <c r="AT634"/>
      <c r="AU634"/>
      <c r="AV634"/>
      <c r="AW634"/>
      <c r="FY634" s="210">
        <v>629</v>
      </c>
      <c r="FZ634" s="205"/>
      <c r="GA634" s="205"/>
      <c r="GB634" s="205"/>
      <c r="GC634" s="205"/>
      <c r="GD634" s="205"/>
      <c r="GE634" s="205"/>
      <c r="GF634" s="205"/>
      <c r="GG634" s="205"/>
      <c r="GH634" s="205"/>
      <c r="GI634" s="205"/>
      <c r="GJ634" s="205"/>
      <c r="GK634" s="205"/>
      <c r="GL634" s="205"/>
      <c r="GM634" s="205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/>
      <c r="AO635"/>
      <c r="AP635"/>
      <c r="AQ635"/>
      <c r="AR635"/>
      <c r="AS635"/>
      <c r="AT635"/>
      <c r="AU635"/>
      <c r="AV635"/>
      <c r="AW635"/>
      <c r="FY635" s="210">
        <v>630</v>
      </c>
      <c r="FZ635" s="205"/>
      <c r="GA635" s="205"/>
      <c r="GB635" s="205"/>
      <c r="GC635" s="205"/>
      <c r="GD635" s="205"/>
      <c r="GE635" s="205"/>
      <c r="GF635" s="205"/>
      <c r="GG635" s="205"/>
      <c r="GH635" s="205"/>
      <c r="GI635" s="205"/>
      <c r="GJ635" s="205"/>
      <c r="GK635" s="205"/>
      <c r="GL635" s="205"/>
      <c r="GM635" s="20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/>
      <c r="AO636"/>
      <c r="AP636"/>
      <c r="AQ636"/>
      <c r="AR636"/>
      <c r="AS636"/>
      <c r="AT636"/>
      <c r="AU636"/>
      <c r="AV636"/>
      <c r="AW636"/>
      <c r="FY636" s="210">
        <v>631</v>
      </c>
      <c r="FZ636" s="205"/>
      <c r="GA636" s="205"/>
      <c r="GB636" s="205"/>
      <c r="GC636" s="205"/>
      <c r="GD636" s="205"/>
      <c r="GE636" s="205"/>
      <c r="GF636" s="205"/>
      <c r="GG636" s="205"/>
      <c r="GH636" s="205"/>
      <c r="GI636" s="205"/>
      <c r="GJ636" s="205"/>
      <c r="GK636" s="205"/>
      <c r="GL636" s="205"/>
      <c r="GM636" s="205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/>
      <c r="AO637"/>
      <c r="AP637"/>
      <c r="AQ637"/>
      <c r="AR637"/>
      <c r="AS637"/>
      <c r="AT637"/>
      <c r="AU637"/>
      <c r="AV637"/>
      <c r="AW637"/>
      <c r="FY637" s="210">
        <v>632</v>
      </c>
      <c r="FZ637" s="205"/>
      <c r="GA637" s="205"/>
      <c r="GB637" s="205"/>
      <c r="GC637" s="205"/>
      <c r="GD637" s="205"/>
      <c r="GE637" s="205"/>
      <c r="GF637" s="205"/>
      <c r="GG637" s="205"/>
      <c r="GH637" s="205"/>
      <c r="GI637" s="205"/>
      <c r="GJ637" s="205"/>
      <c r="GK637" s="205"/>
      <c r="GL637" s="205"/>
      <c r="GM637" s="205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/>
      <c r="AO638"/>
      <c r="AP638"/>
      <c r="AQ638"/>
      <c r="AR638"/>
      <c r="AS638"/>
      <c r="AT638"/>
      <c r="AU638"/>
      <c r="AV638"/>
      <c r="AW638"/>
      <c r="FY638" s="210">
        <v>633</v>
      </c>
      <c r="FZ638" s="205"/>
      <c r="GA638" s="205"/>
      <c r="GB638" s="205"/>
      <c r="GC638" s="205"/>
      <c r="GD638" s="205"/>
      <c r="GE638" s="205"/>
      <c r="GF638" s="205"/>
      <c r="GG638" s="205"/>
      <c r="GH638" s="205"/>
      <c r="GI638" s="205"/>
      <c r="GJ638" s="205"/>
      <c r="GK638" s="205"/>
      <c r="GL638" s="205"/>
      <c r="GM638" s="205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/>
      <c r="AO639"/>
      <c r="AP639"/>
      <c r="AQ639"/>
      <c r="AR639"/>
      <c r="AS639"/>
      <c r="AT639"/>
      <c r="AU639"/>
      <c r="AV639"/>
      <c r="AW639"/>
      <c r="FY639" s="210">
        <v>634</v>
      </c>
      <c r="FZ639" s="205"/>
      <c r="GA639" s="205"/>
      <c r="GB639" s="205"/>
      <c r="GC639" s="205"/>
      <c r="GD639" s="205"/>
      <c r="GE639" s="205"/>
      <c r="GF639" s="205"/>
      <c r="GG639" s="205"/>
      <c r="GH639" s="205"/>
      <c r="GI639" s="205"/>
      <c r="GJ639" s="205"/>
      <c r="GK639" s="205"/>
      <c r="GL639" s="205"/>
      <c r="GM639" s="205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/>
      <c r="AO640"/>
      <c r="AP640"/>
      <c r="AQ640"/>
      <c r="AR640"/>
      <c r="AS640"/>
      <c r="AT640"/>
      <c r="AU640"/>
      <c r="AV640"/>
      <c r="AW640"/>
      <c r="FY640" s="210">
        <v>635</v>
      </c>
      <c r="FZ640" s="205"/>
      <c r="GA640" s="205"/>
      <c r="GB640" s="205"/>
      <c r="GC640" s="205"/>
      <c r="GD640" s="205"/>
      <c r="GE640" s="205"/>
      <c r="GF640" s="205"/>
      <c r="GG640" s="205"/>
      <c r="GH640" s="205"/>
      <c r="GI640" s="205"/>
      <c r="GJ640" s="205"/>
      <c r="GK640" s="205"/>
      <c r="GL640" s="205"/>
      <c r="GM640" s="205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/>
      <c r="AO641"/>
      <c r="AP641"/>
      <c r="AQ641"/>
      <c r="AR641"/>
      <c r="AS641"/>
      <c r="AT641"/>
      <c r="AU641"/>
      <c r="AV641"/>
      <c r="AW641"/>
      <c r="FY641" s="210">
        <v>636</v>
      </c>
      <c r="FZ641" s="205"/>
      <c r="GA641" s="205"/>
      <c r="GB641" s="205"/>
      <c r="GC641" s="205"/>
      <c r="GD641" s="205"/>
      <c r="GE641" s="205"/>
      <c r="GF641" s="205"/>
      <c r="GG641" s="205"/>
      <c r="GH641" s="205"/>
      <c r="GI641" s="205"/>
      <c r="GJ641" s="205"/>
      <c r="GK641" s="205"/>
      <c r="GL641" s="205"/>
      <c r="GM641" s="205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/>
      <c r="AO642"/>
      <c r="AP642"/>
      <c r="AQ642"/>
      <c r="AR642"/>
      <c r="AS642"/>
      <c r="AT642"/>
      <c r="AU642"/>
      <c r="AV642"/>
      <c r="AW642"/>
      <c r="FY642" s="210">
        <v>637</v>
      </c>
      <c r="FZ642" s="205"/>
      <c r="GA642" s="205"/>
      <c r="GB642" s="205"/>
      <c r="GC642" s="205"/>
      <c r="GD642" s="205"/>
      <c r="GE642" s="205"/>
      <c r="GF642" s="205"/>
      <c r="GG642" s="205"/>
      <c r="GH642" s="205"/>
      <c r="GI642" s="205"/>
      <c r="GJ642" s="205"/>
      <c r="GK642" s="205"/>
      <c r="GL642" s="205"/>
      <c r="GM642" s="205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/>
      <c r="AO643"/>
      <c r="AP643"/>
      <c r="AQ643"/>
      <c r="AR643"/>
      <c r="AS643"/>
      <c r="AT643"/>
      <c r="AU643"/>
      <c r="AV643"/>
      <c r="AW643"/>
      <c r="FY643" s="210">
        <v>638</v>
      </c>
      <c r="FZ643" s="205"/>
      <c r="GA643" s="205"/>
      <c r="GB643" s="205"/>
      <c r="GC643" s="205"/>
      <c r="GD643" s="205"/>
      <c r="GE643" s="205"/>
      <c r="GF643" s="205"/>
      <c r="GG643" s="205"/>
      <c r="GH643" s="205"/>
      <c r="GI643" s="205"/>
      <c r="GJ643" s="205"/>
      <c r="GK643" s="205"/>
      <c r="GL643" s="205"/>
      <c r="GM643" s="205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/>
      <c r="AO644"/>
      <c r="AP644"/>
      <c r="AQ644"/>
      <c r="AR644"/>
      <c r="AS644"/>
      <c r="AT644"/>
      <c r="AU644"/>
      <c r="AV644"/>
      <c r="AW644"/>
      <c r="FY644" s="210">
        <v>639</v>
      </c>
      <c r="FZ644" s="205"/>
      <c r="GA644" s="205"/>
      <c r="GB644" s="205"/>
      <c r="GC644" s="205"/>
      <c r="GD644" s="205"/>
      <c r="GE644" s="205"/>
      <c r="GF644" s="205"/>
      <c r="GG644" s="205"/>
      <c r="GH644" s="205"/>
      <c r="GI644" s="205"/>
      <c r="GJ644" s="205"/>
      <c r="GK644" s="205"/>
      <c r="GL644" s="205"/>
      <c r="GM644" s="205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/>
      <c r="AO645"/>
      <c r="AP645"/>
      <c r="AQ645"/>
      <c r="AR645"/>
      <c r="AS645"/>
      <c r="AT645"/>
      <c r="AU645"/>
      <c r="AV645"/>
      <c r="AW645"/>
      <c r="FY645" s="210">
        <v>640</v>
      </c>
      <c r="FZ645" s="205"/>
      <c r="GA645" s="205"/>
      <c r="GB645" s="205"/>
      <c r="GC645" s="205"/>
      <c r="GD645" s="205"/>
      <c r="GE645" s="205"/>
      <c r="GF645" s="205"/>
      <c r="GG645" s="205"/>
      <c r="GH645" s="205"/>
      <c r="GI645" s="205"/>
      <c r="GJ645" s="205"/>
      <c r="GK645" s="205"/>
      <c r="GL645" s="205"/>
      <c r="GM645" s="20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/>
      <c r="AO646"/>
      <c r="AP646"/>
      <c r="AQ646"/>
      <c r="AR646"/>
      <c r="AS646"/>
      <c r="AT646"/>
      <c r="AU646"/>
      <c r="AV646"/>
      <c r="AW646"/>
      <c r="FY646" s="210">
        <v>641</v>
      </c>
      <c r="FZ646" s="205"/>
      <c r="GA646" s="205"/>
      <c r="GB646" s="205"/>
      <c r="GC646" s="205"/>
      <c r="GD646" s="205"/>
      <c r="GE646" s="205"/>
      <c r="GF646" s="205"/>
      <c r="GG646" s="205"/>
      <c r="GH646" s="205"/>
      <c r="GI646" s="205"/>
      <c r="GJ646" s="205"/>
      <c r="GK646" s="205"/>
      <c r="GL646" s="205"/>
      <c r="GM646" s="205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/>
      <c r="AO647"/>
      <c r="AP647"/>
      <c r="AQ647"/>
      <c r="AR647"/>
      <c r="AS647"/>
      <c r="AT647"/>
      <c r="AU647"/>
      <c r="AV647"/>
      <c r="AW647"/>
      <c r="FY647" s="210">
        <v>642</v>
      </c>
      <c r="FZ647" s="205"/>
      <c r="GA647" s="205"/>
      <c r="GB647" s="205"/>
      <c r="GC647" s="205"/>
      <c r="GD647" s="205"/>
      <c r="GE647" s="205"/>
      <c r="GF647" s="205"/>
      <c r="GG647" s="205"/>
      <c r="GH647" s="205"/>
      <c r="GI647" s="205"/>
      <c r="GJ647" s="205"/>
      <c r="GK647" s="205"/>
      <c r="GL647" s="205"/>
      <c r="GM647" s="205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/>
      <c r="AO648"/>
      <c r="AP648"/>
      <c r="AQ648"/>
      <c r="AR648"/>
      <c r="AS648"/>
      <c r="AT648"/>
      <c r="AU648"/>
      <c r="AV648"/>
      <c r="AW648"/>
      <c r="FY648" s="210">
        <v>643</v>
      </c>
      <c r="FZ648" s="205"/>
      <c r="GA648" s="205"/>
      <c r="GB648" s="205"/>
      <c r="GC648" s="205"/>
      <c r="GD648" s="205"/>
      <c r="GE648" s="205"/>
      <c r="GF648" s="205"/>
      <c r="GG648" s="205"/>
      <c r="GH648" s="205"/>
      <c r="GI648" s="205"/>
      <c r="GJ648" s="205"/>
      <c r="GK648" s="205"/>
      <c r="GL648" s="205"/>
      <c r="GM648" s="205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/>
      <c r="AO649"/>
      <c r="AP649"/>
      <c r="AQ649"/>
      <c r="AR649"/>
      <c r="AS649"/>
      <c r="AT649"/>
      <c r="AU649"/>
      <c r="AV649"/>
      <c r="AW649"/>
      <c r="FY649" s="210">
        <v>644</v>
      </c>
      <c r="FZ649" s="205"/>
      <c r="GA649" s="205"/>
      <c r="GB649" s="205"/>
      <c r="GC649" s="205"/>
      <c r="GD649" s="205"/>
      <c r="GE649" s="205"/>
      <c r="GF649" s="205"/>
      <c r="GG649" s="205"/>
      <c r="GH649" s="205"/>
      <c r="GI649" s="205"/>
      <c r="GJ649" s="205"/>
      <c r="GK649" s="205"/>
      <c r="GL649" s="205"/>
      <c r="GM649" s="205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/>
      <c r="AO650"/>
      <c r="AP650"/>
      <c r="AQ650"/>
      <c r="AR650"/>
      <c r="AS650"/>
      <c r="AT650"/>
      <c r="AU650"/>
      <c r="AV650"/>
      <c r="AW650"/>
      <c r="FY650" s="210">
        <v>645</v>
      </c>
      <c r="FZ650" s="205"/>
      <c r="GA650" s="205"/>
      <c r="GB650" s="205"/>
      <c r="GC650" s="205"/>
      <c r="GD650" s="205"/>
      <c r="GE650" s="205"/>
      <c r="GF650" s="205"/>
      <c r="GG650" s="205"/>
      <c r="GH650" s="205"/>
      <c r="GI650" s="205"/>
      <c r="GJ650" s="205"/>
      <c r="GK650" s="205"/>
      <c r="GL650" s="205"/>
      <c r="GM650" s="205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/>
      <c r="AO651"/>
      <c r="AP651"/>
      <c r="AQ651"/>
      <c r="AR651"/>
      <c r="AS651"/>
      <c r="AT651"/>
      <c r="AU651"/>
      <c r="AV651"/>
      <c r="AW651"/>
      <c r="FY651" s="210">
        <v>646</v>
      </c>
      <c r="FZ651" s="205"/>
      <c r="GA651" s="205"/>
      <c r="GB651" s="205"/>
      <c r="GC651" s="205"/>
      <c r="GD651" s="205"/>
      <c r="GE651" s="205"/>
      <c r="GF651" s="205"/>
      <c r="GG651" s="205"/>
      <c r="GH651" s="205"/>
      <c r="GI651" s="205"/>
      <c r="GJ651" s="205"/>
      <c r="GK651" s="205"/>
      <c r="GL651" s="205"/>
      <c r="GM651" s="205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/>
      <c r="AO652"/>
      <c r="AP652"/>
      <c r="AQ652"/>
      <c r="AR652"/>
      <c r="AS652"/>
      <c r="AT652"/>
      <c r="AU652"/>
      <c r="AV652"/>
      <c r="AW652"/>
      <c r="FY652" s="210">
        <v>647</v>
      </c>
      <c r="FZ652" s="205"/>
      <c r="GA652" s="205"/>
      <c r="GB652" s="205"/>
      <c r="GC652" s="205"/>
      <c r="GD652" s="205"/>
      <c r="GE652" s="205"/>
      <c r="GF652" s="205"/>
      <c r="GG652" s="205"/>
      <c r="GH652" s="205"/>
      <c r="GI652" s="205"/>
      <c r="GJ652" s="205"/>
      <c r="GK652" s="205"/>
      <c r="GL652" s="205"/>
      <c r="GM652" s="205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/>
      <c r="AO653"/>
      <c r="AP653"/>
      <c r="AQ653"/>
      <c r="AR653"/>
      <c r="AS653"/>
      <c r="AT653"/>
      <c r="AU653"/>
      <c r="AV653"/>
      <c r="AW653"/>
      <c r="FY653" s="210">
        <v>648</v>
      </c>
      <c r="FZ653" s="205"/>
      <c r="GA653" s="205"/>
      <c r="GB653" s="205"/>
      <c r="GC653" s="205"/>
      <c r="GD653" s="205"/>
      <c r="GE653" s="205"/>
      <c r="GF653" s="205"/>
      <c r="GG653" s="205"/>
      <c r="GH653" s="205"/>
      <c r="GI653" s="205"/>
      <c r="GJ653" s="205"/>
      <c r="GK653" s="205"/>
      <c r="GL653" s="205"/>
      <c r="GM653" s="205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/>
      <c r="AO654"/>
      <c r="AP654"/>
      <c r="AQ654"/>
      <c r="AR654"/>
      <c r="AS654"/>
      <c r="AT654"/>
      <c r="AU654"/>
      <c r="AV654"/>
      <c r="AW654"/>
      <c r="FY654" s="210">
        <v>649</v>
      </c>
      <c r="FZ654" s="205"/>
      <c r="GA654" s="205"/>
      <c r="GB654" s="205"/>
      <c r="GC654" s="205"/>
      <c r="GD654" s="205"/>
      <c r="GE654" s="205"/>
      <c r="GF654" s="205"/>
      <c r="GG654" s="205"/>
      <c r="GH654" s="205"/>
      <c r="GI654" s="205"/>
      <c r="GJ654" s="205"/>
      <c r="GK654" s="205"/>
      <c r="GL654" s="205"/>
      <c r="GM654" s="205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/>
      <c r="AO655"/>
      <c r="AP655"/>
      <c r="AQ655"/>
      <c r="AR655"/>
      <c r="AS655"/>
      <c r="AT655"/>
      <c r="AU655"/>
      <c r="AV655"/>
      <c r="AW655"/>
      <c r="FY655" s="210">
        <v>650</v>
      </c>
      <c r="FZ655" s="205"/>
      <c r="GA655" s="205"/>
      <c r="GB655" s="205"/>
      <c r="GC655" s="205"/>
      <c r="GD655" s="205"/>
      <c r="GE655" s="205"/>
      <c r="GF655" s="205"/>
      <c r="GG655" s="205"/>
      <c r="GH655" s="205"/>
      <c r="GI655" s="205"/>
      <c r="GJ655" s="205"/>
      <c r="GK655" s="205"/>
      <c r="GL655" s="205"/>
      <c r="GM655" s="20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/>
      <c r="AO656"/>
      <c r="AP656"/>
      <c r="AQ656"/>
      <c r="AR656"/>
      <c r="AS656"/>
      <c r="AT656"/>
      <c r="AU656"/>
      <c r="AV656"/>
      <c r="AW656"/>
      <c r="FY656" s="210">
        <v>651</v>
      </c>
      <c r="FZ656" s="205"/>
      <c r="GA656" s="205"/>
      <c r="GB656" s="205"/>
      <c r="GC656" s="205"/>
      <c r="GD656" s="205"/>
      <c r="GE656" s="205"/>
      <c r="GF656" s="205"/>
      <c r="GG656" s="205"/>
      <c r="GH656" s="205"/>
      <c r="GI656" s="205"/>
      <c r="GJ656" s="205"/>
      <c r="GK656" s="205"/>
      <c r="GL656" s="205"/>
      <c r="GM656" s="205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/>
      <c r="AO657"/>
      <c r="AP657"/>
      <c r="AQ657"/>
      <c r="AR657"/>
      <c r="AS657"/>
      <c r="AT657"/>
      <c r="AU657"/>
      <c r="AV657"/>
      <c r="AW657"/>
      <c r="FY657" s="210">
        <v>652</v>
      </c>
      <c r="FZ657" s="205"/>
      <c r="GA657" s="205"/>
      <c r="GB657" s="205"/>
      <c r="GC657" s="205"/>
      <c r="GD657" s="205"/>
      <c r="GE657" s="205"/>
      <c r="GF657" s="205"/>
      <c r="GG657" s="205"/>
      <c r="GH657" s="205"/>
      <c r="GI657" s="205"/>
      <c r="GJ657" s="205"/>
      <c r="GK657" s="205"/>
      <c r="GL657" s="205"/>
      <c r="GM657" s="205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/>
      <c r="AO658"/>
      <c r="AP658"/>
      <c r="AQ658"/>
      <c r="AR658"/>
      <c r="AS658"/>
      <c r="AT658"/>
      <c r="AU658"/>
      <c r="AV658"/>
      <c r="AW658"/>
      <c r="FY658" s="210">
        <v>653</v>
      </c>
      <c r="FZ658" s="205"/>
      <c r="GA658" s="205"/>
      <c r="GB658" s="205"/>
      <c r="GC658" s="205"/>
      <c r="GD658" s="205"/>
      <c r="GE658" s="205"/>
      <c r="GF658" s="205"/>
      <c r="GG658" s="205"/>
      <c r="GH658" s="205"/>
      <c r="GI658" s="205"/>
      <c r="GJ658" s="205"/>
      <c r="GK658" s="205"/>
      <c r="GL658" s="205"/>
      <c r="GM658" s="205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/>
      <c r="AO659"/>
      <c r="AP659"/>
      <c r="AQ659"/>
      <c r="AR659"/>
      <c r="AS659"/>
      <c r="AT659"/>
      <c r="AU659"/>
      <c r="AV659"/>
      <c r="AW659"/>
      <c r="FY659" s="210">
        <v>654</v>
      </c>
      <c r="FZ659" s="205"/>
      <c r="GA659" s="205"/>
      <c r="GB659" s="205"/>
      <c r="GC659" s="205"/>
      <c r="GD659" s="205"/>
      <c r="GE659" s="205"/>
      <c r="GF659" s="205"/>
      <c r="GG659" s="205"/>
      <c r="GH659" s="205"/>
      <c r="GI659" s="205"/>
      <c r="GJ659" s="205"/>
      <c r="GK659" s="205"/>
      <c r="GL659" s="205"/>
      <c r="GM659" s="205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/>
      <c r="AO660"/>
      <c r="AP660"/>
      <c r="AQ660"/>
      <c r="AR660"/>
      <c r="AS660"/>
      <c r="AT660"/>
      <c r="AU660"/>
      <c r="AV660"/>
      <c r="AW660"/>
      <c r="FY660" s="210">
        <v>655</v>
      </c>
      <c r="FZ660" s="205"/>
      <c r="GA660" s="205"/>
      <c r="GB660" s="205"/>
      <c r="GC660" s="205"/>
      <c r="GD660" s="205"/>
      <c r="GE660" s="205"/>
      <c r="GF660" s="205"/>
      <c r="GG660" s="205"/>
      <c r="GH660" s="205"/>
      <c r="GI660" s="205"/>
      <c r="GJ660" s="205"/>
      <c r="GK660" s="205"/>
      <c r="GL660" s="205"/>
      <c r="GM660" s="205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/>
      <c r="AO661"/>
      <c r="AP661"/>
      <c r="AQ661"/>
      <c r="AR661"/>
      <c r="AS661"/>
      <c r="AT661"/>
      <c r="AU661"/>
      <c r="AV661"/>
      <c r="AW661"/>
      <c r="FY661" s="210">
        <v>656</v>
      </c>
      <c r="FZ661" s="205"/>
      <c r="GA661" s="205"/>
      <c r="GB661" s="205"/>
      <c r="GC661" s="205"/>
      <c r="GD661" s="205"/>
      <c r="GE661" s="205"/>
      <c r="GF661" s="205"/>
      <c r="GG661" s="205"/>
      <c r="GH661" s="205"/>
      <c r="GI661" s="205"/>
      <c r="GJ661" s="205"/>
      <c r="GK661" s="205"/>
      <c r="GL661" s="205"/>
      <c r="GM661" s="205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/>
      <c r="AO662"/>
      <c r="AP662"/>
      <c r="AQ662"/>
      <c r="AR662"/>
      <c r="AS662"/>
      <c r="AT662"/>
      <c r="AU662"/>
      <c r="AV662"/>
      <c r="AW662"/>
      <c r="FY662" s="210">
        <v>657</v>
      </c>
      <c r="FZ662" s="205"/>
      <c r="GA662" s="205"/>
      <c r="GB662" s="205"/>
      <c r="GC662" s="205"/>
      <c r="GD662" s="205"/>
      <c r="GE662" s="205"/>
      <c r="GF662" s="205"/>
      <c r="GG662" s="205"/>
      <c r="GH662" s="205"/>
      <c r="GI662" s="205"/>
      <c r="GJ662" s="205"/>
      <c r="GK662" s="205"/>
      <c r="GL662" s="205"/>
      <c r="GM662" s="205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/>
      <c r="AO663"/>
      <c r="AP663"/>
      <c r="AQ663"/>
      <c r="AR663"/>
      <c r="AS663"/>
      <c r="AT663"/>
      <c r="AU663"/>
      <c r="AV663"/>
      <c r="AW663"/>
      <c r="FY663" s="210">
        <v>658</v>
      </c>
      <c r="FZ663" s="205"/>
      <c r="GA663" s="205"/>
      <c r="GB663" s="205"/>
      <c r="GC663" s="205"/>
      <c r="GD663" s="205"/>
      <c r="GE663" s="205"/>
      <c r="GF663" s="205"/>
      <c r="GG663" s="205"/>
      <c r="GH663" s="205"/>
      <c r="GI663" s="205"/>
      <c r="GJ663" s="205"/>
      <c r="GK663" s="205"/>
      <c r="GL663" s="205"/>
      <c r="GM663" s="205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/>
      <c r="AO664"/>
      <c r="AP664"/>
      <c r="AQ664"/>
      <c r="AR664"/>
      <c r="AS664"/>
      <c r="AT664"/>
      <c r="AU664"/>
      <c r="AV664"/>
      <c r="AW664"/>
      <c r="FY664" s="210">
        <v>659</v>
      </c>
      <c r="FZ664" s="205"/>
      <c r="GA664" s="205"/>
      <c r="GB664" s="205"/>
      <c r="GC664" s="205"/>
      <c r="GD664" s="205"/>
      <c r="GE664" s="205"/>
      <c r="GF664" s="205"/>
      <c r="GG664" s="205"/>
      <c r="GH664" s="205"/>
      <c r="GI664" s="205"/>
      <c r="GJ664" s="205"/>
      <c r="GK664" s="205"/>
      <c r="GL664" s="205"/>
      <c r="GM664" s="205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/>
      <c r="AO665"/>
      <c r="AP665"/>
      <c r="AQ665"/>
      <c r="AR665"/>
      <c r="AS665"/>
      <c r="AT665"/>
      <c r="AU665"/>
      <c r="AV665"/>
      <c r="AW665"/>
      <c r="FY665" s="210">
        <v>660</v>
      </c>
      <c r="FZ665" s="205"/>
      <c r="GA665" s="205"/>
      <c r="GB665" s="205"/>
      <c r="GC665" s="205"/>
      <c r="GD665" s="205"/>
      <c r="GE665" s="205"/>
      <c r="GF665" s="205"/>
      <c r="GG665" s="205"/>
      <c r="GH665" s="205"/>
      <c r="GI665" s="205"/>
      <c r="GJ665" s="205"/>
      <c r="GK665" s="205"/>
      <c r="GL665" s="205"/>
      <c r="GM665" s="20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/>
      <c r="AO666"/>
      <c r="AP666"/>
      <c r="AQ666"/>
      <c r="AR666"/>
      <c r="AS666"/>
      <c r="AT666"/>
      <c r="AU666"/>
      <c r="AV666"/>
      <c r="AW666"/>
      <c r="FY666" s="210">
        <v>661</v>
      </c>
      <c r="FZ666" s="205"/>
      <c r="GA666" s="205"/>
      <c r="GB666" s="205"/>
      <c r="GC666" s="205"/>
      <c r="GD666" s="205"/>
      <c r="GE666" s="205"/>
      <c r="GF666" s="205"/>
      <c r="GG666" s="205"/>
      <c r="GH666" s="205"/>
      <c r="GI666" s="205"/>
      <c r="GJ666" s="205"/>
      <c r="GK666" s="205"/>
      <c r="GL666" s="205"/>
      <c r="GM666" s="205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/>
      <c r="AO667"/>
      <c r="AP667"/>
      <c r="AQ667"/>
      <c r="AR667"/>
      <c r="AS667"/>
      <c r="AT667"/>
      <c r="AU667"/>
      <c r="AV667"/>
      <c r="AW667"/>
      <c r="FY667" s="210">
        <v>662</v>
      </c>
      <c r="FZ667" s="205"/>
      <c r="GA667" s="205"/>
      <c r="GB667" s="205"/>
      <c r="GC667" s="205"/>
      <c r="GD667" s="205"/>
      <c r="GE667" s="205"/>
      <c r="GF667" s="205"/>
      <c r="GG667" s="205"/>
      <c r="GH667" s="205"/>
      <c r="GI667" s="205"/>
      <c r="GJ667" s="205"/>
      <c r="GK667" s="205"/>
      <c r="GL667" s="205"/>
      <c r="GM667" s="205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/>
      <c r="AO668"/>
      <c r="AP668"/>
      <c r="AQ668"/>
      <c r="AR668"/>
      <c r="AS668"/>
      <c r="AT668"/>
      <c r="AU668"/>
      <c r="AV668"/>
      <c r="AW668"/>
      <c r="FY668" s="210">
        <v>663</v>
      </c>
      <c r="FZ668" s="205"/>
      <c r="GA668" s="205"/>
      <c r="GB668" s="205"/>
      <c r="GC668" s="205"/>
      <c r="GD668" s="205"/>
      <c r="GE668" s="205"/>
      <c r="GF668" s="205"/>
      <c r="GG668" s="205"/>
      <c r="GH668" s="205"/>
      <c r="GI668" s="205"/>
      <c r="GJ668" s="205"/>
      <c r="GK668" s="205"/>
      <c r="GL668" s="205"/>
      <c r="GM668" s="205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/>
      <c r="AO669"/>
      <c r="AP669"/>
      <c r="AQ669"/>
      <c r="AR669"/>
      <c r="AS669"/>
      <c r="AT669"/>
      <c r="AU669"/>
      <c r="AV669"/>
      <c r="AW669"/>
      <c r="FY669" s="210">
        <v>664</v>
      </c>
      <c r="FZ669" s="205"/>
      <c r="GA669" s="205"/>
      <c r="GB669" s="205"/>
      <c r="GC669" s="205"/>
      <c r="GD669" s="205"/>
      <c r="GE669" s="205"/>
      <c r="GF669" s="205"/>
      <c r="GG669" s="205"/>
      <c r="GH669" s="205"/>
      <c r="GI669" s="205"/>
      <c r="GJ669" s="205"/>
      <c r="GK669" s="205"/>
      <c r="GL669" s="205"/>
      <c r="GM669" s="205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/>
      <c r="AO670"/>
      <c r="AP670"/>
      <c r="AQ670"/>
      <c r="AR670"/>
      <c r="AS670"/>
      <c r="AT670"/>
      <c r="AU670"/>
      <c r="AV670"/>
      <c r="AW670"/>
      <c r="FY670" s="210">
        <v>665</v>
      </c>
      <c r="FZ670" s="205"/>
      <c r="GA670" s="205"/>
      <c r="GB670" s="205"/>
      <c r="GC670" s="205"/>
      <c r="GD670" s="205"/>
      <c r="GE670" s="205"/>
      <c r="GF670" s="205"/>
      <c r="GG670" s="205"/>
      <c r="GH670" s="205"/>
      <c r="GI670" s="205"/>
      <c r="GJ670" s="205"/>
      <c r="GK670" s="205"/>
      <c r="GL670" s="205"/>
      <c r="GM670" s="205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/>
      <c r="AO671"/>
      <c r="AP671"/>
      <c r="AQ671"/>
      <c r="AR671"/>
      <c r="AS671"/>
      <c r="AT671"/>
      <c r="AU671"/>
      <c r="AV671"/>
      <c r="AW671"/>
      <c r="FY671" s="210">
        <v>666</v>
      </c>
      <c r="FZ671" s="205"/>
      <c r="GA671" s="205"/>
      <c r="GB671" s="205"/>
      <c r="GC671" s="205"/>
      <c r="GD671" s="205"/>
      <c r="GE671" s="205"/>
      <c r="GF671" s="205"/>
      <c r="GG671" s="205"/>
      <c r="GH671" s="205"/>
      <c r="GI671" s="205"/>
      <c r="GJ671" s="205"/>
      <c r="GK671" s="205"/>
      <c r="GL671" s="205"/>
      <c r="GM671" s="205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/>
      <c r="AO672"/>
      <c r="AP672"/>
      <c r="AQ672"/>
      <c r="AR672"/>
      <c r="AS672"/>
      <c r="AT672"/>
      <c r="AU672"/>
      <c r="AV672"/>
      <c r="AW672"/>
      <c r="FY672" s="210">
        <v>667</v>
      </c>
      <c r="FZ672" s="205"/>
      <c r="GA672" s="205"/>
      <c r="GB672" s="205"/>
      <c r="GC672" s="205"/>
      <c r="GD672" s="205"/>
      <c r="GE672" s="205"/>
      <c r="GF672" s="205"/>
      <c r="GG672" s="205"/>
      <c r="GH672" s="205"/>
      <c r="GI672" s="205"/>
      <c r="GJ672" s="205"/>
      <c r="GK672" s="205"/>
      <c r="GL672" s="205"/>
      <c r="GM672" s="205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/>
      <c r="AO673"/>
      <c r="AP673"/>
      <c r="AQ673"/>
      <c r="AR673"/>
      <c r="AS673"/>
      <c r="AT673"/>
      <c r="AU673"/>
      <c r="AV673"/>
      <c r="AW673"/>
      <c r="FY673" s="210">
        <v>668</v>
      </c>
      <c r="FZ673" s="205"/>
      <c r="GA673" s="205"/>
      <c r="GB673" s="205"/>
      <c r="GC673" s="205"/>
      <c r="GD673" s="205"/>
      <c r="GE673" s="205"/>
      <c r="GF673" s="205"/>
      <c r="GG673" s="205"/>
      <c r="GH673" s="205"/>
      <c r="GI673" s="205"/>
      <c r="GJ673" s="205"/>
      <c r="GK673" s="205"/>
      <c r="GL673" s="205"/>
      <c r="GM673" s="205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/>
      <c r="AO674"/>
      <c r="AP674"/>
      <c r="AQ674"/>
      <c r="AR674"/>
      <c r="AS674"/>
      <c r="AT674"/>
      <c r="AU674"/>
      <c r="AV674"/>
      <c r="AW674"/>
      <c r="FY674" s="210">
        <v>669</v>
      </c>
      <c r="FZ674" s="205"/>
      <c r="GA674" s="205"/>
      <c r="GB674" s="205"/>
      <c r="GC674" s="205"/>
      <c r="GD674" s="205"/>
      <c r="GE674" s="205"/>
      <c r="GF674" s="205"/>
      <c r="GG674" s="205"/>
      <c r="GH674" s="205"/>
      <c r="GI674" s="205"/>
      <c r="GJ674" s="205"/>
      <c r="GK674" s="205"/>
      <c r="GL674" s="205"/>
      <c r="GM674" s="205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/>
      <c r="AO675"/>
      <c r="AP675"/>
      <c r="AQ675"/>
      <c r="AR675"/>
      <c r="AS675"/>
      <c r="AT675"/>
      <c r="AU675"/>
      <c r="AV675"/>
      <c r="AW675"/>
      <c r="FY675" s="210">
        <v>670</v>
      </c>
      <c r="FZ675" s="205"/>
      <c r="GA675" s="205"/>
      <c r="GB675" s="205"/>
      <c r="GC675" s="205"/>
      <c r="GD675" s="205"/>
      <c r="GE675" s="205"/>
      <c r="GF675" s="205"/>
      <c r="GG675" s="205"/>
      <c r="GH675" s="205"/>
      <c r="GI675" s="205"/>
      <c r="GJ675" s="205"/>
      <c r="GK675" s="205"/>
      <c r="GL675" s="205"/>
      <c r="GM675" s="20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/>
      <c r="AO676"/>
      <c r="AP676"/>
      <c r="AQ676"/>
      <c r="AR676"/>
      <c r="AS676"/>
      <c r="AT676"/>
      <c r="AU676"/>
      <c r="AV676"/>
      <c r="AW676"/>
      <c r="FY676" s="210">
        <v>671</v>
      </c>
      <c r="FZ676" s="205"/>
      <c r="GA676" s="205"/>
      <c r="GB676" s="205"/>
      <c r="GC676" s="205"/>
      <c r="GD676" s="205"/>
      <c r="GE676" s="205"/>
      <c r="GF676" s="205"/>
      <c r="GG676" s="205"/>
      <c r="GH676" s="205"/>
      <c r="GI676" s="205"/>
      <c r="GJ676" s="205"/>
      <c r="GK676" s="205"/>
      <c r="GL676" s="205"/>
      <c r="GM676" s="205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/>
      <c r="AO677"/>
      <c r="AP677"/>
      <c r="AQ677"/>
      <c r="AR677"/>
      <c r="AS677"/>
      <c r="AT677"/>
      <c r="AU677"/>
      <c r="AV677"/>
      <c r="AW677"/>
      <c r="FY677" s="210">
        <v>672</v>
      </c>
      <c r="FZ677" s="205"/>
      <c r="GA677" s="205"/>
      <c r="GB677" s="205"/>
      <c r="GC677" s="205"/>
      <c r="GD677" s="205"/>
      <c r="GE677" s="205"/>
      <c r="GF677" s="205"/>
      <c r="GG677" s="205"/>
      <c r="GH677" s="205"/>
      <c r="GI677" s="205"/>
      <c r="GJ677" s="205"/>
      <c r="GK677" s="205"/>
      <c r="GL677" s="205"/>
      <c r="GM677" s="205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/>
      <c r="AO678"/>
      <c r="AP678"/>
      <c r="AQ678"/>
      <c r="AR678"/>
      <c r="AS678"/>
      <c r="AT678"/>
      <c r="AU678"/>
      <c r="AV678"/>
      <c r="AW678"/>
      <c r="FY678" s="210">
        <v>673</v>
      </c>
      <c r="FZ678" s="205"/>
      <c r="GA678" s="205"/>
      <c r="GB678" s="205"/>
      <c r="GC678" s="205"/>
      <c r="GD678" s="205"/>
      <c r="GE678" s="205"/>
      <c r="GF678" s="205"/>
      <c r="GG678" s="205"/>
      <c r="GH678" s="205"/>
      <c r="GI678" s="205"/>
      <c r="GJ678" s="205"/>
      <c r="GK678" s="205"/>
      <c r="GL678" s="205"/>
      <c r="GM678" s="205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/>
      <c r="AO679"/>
      <c r="AP679"/>
      <c r="AQ679"/>
      <c r="AR679"/>
      <c r="AS679"/>
      <c r="AT679"/>
      <c r="AU679"/>
      <c r="AV679"/>
      <c r="AW679"/>
      <c r="FY679" s="210">
        <v>674</v>
      </c>
      <c r="FZ679" s="205"/>
      <c r="GA679" s="205"/>
      <c r="GB679" s="205"/>
      <c r="GC679" s="205"/>
      <c r="GD679" s="205"/>
      <c r="GE679" s="205"/>
      <c r="GF679" s="205"/>
      <c r="GG679" s="205"/>
      <c r="GH679" s="205"/>
      <c r="GI679" s="205"/>
      <c r="GJ679" s="205"/>
      <c r="GK679" s="205"/>
      <c r="GL679" s="205"/>
      <c r="GM679" s="205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/>
      <c r="AO680"/>
      <c r="AP680"/>
      <c r="AQ680"/>
      <c r="AR680"/>
      <c r="AS680"/>
      <c r="AT680"/>
      <c r="AU680"/>
      <c r="AV680"/>
      <c r="AW680"/>
      <c r="FY680" s="210">
        <v>675</v>
      </c>
      <c r="FZ680" s="205"/>
      <c r="GA680" s="205"/>
      <c r="GB680" s="205"/>
      <c r="GC680" s="205"/>
      <c r="GD680" s="205"/>
      <c r="GE680" s="205"/>
      <c r="GF680" s="205"/>
      <c r="GG680" s="205"/>
      <c r="GH680" s="205"/>
      <c r="GI680" s="205"/>
      <c r="GJ680" s="205"/>
      <c r="GK680" s="205"/>
      <c r="GL680" s="205"/>
      <c r="GM680" s="205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/>
      <c r="AO681"/>
      <c r="AP681"/>
      <c r="AQ681"/>
      <c r="AR681"/>
      <c r="AS681"/>
      <c r="AT681"/>
      <c r="AU681"/>
      <c r="AV681"/>
      <c r="AW681"/>
      <c r="FY681" s="210">
        <v>676</v>
      </c>
      <c r="FZ681" s="205"/>
      <c r="GA681" s="205"/>
      <c r="GB681" s="205"/>
      <c r="GC681" s="205"/>
      <c r="GD681" s="205"/>
      <c r="GE681" s="205"/>
      <c r="GF681" s="205"/>
      <c r="GG681" s="205"/>
      <c r="GH681" s="205"/>
      <c r="GI681" s="205"/>
      <c r="GJ681" s="205"/>
      <c r="GK681" s="205"/>
      <c r="GL681" s="205"/>
      <c r="GM681" s="205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/>
      <c r="AO682"/>
      <c r="AP682"/>
      <c r="AQ682"/>
      <c r="AR682"/>
      <c r="AS682"/>
      <c r="AT682"/>
      <c r="AU682"/>
      <c r="AV682"/>
      <c r="AW682"/>
      <c r="FY682" s="210">
        <v>677</v>
      </c>
      <c r="FZ682" s="205"/>
      <c r="GA682" s="205"/>
      <c r="GB682" s="205"/>
      <c r="GC682" s="205"/>
      <c r="GD682" s="205"/>
      <c r="GE682" s="205"/>
      <c r="GF682" s="205"/>
      <c r="GG682" s="205"/>
      <c r="GH682" s="205"/>
      <c r="GI682" s="205"/>
      <c r="GJ682" s="205"/>
      <c r="GK682" s="205"/>
      <c r="GL682" s="205"/>
      <c r="GM682" s="205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/>
      <c r="AO683"/>
      <c r="AP683"/>
      <c r="AQ683"/>
      <c r="AR683"/>
      <c r="AS683"/>
      <c r="AT683"/>
      <c r="AU683"/>
      <c r="AV683"/>
      <c r="AW683"/>
      <c r="FY683" s="210">
        <v>678</v>
      </c>
      <c r="FZ683" s="205"/>
      <c r="GA683" s="205"/>
      <c r="GB683" s="205"/>
      <c r="GC683" s="205"/>
      <c r="GD683" s="205"/>
      <c r="GE683" s="205"/>
      <c r="GF683" s="205"/>
      <c r="GG683" s="205"/>
      <c r="GH683" s="205"/>
      <c r="GI683" s="205"/>
      <c r="GJ683" s="205"/>
      <c r="GK683" s="205"/>
      <c r="GL683" s="205"/>
      <c r="GM683" s="205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/>
      <c r="AO684"/>
      <c r="AP684"/>
      <c r="AQ684"/>
      <c r="AR684"/>
      <c r="AS684"/>
      <c r="AT684"/>
      <c r="AU684"/>
      <c r="AV684"/>
      <c r="AW684"/>
      <c r="FY684" s="210">
        <v>679</v>
      </c>
      <c r="FZ684" s="205"/>
      <c r="GA684" s="205"/>
      <c r="GB684" s="205"/>
      <c r="GC684" s="205"/>
      <c r="GD684" s="205"/>
      <c r="GE684" s="205"/>
      <c r="GF684" s="205"/>
      <c r="GG684" s="205"/>
      <c r="GH684" s="205"/>
      <c r="GI684" s="205"/>
      <c r="GJ684" s="205"/>
      <c r="GK684" s="205"/>
      <c r="GL684" s="205"/>
      <c r="GM684" s="205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/>
      <c r="AO685"/>
      <c r="AP685"/>
      <c r="AQ685"/>
      <c r="AR685"/>
      <c r="AS685"/>
      <c r="AT685"/>
      <c r="AU685"/>
      <c r="AV685"/>
      <c r="AW685"/>
      <c r="FY685" s="210">
        <v>680</v>
      </c>
      <c r="FZ685" s="205"/>
      <c r="GA685" s="205"/>
      <c r="GB685" s="205"/>
      <c r="GC685" s="205"/>
      <c r="GD685" s="205"/>
      <c r="GE685" s="205"/>
      <c r="GF685" s="205"/>
      <c r="GG685" s="205"/>
      <c r="GH685" s="205"/>
      <c r="GI685" s="205"/>
      <c r="GJ685" s="205"/>
      <c r="GK685" s="205"/>
      <c r="GL685" s="205"/>
      <c r="GM685" s="20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/>
      <c r="AO686"/>
      <c r="AP686"/>
      <c r="AQ686"/>
      <c r="AR686"/>
      <c r="AS686"/>
      <c r="AT686"/>
      <c r="AU686"/>
      <c r="AV686"/>
      <c r="AW686"/>
      <c r="FY686" s="210">
        <v>681</v>
      </c>
      <c r="FZ686" s="205"/>
      <c r="GA686" s="205"/>
      <c r="GB686" s="205"/>
      <c r="GC686" s="205"/>
      <c r="GD686" s="205"/>
      <c r="GE686" s="205"/>
      <c r="GF686" s="205"/>
      <c r="GG686" s="205"/>
      <c r="GH686" s="205"/>
      <c r="GI686" s="205"/>
      <c r="GJ686" s="205"/>
      <c r="GK686" s="205"/>
      <c r="GL686" s="205"/>
      <c r="GM686" s="205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/>
      <c r="AO687"/>
      <c r="AP687"/>
      <c r="AQ687"/>
      <c r="AR687"/>
      <c r="AS687"/>
      <c r="AT687"/>
      <c r="AU687"/>
      <c r="AV687"/>
      <c r="AW687"/>
      <c r="FY687" s="210">
        <v>682</v>
      </c>
      <c r="FZ687" s="205"/>
      <c r="GA687" s="205"/>
      <c r="GB687" s="205"/>
      <c r="GC687" s="205"/>
      <c r="GD687" s="205"/>
      <c r="GE687" s="205"/>
      <c r="GF687" s="205"/>
      <c r="GG687" s="205"/>
      <c r="GH687" s="205"/>
      <c r="GI687" s="205"/>
      <c r="GJ687" s="205"/>
      <c r="GK687" s="205"/>
      <c r="GL687" s="205"/>
      <c r="GM687" s="205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/>
      <c r="AO688"/>
      <c r="AP688"/>
      <c r="AQ688"/>
      <c r="AR688"/>
      <c r="AS688"/>
      <c r="AT688"/>
      <c r="AU688"/>
      <c r="AV688"/>
      <c r="AW688"/>
      <c r="FY688" s="210">
        <v>683</v>
      </c>
      <c r="FZ688" s="205"/>
      <c r="GA688" s="205"/>
      <c r="GB688" s="205"/>
      <c r="GC688" s="205"/>
      <c r="GD688" s="205"/>
      <c r="GE688" s="205"/>
      <c r="GF688" s="205"/>
      <c r="GG688" s="205"/>
      <c r="GH688" s="205"/>
      <c r="GI688" s="205"/>
      <c r="GJ688" s="205"/>
      <c r="GK688" s="205"/>
      <c r="GL688" s="205"/>
      <c r="GM688" s="205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/>
      <c r="AO689"/>
      <c r="AP689"/>
      <c r="AQ689"/>
      <c r="AR689"/>
      <c r="AS689"/>
      <c r="AT689"/>
      <c r="AU689"/>
      <c r="AV689"/>
      <c r="AW689"/>
      <c r="FY689" s="210">
        <v>684</v>
      </c>
      <c r="FZ689" s="205"/>
      <c r="GA689" s="205"/>
      <c r="GB689" s="205"/>
      <c r="GC689" s="205"/>
      <c r="GD689" s="205"/>
      <c r="GE689" s="205"/>
      <c r="GF689" s="205"/>
      <c r="GG689" s="205"/>
      <c r="GH689" s="205"/>
      <c r="GI689" s="205"/>
      <c r="GJ689" s="205"/>
      <c r="GK689" s="205"/>
      <c r="GL689" s="205"/>
      <c r="GM689" s="205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/>
      <c r="AO690"/>
      <c r="AP690"/>
      <c r="AQ690"/>
      <c r="AR690"/>
      <c r="AS690"/>
      <c r="AT690"/>
      <c r="AU690"/>
      <c r="AV690"/>
      <c r="AW690"/>
      <c r="FY690" s="210">
        <v>685</v>
      </c>
      <c r="FZ690" s="205"/>
      <c r="GA690" s="205"/>
      <c r="GB690" s="205"/>
      <c r="GC690" s="205"/>
      <c r="GD690" s="205"/>
      <c r="GE690" s="205"/>
      <c r="GF690" s="205"/>
      <c r="GG690" s="205"/>
      <c r="GH690" s="205"/>
      <c r="GI690" s="205"/>
      <c r="GJ690" s="205"/>
      <c r="GK690" s="205"/>
      <c r="GL690" s="205"/>
      <c r="GM690" s="205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/>
      <c r="AO691"/>
      <c r="AP691"/>
      <c r="AQ691"/>
      <c r="AR691"/>
      <c r="AS691"/>
      <c r="AT691"/>
      <c r="AU691"/>
      <c r="AV691"/>
      <c r="AW691"/>
      <c r="FY691" s="210">
        <v>686</v>
      </c>
      <c r="FZ691" s="205"/>
      <c r="GA691" s="205"/>
      <c r="GB691" s="205"/>
      <c r="GC691" s="205"/>
      <c r="GD691" s="205"/>
      <c r="GE691" s="205"/>
      <c r="GF691" s="205"/>
      <c r="GG691" s="205"/>
      <c r="GH691" s="205"/>
      <c r="GI691" s="205"/>
      <c r="GJ691" s="205"/>
      <c r="GK691" s="205"/>
      <c r="GL691" s="205"/>
      <c r="GM691" s="205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/>
      <c r="AO692"/>
      <c r="AP692"/>
      <c r="AQ692"/>
      <c r="AR692"/>
      <c r="AS692"/>
      <c r="AT692"/>
      <c r="AU692"/>
      <c r="AV692"/>
      <c r="AW692"/>
      <c r="FY692" s="210">
        <v>687</v>
      </c>
      <c r="FZ692" s="205"/>
      <c r="GA692" s="205"/>
      <c r="GB692" s="205"/>
      <c r="GC692" s="205"/>
      <c r="GD692" s="205"/>
      <c r="GE692" s="205"/>
      <c r="GF692" s="205"/>
      <c r="GG692" s="205"/>
      <c r="GH692" s="205"/>
      <c r="GI692" s="205"/>
      <c r="GJ692" s="205"/>
      <c r="GK692" s="205"/>
      <c r="GL692" s="205"/>
      <c r="GM692" s="205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/>
      <c r="AO693"/>
      <c r="AP693"/>
      <c r="AQ693"/>
      <c r="AR693"/>
      <c r="AS693"/>
      <c r="AT693"/>
      <c r="AU693"/>
      <c r="AV693"/>
      <c r="AW693"/>
      <c r="FY693" s="210">
        <v>688</v>
      </c>
      <c r="FZ693" s="205"/>
      <c r="GA693" s="205"/>
      <c r="GB693" s="205"/>
      <c r="GC693" s="205"/>
      <c r="GD693" s="205"/>
      <c r="GE693" s="205"/>
      <c r="GF693" s="205"/>
      <c r="GG693" s="205"/>
      <c r="GH693" s="205"/>
      <c r="GI693" s="205"/>
      <c r="GJ693" s="205"/>
      <c r="GK693" s="205"/>
      <c r="GL693" s="205"/>
      <c r="GM693" s="205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/>
      <c r="AO694"/>
      <c r="AP694"/>
      <c r="AQ694"/>
      <c r="AR694"/>
      <c r="AS694"/>
      <c r="AT694"/>
      <c r="AU694"/>
      <c r="AV694"/>
      <c r="AW694"/>
      <c r="FY694" s="210">
        <v>689</v>
      </c>
      <c r="FZ694" s="205"/>
      <c r="GA694" s="205"/>
      <c r="GB694" s="205"/>
      <c r="GC694" s="205"/>
      <c r="GD694" s="205"/>
      <c r="GE694" s="205"/>
      <c r="GF694" s="205"/>
      <c r="GG694" s="205"/>
      <c r="GH694" s="205"/>
      <c r="GI694" s="205"/>
      <c r="GJ694" s="205"/>
      <c r="GK694" s="205"/>
      <c r="GL694" s="205"/>
      <c r="GM694" s="205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/>
      <c r="AO695"/>
      <c r="AP695"/>
      <c r="AQ695"/>
      <c r="AR695"/>
      <c r="AS695"/>
      <c r="AT695"/>
      <c r="AU695"/>
      <c r="AV695"/>
      <c r="AW695"/>
      <c r="FY695" s="210">
        <v>690</v>
      </c>
      <c r="FZ695" s="205"/>
      <c r="GA695" s="205"/>
      <c r="GB695" s="205"/>
      <c r="GC695" s="205"/>
      <c r="GD695" s="205"/>
      <c r="GE695" s="205"/>
      <c r="GF695" s="205"/>
      <c r="GG695" s="205"/>
      <c r="GH695" s="205"/>
      <c r="GI695" s="205"/>
      <c r="GJ695" s="205"/>
      <c r="GK695" s="205"/>
      <c r="GL695" s="205"/>
      <c r="GM695" s="20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/>
      <c r="AO696"/>
      <c r="AP696"/>
      <c r="AQ696"/>
      <c r="AR696"/>
      <c r="AS696"/>
      <c r="AT696"/>
      <c r="AU696"/>
      <c r="AV696"/>
      <c r="AW696"/>
      <c r="FY696" s="210">
        <v>691</v>
      </c>
      <c r="FZ696" s="205"/>
      <c r="GA696" s="205"/>
      <c r="GB696" s="205"/>
      <c r="GC696" s="205"/>
      <c r="GD696" s="205"/>
      <c r="GE696" s="205"/>
      <c r="GF696" s="205"/>
      <c r="GG696" s="205"/>
      <c r="GH696" s="205"/>
      <c r="GI696" s="205"/>
      <c r="GJ696" s="205"/>
      <c r="GK696" s="205"/>
      <c r="GL696" s="205"/>
      <c r="GM696" s="205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/>
      <c r="AO697"/>
      <c r="AP697"/>
      <c r="AQ697"/>
      <c r="AR697"/>
      <c r="AS697"/>
      <c r="AT697"/>
      <c r="AU697"/>
      <c r="AV697"/>
      <c r="AW697"/>
      <c r="FY697" s="210">
        <v>692</v>
      </c>
      <c r="FZ697" s="205"/>
      <c r="GA697" s="205"/>
      <c r="GB697" s="205"/>
      <c r="GC697" s="205"/>
      <c r="GD697" s="205"/>
      <c r="GE697" s="205"/>
      <c r="GF697" s="205"/>
      <c r="GG697" s="205"/>
      <c r="GH697" s="205"/>
      <c r="GI697" s="205"/>
      <c r="GJ697" s="205"/>
      <c r="GK697" s="205"/>
      <c r="GL697" s="205"/>
      <c r="GM697" s="205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/>
      <c r="AO698"/>
      <c r="AP698"/>
      <c r="AQ698"/>
      <c r="AR698"/>
      <c r="AS698"/>
      <c r="AT698"/>
      <c r="AU698"/>
      <c r="AV698"/>
      <c r="AW698"/>
      <c r="FY698" s="210">
        <v>693</v>
      </c>
      <c r="FZ698" s="205"/>
      <c r="GA698" s="205"/>
      <c r="GB698" s="205"/>
      <c r="GC698" s="205"/>
      <c r="GD698" s="205"/>
      <c r="GE698" s="205"/>
      <c r="GF698" s="205"/>
      <c r="GG698" s="205"/>
      <c r="GH698" s="205"/>
      <c r="GI698" s="205"/>
      <c r="GJ698" s="205"/>
      <c r="GK698" s="205"/>
      <c r="GL698" s="205"/>
      <c r="GM698" s="205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/>
      <c r="AO699"/>
      <c r="AP699"/>
      <c r="AQ699"/>
      <c r="AR699"/>
      <c r="AS699"/>
      <c r="AT699"/>
      <c r="AU699"/>
      <c r="AV699"/>
      <c r="AW699"/>
      <c r="FY699" s="210">
        <v>694</v>
      </c>
      <c r="FZ699" s="205"/>
      <c r="GA699" s="205"/>
      <c r="GB699" s="205"/>
      <c r="GC699" s="205"/>
      <c r="GD699" s="205"/>
      <c r="GE699" s="205"/>
      <c r="GF699" s="205"/>
      <c r="GG699" s="205"/>
      <c r="GH699" s="205"/>
      <c r="GI699" s="205"/>
      <c r="GJ699" s="205"/>
      <c r="GK699" s="205"/>
      <c r="GL699" s="205"/>
      <c r="GM699" s="205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/>
      <c r="AO700"/>
      <c r="AP700"/>
      <c r="AQ700"/>
      <c r="AR700"/>
      <c r="AS700"/>
      <c r="AT700"/>
      <c r="AU700"/>
      <c r="AV700"/>
      <c r="AW700"/>
      <c r="FY700" s="210">
        <v>695</v>
      </c>
      <c r="FZ700" s="205"/>
      <c r="GA700" s="205"/>
      <c r="GB700" s="205"/>
      <c r="GC700" s="205"/>
      <c r="GD700" s="205"/>
      <c r="GE700" s="205"/>
      <c r="GF700" s="205"/>
      <c r="GG700" s="205"/>
      <c r="GH700" s="205"/>
      <c r="GI700" s="205"/>
      <c r="GJ700" s="205"/>
      <c r="GK700" s="205"/>
      <c r="GL700" s="205"/>
      <c r="GM700" s="205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/>
      <c r="AO701"/>
      <c r="AP701"/>
      <c r="AQ701"/>
      <c r="AR701"/>
      <c r="AS701"/>
      <c r="AT701"/>
      <c r="AU701"/>
      <c r="AV701"/>
      <c r="AW701"/>
      <c r="FY701" s="210">
        <v>696</v>
      </c>
      <c r="FZ701" s="205"/>
      <c r="GA701" s="205"/>
      <c r="GB701" s="205"/>
      <c r="GC701" s="205"/>
      <c r="GD701" s="205"/>
      <c r="GE701" s="205"/>
      <c r="GF701" s="205"/>
      <c r="GG701" s="205"/>
      <c r="GH701" s="205"/>
      <c r="GI701" s="205"/>
      <c r="GJ701" s="205"/>
      <c r="GK701" s="205"/>
      <c r="GL701" s="205"/>
      <c r="GM701" s="205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/>
      <c r="AO702"/>
      <c r="AP702"/>
      <c r="AQ702"/>
      <c r="AR702"/>
      <c r="AS702"/>
      <c r="AT702"/>
      <c r="AU702"/>
      <c r="AV702"/>
      <c r="AW702"/>
      <c r="FY702" s="210">
        <v>697</v>
      </c>
      <c r="FZ702" s="205"/>
      <c r="GA702" s="205"/>
      <c r="GB702" s="205"/>
      <c r="GC702" s="205"/>
      <c r="GD702" s="205"/>
      <c r="GE702" s="205"/>
      <c r="GF702" s="205"/>
      <c r="GG702" s="205"/>
      <c r="GH702" s="205"/>
      <c r="GI702" s="205"/>
      <c r="GJ702" s="205"/>
      <c r="GK702" s="205"/>
      <c r="GL702" s="205"/>
      <c r="GM702" s="205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/>
      <c r="AO703"/>
      <c r="AP703"/>
      <c r="AQ703"/>
      <c r="AR703"/>
      <c r="AS703"/>
      <c r="AT703"/>
      <c r="AU703"/>
      <c r="AV703"/>
      <c r="AW703"/>
      <c r="FY703" s="210">
        <v>698</v>
      </c>
      <c r="FZ703" s="205"/>
      <c r="GA703" s="205"/>
      <c r="GB703" s="205"/>
      <c r="GC703" s="205"/>
      <c r="GD703" s="205"/>
      <c r="GE703" s="205"/>
      <c r="GF703" s="205"/>
      <c r="GG703" s="205"/>
      <c r="GH703" s="205"/>
      <c r="GI703" s="205"/>
      <c r="GJ703" s="205"/>
      <c r="GK703" s="205"/>
      <c r="GL703" s="205"/>
      <c r="GM703" s="205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/>
      <c r="AO704"/>
      <c r="AP704"/>
      <c r="AQ704"/>
      <c r="AR704"/>
      <c r="AS704"/>
      <c r="AT704"/>
      <c r="AU704"/>
      <c r="AV704"/>
      <c r="AW704"/>
      <c r="FY704" s="210">
        <v>699</v>
      </c>
      <c r="FZ704" s="205"/>
      <c r="GA704" s="205"/>
      <c r="GB704" s="205"/>
      <c r="GC704" s="205"/>
      <c r="GD704" s="205"/>
      <c r="GE704" s="205"/>
      <c r="GF704" s="205"/>
      <c r="GG704" s="205"/>
      <c r="GH704" s="205"/>
      <c r="GI704" s="205"/>
      <c r="GJ704" s="205"/>
      <c r="GK704" s="205"/>
      <c r="GL704" s="205"/>
      <c r="GM704" s="205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/>
      <c r="AO705"/>
      <c r="AP705"/>
      <c r="AQ705"/>
      <c r="AR705"/>
      <c r="AS705"/>
      <c r="AT705"/>
      <c r="AU705"/>
      <c r="AV705"/>
      <c r="AW705"/>
      <c r="FY705" s="210">
        <v>700</v>
      </c>
      <c r="FZ705" s="205"/>
      <c r="GA705" s="205"/>
      <c r="GB705" s="205"/>
      <c r="GC705" s="205"/>
      <c r="GD705" s="205"/>
      <c r="GE705" s="205"/>
      <c r="GF705" s="205"/>
      <c r="GG705" s="205"/>
      <c r="GH705" s="205"/>
      <c r="GI705" s="205"/>
      <c r="GJ705" s="205"/>
      <c r="GK705" s="205"/>
      <c r="GL705" s="205"/>
      <c r="GM705" s="2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/>
      <c r="AO706"/>
      <c r="AP706"/>
      <c r="AQ706"/>
      <c r="AR706"/>
      <c r="AS706"/>
      <c r="AT706"/>
      <c r="AU706"/>
      <c r="AV706"/>
      <c r="AW706"/>
      <c r="FY706" s="210">
        <v>701</v>
      </c>
      <c r="FZ706" s="205"/>
      <c r="GA706" s="205"/>
      <c r="GB706" s="205"/>
      <c r="GC706" s="205"/>
      <c r="GD706" s="205"/>
      <c r="GE706" s="205"/>
      <c r="GF706" s="205"/>
      <c r="GG706" s="205"/>
      <c r="GH706" s="205"/>
      <c r="GI706" s="205"/>
      <c r="GJ706" s="205"/>
      <c r="GK706" s="205"/>
      <c r="GL706" s="205"/>
      <c r="GM706" s="205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/>
      <c r="AO707"/>
      <c r="AP707"/>
      <c r="AQ707"/>
      <c r="AR707"/>
      <c r="AS707"/>
      <c r="AT707"/>
      <c r="AU707"/>
      <c r="AV707"/>
      <c r="AW707"/>
      <c r="FY707" s="210">
        <v>702</v>
      </c>
      <c r="FZ707" s="205"/>
      <c r="GA707" s="205"/>
      <c r="GB707" s="205"/>
      <c r="GC707" s="205"/>
      <c r="GD707" s="205"/>
      <c r="GE707" s="205"/>
      <c r="GF707" s="205"/>
      <c r="GG707" s="205"/>
      <c r="GH707" s="205"/>
      <c r="GI707" s="205"/>
      <c r="GJ707" s="205"/>
      <c r="GK707" s="205"/>
      <c r="GL707" s="205"/>
      <c r="GM707" s="205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/>
      <c r="AO708"/>
      <c r="AP708"/>
      <c r="AQ708"/>
      <c r="AR708"/>
      <c r="AS708"/>
      <c r="AT708"/>
      <c r="AU708"/>
      <c r="AV708"/>
      <c r="AW708"/>
      <c r="FY708" s="210">
        <v>703</v>
      </c>
      <c r="FZ708" s="205"/>
      <c r="GA708" s="205"/>
      <c r="GB708" s="205"/>
      <c r="GC708" s="205"/>
      <c r="GD708" s="205"/>
      <c r="GE708" s="205"/>
      <c r="GF708" s="205"/>
      <c r="GG708" s="205"/>
      <c r="GH708" s="205"/>
      <c r="GI708" s="205"/>
      <c r="GJ708" s="205"/>
      <c r="GK708" s="205"/>
      <c r="GL708" s="205"/>
      <c r="GM708" s="205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/>
      <c r="AO709"/>
      <c r="AP709"/>
      <c r="AQ709"/>
      <c r="AR709"/>
      <c r="AS709"/>
      <c r="AT709"/>
      <c r="AU709"/>
      <c r="AV709"/>
      <c r="AW709"/>
      <c r="FY709" s="210">
        <v>704</v>
      </c>
      <c r="FZ709" s="205"/>
      <c r="GA709" s="205"/>
      <c r="GB709" s="205"/>
      <c r="GC709" s="205"/>
      <c r="GD709" s="205"/>
      <c r="GE709" s="205"/>
      <c r="GF709" s="205"/>
      <c r="GG709" s="205"/>
      <c r="GH709" s="205"/>
      <c r="GI709" s="205"/>
      <c r="GJ709" s="205"/>
      <c r="GK709" s="205"/>
      <c r="GL709" s="205"/>
      <c r="GM709" s="205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/>
      <c r="AO710"/>
      <c r="AP710"/>
      <c r="AQ710"/>
      <c r="AR710"/>
      <c r="AS710"/>
      <c r="AT710"/>
      <c r="AU710"/>
      <c r="AV710"/>
      <c r="AW710"/>
      <c r="FY710" s="210">
        <v>705</v>
      </c>
      <c r="FZ710" s="205"/>
      <c r="GA710" s="205"/>
      <c r="GB710" s="205"/>
      <c r="GC710" s="205"/>
      <c r="GD710" s="205"/>
      <c r="GE710" s="205"/>
      <c r="GF710" s="205"/>
      <c r="GG710" s="205"/>
      <c r="GH710" s="205"/>
      <c r="GI710" s="205"/>
      <c r="GJ710" s="205"/>
      <c r="GK710" s="205"/>
      <c r="GL710" s="205"/>
      <c r="GM710" s="205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/>
      <c r="AO711"/>
      <c r="AP711"/>
      <c r="AQ711"/>
      <c r="AR711"/>
      <c r="AS711"/>
      <c r="AT711"/>
      <c r="AU711"/>
      <c r="AV711"/>
      <c r="AW711"/>
      <c r="FY711" s="210">
        <v>706</v>
      </c>
      <c r="FZ711" s="205"/>
      <c r="GA711" s="205"/>
      <c r="GB711" s="205"/>
      <c r="GC711" s="205"/>
      <c r="GD711" s="205"/>
      <c r="GE711" s="205"/>
      <c r="GF711" s="205"/>
      <c r="GG711" s="205"/>
      <c r="GH711" s="205"/>
      <c r="GI711" s="205"/>
      <c r="GJ711" s="205"/>
      <c r="GK711" s="205"/>
      <c r="GL711" s="205"/>
      <c r="GM711" s="205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/>
      <c r="AO712"/>
      <c r="AP712"/>
      <c r="AQ712"/>
      <c r="AR712"/>
      <c r="AS712"/>
      <c r="AT712"/>
      <c r="AU712"/>
      <c r="AV712"/>
      <c r="AW712"/>
      <c r="FY712" s="210">
        <v>707</v>
      </c>
      <c r="FZ712" s="205"/>
      <c r="GA712" s="205"/>
      <c r="GB712" s="205"/>
      <c r="GC712" s="205"/>
      <c r="GD712" s="205"/>
      <c r="GE712" s="205"/>
      <c r="GF712" s="205"/>
      <c r="GG712" s="205"/>
      <c r="GH712" s="205"/>
      <c r="GI712" s="205"/>
      <c r="GJ712" s="205"/>
      <c r="GK712" s="205"/>
      <c r="GL712" s="205"/>
      <c r="GM712" s="205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/>
      <c r="AO713"/>
      <c r="AP713"/>
      <c r="AQ713"/>
      <c r="AR713"/>
      <c r="AS713"/>
      <c r="AT713"/>
      <c r="AU713"/>
      <c r="AV713"/>
      <c r="AW713"/>
      <c r="FY713" s="210">
        <v>708</v>
      </c>
      <c r="FZ713" s="205"/>
      <c r="GA713" s="205"/>
      <c r="GB713" s="205"/>
      <c r="GC713" s="205"/>
      <c r="GD713" s="205"/>
      <c r="GE713" s="205"/>
      <c r="GF713" s="205"/>
      <c r="GG713" s="205"/>
      <c r="GH713" s="205"/>
      <c r="GI713" s="205"/>
      <c r="GJ713" s="205"/>
      <c r="GK713" s="205"/>
      <c r="GL713" s="205"/>
      <c r="GM713" s="205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/>
      <c r="AO714"/>
      <c r="AP714"/>
      <c r="AQ714"/>
      <c r="AR714"/>
      <c r="AS714"/>
      <c r="AT714"/>
      <c r="AU714"/>
      <c r="AV714"/>
      <c r="AW714"/>
      <c r="FY714" s="210">
        <v>709</v>
      </c>
      <c r="FZ714" s="205"/>
      <c r="GA714" s="205"/>
      <c r="GB714" s="205"/>
      <c r="GC714" s="205"/>
      <c r="GD714" s="205"/>
      <c r="GE714" s="205"/>
      <c r="GF714" s="205"/>
      <c r="GG714" s="205"/>
      <c r="GH714" s="205"/>
      <c r="GI714" s="205"/>
      <c r="GJ714" s="205"/>
      <c r="GK714" s="205"/>
      <c r="GL714" s="205"/>
      <c r="GM714" s="205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/>
      <c r="AO715"/>
      <c r="AP715"/>
      <c r="AQ715"/>
      <c r="AR715"/>
      <c r="AS715"/>
      <c r="AT715"/>
      <c r="AU715"/>
      <c r="AV715"/>
      <c r="AW715"/>
      <c r="FY715" s="210">
        <v>710</v>
      </c>
      <c r="FZ715" s="205"/>
      <c r="GA715" s="205"/>
      <c r="GB715" s="205"/>
      <c r="GC715" s="205"/>
      <c r="GD715" s="205"/>
      <c r="GE715" s="205"/>
      <c r="GF715" s="205"/>
      <c r="GG715" s="205"/>
      <c r="GH715" s="205"/>
      <c r="GI715" s="205"/>
      <c r="GJ715" s="205"/>
      <c r="GK715" s="205"/>
      <c r="GL715" s="205"/>
      <c r="GM715" s="20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/>
      <c r="AO716"/>
      <c r="AP716"/>
      <c r="AQ716"/>
      <c r="AR716"/>
      <c r="AS716"/>
      <c r="AT716"/>
      <c r="AU716"/>
      <c r="AV716"/>
      <c r="AW716"/>
      <c r="FY716" s="210">
        <v>711</v>
      </c>
      <c r="FZ716" s="205"/>
      <c r="GA716" s="205"/>
      <c r="GB716" s="205"/>
      <c r="GC716" s="205"/>
      <c r="GD716" s="205"/>
      <c r="GE716" s="205"/>
      <c r="GF716" s="205"/>
      <c r="GG716" s="205"/>
      <c r="GH716" s="205"/>
      <c r="GI716" s="205"/>
      <c r="GJ716" s="205"/>
      <c r="GK716" s="205"/>
      <c r="GL716" s="205"/>
      <c r="GM716" s="205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/>
      <c r="AO717"/>
      <c r="AP717"/>
      <c r="AQ717"/>
      <c r="AR717"/>
      <c r="AS717"/>
      <c r="AT717"/>
      <c r="AU717"/>
      <c r="AV717"/>
      <c r="AW717"/>
      <c r="FY717" s="210">
        <v>712</v>
      </c>
      <c r="FZ717" s="205"/>
      <c r="GA717" s="205"/>
      <c r="GB717" s="205"/>
      <c r="GC717" s="205"/>
      <c r="GD717" s="205"/>
      <c r="GE717" s="205"/>
      <c r="GF717" s="205"/>
      <c r="GG717" s="205"/>
      <c r="GH717" s="205"/>
      <c r="GI717" s="205"/>
      <c r="GJ717" s="205"/>
      <c r="GK717" s="205"/>
      <c r="GL717" s="205"/>
      <c r="GM717" s="205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/>
      <c r="AO718"/>
      <c r="AP718"/>
      <c r="AQ718"/>
      <c r="AR718"/>
      <c r="AS718"/>
      <c r="AT718"/>
      <c r="AU718"/>
      <c r="AV718"/>
      <c r="AW718"/>
      <c r="FY718" s="210">
        <v>713</v>
      </c>
      <c r="FZ718" s="205"/>
      <c r="GA718" s="205"/>
      <c r="GB718" s="205"/>
      <c r="GC718" s="205"/>
      <c r="GD718" s="205"/>
      <c r="GE718" s="205"/>
      <c r="GF718" s="205"/>
      <c r="GG718" s="205"/>
      <c r="GH718" s="205"/>
      <c r="GI718" s="205"/>
      <c r="GJ718" s="205"/>
      <c r="GK718" s="205"/>
      <c r="GL718" s="205"/>
      <c r="GM718" s="205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/>
      <c r="AO719"/>
      <c r="AP719"/>
      <c r="AQ719"/>
      <c r="AR719"/>
      <c r="AS719"/>
      <c r="AT719"/>
      <c r="AU719"/>
      <c r="AV719"/>
      <c r="AW719"/>
      <c r="FY719" s="210">
        <v>714</v>
      </c>
      <c r="FZ719" s="205"/>
      <c r="GA719" s="205"/>
      <c r="GB719" s="205"/>
      <c r="GC719" s="205"/>
      <c r="GD719" s="205"/>
      <c r="GE719" s="205"/>
      <c r="GF719" s="205"/>
      <c r="GG719" s="205"/>
      <c r="GH719" s="205"/>
      <c r="GI719" s="205"/>
      <c r="GJ719" s="205"/>
      <c r="GK719" s="205"/>
      <c r="GL719" s="205"/>
      <c r="GM719" s="205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/>
      <c r="AO720"/>
      <c r="AP720"/>
      <c r="AQ720"/>
      <c r="AR720"/>
      <c r="AS720"/>
      <c r="AT720"/>
      <c r="AU720"/>
      <c r="AV720"/>
      <c r="AW720"/>
      <c r="FY720" s="210">
        <v>715</v>
      </c>
      <c r="FZ720" s="205"/>
      <c r="GA720" s="205"/>
      <c r="GB720" s="205"/>
      <c r="GC720" s="205"/>
      <c r="GD720" s="205"/>
      <c r="GE720" s="205"/>
      <c r="GF720" s="205"/>
      <c r="GG720" s="205"/>
      <c r="GH720" s="205"/>
      <c r="GI720" s="205"/>
      <c r="GJ720" s="205"/>
      <c r="GK720" s="205"/>
      <c r="GL720" s="205"/>
      <c r="GM720" s="205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/>
      <c r="AO721"/>
      <c r="AP721"/>
      <c r="AQ721"/>
      <c r="AR721"/>
      <c r="AS721"/>
      <c r="AT721"/>
      <c r="AU721"/>
      <c r="AV721"/>
      <c r="AW721"/>
      <c r="FY721" s="210">
        <v>716</v>
      </c>
      <c r="FZ721" s="205"/>
      <c r="GA721" s="205"/>
      <c r="GB721" s="205"/>
      <c r="GC721" s="205"/>
      <c r="GD721" s="205"/>
      <c r="GE721" s="205"/>
      <c r="GF721" s="205"/>
      <c r="GG721" s="205"/>
      <c r="GH721" s="205"/>
      <c r="GI721" s="205"/>
      <c r="GJ721" s="205"/>
      <c r="GK721" s="205"/>
      <c r="GL721" s="205"/>
      <c r="GM721" s="205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/>
      <c r="AO722"/>
      <c r="AP722"/>
      <c r="AQ722"/>
      <c r="AR722"/>
      <c r="AS722"/>
      <c r="AT722"/>
      <c r="AU722"/>
      <c r="AV722"/>
      <c r="AW722"/>
      <c r="FY722" s="210">
        <v>717</v>
      </c>
      <c r="FZ722" s="205"/>
      <c r="GA722" s="205"/>
      <c r="GB722" s="205"/>
      <c r="GC722" s="205"/>
      <c r="GD722" s="205"/>
      <c r="GE722" s="205"/>
      <c r="GF722" s="205"/>
      <c r="GG722" s="205"/>
      <c r="GH722" s="205"/>
      <c r="GI722" s="205"/>
      <c r="GJ722" s="205"/>
      <c r="GK722" s="205"/>
      <c r="GL722" s="205"/>
      <c r="GM722" s="205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/>
      <c r="AO723"/>
      <c r="AP723"/>
      <c r="AQ723"/>
      <c r="AR723"/>
      <c r="AS723"/>
      <c r="AT723"/>
      <c r="AU723"/>
      <c r="AV723"/>
      <c r="AW723"/>
      <c r="FY723" s="210">
        <v>718</v>
      </c>
      <c r="FZ723" s="205"/>
      <c r="GA723" s="205"/>
      <c r="GB723" s="205"/>
      <c r="GC723" s="205"/>
      <c r="GD723" s="205"/>
      <c r="GE723" s="205"/>
      <c r="GF723" s="205"/>
      <c r="GG723" s="205"/>
      <c r="GH723" s="205"/>
      <c r="GI723" s="205"/>
      <c r="GJ723" s="205"/>
      <c r="GK723" s="205"/>
      <c r="GL723" s="205"/>
      <c r="GM723" s="205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/>
      <c r="AO724"/>
      <c r="AP724"/>
      <c r="AQ724"/>
      <c r="AR724"/>
      <c r="AS724"/>
      <c r="AT724"/>
      <c r="AU724"/>
      <c r="AV724"/>
      <c r="AW724"/>
      <c r="FY724" s="210">
        <v>719</v>
      </c>
      <c r="FZ724" s="205"/>
      <c r="GA724" s="205"/>
      <c r="GB724" s="205"/>
      <c r="GC724" s="205"/>
      <c r="GD724" s="205"/>
      <c r="GE724" s="205"/>
      <c r="GF724" s="205"/>
      <c r="GG724" s="205"/>
      <c r="GH724" s="205"/>
      <c r="GI724" s="205"/>
      <c r="GJ724" s="205"/>
      <c r="GK724" s="205"/>
      <c r="GL724" s="205"/>
      <c r="GM724" s="205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/>
      <c r="AO725"/>
      <c r="AP725"/>
      <c r="AQ725"/>
      <c r="AR725"/>
      <c r="AS725"/>
      <c r="AT725"/>
      <c r="AU725"/>
      <c r="AV725"/>
      <c r="AW725"/>
      <c r="FY725" s="210">
        <v>720</v>
      </c>
      <c r="FZ725" s="205"/>
      <c r="GA725" s="205"/>
      <c r="GB725" s="205"/>
      <c r="GC725" s="205"/>
      <c r="GD725" s="205"/>
      <c r="GE725" s="205"/>
      <c r="GF725" s="205"/>
      <c r="GG725" s="205"/>
      <c r="GH725" s="205"/>
      <c r="GI725" s="205"/>
      <c r="GJ725" s="205"/>
      <c r="GK725" s="205"/>
      <c r="GL725" s="205"/>
      <c r="GM725" s="20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/>
      <c r="AO726"/>
      <c r="AP726"/>
      <c r="AQ726"/>
      <c r="AR726"/>
      <c r="AS726"/>
      <c r="AT726"/>
      <c r="AU726"/>
      <c r="AV726"/>
      <c r="AW726"/>
      <c r="FY726" s="210">
        <v>721</v>
      </c>
      <c r="FZ726" s="205"/>
      <c r="GA726" s="205"/>
      <c r="GB726" s="205"/>
      <c r="GC726" s="205"/>
      <c r="GD726" s="205"/>
      <c r="GE726" s="205"/>
      <c r="GF726" s="205"/>
      <c r="GG726" s="205"/>
      <c r="GH726" s="205"/>
      <c r="GI726" s="205"/>
      <c r="GJ726" s="205"/>
      <c r="GK726" s="205"/>
      <c r="GL726" s="205"/>
      <c r="GM726" s="205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/>
      <c r="AO727"/>
      <c r="AP727"/>
      <c r="AQ727"/>
      <c r="AR727"/>
      <c r="AS727"/>
      <c r="AT727"/>
      <c r="AU727"/>
      <c r="AV727"/>
      <c r="AW727"/>
      <c r="FY727" s="210">
        <v>722</v>
      </c>
      <c r="FZ727" s="205"/>
      <c r="GA727" s="205"/>
      <c r="GB727" s="205"/>
      <c r="GC727" s="205"/>
      <c r="GD727" s="205"/>
      <c r="GE727" s="205"/>
      <c r="GF727" s="205"/>
      <c r="GG727" s="205"/>
      <c r="GH727" s="205"/>
      <c r="GI727" s="205"/>
      <c r="GJ727" s="205"/>
      <c r="GK727" s="205"/>
      <c r="GL727" s="205"/>
      <c r="GM727" s="205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/>
      <c r="AO728"/>
      <c r="AP728"/>
      <c r="AQ728"/>
      <c r="AR728"/>
      <c r="AS728"/>
      <c r="AT728"/>
      <c r="AU728"/>
      <c r="AV728"/>
      <c r="AW728"/>
      <c r="FY728" s="210">
        <v>723</v>
      </c>
      <c r="FZ728" s="205"/>
      <c r="GA728" s="205"/>
      <c r="GB728" s="205"/>
      <c r="GC728" s="205"/>
      <c r="GD728" s="205"/>
      <c r="GE728" s="205"/>
      <c r="GF728" s="205"/>
      <c r="GG728" s="205"/>
      <c r="GH728" s="205"/>
      <c r="GI728" s="205"/>
      <c r="GJ728" s="205"/>
      <c r="GK728" s="205"/>
      <c r="GL728" s="205"/>
      <c r="GM728" s="205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/>
      <c r="AO729"/>
      <c r="AP729"/>
      <c r="AQ729"/>
      <c r="AR729"/>
      <c r="AS729"/>
      <c r="AT729"/>
      <c r="AU729"/>
      <c r="AV729"/>
      <c r="AW729"/>
      <c r="FY729" s="210">
        <v>724</v>
      </c>
      <c r="FZ729" s="205"/>
      <c r="GA729" s="205"/>
      <c r="GB729" s="205"/>
      <c r="GC729" s="205"/>
      <c r="GD729" s="205"/>
      <c r="GE729" s="205"/>
      <c r="GF729" s="205"/>
      <c r="GG729" s="205"/>
      <c r="GH729" s="205"/>
      <c r="GI729" s="205"/>
      <c r="GJ729" s="205"/>
      <c r="GK729" s="205"/>
      <c r="GL729" s="205"/>
      <c r="GM729" s="205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/>
      <c r="AO730"/>
      <c r="AP730"/>
      <c r="AQ730"/>
      <c r="AR730"/>
      <c r="AS730"/>
      <c r="AT730"/>
      <c r="AU730"/>
      <c r="AV730"/>
      <c r="AW730"/>
      <c r="FY730" s="210">
        <v>725</v>
      </c>
      <c r="FZ730" s="205"/>
      <c r="GA730" s="205"/>
      <c r="GB730" s="205"/>
      <c r="GC730" s="205"/>
      <c r="GD730" s="205"/>
      <c r="GE730" s="205"/>
      <c r="GF730" s="205"/>
      <c r="GG730" s="205"/>
      <c r="GH730" s="205"/>
      <c r="GI730" s="205"/>
      <c r="GJ730" s="205"/>
      <c r="GK730" s="205"/>
      <c r="GL730" s="205"/>
      <c r="GM730" s="205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/>
      <c r="AO731"/>
      <c r="AP731"/>
      <c r="AQ731"/>
      <c r="AR731"/>
      <c r="AS731"/>
      <c r="AT731"/>
      <c r="AU731"/>
      <c r="AV731"/>
      <c r="AW731"/>
      <c r="FY731" s="210">
        <v>726</v>
      </c>
      <c r="FZ731" s="205"/>
      <c r="GA731" s="205"/>
      <c r="GB731" s="205"/>
      <c r="GC731" s="205"/>
      <c r="GD731" s="205"/>
      <c r="GE731" s="205"/>
      <c r="GF731" s="205"/>
      <c r="GG731" s="205"/>
      <c r="GH731" s="205"/>
      <c r="GI731" s="205"/>
      <c r="GJ731" s="205"/>
      <c r="GK731" s="205"/>
      <c r="GL731" s="205"/>
      <c r="GM731" s="205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/>
      <c r="AO732"/>
      <c r="AP732"/>
      <c r="AQ732"/>
      <c r="AR732"/>
      <c r="AS732"/>
      <c r="AT732"/>
      <c r="AU732"/>
      <c r="AV732"/>
      <c r="AW732"/>
      <c r="FY732" s="210">
        <v>727</v>
      </c>
      <c r="FZ732" s="205"/>
      <c r="GA732" s="205"/>
      <c r="GB732" s="205"/>
      <c r="GC732" s="205"/>
      <c r="GD732" s="205"/>
      <c r="GE732" s="205"/>
      <c r="GF732" s="205"/>
      <c r="GG732" s="205"/>
      <c r="GH732" s="205"/>
      <c r="GI732" s="205"/>
      <c r="GJ732" s="205"/>
      <c r="GK732" s="205"/>
      <c r="GL732" s="205"/>
      <c r="GM732" s="205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/>
      <c r="AO733"/>
      <c r="AP733"/>
      <c r="AQ733"/>
      <c r="AR733"/>
      <c r="AS733"/>
      <c r="AT733"/>
      <c r="AU733"/>
      <c r="AV733"/>
      <c r="AW733"/>
      <c r="FY733" s="210">
        <v>728</v>
      </c>
      <c r="FZ733" s="205"/>
      <c r="GA733" s="205"/>
      <c r="GB733" s="205"/>
      <c r="GC733" s="205"/>
      <c r="GD733" s="205"/>
      <c r="GE733" s="205"/>
      <c r="GF733" s="205"/>
      <c r="GG733" s="205"/>
      <c r="GH733" s="205"/>
      <c r="GI733" s="205"/>
      <c r="GJ733" s="205"/>
      <c r="GK733" s="205"/>
      <c r="GL733" s="205"/>
      <c r="GM733" s="205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/>
      <c r="AO734"/>
      <c r="AP734"/>
      <c r="AQ734"/>
      <c r="AR734"/>
      <c r="AS734"/>
      <c r="AT734"/>
      <c r="AU734"/>
      <c r="AV734"/>
      <c r="AW734"/>
      <c r="FY734" s="210">
        <v>729</v>
      </c>
      <c r="FZ734" s="205"/>
      <c r="GA734" s="205"/>
      <c r="GB734" s="205"/>
      <c r="GC734" s="205"/>
      <c r="GD734" s="205"/>
      <c r="GE734" s="205"/>
      <c r="GF734" s="205"/>
      <c r="GG734" s="205"/>
      <c r="GH734" s="205"/>
      <c r="GI734" s="205"/>
      <c r="GJ734" s="205"/>
      <c r="GK734" s="205"/>
      <c r="GL734" s="205"/>
      <c r="GM734" s="205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/>
      <c r="AO735"/>
      <c r="AP735"/>
      <c r="AQ735"/>
      <c r="AR735"/>
      <c r="AS735"/>
      <c r="AT735"/>
      <c r="AU735"/>
      <c r="AV735"/>
      <c r="AW735"/>
      <c r="FY735" s="210">
        <v>730</v>
      </c>
      <c r="FZ735" s="205"/>
      <c r="GA735" s="205"/>
      <c r="GB735" s="205"/>
      <c r="GC735" s="205"/>
      <c r="GD735" s="205"/>
      <c r="GE735" s="205"/>
      <c r="GF735" s="205"/>
      <c r="GG735" s="205"/>
      <c r="GH735" s="205"/>
      <c r="GI735" s="205"/>
      <c r="GJ735" s="205"/>
      <c r="GK735" s="205"/>
      <c r="GL735" s="205"/>
      <c r="GM735" s="20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/>
      <c r="AO736"/>
      <c r="AP736"/>
      <c r="AQ736"/>
      <c r="AR736"/>
      <c r="AS736"/>
      <c r="AT736"/>
      <c r="AU736"/>
      <c r="AV736"/>
      <c r="AW736"/>
      <c r="FY736" s="210">
        <v>731</v>
      </c>
      <c r="FZ736" s="205"/>
      <c r="GA736" s="205"/>
      <c r="GB736" s="205"/>
      <c r="GC736" s="205"/>
      <c r="GD736" s="205"/>
      <c r="GE736" s="205"/>
      <c r="GF736" s="205"/>
      <c r="GG736" s="205"/>
      <c r="GH736" s="205"/>
      <c r="GI736" s="205"/>
      <c r="GJ736" s="205"/>
      <c r="GK736" s="205"/>
      <c r="GL736" s="205"/>
      <c r="GM736" s="205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/>
      <c r="AO737"/>
      <c r="AP737"/>
      <c r="AQ737"/>
      <c r="AR737"/>
      <c r="AS737"/>
      <c r="AT737"/>
      <c r="AU737"/>
      <c r="AV737"/>
      <c r="AW737"/>
      <c r="FY737" s="210">
        <v>732</v>
      </c>
      <c r="FZ737" s="205"/>
      <c r="GA737" s="205"/>
      <c r="GB737" s="205"/>
      <c r="GC737" s="205"/>
      <c r="GD737" s="205"/>
      <c r="GE737" s="205"/>
      <c r="GF737" s="205"/>
      <c r="GG737" s="205"/>
      <c r="GH737" s="205"/>
      <c r="GI737" s="205"/>
      <c r="GJ737" s="205"/>
      <c r="GK737" s="205"/>
      <c r="GL737" s="205"/>
      <c r="GM737" s="205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/>
      <c r="AO738"/>
      <c r="AP738"/>
      <c r="AQ738"/>
      <c r="AR738"/>
      <c r="AS738"/>
      <c r="AT738"/>
      <c r="AU738"/>
      <c r="AV738"/>
      <c r="AW738"/>
      <c r="FY738" s="210">
        <v>733</v>
      </c>
      <c r="FZ738" s="205"/>
      <c r="GA738" s="205"/>
      <c r="GB738" s="205"/>
      <c r="GC738" s="205"/>
      <c r="GD738" s="205"/>
      <c r="GE738" s="205"/>
      <c r="GF738" s="205"/>
      <c r="GG738" s="205"/>
      <c r="GH738" s="205"/>
      <c r="GI738" s="205"/>
      <c r="GJ738" s="205"/>
      <c r="GK738" s="205"/>
      <c r="GL738" s="205"/>
      <c r="GM738" s="205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/>
      <c r="AO739"/>
      <c r="AP739"/>
      <c r="AQ739"/>
      <c r="AR739"/>
      <c r="AS739"/>
      <c r="AT739"/>
      <c r="AU739"/>
      <c r="AV739"/>
      <c r="AW739"/>
      <c r="FY739" s="210">
        <v>734</v>
      </c>
      <c r="FZ739" s="205"/>
      <c r="GA739" s="205"/>
      <c r="GB739" s="205"/>
      <c r="GC739" s="205"/>
      <c r="GD739" s="205"/>
      <c r="GE739" s="205"/>
      <c r="GF739" s="205"/>
      <c r="GG739" s="205"/>
      <c r="GH739" s="205"/>
      <c r="GI739" s="205"/>
      <c r="GJ739" s="205"/>
      <c r="GK739" s="205"/>
      <c r="GL739" s="205"/>
      <c r="GM739" s="205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/>
      <c r="AO740"/>
      <c r="AP740"/>
      <c r="AQ740"/>
      <c r="AR740"/>
      <c r="AS740"/>
      <c r="AT740"/>
      <c r="AU740"/>
      <c r="AV740"/>
      <c r="AW740"/>
      <c r="FY740" s="210">
        <v>735</v>
      </c>
      <c r="FZ740" s="205"/>
      <c r="GA740" s="205"/>
      <c r="GB740" s="205"/>
      <c r="GC740" s="205"/>
      <c r="GD740" s="205"/>
      <c r="GE740" s="205"/>
      <c r="GF740" s="205"/>
      <c r="GG740" s="205"/>
      <c r="GH740" s="205"/>
      <c r="GI740" s="205"/>
      <c r="GJ740" s="205"/>
      <c r="GK740" s="205"/>
      <c r="GL740" s="205"/>
      <c r="GM740" s="205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/>
      <c r="AO741"/>
      <c r="AP741"/>
      <c r="AQ741"/>
      <c r="AR741"/>
      <c r="AS741"/>
      <c r="AT741"/>
      <c r="AU741"/>
      <c r="AV741"/>
      <c r="AW741"/>
      <c r="FY741" s="210">
        <v>736</v>
      </c>
      <c r="FZ741" s="205"/>
      <c r="GA741" s="205"/>
      <c r="GB741" s="205"/>
      <c r="GC741" s="205"/>
      <c r="GD741" s="205"/>
      <c r="GE741" s="205"/>
      <c r="GF741" s="205"/>
      <c r="GG741" s="205"/>
      <c r="GH741" s="205"/>
      <c r="GI741" s="205"/>
      <c r="GJ741" s="205"/>
      <c r="GK741" s="205"/>
      <c r="GL741" s="205"/>
      <c r="GM741" s="205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/>
      <c r="AO742"/>
      <c r="AP742"/>
      <c r="AQ742"/>
      <c r="AR742"/>
      <c r="AS742"/>
      <c r="AT742"/>
      <c r="AU742"/>
      <c r="AV742"/>
      <c r="AW742"/>
      <c r="FY742" s="210">
        <v>737</v>
      </c>
      <c r="FZ742" s="205"/>
      <c r="GA742" s="205"/>
      <c r="GB742" s="205"/>
      <c r="GC742" s="205"/>
      <c r="GD742" s="205"/>
      <c r="GE742" s="205"/>
      <c r="GF742" s="205"/>
      <c r="GG742" s="205"/>
      <c r="GH742" s="205"/>
      <c r="GI742" s="205"/>
      <c r="GJ742" s="205"/>
      <c r="GK742" s="205"/>
      <c r="GL742" s="205"/>
      <c r="GM742" s="205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/>
      <c r="AO743"/>
      <c r="AP743"/>
      <c r="AQ743"/>
      <c r="AR743"/>
      <c r="AS743"/>
      <c r="AT743"/>
      <c r="AU743"/>
      <c r="AV743"/>
      <c r="AW743"/>
      <c r="FY743" s="210">
        <v>738</v>
      </c>
      <c r="FZ743" s="205"/>
      <c r="GA743" s="205"/>
      <c r="GB743" s="205"/>
      <c r="GC743" s="205"/>
      <c r="GD743" s="205"/>
      <c r="GE743" s="205"/>
      <c r="GF743" s="205"/>
      <c r="GG743" s="205"/>
      <c r="GH743" s="205"/>
      <c r="GI743" s="205"/>
      <c r="GJ743" s="205"/>
      <c r="GK743" s="205"/>
      <c r="GL743" s="205"/>
      <c r="GM743" s="205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/>
      <c r="AO744"/>
      <c r="AP744"/>
      <c r="AQ744"/>
      <c r="AR744"/>
      <c r="AS744"/>
      <c r="AT744"/>
      <c r="AU744"/>
      <c r="AV744"/>
      <c r="AW744"/>
      <c r="FY744" s="210">
        <v>739</v>
      </c>
      <c r="FZ744" s="205"/>
      <c r="GA744" s="205"/>
      <c r="GB744" s="205"/>
      <c r="GC744" s="205"/>
      <c r="GD744" s="205"/>
      <c r="GE744" s="205"/>
      <c r="GF744" s="205"/>
      <c r="GG744" s="205"/>
      <c r="GH744" s="205"/>
      <c r="GI744" s="205"/>
      <c r="GJ744" s="205"/>
      <c r="GK744" s="205"/>
      <c r="GL744" s="205"/>
      <c r="GM744" s="205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/>
      <c r="AO745"/>
      <c r="AP745"/>
      <c r="AQ745"/>
      <c r="AR745"/>
      <c r="AS745"/>
      <c r="AT745"/>
      <c r="AU745"/>
      <c r="AV745"/>
      <c r="AW745"/>
      <c r="FY745" s="210">
        <v>740</v>
      </c>
      <c r="FZ745" s="205"/>
      <c r="GA745" s="205"/>
      <c r="GB745" s="205"/>
      <c r="GC745" s="205"/>
      <c r="GD745" s="205"/>
      <c r="GE745" s="205"/>
      <c r="GF745" s="205"/>
      <c r="GG745" s="205"/>
      <c r="GH745" s="205"/>
      <c r="GI745" s="205"/>
      <c r="GJ745" s="205"/>
      <c r="GK745" s="205"/>
      <c r="GL745" s="205"/>
      <c r="GM745" s="20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/>
      <c r="AO746"/>
      <c r="AP746"/>
      <c r="AQ746"/>
      <c r="AR746"/>
      <c r="AS746"/>
      <c r="AT746"/>
      <c r="AU746"/>
      <c r="AV746"/>
      <c r="AW746"/>
      <c r="FY746" s="210">
        <v>741</v>
      </c>
      <c r="FZ746" s="205"/>
      <c r="GA746" s="205"/>
      <c r="GB746" s="205"/>
      <c r="GC746" s="205"/>
      <c r="GD746" s="205"/>
      <c r="GE746" s="205"/>
      <c r="GF746" s="205"/>
      <c r="GG746" s="205"/>
      <c r="GH746" s="205"/>
      <c r="GI746" s="205"/>
      <c r="GJ746" s="205"/>
      <c r="GK746" s="205"/>
      <c r="GL746" s="205"/>
      <c r="GM746" s="205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/>
      <c r="AO747"/>
      <c r="AP747"/>
      <c r="AQ747"/>
      <c r="AR747"/>
      <c r="AS747"/>
      <c r="AT747"/>
      <c r="AU747"/>
      <c r="AV747"/>
      <c r="AW747"/>
      <c r="FY747" s="210">
        <v>742</v>
      </c>
      <c r="FZ747" s="205"/>
      <c r="GA747" s="205"/>
      <c r="GB747" s="205"/>
      <c r="GC747" s="205"/>
      <c r="GD747" s="205"/>
      <c r="GE747" s="205"/>
      <c r="GF747" s="205"/>
      <c r="GG747" s="205"/>
      <c r="GH747" s="205"/>
      <c r="GI747" s="205"/>
      <c r="GJ747" s="205"/>
      <c r="GK747" s="205"/>
      <c r="GL747" s="205"/>
      <c r="GM747" s="205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/>
      <c r="AO748"/>
      <c r="AP748"/>
      <c r="AQ748"/>
      <c r="AR748"/>
      <c r="AS748"/>
      <c r="AT748"/>
      <c r="AU748"/>
      <c r="AV748"/>
      <c r="AW748"/>
      <c r="FY748" s="210">
        <v>743</v>
      </c>
      <c r="FZ748" s="205"/>
      <c r="GA748" s="205"/>
      <c r="GB748" s="205"/>
      <c r="GC748" s="205"/>
      <c r="GD748" s="205"/>
      <c r="GE748" s="205"/>
      <c r="GF748" s="205"/>
      <c r="GG748" s="205"/>
      <c r="GH748" s="205"/>
      <c r="GI748" s="205"/>
      <c r="GJ748" s="205"/>
      <c r="GK748" s="205"/>
      <c r="GL748" s="205"/>
      <c r="GM748" s="205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/>
      <c r="AO749"/>
      <c r="AP749"/>
      <c r="AQ749"/>
      <c r="AR749"/>
      <c r="AS749"/>
      <c r="AT749"/>
      <c r="AU749"/>
      <c r="AV749"/>
      <c r="AW749"/>
      <c r="FY749" s="210">
        <v>744</v>
      </c>
      <c r="FZ749" s="205"/>
      <c r="GA749" s="205"/>
      <c r="GB749" s="205"/>
      <c r="GC749" s="205"/>
      <c r="GD749" s="205"/>
      <c r="GE749" s="205"/>
      <c r="GF749" s="205"/>
      <c r="GG749" s="205"/>
      <c r="GH749" s="205"/>
      <c r="GI749" s="205"/>
      <c r="GJ749" s="205"/>
      <c r="GK749" s="205"/>
      <c r="GL749" s="205"/>
      <c r="GM749" s="205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/>
      <c r="AO750"/>
      <c r="AP750"/>
      <c r="AQ750"/>
      <c r="AR750"/>
      <c r="AS750"/>
      <c r="AT750"/>
      <c r="AU750"/>
      <c r="AV750"/>
      <c r="AW750"/>
      <c r="FY750" s="210">
        <v>745</v>
      </c>
      <c r="FZ750" s="205"/>
      <c r="GA750" s="205"/>
      <c r="GB750" s="205"/>
      <c r="GC750" s="205"/>
      <c r="GD750" s="205"/>
      <c r="GE750" s="205"/>
      <c r="GF750" s="205"/>
      <c r="GG750" s="205"/>
      <c r="GH750" s="205"/>
      <c r="GI750" s="205"/>
      <c r="GJ750" s="205"/>
      <c r="GK750" s="205"/>
      <c r="GL750" s="205"/>
      <c r="GM750" s="205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/>
      <c r="AO751"/>
      <c r="AP751"/>
      <c r="AQ751"/>
      <c r="AR751"/>
      <c r="AS751"/>
      <c r="AT751"/>
      <c r="AU751"/>
      <c r="AV751"/>
      <c r="AW751"/>
      <c r="FY751" s="210">
        <v>746</v>
      </c>
      <c r="FZ751" s="205"/>
      <c r="GA751" s="205"/>
      <c r="GB751" s="205"/>
      <c r="GC751" s="205"/>
      <c r="GD751" s="205"/>
      <c r="GE751" s="205"/>
      <c r="GF751" s="205"/>
      <c r="GG751" s="205"/>
      <c r="GH751" s="205"/>
      <c r="GI751" s="205"/>
      <c r="GJ751" s="205"/>
      <c r="GK751" s="205"/>
      <c r="GL751" s="205"/>
      <c r="GM751" s="205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/>
      <c r="AO752"/>
      <c r="AP752"/>
      <c r="AQ752"/>
      <c r="AR752"/>
      <c r="AS752"/>
      <c r="AT752"/>
      <c r="AU752"/>
      <c r="AV752"/>
      <c r="AW752"/>
      <c r="FY752" s="210">
        <v>747</v>
      </c>
      <c r="FZ752" s="205"/>
      <c r="GA752" s="205"/>
      <c r="GB752" s="205"/>
      <c r="GC752" s="205"/>
      <c r="GD752" s="205"/>
      <c r="GE752" s="205"/>
      <c r="GF752" s="205"/>
      <c r="GG752" s="205"/>
      <c r="GH752" s="205"/>
      <c r="GI752" s="205"/>
      <c r="GJ752" s="205"/>
      <c r="GK752" s="205"/>
      <c r="GL752" s="205"/>
      <c r="GM752" s="205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/>
      <c r="AO753"/>
      <c r="AP753"/>
      <c r="AQ753"/>
      <c r="AR753"/>
      <c r="AS753"/>
      <c r="AT753"/>
      <c r="AU753"/>
      <c r="AV753"/>
      <c r="AW753"/>
      <c r="FY753" s="210">
        <v>748</v>
      </c>
      <c r="FZ753" s="205"/>
      <c r="GA753" s="205"/>
      <c r="GB753" s="205"/>
      <c r="GC753" s="205"/>
      <c r="GD753" s="205"/>
      <c r="GE753" s="205"/>
      <c r="GF753" s="205"/>
      <c r="GG753" s="205"/>
      <c r="GH753" s="205"/>
      <c r="GI753" s="205"/>
      <c r="GJ753" s="205"/>
      <c r="GK753" s="205"/>
      <c r="GL753" s="205"/>
      <c r="GM753" s="205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/>
      <c r="AO754"/>
      <c r="AP754"/>
      <c r="AQ754"/>
      <c r="AR754"/>
      <c r="AS754"/>
      <c r="AT754"/>
      <c r="AU754"/>
      <c r="AV754"/>
      <c r="AW754"/>
      <c r="FY754" s="210">
        <v>749</v>
      </c>
      <c r="FZ754" s="205"/>
      <c r="GA754" s="205"/>
      <c r="GB754" s="205"/>
      <c r="GC754" s="205"/>
      <c r="GD754" s="205"/>
      <c r="GE754" s="205"/>
      <c r="GF754" s="205"/>
      <c r="GG754" s="205"/>
      <c r="GH754" s="205"/>
      <c r="GI754" s="205"/>
      <c r="GJ754" s="205"/>
      <c r="GK754" s="205"/>
      <c r="GL754" s="205"/>
      <c r="GM754" s="205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/>
      <c r="AO755"/>
      <c r="AP755"/>
      <c r="AQ755"/>
      <c r="AR755"/>
      <c r="AS755"/>
      <c r="AT755"/>
      <c r="AU755"/>
      <c r="AV755"/>
      <c r="AW755"/>
      <c r="FY755" s="210">
        <v>750</v>
      </c>
      <c r="FZ755" s="205"/>
      <c r="GA755" s="205"/>
      <c r="GB755" s="205"/>
      <c r="GC755" s="205"/>
      <c r="GD755" s="205"/>
      <c r="GE755" s="205"/>
      <c r="GF755" s="205"/>
      <c r="GG755" s="205"/>
      <c r="GH755" s="205"/>
      <c r="GI755" s="205"/>
      <c r="GJ755" s="205"/>
      <c r="GK755" s="205"/>
      <c r="GL755" s="205"/>
      <c r="GM755" s="20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/>
      <c r="AO756"/>
      <c r="AP756"/>
      <c r="AQ756"/>
      <c r="AR756"/>
      <c r="AS756"/>
      <c r="AT756"/>
      <c r="AU756"/>
      <c r="AV756"/>
      <c r="AW756"/>
      <c r="FY756" s="210">
        <v>751</v>
      </c>
      <c r="FZ756" s="205"/>
      <c r="GA756" s="205"/>
      <c r="GB756" s="205"/>
      <c r="GC756" s="205"/>
      <c r="GD756" s="205"/>
      <c r="GE756" s="205"/>
      <c r="GF756" s="205"/>
      <c r="GG756" s="205"/>
      <c r="GH756" s="205"/>
      <c r="GI756" s="205"/>
      <c r="GJ756" s="205"/>
      <c r="GK756" s="205"/>
      <c r="GL756" s="205"/>
      <c r="GM756" s="205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/>
      <c r="AO757"/>
      <c r="AP757"/>
      <c r="AQ757"/>
      <c r="AR757"/>
      <c r="AS757"/>
      <c r="AT757"/>
      <c r="AU757"/>
      <c r="AV757"/>
      <c r="AW757"/>
      <c r="FY757" s="210">
        <v>752</v>
      </c>
      <c r="FZ757" s="205"/>
      <c r="GA757" s="205"/>
      <c r="GB757" s="205"/>
      <c r="GC757" s="205"/>
      <c r="GD757" s="205"/>
      <c r="GE757" s="205"/>
      <c r="GF757" s="205"/>
      <c r="GG757" s="205"/>
      <c r="GH757" s="205"/>
      <c r="GI757" s="205"/>
      <c r="GJ757" s="205"/>
      <c r="GK757" s="205"/>
      <c r="GL757" s="205"/>
      <c r="GM757" s="205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/>
      <c r="AO758"/>
      <c r="AP758"/>
      <c r="AQ758"/>
      <c r="AR758"/>
      <c r="AS758"/>
      <c r="AT758"/>
      <c r="AU758"/>
      <c r="AV758"/>
      <c r="AW758"/>
      <c r="FY758" s="210">
        <v>753</v>
      </c>
      <c r="FZ758" s="205"/>
      <c r="GA758" s="205"/>
      <c r="GB758" s="205"/>
      <c r="GC758" s="205"/>
      <c r="GD758" s="205"/>
      <c r="GE758" s="205"/>
      <c r="GF758" s="205"/>
      <c r="GG758" s="205"/>
      <c r="GH758" s="205"/>
      <c r="GI758" s="205"/>
      <c r="GJ758" s="205"/>
      <c r="GK758" s="205"/>
      <c r="GL758" s="205"/>
      <c r="GM758" s="205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/>
      <c r="AO759"/>
      <c r="AP759"/>
      <c r="AQ759"/>
      <c r="AR759"/>
      <c r="AS759"/>
      <c r="AT759"/>
      <c r="AU759"/>
      <c r="AV759"/>
      <c r="AW759"/>
      <c r="FY759" s="210">
        <v>754</v>
      </c>
      <c r="FZ759" s="205"/>
      <c r="GA759" s="205"/>
      <c r="GB759" s="205"/>
      <c r="GC759" s="205"/>
      <c r="GD759" s="205"/>
      <c r="GE759" s="205"/>
      <c r="GF759" s="205"/>
      <c r="GG759" s="205"/>
      <c r="GH759" s="205"/>
      <c r="GI759" s="205"/>
      <c r="GJ759" s="205"/>
      <c r="GK759" s="205"/>
      <c r="GL759" s="205"/>
      <c r="GM759" s="205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/>
      <c r="AO760"/>
      <c r="AP760"/>
      <c r="AQ760"/>
      <c r="AR760"/>
      <c r="AS760"/>
      <c r="AT760"/>
      <c r="AU760"/>
      <c r="AV760"/>
      <c r="AW760"/>
      <c r="FY760" s="210">
        <v>755</v>
      </c>
      <c r="FZ760" s="205"/>
      <c r="GA760" s="205"/>
      <c r="GB760" s="205"/>
      <c r="GC760" s="205"/>
      <c r="GD760" s="205"/>
      <c r="GE760" s="205"/>
      <c r="GF760" s="205"/>
      <c r="GG760" s="205"/>
      <c r="GH760" s="205"/>
      <c r="GI760" s="205"/>
      <c r="GJ760" s="205"/>
      <c r="GK760" s="205"/>
      <c r="GL760" s="205"/>
      <c r="GM760" s="205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/>
      <c r="AO761"/>
      <c r="AP761"/>
      <c r="AQ761"/>
      <c r="AR761"/>
      <c r="AS761"/>
      <c r="AT761"/>
      <c r="AU761"/>
      <c r="AV761"/>
      <c r="AW761"/>
      <c r="FY761" s="210">
        <v>756</v>
      </c>
      <c r="FZ761" s="205"/>
      <c r="GA761" s="205"/>
      <c r="GB761" s="205"/>
      <c r="GC761" s="205"/>
      <c r="GD761" s="205"/>
      <c r="GE761" s="205"/>
      <c r="GF761" s="205"/>
      <c r="GG761" s="205"/>
      <c r="GH761" s="205"/>
      <c r="GI761" s="205"/>
      <c r="GJ761" s="205"/>
      <c r="GK761" s="205"/>
      <c r="GL761" s="205"/>
      <c r="GM761" s="205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/>
      <c r="AO762"/>
      <c r="AP762"/>
      <c r="AQ762"/>
      <c r="AR762"/>
      <c r="AS762"/>
      <c r="AT762"/>
      <c r="AU762"/>
      <c r="AV762"/>
      <c r="AW762"/>
      <c r="FY762" s="210">
        <v>757</v>
      </c>
      <c r="FZ762" s="205"/>
      <c r="GA762" s="205"/>
      <c r="GB762" s="205"/>
      <c r="GC762" s="205"/>
      <c r="GD762" s="205"/>
      <c r="GE762" s="205"/>
      <c r="GF762" s="205"/>
      <c r="GG762" s="205"/>
      <c r="GH762" s="205"/>
      <c r="GI762" s="205"/>
      <c r="GJ762" s="205"/>
      <c r="GK762" s="205"/>
      <c r="GL762" s="205"/>
      <c r="GM762" s="205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/>
      <c r="AO763"/>
      <c r="AP763"/>
      <c r="AQ763"/>
      <c r="AR763"/>
      <c r="AS763"/>
      <c r="AT763"/>
      <c r="AU763"/>
      <c r="AV763"/>
      <c r="AW763"/>
      <c r="FY763" s="210">
        <v>758</v>
      </c>
      <c r="FZ763" s="205"/>
      <c r="GA763" s="205"/>
      <c r="GB763" s="205"/>
      <c r="GC763" s="205"/>
      <c r="GD763" s="205"/>
      <c r="GE763" s="205"/>
      <c r="GF763" s="205"/>
      <c r="GG763" s="205"/>
      <c r="GH763" s="205"/>
      <c r="GI763" s="205"/>
      <c r="GJ763" s="205"/>
      <c r="GK763" s="205"/>
      <c r="GL763" s="205"/>
      <c r="GM763" s="205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/>
      <c r="AO764"/>
      <c r="AP764"/>
      <c r="AQ764"/>
      <c r="AR764"/>
      <c r="AS764"/>
      <c r="AT764"/>
      <c r="AU764"/>
      <c r="AV764"/>
      <c r="AW764"/>
      <c r="FY764" s="210">
        <v>759</v>
      </c>
      <c r="FZ764" s="205"/>
      <c r="GA764" s="205"/>
      <c r="GB764" s="205"/>
      <c r="GC764" s="205"/>
      <c r="GD764" s="205"/>
      <c r="GE764" s="205"/>
      <c r="GF764" s="205"/>
      <c r="GG764" s="205"/>
      <c r="GH764" s="205"/>
      <c r="GI764" s="205"/>
      <c r="GJ764" s="205"/>
      <c r="GK764" s="205"/>
      <c r="GL764" s="205"/>
      <c r="GM764" s="205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/>
      <c r="AO765"/>
      <c r="AP765"/>
      <c r="AQ765"/>
      <c r="AR765"/>
      <c r="AS765"/>
      <c r="AT765"/>
      <c r="AU765"/>
      <c r="AV765"/>
      <c r="AW765"/>
      <c r="FY765" s="210">
        <v>760</v>
      </c>
      <c r="FZ765" s="205"/>
      <c r="GA765" s="205"/>
      <c r="GB765" s="205"/>
      <c r="GC765" s="205"/>
      <c r="GD765" s="205"/>
      <c r="GE765" s="205"/>
      <c r="GF765" s="205"/>
      <c r="GG765" s="205"/>
      <c r="GH765" s="205"/>
      <c r="GI765" s="205"/>
      <c r="GJ765" s="205"/>
      <c r="GK765" s="205"/>
      <c r="GL765" s="205"/>
      <c r="GM765" s="20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/>
      <c r="AO766"/>
      <c r="AP766"/>
      <c r="AQ766"/>
      <c r="AR766"/>
      <c r="AS766"/>
      <c r="AT766"/>
      <c r="AU766"/>
      <c r="AV766"/>
      <c r="AW766"/>
      <c r="FY766" s="210">
        <v>761</v>
      </c>
      <c r="FZ766" s="205"/>
      <c r="GA766" s="205"/>
      <c r="GB766" s="205"/>
      <c r="GC766" s="205"/>
      <c r="GD766" s="205"/>
      <c r="GE766" s="205"/>
      <c r="GF766" s="205"/>
      <c r="GG766" s="205"/>
      <c r="GH766" s="205"/>
      <c r="GI766" s="205"/>
      <c r="GJ766" s="205"/>
      <c r="GK766" s="205"/>
      <c r="GL766" s="205"/>
      <c r="GM766" s="205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/>
      <c r="AO767"/>
      <c r="AP767"/>
      <c r="AQ767"/>
      <c r="AR767"/>
      <c r="AS767"/>
      <c r="AT767"/>
      <c r="AU767"/>
      <c r="AV767"/>
      <c r="AW767"/>
      <c r="FY767" s="210">
        <v>762</v>
      </c>
      <c r="FZ767" s="205"/>
      <c r="GA767" s="205"/>
      <c r="GB767" s="205"/>
      <c r="GC767" s="205"/>
      <c r="GD767" s="205"/>
      <c r="GE767" s="205"/>
      <c r="GF767" s="205"/>
      <c r="GG767" s="205"/>
      <c r="GH767" s="205"/>
      <c r="GI767" s="205"/>
      <c r="GJ767" s="205"/>
      <c r="GK767" s="205"/>
      <c r="GL767" s="205"/>
      <c r="GM767" s="205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/>
      <c r="AO768"/>
      <c r="AP768"/>
      <c r="AQ768"/>
      <c r="AR768"/>
      <c r="AS768"/>
      <c r="AT768"/>
      <c r="AU768"/>
      <c r="AV768"/>
      <c r="AW768"/>
      <c r="FY768" s="210">
        <v>763</v>
      </c>
      <c r="FZ768" s="205"/>
      <c r="GA768" s="205"/>
      <c r="GB768" s="205"/>
      <c r="GC768" s="205"/>
      <c r="GD768" s="205"/>
      <c r="GE768" s="205"/>
      <c r="GF768" s="205"/>
      <c r="GG768" s="205"/>
      <c r="GH768" s="205"/>
      <c r="GI768" s="205"/>
      <c r="GJ768" s="205"/>
      <c r="GK768" s="205"/>
      <c r="GL768" s="205"/>
      <c r="GM768" s="205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/>
      <c r="AO769"/>
      <c r="AP769"/>
      <c r="AQ769"/>
      <c r="AR769"/>
      <c r="AS769"/>
      <c r="AT769"/>
      <c r="AU769"/>
      <c r="AV769"/>
      <c r="AW769"/>
      <c r="FY769" s="210">
        <v>764</v>
      </c>
      <c r="FZ769" s="205"/>
      <c r="GA769" s="205"/>
      <c r="GB769" s="205"/>
      <c r="GC769" s="205"/>
      <c r="GD769" s="205"/>
      <c r="GE769" s="205"/>
      <c r="GF769" s="205"/>
      <c r="GG769" s="205"/>
      <c r="GH769" s="205"/>
      <c r="GI769" s="205"/>
      <c r="GJ769" s="205"/>
      <c r="GK769" s="205"/>
      <c r="GL769" s="205"/>
      <c r="GM769" s="205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/>
      <c r="AO770"/>
      <c r="AP770"/>
      <c r="AQ770"/>
      <c r="AR770"/>
      <c r="AS770"/>
      <c r="AT770"/>
      <c r="AU770"/>
      <c r="AV770"/>
      <c r="AW770"/>
      <c r="FY770" s="210">
        <v>765</v>
      </c>
      <c r="FZ770" s="205"/>
      <c r="GA770" s="205"/>
      <c r="GB770" s="205"/>
      <c r="GC770" s="205"/>
      <c r="GD770" s="205"/>
      <c r="GE770" s="205"/>
      <c r="GF770" s="205"/>
      <c r="GG770" s="205"/>
      <c r="GH770" s="205"/>
      <c r="GI770" s="205"/>
      <c r="GJ770" s="205"/>
      <c r="GK770" s="205"/>
      <c r="GL770" s="205"/>
      <c r="GM770" s="205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/>
      <c r="AO771"/>
      <c r="AP771"/>
      <c r="AQ771"/>
      <c r="AR771"/>
      <c r="AS771"/>
      <c r="AT771"/>
      <c r="AU771"/>
      <c r="AV771"/>
      <c r="AW771"/>
      <c r="FY771" s="210">
        <v>766</v>
      </c>
      <c r="FZ771" s="205"/>
      <c r="GA771" s="205"/>
      <c r="GB771" s="205"/>
      <c r="GC771" s="205"/>
      <c r="GD771" s="205"/>
      <c r="GE771" s="205"/>
      <c r="GF771" s="205"/>
      <c r="GG771" s="205"/>
      <c r="GH771" s="205"/>
      <c r="GI771" s="205"/>
      <c r="GJ771" s="205"/>
      <c r="GK771" s="205"/>
      <c r="GL771" s="205"/>
      <c r="GM771" s="205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/>
      <c r="AO772"/>
      <c r="AP772"/>
      <c r="AQ772"/>
      <c r="AR772"/>
      <c r="AS772"/>
      <c r="AT772"/>
      <c r="AU772"/>
      <c r="AV772"/>
      <c r="AW772"/>
      <c r="FY772" s="210">
        <v>767</v>
      </c>
      <c r="FZ772" s="205"/>
      <c r="GA772" s="205"/>
      <c r="GB772" s="205"/>
      <c r="GC772" s="205"/>
      <c r="GD772" s="205"/>
      <c r="GE772" s="205"/>
      <c r="GF772" s="205"/>
      <c r="GG772" s="205"/>
      <c r="GH772" s="205"/>
      <c r="GI772" s="205"/>
      <c r="GJ772" s="205"/>
      <c r="GK772" s="205"/>
      <c r="GL772" s="205"/>
      <c r="GM772" s="205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/>
      <c r="AO773"/>
      <c r="AP773"/>
      <c r="AQ773"/>
      <c r="AR773"/>
      <c r="AS773"/>
      <c r="AT773"/>
      <c r="AU773"/>
      <c r="AV773"/>
      <c r="AW773"/>
      <c r="FY773" s="210">
        <v>768</v>
      </c>
      <c r="FZ773" s="205"/>
      <c r="GA773" s="205"/>
      <c r="GB773" s="205"/>
      <c r="GC773" s="205"/>
      <c r="GD773" s="205"/>
      <c r="GE773" s="205"/>
      <c r="GF773" s="205"/>
      <c r="GG773" s="205"/>
      <c r="GH773" s="205"/>
      <c r="GI773" s="205"/>
      <c r="GJ773" s="205"/>
      <c r="GK773" s="205"/>
      <c r="GL773" s="205"/>
      <c r="GM773" s="205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/>
      <c r="AO774"/>
      <c r="AP774"/>
      <c r="AQ774"/>
      <c r="AR774"/>
      <c r="AS774"/>
      <c r="AT774"/>
      <c r="AU774"/>
      <c r="AV774"/>
      <c r="AW774"/>
      <c r="FY774" s="210">
        <v>769</v>
      </c>
      <c r="FZ774" s="205"/>
      <c r="GA774" s="205"/>
      <c r="GB774" s="205"/>
      <c r="GC774" s="205"/>
      <c r="GD774" s="205"/>
      <c r="GE774" s="205"/>
      <c r="GF774" s="205"/>
      <c r="GG774" s="205"/>
      <c r="GH774" s="205"/>
      <c r="GI774" s="205"/>
      <c r="GJ774" s="205"/>
      <c r="GK774" s="205"/>
      <c r="GL774" s="205"/>
      <c r="GM774" s="205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/>
      <c r="AO775"/>
      <c r="AP775"/>
      <c r="AQ775"/>
      <c r="AR775"/>
      <c r="AS775"/>
      <c r="AT775"/>
      <c r="AU775"/>
      <c r="AV775"/>
      <c r="AW775"/>
      <c r="FY775" s="210">
        <v>770</v>
      </c>
      <c r="FZ775" s="205"/>
      <c r="GA775" s="205"/>
      <c r="GB775" s="205"/>
      <c r="GC775" s="205"/>
      <c r="GD775" s="205"/>
      <c r="GE775" s="205"/>
      <c r="GF775" s="205"/>
      <c r="GG775" s="205"/>
      <c r="GH775" s="205"/>
      <c r="GI775" s="205"/>
      <c r="GJ775" s="205"/>
      <c r="GK775" s="205"/>
      <c r="GL775" s="205"/>
      <c r="GM775" s="20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/>
      <c r="AO776"/>
      <c r="AP776"/>
      <c r="AQ776"/>
      <c r="AR776"/>
      <c r="AS776"/>
      <c r="AT776"/>
      <c r="AU776"/>
      <c r="AV776"/>
      <c r="AW776"/>
      <c r="FY776" s="210">
        <v>771</v>
      </c>
      <c r="FZ776" s="205"/>
      <c r="GA776" s="205"/>
      <c r="GB776" s="205"/>
      <c r="GC776" s="205"/>
      <c r="GD776" s="205"/>
      <c r="GE776" s="205"/>
      <c r="GF776" s="205"/>
      <c r="GG776" s="205"/>
      <c r="GH776" s="205"/>
      <c r="GI776" s="205"/>
      <c r="GJ776" s="205"/>
      <c r="GK776" s="205"/>
      <c r="GL776" s="205"/>
      <c r="GM776" s="205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/>
      <c r="AO777"/>
      <c r="AP777"/>
      <c r="AQ777"/>
      <c r="AR777"/>
      <c r="AS777"/>
      <c r="AT777"/>
      <c r="AU777"/>
      <c r="AV777"/>
      <c r="AW777"/>
      <c r="FY777" s="210">
        <v>772</v>
      </c>
      <c r="FZ777" s="205"/>
      <c r="GA777" s="205"/>
      <c r="GB777" s="205"/>
      <c r="GC777" s="205"/>
      <c r="GD777" s="205"/>
      <c r="GE777" s="205"/>
      <c r="GF777" s="205"/>
      <c r="GG777" s="205"/>
      <c r="GH777" s="205"/>
      <c r="GI777" s="205"/>
      <c r="GJ777" s="205"/>
      <c r="GK777" s="205"/>
      <c r="GL777" s="205"/>
      <c r="GM777" s="205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/>
      <c r="AO778"/>
      <c r="AP778"/>
      <c r="AQ778"/>
      <c r="AR778"/>
      <c r="AS778"/>
      <c r="AT778"/>
      <c r="AU778"/>
      <c r="AV778"/>
      <c r="AW778"/>
      <c r="FY778" s="210">
        <v>773</v>
      </c>
      <c r="FZ778" s="205"/>
      <c r="GA778" s="205"/>
      <c r="GB778" s="205"/>
      <c r="GC778" s="205"/>
      <c r="GD778" s="205"/>
      <c r="GE778" s="205"/>
      <c r="GF778" s="205"/>
      <c r="GG778" s="205"/>
      <c r="GH778" s="205"/>
      <c r="GI778" s="205"/>
      <c r="GJ778" s="205"/>
      <c r="GK778" s="205"/>
      <c r="GL778" s="205"/>
      <c r="GM778" s="205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/>
      <c r="AO779"/>
      <c r="AP779"/>
      <c r="AQ779"/>
      <c r="AR779"/>
      <c r="AS779"/>
      <c r="AT779"/>
      <c r="AU779"/>
      <c r="AV779"/>
      <c r="AW779"/>
      <c r="FY779" s="210">
        <v>774</v>
      </c>
      <c r="FZ779" s="205"/>
      <c r="GA779" s="205"/>
      <c r="GB779" s="205"/>
      <c r="GC779" s="205"/>
      <c r="GD779" s="205"/>
      <c r="GE779" s="205"/>
      <c r="GF779" s="205"/>
      <c r="GG779" s="205"/>
      <c r="GH779" s="205"/>
      <c r="GI779" s="205"/>
      <c r="GJ779" s="205"/>
      <c r="GK779" s="205"/>
      <c r="GL779" s="205"/>
      <c r="GM779" s="205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/>
      <c r="AO780"/>
      <c r="AP780"/>
      <c r="AQ780"/>
      <c r="AR780"/>
      <c r="AS780"/>
      <c r="AT780"/>
      <c r="AU780"/>
      <c r="AV780"/>
      <c r="AW780"/>
      <c r="FY780" s="210">
        <v>775</v>
      </c>
      <c r="FZ780" s="205"/>
      <c r="GA780" s="205"/>
      <c r="GB780" s="205"/>
      <c r="GC780" s="205"/>
      <c r="GD780" s="205"/>
      <c r="GE780" s="205"/>
      <c r="GF780" s="205"/>
      <c r="GG780" s="205"/>
      <c r="GH780" s="205"/>
      <c r="GI780" s="205"/>
      <c r="GJ780" s="205"/>
      <c r="GK780" s="205"/>
      <c r="GL780" s="205"/>
      <c r="GM780" s="205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/>
      <c r="AO781"/>
      <c r="AP781"/>
      <c r="AQ781"/>
      <c r="AR781"/>
      <c r="AS781"/>
      <c r="AT781"/>
      <c r="AU781"/>
      <c r="AV781"/>
      <c r="AW781"/>
      <c r="FY781" s="210">
        <v>776</v>
      </c>
      <c r="FZ781" s="205"/>
      <c r="GA781" s="205"/>
      <c r="GB781" s="205"/>
      <c r="GC781" s="205"/>
      <c r="GD781" s="205"/>
      <c r="GE781" s="205"/>
      <c r="GF781" s="205"/>
      <c r="GG781" s="205"/>
      <c r="GH781" s="205"/>
      <c r="GI781" s="205"/>
      <c r="GJ781" s="205"/>
      <c r="GK781" s="205"/>
      <c r="GL781" s="205"/>
      <c r="GM781" s="205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/>
      <c r="AO782"/>
      <c r="AP782"/>
      <c r="AQ782"/>
      <c r="AR782"/>
      <c r="AS782"/>
      <c r="AT782"/>
      <c r="AU782"/>
      <c r="AV782"/>
      <c r="AW782"/>
      <c r="FY782" s="210">
        <v>777</v>
      </c>
      <c r="FZ782" s="205"/>
      <c r="GA782" s="205"/>
      <c r="GB782" s="205"/>
      <c r="GC782" s="205"/>
      <c r="GD782" s="205"/>
      <c r="GE782" s="205"/>
      <c r="GF782" s="205"/>
      <c r="GG782" s="205"/>
      <c r="GH782" s="205"/>
      <c r="GI782" s="205"/>
      <c r="GJ782" s="205"/>
      <c r="GK782" s="205"/>
      <c r="GL782" s="205"/>
      <c r="GM782" s="205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/>
      <c r="AO783"/>
      <c r="AP783"/>
      <c r="AQ783"/>
      <c r="AR783"/>
      <c r="AS783"/>
      <c r="AT783"/>
      <c r="AU783"/>
      <c r="AV783"/>
      <c r="AW783"/>
      <c r="FY783" s="210">
        <v>778</v>
      </c>
      <c r="FZ783" s="205"/>
      <c r="GA783" s="205"/>
      <c r="GB783" s="205"/>
      <c r="GC783" s="205"/>
      <c r="GD783" s="205"/>
      <c r="GE783" s="205"/>
      <c r="GF783" s="205"/>
      <c r="GG783" s="205"/>
      <c r="GH783" s="205"/>
      <c r="GI783" s="205"/>
      <c r="GJ783" s="205"/>
      <c r="GK783" s="205"/>
      <c r="GL783" s="205"/>
      <c r="GM783" s="205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/>
      <c r="AO784"/>
      <c r="AP784"/>
      <c r="AQ784"/>
      <c r="AR784"/>
      <c r="AS784"/>
      <c r="AT784"/>
      <c r="AU784"/>
      <c r="AV784"/>
      <c r="AW784"/>
      <c r="FY784" s="210">
        <v>779</v>
      </c>
      <c r="FZ784" s="205"/>
      <c r="GA784" s="205"/>
      <c r="GB784" s="205"/>
      <c r="GC784" s="205"/>
      <c r="GD784" s="205"/>
      <c r="GE784" s="205"/>
      <c r="GF784" s="205"/>
      <c r="GG784" s="205"/>
      <c r="GH784" s="205"/>
      <c r="GI784" s="205"/>
      <c r="GJ784" s="205"/>
      <c r="GK784" s="205"/>
      <c r="GL784" s="205"/>
      <c r="GM784" s="205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/>
      <c r="AO785"/>
      <c r="AP785"/>
      <c r="AQ785"/>
      <c r="AR785"/>
      <c r="AS785"/>
      <c r="AT785"/>
      <c r="AU785"/>
      <c r="AV785"/>
      <c r="AW785"/>
      <c r="FY785" s="210">
        <v>780</v>
      </c>
      <c r="FZ785" s="205"/>
      <c r="GA785" s="205"/>
      <c r="GB785" s="205"/>
      <c r="GC785" s="205"/>
      <c r="GD785" s="205"/>
      <c r="GE785" s="205"/>
      <c r="GF785" s="205"/>
      <c r="GG785" s="205"/>
      <c r="GH785" s="205"/>
      <c r="GI785" s="205"/>
      <c r="GJ785" s="205"/>
      <c r="GK785" s="205"/>
      <c r="GL785" s="205"/>
      <c r="GM785" s="20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/>
      <c r="AO786"/>
      <c r="AP786"/>
      <c r="AQ786"/>
      <c r="AR786"/>
      <c r="AS786"/>
      <c r="AT786"/>
      <c r="AU786"/>
      <c r="AV786"/>
      <c r="AW786"/>
      <c r="FY786" s="210">
        <v>781</v>
      </c>
      <c r="FZ786" s="205"/>
      <c r="GA786" s="205"/>
      <c r="GB786" s="205"/>
      <c r="GC786" s="205"/>
      <c r="GD786" s="205"/>
      <c r="GE786" s="205"/>
      <c r="GF786" s="205"/>
      <c r="GG786" s="205"/>
      <c r="GH786" s="205"/>
      <c r="GI786" s="205"/>
      <c r="GJ786" s="205"/>
      <c r="GK786" s="205"/>
      <c r="GL786" s="205"/>
      <c r="GM786" s="205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/>
      <c r="AO787"/>
      <c r="AP787"/>
      <c r="AQ787"/>
      <c r="AR787"/>
      <c r="AS787"/>
      <c r="AT787"/>
      <c r="AU787"/>
      <c r="AV787"/>
      <c r="AW787"/>
      <c r="FY787" s="210">
        <v>782</v>
      </c>
      <c r="FZ787" s="205"/>
      <c r="GA787" s="205"/>
      <c r="GB787" s="205"/>
      <c r="GC787" s="205"/>
      <c r="GD787" s="205"/>
      <c r="GE787" s="205"/>
      <c r="GF787" s="205"/>
      <c r="GG787" s="205"/>
      <c r="GH787" s="205"/>
      <c r="GI787" s="205"/>
      <c r="GJ787" s="205"/>
      <c r="GK787" s="205"/>
      <c r="GL787" s="205"/>
      <c r="GM787" s="205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/>
      <c r="AO788"/>
      <c r="AP788"/>
      <c r="AQ788"/>
      <c r="AR788"/>
      <c r="AS788"/>
      <c r="AT788"/>
      <c r="AU788"/>
      <c r="AV788"/>
      <c r="AW788"/>
      <c r="FY788" s="210">
        <v>783</v>
      </c>
      <c r="FZ788" s="205"/>
      <c r="GA788" s="205"/>
      <c r="GB788" s="205"/>
      <c r="GC788" s="205"/>
      <c r="GD788" s="205"/>
      <c r="GE788" s="205"/>
      <c r="GF788" s="205"/>
      <c r="GG788" s="205"/>
      <c r="GH788" s="205"/>
      <c r="GI788" s="205"/>
      <c r="GJ788" s="205"/>
      <c r="GK788" s="205"/>
      <c r="GL788" s="205"/>
      <c r="GM788" s="205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/>
      <c r="AO789"/>
      <c r="AP789"/>
      <c r="AQ789"/>
      <c r="AR789"/>
      <c r="AS789"/>
      <c r="AT789"/>
      <c r="AU789"/>
      <c r="AV789"/>
      <c r="AW789"/>
      <c r="FY789" s="210">
        <v>784</v>
      </c>
      <c r="FZ789" s="205"/>
      <c r="GA789" s="205"/>
      <c r="GB789" s="205"/>
      <c r="GC789" s="205"/>
      <c r="GD789" s="205"/>
      <c r="GE789" s="205"/>
      <c r="GF789" s="205"/>
      <c r="GG789" s="205"/>
      <c r="GH789" s="205"/>
      <c r="GI789" s="205"/>
      <c r="GJ789" s="205"/>
      <c r="GK789" s="205"/>
      <c r="GL789" s="205"/>
      <c r="GM789" s="205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/>
      <c r="AO790"/>
      <c r="AP790"/>
      <c r="AQ790"/>
      <c r="AR790"/>
      <c r="AS790"/>
      <c r="AT790"/>
      <c r="AU790"/>
      <c r="AV790"/>
      <c r="AW790"/>
      <c r="FY790" s="210">
        <v>785</v>
      </c>
      <c r="FZ790" s="205"/>
      <c r="GA790" s="205"/>
      <c r="GB790" s="205"/>
      <c r="GC790" s="205"/>
      <c r="GD790" s="205"/>
      <c r="GE790" s="205"/>
      <c r="GF790" s="205"/>
      <c r="GG790" s="205"/>
      <c r="GH790" s="205"/>
      <c r="GI790" s="205"/>
      <c r="GJ790" s="205"/>
      <c r="GK790" s="205"/>
      <c r="GL790" s="205"/>
      <c r="GM790" s="205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/>
      <c r="AO791"/>
      <c r="AP791"/>
      <c r="AQ791"/>
      <c r="AR791"/>
      <c r="AS791"/>
      <c r="AT791"/>
      <c r="AU791"/>
      <c r="AV791"/>
      <c r="AW791"/>
      <c r="FY791" s="210">
        <v>786</v>
      </c>
      <c r="FZ791" s="205"/>
      <c r="GA791" s="205"/>
      <c r="GB791" s="205"/>
      <c r="GC791" s="205"/>
      <c r="GD791" s="205"/>
      <c r="GE791" s="205"/>
      <c r="GF791" s="205"/>
      <c r="GG791" s="205"/>
      <c r="GH791" s="205"/>
      <c r="GI791" s="205"/>
      <c r="GJ791" s="205"/>
      <c r="GK791" s="205"/>
      <c r="GL791" s="205"/>
      <c r="GM791" s="205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/>
      <c r="AO792"/>
      <c r="AP792"/>
      <c r="AQ792"/>
      <c r="AR792"/>
      <c r="AS792"/>
      <c r="AT792"/>
      <c r="AU792"/>
      <c r="AV792"/>
      <c r="AW792"/>
      <c r="FY792" s="210">
        <v>787</v>
      </c>
      <c r="FZ792" s="205"/>
      <c r="GA792" s="205"/>
      <c r="GB792" s="205"/>
      <c r="GC792" s="205"/>
      <c r="GD792" s="205"/>
      <c r="GE792" s="205"/>
      <c r="GF792" s="205"/>
      <c r="GG792" s="205"/>
      <c r="GH792" s="205"/>
      <c r="GI792" s="205"/>
      <c r="GJ792" s="205"/>
      <c r="GK792" s="205"/>
      <c r="GL792" s="205"/>
      <c r="GM792" s="205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/>
      <c r="AO793"/>
      <c r="AP793"/>
      <c r="AQ793"/>
      <c r="AR793"/>
      <c r="AS793"/>
      <c r="AT793"/>
      <c r="AU793"/>
      <c r="AV793"/>
      <c r="AW793"/>
      <c r="FY793" s="210">
        <v>788</v>
      </c>
      <c r="FZ793" s="205"/>
      <c r="GA793" s="205"/>
      <c r="GB793" s="205"/>
      <c r="GC793" s="205"/>
      <c r="GD793" s="205"/>
      <c r="GE793" s="205"/>
      <c r="GF793" s="205"/>
      <c r="GG793" s="205"/>
      <c r="GH793" s="205"/>
      <c r="GI793" s="205"/>
      <c r="GJ793" s="205"/>
      <c r="GK793" s="205"/>
      <c r="GL793" s="205"/>
      <c r="GM793" s="205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/>
      <c r="AO794"/>
      <c r="AP794"/>
      <c r="AQ794"/>
      <c r="AR794"/>
      <c r="AS794"/>
      <c r="AT794"/>
      <c r="AU794"/>
      <c r="AV794"/>
      <c r="AW794"/>
      <c r="FY794" s="210">
        <v>789</v>
      </c>
      <c r="FZ794" s="205"/>
      <c r="GA794" s="205"/>
      <c r="GB794" s="205"/>
      <c r="GC794" s="205"/>
      <c r="GD794" s="205"/>
      <c r="GE794" s="205"/>
      <c r="GF794" s="205"/>
      <c r="GG794" s="205"/>
      <c r="GH794" s="205"/>
      <c r="GI794" s="205"/>
      <c r="GJ794" s="205"/>
      <c r="GK794" s="205"/>
      <c r="GL794" s="205"/>
      <c r="GM794" s="205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/>
      <c r="AO795"/>
      <c r="AP795"/>
      <c r="AQ795"/>
      <c r="AR795"/>
      <c r="AS795"/>
      <c r="AT795"/>
      <c r="AU795"/>
      <c r="AV795"/>
      <c r="AW795"/>
      <c r="FY795" s="210">
        <v>790</v>
      </c>
      <c r="FZ795" s="205"/>
      <c r="GA795" s="205"/>
      <c r="GB795" s="205"/>
      <c r="GC795" s="205"/>
      <c r="GD795" s="205"/>
      <c r="GE795" s="205"/>
      <c r="GF795" s="205"/>
      <c r="GG795" s="205"/>
      <c r="GH795" s="205"/>
      <c r="GI795" s="205"/>
      <c r="GJ795" s="205"/>
      <c r="GK795" s="205"/>
      <c r="GL795" s="205"/>
      <c r="GM795" s="20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/>
      <c r="AO796"/>
      <c r="AP796"/>
      <c r="AQ796"/>
      <c r="AR796"/>
      <c r="AS796"/>
      <c r="AT796"/>
      <c r="AU796"/>
      <c r="AV796"/>
      <c r="AW796"/>
      <c r="FY796" s="210">
        <v>791</v>
      </c>
      <c r="FZ796" s="205"/>
      <c r="GA796" s="205"/>
      <c r="GB796" s="205"/>
      <c r="GC796" s="205"/>
      <c r="GD796" s="205"/>
      <c r="GE796" s="205"/>
      <c r="GF796" s="205"/>
      <c r="GG796" s="205"/>
      <c r="GH796" s="205"/>
      <c r="GI796" s="205"/>
      <c r="GJ796" s="205"/>
      <c r="GK796" s="205"/>
      <c r="GL796" s="205"/>
      <c r="GM796" s="205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/>
      <c r="AO797"/>
      <c r="AP797"/>
      <c r="AQ797"/>
      <c r="AR797"/>
      <c r="AS797"/>
      <c r="AT797"/>
      <c r="AU797"/>
      <c r="AV797"/>
      <c r="AW797"/>
      <c r="FY797" s="210">
        <v>792</v>
      </c>
      <c r="FZ797" s="205"/>
      <c r="GA797" s="205"/>
      <c r="GB797" s="205"/>
      <c r="GC797" s="205"/>
      <c r="GD797" s="205"/>
      <c r="GE797" s="205"/>
      <c r="GF797" s="205"/>
      <c r="GG797" s="205"/>
      <c r="GH797" s="205"/>
      <c r="GI797" s="205"/>
      <c r="GJ797" s="205"/>
      <c r="GK797" s="205"/>
      <c r="GL797" s="205"/>
      <c r="GM797" s="205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/>
      <c r="AO798"/>
      <c r="AP798"/>
      <c r="AQ798"/>
      <c r="AR798"/>
      <c r="AS798"/>
      <c r="AT798"/>
      <c r="AU798"/>
      <c r="AV798"/>
      <c r="AW798"/>
      <c r="FY798" s="210">
        <v>793</v>
      </c>
      <c r="FZ798" s="205"/>
      <c r="GA798" s="205"/>
      <c r="GB798" s="205"/>
      <c r="GC798" s="205"/>
      <c r="GD798" s="205"/>
      <c r="GE798" s="205"/>
      <c r="GF798" s="205"/>
      <c r="GG798" s="205"/>
      <c r="GH798" s="205"/>
      <c r="GI798" s="205"/>
      <c r="GJ798" s="205"/>
      <c r="GK798" s="205"/>
      <c r="GL798" s="205"/>
      <c r="GM798" s="205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/>
      <c r="AO799"/>
      <c r="AP799"/>
      <c r="AQ799"/>
      <c r="AR799"/>
      <c r="AS799"/>
      <c r="AT799"/>
      <c r="AU799"/>
      <c r="AV799"/>
      <c r="AW799"/>
      <c r="FY799" s="210">
        <v>794</v>
      </c>
      <c r="FZ799" s="205"/>
      <c r="GA799" s="205"/>
      <c r="GB799" s="205"/>
      <c r="GC799" s="205"/>
      <c r="GD799" s="205"/>
      <c r="GE799" s="205"/>
      <c r="GF799" s="205"/>
      <c r="GG799" s="205"/>
      <c r="GH799" s="205"/>
      <c r="GI799" s="205"/>
      <c r="GJ799" s="205"/>
      <c r="GK799" s="205"/>
      <c r="GL799" s="205"/>
      <c r="GM799" s="205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/>
      <c r="AO800"/>
      <c r="AP800"/>
      <c r="AQ800"/>
      <c r="AR800"/>
      <c r="AS800"/>
      <c r="AT800"/>
      <c r="AU800"/>
      <c r="AV800"/>
      <c r="AW800"/>
      <c r="FY800" s="210">
        <v>795</v>
      </c>
      <c r="FZ800" s="205"/>
      <c r="GA800" s="205"/>
      <c r="GB800" s="205"/>
      <c r="GC800" s="205"/>
      <c r="GD800" s="205"/>
      <c r="GE800" s="205"/>
      <c r="GF800" s="205"/>
      <c r="GG800" s="205"/>
      <c r="GH800" s="205"/>
      <c r="GI800" s="205"/>
      <c r="GJ800" s="205"/>
      <c r="GK800" s="205"/>
      <c r="GL800" s="205"/>
      <c r="GM800" s="205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/>
      <c r="AO801"/>
      <c r="AP801"/>
      <c r="AQ801"/>
      <c r="AR801"/>
      <c r="AS801"/>
      <c r="AT801"/>
      <c r="AU801"/>
      <c r="AV801"/>
      <c r="AW801"/>
      <c r="FY801" s="210">
        <v>796</v>
      </c>
      <c r="FZ801" s="205"/>
      <c r="GA801" s="205"/>
      <c r="GB801" s="205"/>
      <c r="GC801" s="205"/>
      <c r="GD801" s="205"/>
      <c r="GE801" s="205"/>
      <c r="GF801" s="205"/>
      <c r="GG801" s="205"/>
      <c r="GH801" s="205"/>
      <c r="GI801" s="205"/>
      <c r="GJ801" s="205"/>
      <c r="GK801" s="205"/>
      <c r="GL801" s="205"/>
      <c r="GM801" s="205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/>
      <c r="AO802"/>
      <c r="AP802"/>
      <c r="AQ802"/>
      <c r="AR802"/>
      <c r="AS802"/>
      <c r="AT802"/>
      <c r="AU802"/>
      <c r="AV802"/>
      <c r="AW802"/>
      <c r="FY802" s="210">
        <v>797</v>
      </c>
      <c r="FZ802" s="205"/>
      <c r="GA802" s="205"/>
      <c r="GB802" s="205"/>
      <c r="GC802" s="205"/>
      <c r="GD802" s="205"/>
      <c r="GE802" s="205"/>
      <c r="GF802" s="205"/>
      <c r="GG802" s="205"/>
      <c r="GH802" s="205"/>
      <c r="GI802" s="205"/>
      <c r="GJ802" s="205"/>
      <c r="GK802" s="205"/>
      <c r="GL802" s="205"/>
      <c r="GM802" s="205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/>
      <c r="AO803"/>
      <c r="AP803"/>
      <c r="AQ803"/>
      <c r="AR803"/>
      <c r="AS803"/>
      <c r="AT803"/>
      <c r="AU803"/>
      <c r="AV803"/>
      <c r="AW803"/>
      <c r="FY803" s="210">
        <v>798</v>
      </c>
      <c r="FZ803" s="205"/>
      <c r="GA803" s="205"/>
      <c r="GB803" s="205"/>
      <c r="GC803" s="205"/>
      <c r="GD803" s="205"/>
      <c r="GE803" s="205"/>
      <c r="GF803" s="205"/>
      <c r="GG803" s="205"/>
      <c r="GH803" s="205"/>
      <c r="GI803" s="205"/>
      <c r="GJ803" s="205"/>
      <c r="GK803" s="205"/>
      <c r="GL803" s="205"/>
      <c r="GM803" s="205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/>
      <c r="AO804"/>
      <c r="AP804"/>
      <c r="AQ804"/>
      <c r="AR804"/>
      <c r="AS804"/>
      <c r="AT804"/>
      <c r="AU804"/>
      <c r="AV804"/>
      <c r="AW804"/>
      <c r="FY804" s="210">
        <v>799</v>
      </c>
      <c r="FZ804" s="205"/>
      <c r="GA804" s="205"/>
      <c r="GB804" s="205"/>
      <c r="GC804" s="205"/>
      <c r="GD804" s="205"/>
      <c r="GE804" s="205"/>
      <c r="GF804" s="205"/>
      <c r="GG804" s="205"/>
      <c r="GH804" s="205"/>
      <c r="GI804" s="205"/>
      <c r="GJ804" s="205"/>
      <c r="GK804" s="205"/>
      <c r="GL804" s="205"/>
      <c r="GM804" s="205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/>
      <c r="AO805"/>
      <c r="AP805"/>
      <c r="AQ805"/>
      <c r="AR805"/>
      <c r="AS805"/>
      <c r="AT805"/>
      <c r="AU805"/>
      <c r="AV805"/>
      <c r="AW805"/>
      <c r="FY805" s="210">
        <v>800</v>
      </c>
      <c r="FZ805" s="205"/>
      <c r="GA805" s="205"/>
      <c r="GB805" s="205"/>
      <c r="GC805" s="205"/>
      <c r="GD805" s="205"/>
      <c r="GE805" s="205"/>
      <c r="GF805" s="205"/>
      <c r="GG805" s="205"/>
      <c r="GH805" s="205"/>
      <c r="GI805" s="205"/>
      <c r="GJ805" s="205"/>
      <c r="GK805" s="205"/>
      <c r="GL805" s="205"/>
      <c r="GM805" s="2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/>
      <c r="AO806"/>
      <c r="AP806"/>
      <c r="AQ806"/>
      <c r="AR806"/>
      <c r="AS806"/>
      <c r="AT806"/>
      <c r="AU806"/>
      <c r="AV806"/>
      <c r="AW806"/>
      <c r="FY806" s="210">
        <v>801</v>
      </c>
      <c r="FZ806" s="205"/>
      <c r="GA806" s="205"/>
      <c r="GB806" s="205"/>
      <c r="GC806" s="205"/>
      <c r="GD806" s="205"/>
      <c r="GE806" s="205"/>
      <c r="GF806" s="205"/>
      <c r="GG806" s="205"/>
      <c r="GH806" s="205"/>
      <c r="GI806" s="205"/>
      <c r="GJ806" s="205"/>
      <c r="GK806" s="205"/>
      <c r="GL806" s="205"/>
      <c r="GM806" s="205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/>
      <c r="AO807"/>
      <c r="AP807"/>
      <c r="AQ807"/>
      <c r="AR807"/>
      <c r="AS807"/>
      <c r="AT807"/>
      <c r="AU807"/>
      <c r="AV807"/>
      <c r="AW807"/>
      <c r="FY807" s="210">
        <v>802</v>
      </c>
      <c r="FZ807" s="205"/>
      <c r="GA807" s="205"/>
      <c r="GB807" s="205"/>
      <c r="GC807" s="205"/>
      <c r="GD807" s="205"/>
      <c r="GE807" s="205"/>
      <c r="GF807" s="205"/>
      <c r="GG807" s="205"/>
      <c r="GH807" s="205"/>
      <c r="GI807" s="205"/>
      <c r="GJ807" s="205"/>
      <c r="GK807" s="205"/>
      <c r="GL807" s="205"/>
      <c r="GM807" s="205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/>
      <c r="AO808"/>
      <c r="AP808"/>
      <c r="AQ808"/>
      <c r="AR808"/>
      <c r="AS808"/>
      <c r="AT808"/>
      <c r="AU808"/>
      <c r="AV808"/>
      <c r="AW808"/>
      <c r="FY808" s="210">
        <v>803</v>
      </c>
      <c r="FZ808" s="205"/>
      <c r="GA808" s="205"/>
      <c r="GB808" s="205"/>
      <c r="GC808" s="205"/>
      <c r="GD808" s="205"/>
      <c r="GE808" s="205"/>
      <c r="GF808" s="205"/>
      <c r="GG808" s="205"/>
      <c r="GH808" s="205"/>
      <c r="GI808" s="205"/>
      <c r="GJ808" s="205"/>
      <c r="GK808" s="205"/>
      <c r="GL808" s="205"/>
      <c r="GM808" s="205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/>
      <c r="AO809"/>
      <c r="AP809"/>
      <c r="AQ809"/>
      <c r="AR809"/>
      <c r="AS809"/>
      <c r="AT809"/>
      <c r="AU809"/>
      <c r="AV809"/>
      <c r="AW809"/>
      <c r="FY809" s="210">
        <v>804</v>
      </c>
      <c r="FZ809" s="205"/>
      <c r="GA809" s="205"/>
      <c r="GB809" s="205"/>
      <c r="GC809" s="205"/>
      <c r="GD809" s="205"/>
      <c r="GE809" s="205"/>
      <c r="GF809" s="205"/>
      <c r="GG809" s="205"/>
      <c r="GH809" s="205"/>
      <c r="GI809" s="205"/>
      <c r="GJ809" s="205"/>
      <c r="GK809" s="205"/>
      <c r="GL809" s="205"/>
      <c r="GM809" s="205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/>
      <c r="AO810"/>
      <c r="AP810"/>
      <c r="AQ810"/>
      <c r="AR810"/>
      <c r="AS810"/>
      <c r="AT810"/>
      <c r="AU810"/>
      <c r="AV810"/>
      <c r="AW810"/>
      <c r="FY810" s="210">
        <v>805</v>
      </c>
      <c r="FZ810" s="205"/>
      <c r="GA810" s="205"/>
      <c r="GB810" s="205"/>
      <c r="GC810" s="205"/>
      <c r="GD810" s="205"/>
      <c r="GE810" s="205"/>
      <c r="GF810" s="205"/>
      <c r="GG810" s="205"/>
      <c r="GH810" s="205"/>
      <c r="GI810" s="205"/>
      <c r="GJ810" s="205"/>
      <c r="GK810" s="205"/>
      <c r="GL810" s="205"/>
      <c r="GM810" s="205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/>
      <c r="AO811"/>
      <c r="AP811"/>
      <c r="AQ811"/>
      <c r="AR811"/>
      <c r="AS811"/>
      <c r="AT811"/>
      <c r="AU811"/>
      <c r="AV811"/>
      <c r="AW811"/>
      <c r="FY811" s="210">
        <v>806</v>
      </c>
      <c r="FZ811" s="205"/>
      <c r="GA811" s="205"/>
      <c r="GB811" s="205"/>
      <c r="GC811" s="205"/>
      <c r="GD811" s="205"/>
      <c r="GE811" s="205"/>
      <c r="GF811" s="205"/>
      <c r="GG811" s="205"/>
      <c r="GH811" s="205"/>
      <c r="GI811" s="205"/>
      <c r="GJ811" s="205"/>
      <c r="GK811" s="205"/>
      <c r="GL811" s="205"/>
      <c r="GM811" s="205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/>
      <c r="AO812"/>
      <c r="AP812"/>
      <c r="AQ812"/>
      <c r="AR812"/>
      <c r="AS812"/>
      <c r="AT812"/>
      <c r="AU812"/>
      <c r="AV812"/>
      <c r="AW812"/>
      <c r="FY812" s="210">
        <v>807</v>
      </c>
      <c r="FZ812" s="205"/>
      <c r="GA812" s="205"/>
      <c r="GB812" s="205"/>
      <c r="GC812" s="205"/>
      <c r="GD812" s="205"/>
      <c r="GE812" s="205"/>
      <c r="GF812" s="205"/>
      <c r="GG812" s="205"/>
      <c r="GH812" s="205"/>
      <c r="GI812" s="205"/>
      <c r="GJ812" s="205"/>
      <c r="GK812" s="205"/>
      <c r="GL812" s="205"/>
      <c r="GM812" s="205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/>
      <c r="AO813"/>
      <c r="AP813"/>
      <c r="AQ813"/>
      <c r="AR813"/>
      <c r="AS813"/>
      <c r="AT813"/>
      <c r="AU813"/>
      <c r="AV813"/>
      <c r="AW813"/>
      <c r="FY813" s="210">
        <v>808</v>
      </c>
      <c r="FZ813" s="205"/>
      <c r="GA813" s="205"/>
      <c r="GB813" s="205"/>
      <c r="GC813" s="205"/>
      <c r="GD813" s="205"/>
      <c r="GE813" s="205"/>
      <c r="GF813" s="205"/>
      <c r="GG813" s="205"/>
      <c r="GH813" s="205"/>
      <c r="GI813" s="205"/>
      <c r="GJ813" s="205"/>
      <c r="GK813" s="205"/>
      <c r="GL813" s="205"/>
      <c r="GM813" s="205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/>
      <c r="AO814"/>
      <c r="AP814"/>
      <c r="AQ814"/>
      <c r="AR814"/>
      <c r="AS814"/>
      <c r="AT814"/>
      <c r="AU814"/>
      <c r="AV814"/>
      <c r="AW814"/>
      <c r="FY814" s="210">
        <v>809</v>
      </c>
      <c r="FZ814" s="205"/>
      <c r="GA814" s="205"/>
      <c r="GB814" s="205"/>
      <c r="GC814" s="205"/>
      <c r="GD814" s="205"/>
      <c r="GE814" s="205"/>
      <c r="GF814" s="205"/>
      <c r="GG814" s="205"/>
      <c r="GH814" s="205"/>
      <c r="GI814" s="205"/>
      <c r="GJ814" s="205"/>
      <c r="GK814" s="205"/>
      <c r="GL814" s="205"/>
      <c r="GM814" s="205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/>
      <c r="AO815"/>
      <c r="AP815"/>
      <c r="AQ815"/>
      <c r="AR815"/>
      <c r="AS815"/>
      <c r="AT815"/>
      <c r="AU815"/>
      <c r="AV815"/>
      <c r="AW815"/>
      <c r="FY815" s="210">
        <v>810</v>
      </c>
      <c r="FZ815" s="205"/>
      <c r="GA815" s="205"/>
      <c r="GB815" s="205"/>
      <c r="GC815" s="205"/>
      <c r="GD815" s="205"/>
      <c r="GE815" s="205"/>
      <c r="GF815" s="205"/>
      <c r="GG815" s="205"/>
      <c r="GH815" s="205"/>
      <c r="GI815" s="205"/>
      <c r="GJ815" s="205"/>
      <c r="GK815" s="205"/>
      <c r="GL815" s="205"/>
      <c r="GM815" s="20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/>
      <c r="AO816"/>
      <c r="AP816"/>
      <c r="AQ816"/>
      <c r="AR816"/>
      <c r="AS816"/>
      <c r="AT816"/>
      <c r="AU816"/>
      <c r="AV816"/>
      <c r="AW816"/>
      <c r="FY816" s="210">
        <v>811</v>
      </c>
      <c r="FZ816" s="205"/>
      <c r="GA816" s="205"/>
      <c r="GB816" s="205"/>
      <c r="GC816" s="205"/>
      <c r="GD816" s="205"/>
      <c r="GE816" s="205"/>
      <c r="GF816" s="205"/>
      <c r="GG816" s="205"/>
      <c r="GH816" s="205"/>
      <c r="GI816" s="205"/>
      <c r="GJ816" s="205"/>
      <c r="GK816" s="205"/>
      <c r="GL816" s="205"/>
      <c r="GM816" s="205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/>
      <c r="AO817"/>
      <c r="AP817"/>
      <c r="AQ817"/>
      <c r="AR817"/>
      <c r="AS817"/>
      <c r="AT817"/>
      <c r="AU817"/>
      <c r="AV817"/>
      <c r="AW817"/>
      <c r="FY817" s="210">
        <v>812</v>
      </c>
      <c r="FZ817" s="205"/>
      <c r="GA817" s="205"/>
      <c r="GB817" s="205"/>
      <c r="GC817" s="205"/>
      <c r="GD817" s="205"/>
      <c r="GE817" s="205"/>
      <c r="GF817" s="205"/>
      <c r="GG817" s="205"/>
      <c r="GH817" s="205"/>
      <c r="GI817" s="205"/>
      <c r="GJ817" s="205"/>
      <c r="GK817" s="205"/>
      <c r="GL817" s="205"/>
      <c r="GM817" s="205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/>
      <c r="AO818"/>
      <c r="AP818"/>
      <c r="AQ818"/>
      <c r="AR818"/>
      <c r="AS818"/>
      <c r="AT818"/>
      <c r="AU818"/>
      <c r="AV818"/>
      <c r="AW818"/>
      <c r="FY818" s="210">
        <v>813</v>
      </c>
      <c r="FZ818" s="205"/>
      <c r="GA818" s="205"/>
      <c r="GB818" s="205"/>
      <c r="GC818" s="205"/>
      <c r="GD818" s="205"/>
      <c r="GE818" s="205"/>
      <c r="GF818" s="205"/>
      <c r="GG818" s="205"/>
      <c r="GH818" s="205"/>
      <c r="GI818" s="205"/>
      <c r="GJ818" s="205"/>
      <c r="GK818" s="205"/>
      <c r="GL818" s="205"/>
      <c r="GM818" s="205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/>
      <c r="AO819"/>
      <c r="AP819"/>
      <c r="AQ819"/>
      <c r="AR819"/>
      <c r="AS819"/>
      <c r="AT819"/>
      <c r="AU819"/>
      <c r="AV819"/>
      <c r="AW819"/>
      <c r="FY819" s="210">
        <v>814</v>
      </c>
      <c r="FZ819" s="205"/>
      <c r="GA819" s="205"/>
      <c r="GB819" s="205"/>
      <c r="GC819" s="205"/>
      <c r="GD819" s="205"/>
      <c r="GE819" s="205"/>
      <c r="GF819" s="205"/>
      <c r="GG819" s="205"/>
      <c r="GH819" s="205"/>
      <c r="GI819" s="205"/>
      <c r="GJ819" s="205"/>
      <c r="GK819" s="205"/>
      <c r="GL819" s="205"/>
      <c r="GM819" s="205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/>
      <c r="AO820"/>
      <c r="AP820"/>
      <c r="AQ820"/>
      <c r="AR820"/>
      <c r="AS820"/>
      <c r="AT820"/>
      <c r="AU820"/>
      <c r="AV820"/>
      <c r="AW820"/>
      <c r="FY820" s="210">
        <v>815</v>
      </c>
      <c r="FZ820" s="205"/>
      <c r="GA820" s="205"/>
      <c r="GB820" s="205"/>
      <c r="GC820" s="205"/>
      <c r="GD820" s="205"/>
      <c r="GE820" s="205"/>
      <c r="GF820" s="205"/>
      <c r="GG820" s="205"/>
      <c r="GH820" s="205"/>
      <c r="GI820" s="205"/>
      <c r="GJ820" s="205"/>
      <c r="GK820" s="205"/>
      <c r="GL820" s="205"/>
      <c r="GM820" s="205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/>
      <c r="AO821"/>
      <c r="AP821"/>
      <c r="AQ821"/>
      <c r="AR821"/>
      <c r="AS821"/>
      <c r="AT821"/>
      <c r="AU821"/>
      <c r="AV821"/>
      <c r="AW821"/>
      <c r="FY821" s="210">
        <v>816</v>
      </c>
      <c r="FZ821" s="205"/>
      <c r="GA821" s="205"/>
      <c r="GB821" s="205"/>
      <c r="GC821" s="205"/>
      <c r="GD821" s="205"/>
      <c r="GE821" s="205"/>
      <c r="GF821" s="205"/>
      <c r="GG821" s="205"/>
      <c r="GH821" s="205"/>
      <c r="GI821" s="205"/>
      <c r="GJ821" s="205"/>
      <c r="GK821" s="205"/>
      <c r="GL821" s="205"/>
      <c r="GM821" s="205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/>
      <c r="AO822"/>
      <c r="AP822"/>
      <c r="AQ822"/>
      <c r="AR822"/>
      <c r="AS822"/>
      <c r="AT822"/>
      <c r="AU822"/>
      <c r="AV822"/>
      <c r="AW822"/>
      <c r="FY822" s="210">
        <v>817</v>
      </c>
      <c r="FZ822" s="205"/>
      <c r="GA822" s="205"/>
      <c r="GB822" s="205"/>
      <c r="GC822" s="205"/>
      <c r="GD822" s="205"/>
      <c r="GE822" s="205"/>
      <c r="GF822" s="205"/>
      <c r="GG822" s="205"/>
      <c r="GH822" s="205"/>
      <c r="GI822" s="205"/>
      <c r="GJ822" s="205"/>
      <c r="GK822" s="205"/>
      <c r="GL822" s="205"/>
      <c r="GM822" s="205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/>
      <c r="AO823"/>
      <c r="AP823"/>
      <c r="AQ823"/>
      <c r="AR823"/>
      <c r="AS823"/>
      <c r="AT823"/>
      <c r="AU823"/>
      <c r="AV823"/>
      <c r="AW823"/>
      <c r="FY823" s="210">
        <v>818</v>
      </c>
      <c r="FZ823" s="205"/>
      <c r="GA823" s="205"/>
      <c r="GB823" s="205"/>
      <c r="GC823" s="205"/>
      <c r="GD823" s="205"/>
      <c r="GE823" s="205"/>
      <c r="GF823" s="205"/>
      <c r="GG823" s="205"/>
      <c r="GH823" s="205"/>
      <c r="GI823" s="205"/>
      <c r="GJ823" s="205"/>
      <c r="GK823" s="205"/>
      <c r="GL823" s="205"/>
      <c r="GM823" s="205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/>
      <c r="AO824"/>
      <c r="AP824"/>
      <c r="AQ824"/>
      <c r="AR824"/>
      <c r="AS824"/>
      <c r="AT824"/>
      <c r="AU824"/>
      <c r="AV824"/>
      <c r="AW824"/>
      <c r="FY824" s="210">
        <v>819</v>
      </c>
      <c r="FZ824" s="205"/>
      <c r="GA824" s="205"/>
      <c r="GB824" s="205"/>
      <c r="GC824" s="205"/>
      <c r="GD824" s="205"/>
      <c r="GE824" s="205"/>
      <c r="GF824" s="205"/>
      <c r="GG824" s="205"/>
      <c r="GH824" s="205"/>
      <c r="GI824" s="205"/>
      <c r="GJ824" s="205"/>
      <c r="GK824" s="205"/>
      <c r="GL824" s="205"/>
      <c r="GM824" s="205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/>
      <c r="AO825"/>
      <c r="AP825"/>
      <c r="AQ825"/>
      <c r="AR825"/>
      <c r="AS825"/>
      <c r="AT825"/>
      <c r="AU825"/>
      <c r="AV825"/>
      <c r="AW825"/>
      <c r="FY825" s="210">
        <v>820</v>
      </c>
      <c r="FZ825" s="205"/>
      <c r="GA825" s="205"/>
      <c r="GB825" s="205"/>
      <c r="GC825" s="205"/>
      <c r="GD825" s="205"/>
      <c r="GE825" s="205"/>
      <c r="GF825" s="205"/>
      <c r="GG825" s="205"/>
      <c r="GH825" s="205"/>
      <c r="GI825" s="205"/>
      <c r="GJ825" s="205"/>
      <c r="GK825" s="205"/>
      <c r="GL825" s="205"/>
      <c r="GM825" s="20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/>
      <c r="AO826"/>
      <c r="AP826"/>
      <c r="AQ826"/>
      <c r="AR826"/>
      <c r="AS826"/>
      <c r="AT826"/>
      <c r="AU826"/>
      <c r="AV826"/>
      <c r="AW826"/>
      <c r="FY826" s="210">
        <v>821</v>
      </c>
      <c r="FZ826" s="205"/>
      <c r="GA826" s="205"/>
      <c r="GB826" s="205"/>
      <c r="GC826" s="205"/>
      <c r="GD826" s="205"/>
      <c r="GE826" s="205"/>
      <c r="GF826" s="205"/>
      <c r="GG826" s="205"/>
      <c r="GH826" s="205"/>
      <c r="GI826" s="205"/>
      <c r="GJ826" s="205"/>
      <c r="GK826" s="205"/>
      <c r="GL826" s="205"/>
      <c r="GM826" s="205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/>
      <c r="AO827"/>
      <c r="AP827"/>
      <c r="AQ827"/>
      <c r="AR827"/>
      <c r="AS827"/>
      <c r="AT827"/>
      <c r="AU827"/>
      <c r="AV827"/>
      <c r="AW827"/>
      <c r="FY827" s="210">
        <v>822</v>
      </c>
      <c r="FZ827" s="205"/>
      <c r="GA827" s="205"/>
      <c r="GB827" s="205"/>
      <c r="GC827" s="205"/>
      <c r="GD827" s="205"/>
      <c r="GE827" s="205"/>
      <c r="GF827" s="205"/>
      <c r="GG827" s="205"/>
      <c r="GH827" s="205"/>
      <c r="GI827" s="205"/>
      <c r="GJ827" s="205"/>
      <c r="GK827" s="205"/>
      <c r="GL827" s="205"/>
      <c r="GM827" s="205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/>
      <c r="AO828"/>
      <c r="AP828"/>
      <c r="AQ828"/>
      <c r="AR828"/>
      <c r="AS828"/>
      <c r="AT828"/>
      <c r="AU828"/>
      <c r="AV828"/>
      <c r="AW828"/>
      <c r="FY828" s="210">
        <v>823</v>
      </c>
      <c r="FZ828" s="205"/>
      <c r="GA828" s="205"/>
      <c r="GB828" s="205"/>
      <c r="GC828" s="205"/>
      <c r="GD828" s="205"/>
      <c r="GE828" s="205"/>
      <c r="GF828" s="205"/>
      <c r="GG828" s="205"/>
      <c r="GH828" s="205"/>
      <c r="GI828" s="205"/>
      <c r="GJ828" s="205"/>
      <c r="GK828" s="205"/>
      <c r="GL828" s="205"/>
      <c r="GM828" s="205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/>
      <c r="AO829"/>
      <c r="AP829"/>
      <c r="AQ829"/>
      <c r="AR829"/>
      <c r="AS829"/>
      <c r="AT829"/>
      <c r="AU829"/>
      <c r="AV829"/>
      <c r="AW829"/>
      <c r="FY829" s="210">
        <v>824</v>
      </c>
      <c r="FZ829" s="205"/>
      <c r="GA829" s="205"/>
      <c r="GB829" s="205"/>
      <c r="GC829" s="205"/>
      <c r="GD829" s="205"/>
      <c r="GE829" s="205"/>
      <c r="GF829" s="205"/>
      <c r="GG829" s="205"/>
      <c r="GH829" s="205"/>
      <c r="GI829" s="205"/>
      <c r="GJ829" s="205"/>
      <c r="GK829" s="205"/>
      <c r="GL829" s="205"/>
      <c r="GM829" s="205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/>
      <c r="AO830"/>
      <c r="AP830"/>
      <c r="AQ830"/>
      <c r="AR830"/>
      <c r="AS830"/>
      <c r="AT830"/>
      <c r="AU830"/>
      <c r="AV830"/>
      <c r="AW830"/>
      <c r="FY830" s="210">
        <v>825</v>
      </c>
      <c r="FZ830" s="205"/>
      <c r="GA830" s="205"/>
      <c r="GB830" s="205"/>
      <c r="GC830" s="205"/>
      <c r="GD830" s="205"/>
      <c r="GE830" s="205"/>
      <c r="GF830" s="205"/>
      <c r="GG830" s="205"/>
      <c r="GH830" s="205"/>
      <c r="GI830" s="205"/>
      <c r="GJ830" s="205"/>
      <c r="GK830" s="205"/>
      <c r="GL830" s="205"/>
      <c r="GM830" s="205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/>
      <c r="AO831"/>
      <c r="AP831"/>
      <c r="AQ831"/>
      <c r="AR831"/>
      <c r="AS831"/>
      <c r="AT831"/>
      <c r="AU831"/>
      <c r="AV831"/>
      <c r="AW831"/>
      <c r="FY831" s="210">
        <v>826</v>
      </c>
      <c r="FZ831" s="205"/>
      <c r="GA831" s="205"/>
      <c r="GB831" s="205"/>
      <c r="GC831" s="205"/>
      <c r="GD831" s="205"/>
      <c r="GE831" s="205"/>
      <c r="GF831" s="205"/>
      <c r="GG831" s="205"/>
      <c r="GH831" s="205"/>
      <c r="GI831" s="205"/>
      <c r="GJ831" s="205"/>
      <c r="GK831" s="205"/>
      <c r="GL831" s="205"/>
      <c r="GM831" s="205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/>
      <c r="AO832"/>
      <c r="AP832"/>
      <c r="AQ832"/>
      <c r="AR832"/>
      <c r="AS832"/>
      <c r="AT832"/>
      <c r="AU832"/>
      <c r="AV832"/>
      <c r="AW832"/>
      <c r="FY832" s="210">
        <v>827</v>
      </c>
      <c r="FZ832" s="205"/>
      <c r="GA832" s="205"/>
      <c r="GB832" s="205"/>
      <c r="GC832" s="205"/>
      <c r="GD832" s="205"/>
      <c r="GE832" s="205"/>
      <c r="GF832" s="205"/>
      <c r="GG832" s="205"/>
      <c r="GH832" s="205"/>
      <c r="GI832" s="205"/>
      <c r="GJ832" s="205"/>
      <c r="GK832" s="205"/>
      <c r="GL832" s="205"/>
      <c r="GM832" s="205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/>
      <c r="AO833"/>
      <c r="AP833"/>
      <c r="AQ833"/>
      <c r="AR833"/>
      <c r="AS833"/>
      <c r="AT833"/>
      <c r="AU833"/>
      <c r="AV833"/>
      <c r="AW833"/>
      <c r="FY833" s="210">
        <v>828</v>
      </c>
      <c r="FZ833" s="205"/>
      <c r="GA833" s="205"/>
      <c r="GB833" s="205"/>
      <c r="GC833" s="205"/>
      <c r="GD833" s="205"/>
      <c r="GE833" s="205"/>
      <c r="GF833" s="205"/>
      <c r="GG833" s="205"/>
      <c r="GH833" s="205"/>
      <c r="GI833" s="205"/>
      <c r="GJ833" s="205"/>
      <c r="GK833" s="205"/>
      <c r="GL833" s="205"/>
      <c r="GM833" s="205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/>
      <c r="AO834"/>
      <c r="AP834"/>
      <c r="AQ834"/>
      <c r="AR834"/>
      <c r="AS834"/>
      <c r="AT834"/>
      <c r="AU834"/>
      <c r="AV834"/>
      <c r="AW834"/>
      <c r="FY834" s="210">
        <v>829</v>
      </c>
      <c r="FZ834" s="205"/>
      <c r="GA834" s="205"/>
      <c r="GB834" s="205"/>
      <c r="GC834" s="205"/>
      <c r="GD834" s="205"/>
      <c r="GE834" s="205"/>
      <c r="GF834" s="205"/>
      <c r="GG834" s="205"/>
      <c r="GH834" s="205"/>
      <c r="GI834" s="205"/>
      <c r="GJ834" s="205"/>
      <c r="GK834" s="205"/>
      <c r="GL834" s="205"/>
      <c r="GM834" s="205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/>
      <c r="AO835"/>
      <c r="AP835"/>
      <c r="AQ835"/>
      <c r="AR835"/>
      <c r="AS835"/>
      <c r="AT835"/>
      <c r="AU835"/>
      <c r="AV835"/>
      <c r="AW835"/>
      <c r="FY835" s="210">
        <v>830</v>
      </c>
      <c r="FZ835" s="205"/>
      <c r="GA835" s="205"/>
      <c r="GB835" s="205"/>
      <c r="GC835" s="205"/>
      <c r="GD835" s="205"/>
      <c r="GE835" s="205"/>
      <c r="GF835" s="205"/>
      <c r="GG835" s="205"/>
      <c r="GH835" s="205"/>
      <c r="GI835" s="205"/>
      <c r="GJ835" s="205"/>
      <c r="GK835" s="205"/>
      <c r="GL835" s="205"/>
      <c r="GM835" s="20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/>
      <c r="AO836"/>
      <c r="AP836"/>
      <c r="AQ836"/>
      <c r="AR836"/>
      <c r="AS836"/>
      <c r="AT836"/>
      <c r="AU836"/>
      <c r="AV836"/>
      <c r="AW836"/>
      <c r="FY836" s="210">
        <v>831</v>
      </c>
      <c r="FZ836" s="205"/>
      <c r="GA836" s="205"/>
      <c r="GB836" s="205"/>
      <c r="GC836" s="205"/>
      <c r="GD836" s="205"/>
      <c r="GE836" s="205"/>
      <c r="GF836" s="205"/>
      <c r="GG836" s="205"/>
      <c r="GH836" s="205"/>
      <c r="GI836" s="205"/>
      <c r="GJ836" s="205"/>
      <c r="GK836" s="205"/>
      <c r="GL836" s="205"/>
      <c r="GM836" s="205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/>
      <c r="AO837"/>
      <c r="AP837"/>
      <c r="AQ837"/>
      <c r="AR837"/>
      <c r="AS837"/>
      <c r="AT837"/>
      <c r="AU837"/>
      <c r="AV837"/>
      <c r="AW837"/>
      <c r="FY837" s="210">
        <v>832</v>
      </c>
      <c r="FZ837" s="205"/>
      <c r="GA837" s="205"/>
      <c r="GB837" s="205"/>
      <c r="GC837" s="205"/>
      <c r="GD837" s="205"/>
      <c r="GE837" s="205"/>
      <c r="GF837" s="205"/>
      <c r="GG837" s="205"/>
      <c r="GH837" s="205"/>
      <c r="GI837" s="205"/>
      <c r="GJ837" s="205"/>
      <c r="GK837" s="205"/>
      <c r="GL837" s="205"/>
      <c r="GM837" s="205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/>
      <c r="AO838"/>
      <c r="AP838"/>
      <c r="AQ838"/>
      <c r="AR838"/>
      <c r="AS838"/>
      <c r="AT838"/>
      <c r="AU838"/>
      <c r="AV838"/>
      <c r="AW838"/>
      <c r="FY838" s="210">
        <v>833</v>
      </c>
      <c r="FZ838" s="205"/>
      <c r="GA838" s="205"/>
      <c r="GB838" s="205"/>
      <c r="GC838" s="205"/>
      <c r="GD838" s="205"/>
      <c r="GE838" s="205"/>
      <c r="GF838" s="205"/>
      <c r="GG838" s="205"/>
      <c r="GH838" s="205"/>
      <c r="GI838" s="205"/>
      <c r="GJ838" s="205"/>
      <c r="GK838" s="205"/>
      <c r="GL838" s="205"/>
      <c r="GM838" s="205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/>
      <c r="AO839"/>
      <c r="AP839"/>
      <c r="AQ839"/>
      <c r="AR839"/>
      <c r="AS839"/>
      <c r="AT839"/>
      <c r="AU839"/>
      <c r="AV839"/>
      <c r="AW839"/>
      <c r="FY839" s="210">
        <v>834</v>
      </c>
      <c r="FZ839" s="205"/>
      <c r="GA839" s="205"/>
      <c r="GB839" s="205"/>
      <c r="GC839" s="205"/>
      <c r="GD839" s="205"/>
      <c r="GE839" s="205"/>
      <c r="GF839" s="205"/>
      <c r="GG839" s="205"/>
      <c r="GH839" s="205"/>
      <c r="GI839" s="205"/>
      <c r="GJ839" s="205"/>
      <c r="GK839" s="205"/>
      <c r="GL839" s="205"/>
      <c r="GM839" s="205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/>
      <c r="AO840"/>
      <c r="AP840"/>
      <c r="AQ840"/>
      <c r="AR840"/>
      <c r="AS840"/>
      <c r="AT840"/>
      <c r="AU840"/>
      <c r="AV840"/>
      <c r="AW840"/>
      <c r="FY840" s="210">
        <v>835</v>
      </c>
      <c r="FZ840" s="205"/>
      <c r="GA840" s="205"/>
      <c r="GB840" s="205"/>
      <c r="GC840" s="205"/>
      <c r="GD840" s="205"/>
      <c r="GE840" s="205"/>
      <c r="GF840" s="205"/>
      <c r="GG840" s="205"/>
      <c r="GH840" s="205"/>
      <c r="GI840" s="205"/>
      <c r="GJ840" s="205"/>
      <c r="GK840" s="205"/>
      <c r="GL840" s="205"/>
      <c r="GM840" s="205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/>
      <c r="AO841"/>
      <c r="AP841"/>
      <c r="AQ841"/>
      <c r="AR841"/>
      <c r="AS841"/>
      <c r="AT841"/>
      <c r="AU841"/>
      <c r="AV841"/>
      <c r="AW841"/>
      <c r="FY841" s="210">
        <v>836</v>
      </c>
      <c r="FZ841" s="205"/>
      <c r="GA841" s="205"/>
      <c r="GB841" s="205"/>
      <c r="GC841" s="205"/>
      <c r="GD841" s="205"/>
      <c r="GE841" s="205"/>
      <c r="GF841" s="205"/>
      <c r="GG841" s="205"/>
      <c r="GH841" s="205"/>
      <c r="GI841" s="205"/>
      <c r="GJ841" s="205"/>
      <c r="GK841" s="205"/>
      <c r="GL841" s="205"/>
      <c r="GM841" s="205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/>
      <c r="AO842"/>
      <c r="AP842"/>
      <c r="AQ842"/>
      <c r="AR842"/>
      <c r="AS842"/>
      <c r="AT842"/>
      <c r="AU842"/>
      <c r="AV842"/>
      <c r="AW842"/>
      <c r="FY842" s="210">
        <v>837</v>
      </c>
      <c r="FZ842" s="205"/>
      <c r="GA842" s="205"/>
      <c r="GB842" s="205"/>
      <c r="GC842" s="205"/>
      <c r="GD842" s="205"/>
      <c r="GE842" s="205"/>
      <c r="GF842" s="205"/>
      <c r="GG842" s="205"/>
      <c r="GH842" s="205"/>
      <c r="GI842" s="205"/>
      <c r="GJ842" s="205"/>
      <c r="GK842" s="205"/>
      <c r="GL842" s="205"/>
      <c r="GM842" s="205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/>
      <c r="AO843"/>
      <c r="AP843"/>
      <c r="AQ843"/>
      <c r="AR843"/>
      <c r="AS843"/>
      <c r="AT843"/>
      <c r="AU843"/>
      <c r="AV843"/>
      <c r="AW843"/>
      <c r="FY843" s="210">
        <v>838</v>
      </c>
      <c r="FZ843" s="205"/>
      <c r="GA843" s="205"/>
      <c r="GB843" s="205"/>
      <c r="GC843" s="205"/>
      <c r="GD843" s="205"/>
      <c r="GE843" s="205"/>
      <c r="GF843" s="205"/>
      <c r="GG843" s="205"/>
      <c r="GH843" s="205"/>
      <c r="GI843" s="205"/>
      <c r="GJ843" s="205"/>
      <c r="GK843" s="205"/>
      <c r="GL843" s="205"/>
      <c r="GM843" s="205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/>
      <c r="AO844"/>
      <c r="AP844"/>
      <c r="AQ844"/>
      <c r="AR844"/>
      <c r="AS844"/>
      <c r="AT844"/>
      <c r="AU844"/>
      <c r="AV844"/>
      <c r="AW844"/>
      <c r="FY844" s="210">
        <v>839</v>
      </c>
      <c r="FZ844" s="205"/>
      <c r="GA844" s="205"/>
      <c r="GB844" s="205"/>
      <c r="GC844" s="205"/>
      <c r="GD844" s="205"/>
      <c r="GE844" s="205"/>
      <c r="GF844" s="205"/>
      <c r="GG844" s="205"/>
      <c r="GH844" s="205"/>
      <c r="GI844" s="205"/>
      <c r="GJ844" s="205"/>
      <c r="GK844" s="205"/>
      <c r="GL844" s="205"/>
      <c r="GM844" s="205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/>
      <c r="AO845"/>
      <c r="AP845"/>
      <c r="AQ845"/>
      <c r="AR845"/>
      <c r="AS845"/>
      <c r="AT845"/>
      <c r="AU845"/>
      <c r="AV845"/>
      <c r="AW845"/>
      <c r="FY845" s="210">
        <v>840</v>
      </c>
      <c r="FZ845" s="205"/>
      <c r="GA845" s="205"/>
      <c r="GB845" s="205"/>
      <c r="GC845" s="205"/>
      <c r="GD845" s="205"/>
      <c r="GE845" s="205"/>
      <c r="GF845" s="205"/>
      <c r="GG845" s="205"/>
      <c r="GH845" s="205"/>
      <c r="GI845" s="205"/>
      <c r="GJ845" s="205"/>
      <c r="GK845" s="205"/>
      <c r="GL845" s="205"/>
      <c r="GM845" s="20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/>
      <c r="AO846"/>
      <c r="AP846"/>
      <c r="AQ846"/>
      <c r="AR846"/>
      <c r="AS846"/>
      <c r="AT846"/>
      <c r="AU846"/>
      <c r="AV846"/>
      <c r="AW846"/>
      <c r="FY846" s="210">
        <v>841</v>
      </c>
      <c r="FZ846" s="205"/>
      <c r="GA846" s="205"/>
      <c r="GB846" s="205"/>
      <c r="GC846" s="205"/>
      <c r="GD846" s="205"/>
      <c r="GE846" s="205"/>
      <c r="GF846" s="205"/>
      <c r="GG846" s="205"/>
      <c r="GH846" s="205"/>
      <c r="GI846" s="205"/>
      <c r="GJ846" s="205"/>
      <c r="GK846" s="205"/>
      <c r="GL846" s="205"/>
      <c r="GM846" s="205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/>
      <c r="AO847"/>
      <c r="AP847"/>
      <c r="AQ847"/>
      <c r="AR847"/>
      <c r="AS847"/>
      <c r="AT847"/>
      <c r="AU847"/>
      <c r="AV847"/>
      <c r="AW847"/>
      <c r="FY847" s="210">
        <v>842</v>
      </c>
      <c r="FZ847" s="205"/>
      <c r="GA847" s="205"/>
      <c r="GB847" s="205"/>
      <c r="GC847" s="205"/>
      <c r="GD847" s="205"/>
      <c r="GE847" s="205"/>
      <c r="GF847" s="205"/>
      <c r="GG847" s="205"/>
      <c r="GH847" s="205"/>
      <c r="GI847" s="205"/>
      <c r="GJ847" s="205"/>
      <c r="GK847" s="205"/>
      <c r="GL847" s="205"/>
      <c r="GM847" s="205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/>
      <c r="AO848"/>
      <c r="AP848"/>
      <c r="AQ848"/>
      <c r="AR848"/>
      <c r="AS848"/>
      <c r="AT848"/>
      <c r="AU848"/>
      <c r="AV848"/>
      <c r="AW848"/>
      <c r="FY848" s="210">
        <v>843</v>
      </c>
      <c r="FZ848" s="205"/>
      <c r="GA848" s="205"/>
      <c r="GB848" s="205"/>
      <c r="GC848" s="205"/>
      <c r="GD848" s="205"/>
      <c r="GE848" s="205"/>
      <c r="GF848" s="205"/>
      <c r="GG848" s="205"/>
      <c r="GH848" s="205"/>
      <c r="GI848" s="205"/>
      <c r="GJ848" s="205"/>
      <c r="GK848" s="205"/>
      <c r="GL848" s="205"/>
      <c r="GM848" s="205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/>
      <c r="AO849"/>
      <c r="AP849"/>
      <c r="AQ849"/>
      <c r="AR849"/>
      <c r="AS849"/>
      <c r="AT849"/>
      <c r="AU849"/>
      <c r="AV849"/>
      <c r="AW849"/>
      <c r="FY849" s="210">
        <v>844</v>
      </c>
      <c r="FZ849" s="205"/>
      <c r="GA849" s="205"/>
      <c r="GB849" s="205"/>
      <c r="GC849" s="205"/>
      <c r="GD849" s="205"/>
      <c r="GE849" s="205"/>
      <c r="GF849" s="205"/>
      <c r="GG849" s="205"/>
      <c r="GH849" s="205"/>
      <c r="GI849" s="205"/>
      <c r="GJ849" s="205"/>
      <c r="GK849" s="205"/>
      <c r="GL849" s="205"/>
      <c r="GM849" s="205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/>
      <c r="AO850"/>
      <c r="AP850"/>
      <c r="AQ850"/>
      <c r="AR850"/>
      <c r="AS850"/>
      <c r="AT850"/>
      <c r="AU850"/>
      <c r="AV850"/>
      <c r="AW850"/>
      <c r="FY850" s="210">
        <v>845</v>
      </c>
      <c r="FZ850" s="205"/>
      <c r="GA850" s="205"/>
      <c r="GB850" s="205"/>
      <c r="GC850" s="205"/>
      <c r="GD850" s="205"/>
      <c r="GE850" s="205"/>
      <c r="GF850" s="205"/>
      <c r="GG850" s="205"/>
      <c r="GH850" s="205"/>
      <c r="GI850" s="205"/>
      <c r="GJ850" s="205"/>
      <c r="GK850" s="205"/>
      <c r="GL850" s="205"/>
      <c r="GM850" s="205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/>
      <c r="AO851"/>
      <c r="AP851"/>
      <c r="AQ851"/>
      <c r="AR851"/>
      <c r="AS851"/>
      <c r="AT851"/>
      <c r="AU851"/>
      <c r="AV851"/>
      <c r="AW851"/>
      <c r="FY851" s="210">
        <v>846</v>
      </c>
      <c r="FZ851" s="205"/>
      <c r="GA851" s="205"/>
      <c r="GB851" s="205"/>
      <c r="GC851" s="205"/>
      <c r="GD851" s="205"/>
      <c r="GE851" s="205"/>
      <c r="GF851" s="205"/>
      <c r="GG851" s="205"/>
      <c r="GH851" s="205"/>
      <c r="GI851" s="205"/>
      <c r="GJ851" s="205"/>
      <c r="GK851" s="205"/>
      <c r="GL851" s="205"/>
      <c r="GM851" s="205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/>
      <c r="AO852"/>
      <c r="AP852"/>
      <c r="AQ852"/>
      <c r="AR852"/>
      <c r="AS852"/>
      <c r="AT852"/>
      <c r="AU852"/>
      <c r="AV852"/>
      <c r="AW852"/>
      <c r="FY852" s="210">
        <v>847</v>
      </c>
      <c r="FZ852" s="205"/>
      <c r="GA852" s="205"/>
      <c r="GB852" s="205"/>
      <c r="GC852" s="205"/>
      <c r="GD852" s="205"/>
      <c r="GE852" s="205"/>
      <c r="GF852" s="205"/>
      <c r="GG852" s="205"/>
      <c r="GH852" s="205"/>
      <c r="GI852" s="205"/>
      <c r="GJ852" s="205"/>
      <c r="GK852" s="205"/>
      <c r="GL852" s="205"/>
      <c r="GM852" s="205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/>
      <c r="AO853"/>
      <c r="AP853"/>
      <c r="AQ853"/>
      <c r="AR853"/>
      <c r="AS853"/>
      <c r="AT853"/>
      <c r="AU853"/>
      <c r="AV853"/>
      <c r="AW853"/>
      <c r="FY853" s="210">
        <v>848</v>
      </c>
      <c r="FZ853" s="205"/>
      <c r="GA853" s="205"/>
      <c r="GB853" s="205"/>
      <c r="GC853" s="205"/>
      <c r="GD853" s="205"/>
      <c r="GE853" s="205"/>
      <c r="GF853" s="205"/>
      <c r="GG853" s="205"/>
      <c r="GH853" s="205"/>
      <c r="GI853" s="205"/>
      <c r="GJ853" s="205"/>
      <c r="GK853" s="205"/>
      <c r="GL853" s="205"/>
      <c r="GM853" s="205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/>
      <c r="AO854"/>
      <c r="AP854"/>
      <c r="AQ854"/>
      <c r="AR854"/>
      <c r="AS854"/>
      <c r="AT854"/>
      <c r="AU854"/>
      <c r="AV854"/>
      <c r="AW854"/>
      <c r="FY854" s="210">
        <v>849</v>
      </c>
      <c r="FZ854" s="205"/>
      <c r="GA854" s="205"/>
      <c r="GB854" s="205"/>
      <c r="GC854" s="205"/>
      <c r="GD854" s="205"/>
      <c r="GE854" s="205"/>
      <c r="GF854" s="205"/>
      <c r="GG854" s="205"/>
      <c r="GH854" s="205"/>
      <c r="GI854" s="205"/>
      <c r="GJ854" s="205"/>
      <c r="GK854" s="205"/>
      <c r="GL854" s="205"/>
      <c r="GM854" s="205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/>
      <c r="AO855"/>
      <c r="AP855"/>
      <c r="AQ855"/>
      <c r="AR855"/>
      <c r="AS855"/>
      <c r="AT855"/>
      <c r="AU855"/>
      <c r="AV855"/>
      <c r="AW855"/>
      <c r="FY855" s="210">
        <v>850</v>
      </c>
      <c r="FZ855" s="205"/>
      <c r="GA855" s="205"/>
      <c r="GB855" s="205"/>
      <c r="GC855" s="205"/>
      <c r="GD855" s="205"/>
      <c r="GE855" s="205"/>
      <c r="GF855" s="205"/>
      <c r="GG855" s="205"/>
      <c r="GH855" s="205"/>
      <c r="GI855" s="205"/>
      <c r="GJ855" s="205"/>
      <c r="GK855" s="205"/>
      <c r="GL855" s="205"/>
      <c r="GM855" s="20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/>
      <c r="AO856"/>
      <c r="AP856"/>
      <c r="AQ856"/>
      <c r="AR856"/>
      <c r="AS856"/>
      <c r="AT856"/>
      <c r="AU856"/>
      <c r="AV856"/>
      <c r="AW856"/>
      <c r="FY856" s="210">
        <v>851</v>
      </c>
      <c r="FZ856" s="205"/>
      <c r="GA856" s="205"/>
      <c r="GB856" s="205"/>
      <c r="GC856" s="205"/>
      <c r="GD856" s="205"/>
      <c r="GE856" s="205"/>
      <c r="GF856" s="205"/>
      <c r="GG856" s="205"/>
      <c r="GH856" s="205"/>
      <c r="GI856" s="205"/>
      <c r="GJ856" s="205"/>
      <c r="GK856" s="205"/>
      <c r="GL856" s="205"/>
      <c r="GM856" s="205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/>
      <c r="AO857"/>
      <c r="AP857"/>
      <c r="AQ857"/>
      <c r="AR857"/>
      <c r="AS857"/>
      <c r="AT857"/>
      <c r="AU857"/>
      <c r="AV857"/>
      <c r="AW857"/>
      <c r="FY857" s="210">
        <v>852</v>
      </c>
      <c r="FZ857" s="205"/>
      <c r="GA857" s="205"/>
      <c r="GB857" s="205"/>
      <c r="GC857" s="205"/>
      <c r="GD857" s="205"/>
      <c r="GE857" s="205"/>
      <c r="GF857" s="205"/>
      <c r="GG857" s="205"/>
      <c r="GH857" s="205"/>
      <c r="GI857" s="205"/>
      <c r="GJ857" s="205"/>
      <c r="GK857" s="205"/>
      <c r="GL857" s="205"/>
      <c r="GM857" s="205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/>
      <c r="AO858"/>
      <c r="AP858"/>
      <c r="AQ858"/>
      <c r="AR858"/>
      <c r="AS858"/>
      <c r="AT858"/>
      <c r="AU858"/>
      <c r="AV858"/>
      <c r="AW858"/>
      <c r="FY858" s="210">
        <v>853</v>
      </c>
      <c r="FZ858" s="205"/>
      <c r="GA858" s="205"/>
      <c r="GB858" s="205"/>
      <c r="GC858" s="205"/>
      <c r="GD858" s="205"/>
      <c r="GE858" s="205"/>
      <c r="GF858" s="205"/>
      <c r="GG858" s="205"/>
      <c r="GH858" s="205"/>
      <c r="GI858" s="205"/>
      <c r="GJ858" s="205"/>
      <c r="GK858" s="205"/>
      <c r="GL858" s="205"/>
      <c r="GM858" s="205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/>
      <c r="AO859"/>
      <c r="AP859"/>
      <c r="AQ859"/>
      <c r="AR859"/>
      <c r="AS859"/>
      <c r="AT859"/>
      <c r="AU859"/>
      <c r="AV859"/>
      <c r="AW859"/>
      <c r="FY859" s="210">
        <v>854</v>
      </c>
      <c r="FZ859" s="205"/>
      <c r="GA859" s="205"/>
      <c r="GB859" s="205"/>
      <c r="GC859" s="205"/>
      <c r="GD859" s="205"/>
      <c r="GE859" s="205"/>
      <c r="GF859" s="205"/>
      <c r="GG859" s="205"/>
      <c r="GH859" s="205"/>
      <c r="GI859" s="205"/>
      <c r="GJ859" s="205"/>
      <c r="GK859" s="205"/>
      <c r="GL859" s="205"/>
      <c r="GM859" s="205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/>
      <c r="AO860"/>
      <c r="AP860"/>
      <c r="AQ860"/>
      <c r="AR860"/>
      <c r="AS860"/>
      <c r="AT860"/>
      <c r="AU860"/>
      <c r="AV860"/>
      <c r="AW860"/>
      <c r="FY860" s="210">
        <v>855</v>
      </c>
      <c r="FZ860" s="205"/>
      <c r="GA860" s="205"/>
      <c r="GB860" s="205"/>
      <c r="GC860" s="205"/>
      <c r="GD860" s="205"/>
      <c r="GE860" s="205"/>
      <c r="GF860" s="205"/>
      <c r="GG860" s="205"/>
      <c r="GH860" s="205"/>
      <c r="GI860" s="205"/>
      <c r="GJ860" s="205"/>
      <c r="GK860" s="205"/>
      <c r="GL860" s="205"/>
      <c r="GM860" s="205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/>
      <c r="AO861"/>
      <c r="AP861"/>
      <c r="AQ861"/>
      <c r="AR861"/>
      <c r="AS861"/>
      <c r="AT861"/>
      <c r="AU861"/>
      <c r="AV861"/>
      <c r="AW861"/>
      <c r="FY861" s="210">
        <v>856</v>
      </c>
      <c r="FZ861" s="205"/>
      <c r="GA861" s="205"/>
      <c r="GB861" s="205"/>
      <c r="GC861" s="205"/>
      <c r="GD861" s="205"/>
      <c r="GE861" s="205"/>
      <c r="GF861" s="205"/>
      <c r="GG861" s="205"/>
      <c r="GH861" s="205"/>
      <c r="GI861" s="205"/>
      <c r="GJ861" s="205"/>
      <c r="GK861" s="205"/>
      <c r="GL861" s="205"/>
      <c r="GM861" s="205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/>
      <c r="AO862"/>
      <c r="AP862"/>
      <c r="AQ862"/>
      <c r="AR862"/>
      <c r="AS862"/>
      <c r="AT862"/>
      <c r="AU862"/>
      <c r="AV862"/>
      <c r="AW862"/>
      <c r="FY862" s="210">
        <v>857</v>
      </c>
      <c r="FZ862" s="205"/>
      <c r="GA862" s="205"/>
      <c r="GB862" s="205"/>
      <c r="GC862" s="205"/>
      <c r="GD862" s="205"/>
      <c r="GE862" s="205"/>
      <c r="GF862" s="205"/>
      <c r="GG862" s="205"/>
      <c r="GH862" s="205"/>
      <c r="GI862" s="205"/>
      <c r="GJ862" s="205"/>
      <c r="GK862" s="205"/>
      <c r="GL862" s="205"/>
      <c r="GM862" s="205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/>
      <c r="AO863"/>
      <c r="AP863"/>
      <c r="AQ863"/>
      <c r="AR863"/>
      <c r="AS863"/>
      <c r="AT863"/>
      <c r="AU863"/>
      <c r="AV863"/>
      <c r="AW863"/>
      <c r="FY863" s="210">
        <v>858</v>
      </c>
      <c r="FZ863" s="205"/>
      <c r="GA863" s="205"/>
      <c r="GB863" s="205"/>
      <c r="GC863" s="205"/>
      <c r="GD863" s="205"/>
      <c r="GE863" s="205"/>
      <c r="GF863" s="205"/>
      <c r="GG863" s="205"/>
      <c r="GH863" s="205"/>
      <c r="GI863" s="205"/>
      <c r="GJ863" s="205"/>
      <c r="GK863" s="205"/>
      <c r="GL863" s="205"/>
      <c r="GM863" s="205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/>
      <c r="AO864"/>
      <c r="AP864"/>
      <c r="AQ864"/>
      <c r="AR864"/>
      <c r="AS864"/>
      <c r="AT864"/>
      <c r="AU864"/>
      <c r="AV864"/>
      <c r="AW864"/>
      <c r="FY864" s="210">
        <v>859</v>
      </c>
      <c r="FZ864" s="205"/>
      <c r="GA864" s="205"/>
      <c r="GB864" s="205"/>
      <c r="GC864" s="205"/>
      <c r="GD864" s="205"/>
      <c r="GE864" s="205"/>
      <c r="GF864" s="205"/>
      <c r="GG864" s="205"/>
      <c r="GH864" s="205"/>
      <c r="GI864" s="205"/>
      <c r="GJ864" s="205"/>
      <c r="GK864" s="205"/>
      <c r="GL864" s="205"/>
      <c r="GM864" s="205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/>
      <c r="AO865"/>
      <c r="AP865"/>
      <c r="AQ865"/>
      <c r="AR865"/>
      <c r="AS865"/>
      <c r="AT865"/>
      <c r="AU865"/>
      <c r="AV865"/>
      <c r="AW865"/>
      <c r="FY865" s="210">
        <v>860</v>
      </c>
      <c r="FZ865" s="205"/>
      <c r="GA865" s="205"/>
      <c r="GB865" s="205"/>
      <c r="GC865" s="205"/>
      <c r="GD865" s="205"/>
      <c r="GE865" s="205"/>
      <c r="GF865" s="205"/>
      <c r="GG865" s="205"/>
      <c r="GH865" s="205"/>
      <c r="GI865" s="205"/>
      <c r="GJ865" s="205"/>
      <c r="GK865" s="205"/>
      <c r="GL865" s="205"/>
      <c r="GM865" s="20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/>
      <c r="AO866"/>
      <c r="AP866"/>
      <c r="AQ866"/>
      <c r="AR866"/>
      <c r="AS866"/>
      <c r="AT866"/>
      <c r="AU866"/>
      <c r="AV866"/>
      <c r="AW866"/>
      <c r="FY866" s="210">
        <v>861</v>
      </c>
      <c r="FZ866" s="205"/>
      <c r="GA866" s="205"/>
      <c r="GB866" s="205"/>
      <c r="GC866" s="205"/>
      <c r="GD866" s="205"/>
      <c r="GE866" s="205"/>
      <c r="GF866" s="205"/>
      <c r="GG866" s="205"/>
      <c r="GH866" s="205"/>
      <c r="GI866" s="205"/>
      <c r="GJ866" s="205"/>
      <c r="GK866" s="205"/>
      <c r="GL866" s="205"/>
      <c r="GM866" s="205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/>
      <c r="AO867"/>
      <c r="AP867"/>
      <c r="AQ867"/>
      <c r="AR867"/>
      <c r="AS867"/>
      <c r="AT867"/>
      <c r="AU867"/>
      <c r="AV867"/>
      <c r="AW867"/>
      <c r="FY867" s="210">
        <v>862</v>
      </c>
      <c r="FZ867" s="205"/>
      <c r="GA867" s="205"/>
      <c r="GB867" s="205"/>
      <c r="GC867" s="205"/>
      <c r="GD867" s="205"/>
      <c r="GE867" s="205"/>
      <c r="GF867" s="205"/>
      <c r="GG867" s="205"/>
      <c r="GH867" s="205"/>
      <c r="GI867" s="205"/>
      <c r="GJ867" s="205"/>
      <c r="GK867" s="205"/>
      <c r="GL867" s="205"/>
      <c r="GM867" s="205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/>
      <c r="AO868"/>
      <c r="AP868"/>
      <c r="AQ868"/>
      <c r="AR868"/>
      <c r="AS868"/>
      <c r="AT868"/>
      <c r="AU868"/>
      <c r="AV868"/>
      <c r="AW868"/>
      <c r="FY868" s="210">
        <v>863</v>
      </c>
      <c r="FZ868" s="205"/>
      <c r="GA868" s="205"/>
      <c r="GB868" s="205"/>
      <c r="GC868" s="205"/>
      <c r="GD868" s="205"/>
      <c r="GE868" s="205"/>
      <c r="GF868" s="205"/>
      <c r="GG868" s="205"/>
      <c r="GH868" s="205"/>
      <c r="GI868" s="205"/>
      <c r="GJ868" s="205"/>
      <c r="GK868" s="205"/>
      <c r="GL868" s="205"/>
      <c r="GM868" s="205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/>
      <c r="AO869"/>
      <c r="AP869"/>
      <c r="AQ869"/>
      <c r="AR869"/>
      <c r="AS869"/>
      <c r="AT869"/>
      <c r="AU869"/>
      <c r="AV869"/>
      <c r="AW869"/>
      <c r="FY869" s="210">
        <v>864</v>
      </c>
      <c r="FZ869" s="205"/>
      <c r="GA869" s="205"/>
      <c r="GB869" s="205"/>
      <c r="GC869" s="205"/>
      <c r="GD869" s="205"/>
      <c r="GE869" s="205"/>
      <c r="GF869" s="205"/>
      <c r="GG869" s="205"/>
      <c r="GH869" s="205"/>
      <c r="GI869" s="205"/>
      <c r="GJ869" s="205"/>
      <c r="GK869" s="205"/>
      <c r="GL869" s="205"/>
      <c r="GM869" s="205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/>
      <c r="AO870"/>
      <c r="AP870"/>
      <c r="AQ870"/>
      <c r="AR870"/>
      <c r="AS870"/>
      <c r="AT870"/>
      <c r="AU870"/>
      <c r="AV870"/>
      <c r="AW870"/>
      <c r="FY870" s="210">
        <v>865</v>
      </c>
      <c r="FZ870" s="205"/>
      <c r="GA870" s="205"/>
      <c r="GB870" s="205"/>
      <c r="GC870" s="205"/>
      <c r="GD870" s="205"/>
      <c r="GE870" s="205"/>
      <c r="GF870" s="205"/>
      <c r="GG870" s="205"/>
      <c r="GH870" s="205"/>
      <c r="GI870" s="205"/>
      <c r="GJ870" s="205"/>
      <c r="GK870" s="205"/>
      <c r="GL870" s="205"/>
      <c r="GM870" s="205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/>
      <c r="AO871"/>
      <c r="AP871"/>
      <c r="AQ871"/>
      <c r="AR871"/>
      <c r="AS871"/>
      <c r="AT871"/>
      <c r="AU871"/>
      <c r="AV871"/>
      <c r="AW871"/>
      <c r="FY871" s="210">
        <v>866</v>
      </c>
      <c r="FZ871" s="205"/>
      <c r="GA871" s="205"/>
      <c r="GB871" s="205"/>
      <c r="GC871" s="205"/>
      <c r="GD871" s="205"/>
      <c r="GE871" s="205"/>
      <c r="GF871" s="205"/>
      <c r="GG871" s="205"/>
      <c r="GH871" s="205"/>
      <c r="GI871" s="205"/>
      <c r="GJ871" s="205"/>
      <c r="GK871" s="205"/>
      <c r="GL871" s="205"/>
      <c r="GM871" s="205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/>
      <c r="AO872"/>
      <c r="AP872"/>
      <c r="AQ872"/>
      <c r="AR872"/>
      <c r="AS872"/>
      <c r="AT872"/>
      <c r="AU872"/>
      <c r="AV872"/>
      <c r="AW872"/>
      <c r="FY872" s="210">
        <v>867</v>
      </c>
      <c r="FZ872" s="205"/>
      <c r="GA872" s="205"/>
      <c r="GB872" s="205"/>
      <c r="GC872" s="205"/>
      <c r="GD872" s="205"/>
      <c r="GE872" s="205"/>
      <c r="GF872" s="205"/>
      <c r="GG872" s="205"/>
      <c r="GH872" s="205"/>
      <c r="GI872" s="205"/>
      <c r="GJ872" s="205"/>
      <c r="GK872" s="205"/>
      <c r="GL872" s="205"/>
      <c r="GM872" s="205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/>
      <c r="AO873"/>
      <c r="AP873"/>
      <c r="AQ873"/>
      <c r="AR873"/>
      <c r="AS873"/>
      <c r="AT873"/>
      <c r="AU873"/>
      <c r="AV873"/>
      <c r="AW873"/>
      <c r="FY873" s="210">
        <v>868</v>
      </c>
      <c r="FZ873" s="205"/>
      <c r="GA873" s="205"/>
      <c r="GB873" s="205"/>
      <c r="GC873" s="205"/>
      <c r="GD873" s="205"/>
      <c r="GE873" s="205"/>
      <c r="GF873" s="205"/>
      <c r="GG873" s="205"/>
      <c r="GH873" s="205"/>
      <c r="GI873" s="205"/>
      <c r="GJ873" s="205"/>
      <c r="GK873" s="205"/>
      <c r="GL873" s="205"/>
      <c r="GM873" s="205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/>
      <c r="AO874"/>
      <c r="AP874"/>
      <c r="AQ874"/>
      <c r="AR874"/>
      <c r="AS874"/>
      <c r="AT874"/>
      <c r="AU874"/>
      <c r="AV874"/>
      <c r="AW874"/>
      <c r="FY874" s="210">
        <v>869</v>
      </c>
      <c r="FZ874" s="205"/>
      <c r="GA874" s="205"/>
      <c r="GB874" s="205"/>
      <c r="GC874" s="205"/>
      <c r="GD874" s="205"/>
      <c r="GE874" s="205"/>
      <c r="GF874" s="205"/>
      <c r="GG874" s="205"/>
      <c r="GH874" s="205"/>
      <c r="GI874" s="205"/>
      <c r="GJ874" s="205"/>
      <c r="GK874" s="205"/>
      <c r="GL874" s="205"/>
      <c r="GM874" s="205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/>
      <c r="AO875"/>
      <c r="AP875"/>
      <c r="AQ875"/>
      <c r="AR875"/>
      <c r="AS875"/>
      <c r="AT875"/>
      <c r="AU875"/>
      <c r="AV875"/>
      <c r="AW875"/>
      <c r="FY875" s="210">
        <v>870</v>
      </c>
      <c r="FZ875" s="205"/>
      <c r="GA875" s="205"/>
      <c r="GB875" s="205"/>
      <c r="GC875" s="205"/>
      <c r="GD875" s="205"/>
      <c r="GE875" s="205"/>
      <c r="GF875" s="205"/>
      <c r="GG875" s="205"/>
      <c r="GH875" s="205"/>
      <c r="GI875" s="205"/>
      <c r="GJ875" s="205"/>
      <c r="GK875" s="205"/>
      <c r="GL875" s="205"/>
      <c r="GM875" s="20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/>
      <c r="AO876"/>
      <c r="AP876"/>
      <c r="AQ876"/>
      <c r="AR876"/>
      <c r="AS876"/>
      <c r="AT876"/>
      <c r="AU876"/>
      <c r="AV876"/>
      <c r="AW876"/>
      <c r="FY876" s="210">
        <v>871</v>
      </c>
      <c r="FZ876" s="205"/>
      <c r="GA876" s="205"/>
      <c r="GB876" s="205"/>
      <c r="GC876" s="205"/>
      <c r="GD876" s="205"/>
      <c r="GE876" s="205"/>
      <c r="GF876" s="205"/>
      <c r="GG876" s="205"/>
      <c r="GH876" s="205"/>
      <c r="GI876" s="205"/>
      <c r="GJ876" s="205"/>
      <c r="GK876" s="205"/>
      <c r="GL876" s="205"/>
      <c r="GM876" s="205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/>
      <c r="AO877"/>
      <c r="AP877"/>
      <c r="AQ877"/>
      <c r="AR877"/>
      <c r="AS877"/>
      <c r="AT877"/>
      <c r="AU877"/>
      <c r="AV877"/>
      <c r="AW877"/>
      <c r="FY877" s="210">
        <v>872</v>
      </c>
      <c r="FZ877" s="205"/>
      <c r="GA877" s="205"/>
      <c r="GB877" s="205"/>
      <c r="GC877" s="205"/>
      <c r="GD877" s="205"/>
      <c r="GE877" s="205"/>
      <c r="GF877" s="205"/>
      <c r="GG877" s="205"/>
      <c r="GH877" s="205"/>
      <c r="GI877" s="205"/>
      <c r="GJ877" s="205"/>
      <c r="GK877" s="205"/>
      <c r="GL877" s="205"/>
      <c r="GM877" s="205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/>
      <c r="AO878"/>
      <c r="AP878"/>
      <c r="AQ878"/>
      <c r="AR878"/>
      <c r="AS878"/>
      <c r="AT878"/>
      <c r="AU878"/>
      <c r="AV878"/>
      <c r="AW878"/>
      <c r="FY878" s="210">
        <v>873</v>
      </c>
      <c r="FZ878" s="205"/>
      <c r="GA878" s="205"/>
      <c r="GB878" s="205"/>
      <c r="GC878" s="205"/>
      <c r="GD878" s="205"/>
      <c r="GE878" s="205"/>
      <c r="GF878" s="205"/>
      <c r="GG878" s="205"/>
      <c r="GH878" s="205"/>
      <c r="GI878" s="205"/>
      <c r="GJ878" s="205"/>
      <c r="GK878" s="205"/>
      <c r="GL878" s="205"/>
      <c r="GM878" s="205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/>
      <c r="AO879"/>
      <c r="AP879"/>
      <c r="AQ879"/>
      <c r="AR879"/>
      <c r="AS879"/>
      <c r="AT879"/>
      <c r="AU879"/>
      <c r="AV879"/>
      <c r="AW879"/>
      <c r="FY879" s="210">
        <v>874</v>
      </c>
      <c r="FZ879" s="205"/>
      <c r="GA879" s="205"/>
      <c r="GB879" s="205"/>
      <c r="GC879" s="205"/>
      <c r="GD879" s="205"/>
      <c r="GE879" s="205"/>
      <c r="GF879" s="205"/>
      <c r="GG879" s="205"/>
      <c r="GH879" s="205"/>
      <c r="GI879" s="205"/>
      <c r="GJ879" s="205"/>
      <c r="GK879" s="205"/>
      <c r="GL879" s="205"/>
      <c r="GM879" s="205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/>
      <c r="AO880"/>
      <c r="AP880"/>
      <c r="AQ880"/>
      <c r="AR880"/>
      <c r="AS880"/>
      <c r="AT880"/>
      <c r="AU880"/>
      <c r="AV880"/>
      <c r="AW880"/>
      <c r="FY880" s="210">
        <v>875</v>
      </c>
      <c r="FZ880" s="205"/>
      <c r="GA880" s="205"/>
      <c r="GB880" s="205"/>
      <c r="GC880" s="205"/>
      <c r="GD880" s="205"/>
      <c r="GE880" s="205"/>
      <c r="GF880" s="205"/>
      <c r="GG880" s="205"/>
      <c r="GH880" s="205"/>
      <c r="GI880" s="205"/>
      <c r="GJ880" s="205"/>
      <c r="GK880" s="205"/>
      <c r="GL880" s="205"/>
      <c r="GM880" s="205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/>
      <c r="AO881"/>
      <c r="AP881"/>
      <c r="AQ881"/>
      <c r="AR881"/>
      <c r="AS881"/>
      <c r="AT881"/>
      <c r="AU881"/>
      <c r="AV881"/>
      <c r="AW881"/>
      <c r="FY881" s="210">
        <v>876</v>
      </c>
      <c r="FZ881" s="205"/>
      <c r="GA881" s="205"/>
      <c r="GB881" s="205"/>
      <c r="GC881" s="205"/>
      <c r="GD881" s="205"/>
      <c r="GE881" s="205"/>
      <c r="GF881" s="205"/>
      <c r="GG881" s="205"/>
      <c r="GH881" s="205"/>
      <c r="GI881" s="205"/>
      <c r="GJ881" s="205"/>
      <c r="GK881" s="205"/>
      <c r="GL881" s="205"/>
      <c r="GM881" s="205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/>
      <c r="AO882"/>
      <c r="AP882"/>
      <c r="AQ882"/>
      <c r="AR882"/>
      <c r="AS882"/>
      <c r="AT882"/>
      <c r="AU882"/>
      <c r="AV882"/>
      <c r="AW882"/>
      <c r="FY882" s="210">
        <v>877</v>
      </c>
      <c r="FZ882" s="205"/>
      <c r="GA882" s="205"/>
      <c r="GB882" s="205"/>
      <c r="GC882" s="205"/>
      <c r="GD882" s="205"/>
      <c r="GE882" s="205"/>
      <c r="GF882" s="205"/>
      <c r="GG882" s="205"/>
      <c r="GH882" s="205"/>
      <c r="GI882" s="205"/>
      <c r="GJ882" s="205"/>
      <c r="GK882" s="205"/>
      <c r="GL882" s="205"/>
      <c r="GM882" s="205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/>
      <c r="AO883"/>
      <c r="AP883"/>
      <c r="AQ883"/>
      <c r="AR883"/>
      <c r="AS883"/>
      <c r="AT883"/>
      <c r="AU883"/>
      <c r="AV883"/>
      <c r="AW883"/>
      <c r="FY883" s="210">
        <v>878</v>
      </c>
      <c r="FZ883" s="205"/>
      <c r="GA883" s="205"/>
      <c r="GB883" s="205"/>
      <c r="GC883" s="205"/>
      <c r="GD883" s="205"/>
      <c r="GE883" s="205"/>
      <c r="GF883" s="205"/>
      <c r="GG883" s="205"/>
      <c r="GH883" s="205"/>
      <c r="GI883" s="205"/>
      <c r="GJ883" s="205"/>
      <c r="GK883" s="205"/>
      <c r="GL883" s="205"/>
      <c r="GM883" s="205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/>
      <c r="AO884"/>
      <c r="AP884"/>
      <c r="AQ884"/>
      <c r="AR884"/>
      <c r="AS884"/>
      <c r="AT884"/>
      <c r="AU884"/>
      <c r="AV884"/>
      <c r="AW884"/>
      <c r="FY884" s="210">
        <v>879</v>
      </c>
      <c r="FZ884" s="205"/>
      <c r="GA884" s="205"/>
      <c r="GB884" s="205"/>
      <c r="GC884" s="205"/>
      <c r="GD884" s="205"/>
      <c r="GE884" s="205"/>
      <c r="GF884" s="205"/>
      <c r="GG884" s="205"/>
      <c r="GH884" s="205"/>
      <c r="GI884" s="205"/>
      <c r="GJ884" s="205"/>
      <c r="GK884" s="205"/>
      <c r="GL884" s="205"/>
      <c r="GM884" s="205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/>
      <c r="AO885"/>
      <c r="AP885"/>
      <c r="AQ885"/>
      <c r="AR885"/>
      <c r="AS885"/>
      <c r="AT885"/>
      <c r="AU885"/>
      <c r="AV885"/>
      <c r="AW885"/>
      <c r="FY885" s="210">
        <v>880</v>
      </c>
      <c r="FZ885" s="205"/>
      <c r="GA885" s="205"/>
      <c r="GB885" s="205"/>
      <c r="GC885" s="205"/>
      <c r="GD885" s="205"/>
      <c r="GE885" s="205"/>
      <c r="GF885" s="205"/>
      <c r="GG885" s="205"/>
      <c r="GH885" s="205"/>
      <c r="GI885" s="205"/>
      <c r="GJ885" s="205"/>
      <c r="GK885" s="205"/>
      <c r="GL885" s="205"/>
      <c r="GM885" s="20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/>
      <c r="AO886"/>
      <c r="AP886"/>
      <c r="AQ886"/>
      <c r="AR886"/>
      <c r="AS886"/>
      <c r="AT886"/>
      <c r="AU886"/>
      <c r="AV886"/>
      <c r="AW886"/>
      <c r="FY886" s="210">
        <v>881</v>
      </c>
      <c r="FZ886" s="205"/>
      <c r="GA886" s="205"/>
      <c r="GB886" s="205"/>
      <c r="GC886" s="205"/>
      <c r="GD886" s="205"/>
      <c r="GE886" s="205"/>
      <c r="GF886" s="205"/>
      <c r="GG886" s="205"/>
      <c r="GH886" s="205"/>
      <c r="GI886" s="205"/>
      <c r="GJ886" s="205"/>
      <c r="GK886" s="205"/>
      <c r="GL886" s="205"/>
      <c r="GM886" s="205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/>
      <c r="AO887"/>
      <c r="AP887"/>
      <c r="AQ887"/>
      <c r="AR887"/>
      <c r="AS887"/>
      <c r="AT887"/>
      <c r="AU887"/>
      <c r="AV887"/>
      <c r="AW887"/>
      <c r="FY887" s="210">
        <v>882</v>
      </c>
      <c r="FZ887" s="205"/>
      <c r="GA887" s="205"/>
      <c r="GB887" s="205"/>
      <c r="GC887" s="205"/>
      <c r="GD887" s="205"/>
      <c r="GE887" s="205"/>
      <c r="GF887" s="205"/>
      <c r="GG887" s="205"/>
      <c r="GH887" s="205"/>
      <c r="GI887" s="205"/>
      <c r="GJ887" s="205"/>
      <c r="GK887" s="205"/>
      <c r="GL887" s="205"/>
      <c r="GM887" s="205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/>
      <c r="AO888"/>
      <c r="AP888"/>
      <c r="AQ888"/>
      <c r="AR888"/>
      <c r="AS888"/>
      <c r="AT888"/>
      <c r="AU888"/>
      <c r="AV888"/>
      <c r="AW888"/>
      <c r="FY888" s="210">
        <v>883</v>
      </c>
      <c r="FZ888" s="205"/>
      <c r="GA888" s="205"/>
      <c r="GB888" s="205"/>
      <c r="GC888" s="205"/>
      <c r="GD888" s="205"/>
      <c r="GE888" s="205"/>
      <c r="GF888" s="205"/>
      <c r="GG888" s="205"/>
      <c r="GH888" s="205"/>
      <c r="GI888" s="205"/>
      <c r="GJ888" s="205"/>
      <c r="GK888" s="205"/>
      <c r="GL888" s="205"/>
      <c r="GM888" s="205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/>
      <c r="AO889"/>
      <c r="AP889"/>
      <c r="AQ889"/>
      <c r="AR889"/>
      <c r="AS889"/>
      <c r="AT889"/>
      <c r="AU889"/>
      <c r="AV889"/>
      <c r="AW889"/>
      <c r="FY889" s="210">
        <v>884</v>
      </c>
      <c r="FZ889" s="205"/>
      <c r="GA889" s="205"/>
      <c r="GB889" s="205"/>
      <c r="GC889" s="205"/>
      <c r="GD889" s="205"/>
      <c r="GE889" s="205"/>
      <c r="GF889" s="205"/>
      <c r="GG889" s="205"/>
      <c r="GH889" s="205"/>
      <c r="GI889" s="205"/>
      <c r="GJ889" s="205"/>
      <c r="GK889" s="205"/>
      <c r="GL889" s="205"/>
      <c r="GM889" s="205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/>
      <c r="AO890"/>
      <c r="AP890"/>
      <c r="AQ890"/>
      <c r="AR890"/>
      <c r="AS890"/>
      <c r="AT890"/>
      <c r="AU890"/>
      <c r="AV890"/>
      <c r="AW890"/>
      <c r="FY890" s="210">
        <v>885</v>
      </c>
      <c r="FZ890" s="205"/>
      <c r="GA890" s="205"/>
      <c r="GB890" s="205"/>
      <c r="GC890" s="205"/>
      <c r="GD890" s="205"/>
      <c r="GE890" s="205"/>
      <c r="GF890" s="205"/>
      <c r="GG890" s="205"/>
      <c r="GH890" s="205"/>
      <c r="GI890" s="205"/>
      <c r="GJ890" s="205"/>
      <c r="GK890" s="205"/>
      <c r="GL890" s="205"/>
      <c r="GM890" s="205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/>
      <c r="AO891"/>
      <c r="AP891"/>
      <c r="AQ891"/>
      <c r="AR891"/>
      <c r="AS891"/>
      <c r="AT891"/>
      <c r="AU891"/>
      <c r="AV891"/>
      <c r="AW891"/>
      <c r="FY891" s="210">
        <v>886</v>
      </c>
      <c r="FZ891" s="205"/>
      <c r="GA891" s="205"/>
      <c r="GB891" s="205"/>
      <c r="GC891" s="205"/>
      <c r="GD891" s="205"/>
      <c r="GE891" s="205"/>
      <c r="GF891" s="205"/>
      <c r="GG891" s="205"/>
      <c r="GH891" s="205"/>
      <c r="GI891" s="205"/>
      <c r="GJ891" s="205"/>
      <c r="GK891" s="205"/>
      <c r="GL891" s="205"/>
      <c r="GM891" s="205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/>
      <c r="AO892"/>
      <c r="AP892"/>
      <c r="AQ892"/>
      <c r="AR892"/>
      <c r="AS892"/>
      <c r="AT892"/>
      <c r="AU892"/>
      <c r="AV892"/>
      <c r="AW892"/>
      <c r="FY892" s="210">
        <v>887</v>
      </c>
      <c r="FZ892" s="205"/>
      <c r="GA892" s="205"/>
      <c r="GB892" s="205"/>
      <c r="GC892" s="205"/>
      <c r="GD892" s="205"/>
      <c r="GE892" s="205"/>
      <c r="GF892" s="205"/>
      <c r="GG892" s="205"/>
      <c r="GH892" s="205"/>
      <c r="GI892" s="205"/>
      <c r="GJ892" s="205"/>
      <c r="GK892" s="205"/>
      <c r="GL892" s="205"/>
      <c r="GM892" s="205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/>
      <c r="AO893"/>
      <c r="AP893"/>
      <c r="AQ893"/>
      <c r="AR893"/>
      <c r="AS893"/>
      <c r="AT893"/>
      <c r="AU893"/>
      <c r="AV893"/>
      <c r="AW893"/>
      <c r="FY893" s="210">
        <v>888</v>
      </c>
      <c r="FZ893" s="205"/>
      <c r="GA893" s="205"/>
      <c r="GB893" s="205"/>
      <c r="GC893" s="205"/>
      <c r="GD893" s="205"/>
      <c r="GE893" s="205"/>
      <c r="GF893" s="205"/>
      <c r="GG893" s="205"/>
      <c r="GH893" s="205"/>
      <c r="GI893" s="205"/>
      <c r="GJ893" s="205"/>
      <c r="GK893" s="205"/>
      <c r="GL893" s="205"/>
      <c r="GM893" s="205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/>
      <c r="AO894"/>
      <c r="AP894"/>
      <c r="AQ894"/>
      <c r="AR894"/>
      <c r="AS894"/>
      <c r="AT894"/>
      <c r="AU894"/>
      <c r="AV894"/>
      <c r="AW894"/>
      <c r="FY894" s="210">
        <v>889</v>
      </c>
      <c r="FZ894" s="205"/>
      <c r="GA894" s="205"/>
      <c r="GB894" s="205"/>
      <c r="GC894" s="205"/>
      <c r="GD894" s="205"/>
      <c r="GE894" s="205"/>
      <c r="GF894" s="205"/>
      <c r="GG894" s="205"/>
      <c r="GH894" s="205"/>
      <c r="GI894" s="205"/>
      <c r="GJ894" s="205"/>
      <c r="GK894" s="205"/>
      <c r="GL894" s="205"/>
      <c r="GM894" s="205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/>
      <c r="AO895"/>
      <c r="AP895"/>
      <c r="AQ895"/>
      <c r="AR895"/>
      <c r="AS895"/>
      <c r="AT895"/>
      <c r="AU895"/>
      <c r="AV895"/>
      <c r="AW895"/>
      <c r="FY895" s="210">
        <v>890</v>
      </c>
      <c r="FZ895" s="205"/>
      <c r="GA895" s="205"/>
      <c r="GB895" s="205"/>
      <c r="GC895" s="205"/>
      <c r="GD895" s="205"/>
      <c r="GE895" s="205"/>
      <c r="GF895" s="205"/>
      <c r="GG895" s="205"/>
      <c r="GH895" s="205"/>
      <c r="GI895" s="205"/>
      <c r="GJ895" s="205"/>
      <c r="GK895" s="205"/>
      <c r="GL895" s="205"/>
      <c r="GM895" s="20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/>
      <c r="AO896"/>
      <c r="AP896"/>
      <c r="AQ896"/>
      <c r="AR896"/>
      <c r="AS896"/>
      <c r="AT896"/>
      <c r="AU896"/>
      <c r="AV896"/>
      <c r="AW896"/>
      <c r="FY896" s="210">
        <v>891</v>
      </c>
      <c r="FZ896" s="205"/>
      <c r="GA896" s="205"/>
      <c r="GB896" s="205"/>
      <c r="GC896" s="205"/>
      <c r="GD896" s="205"/>
      <c r="GE896" s="205"/>
      <c r="GF896" s="205"/>
      <c r="GG896" s="205"/>
      <c r="GH896" s="205"/>
      <c r="GI896" s="205"/>
      <c r="GJ896" s="205"/>
      <c r="GK896" s="205"/>
      <c r="GL896" s="205"/>
      <c r="GM896" s="205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/>
      <c r="AO897"/>
      <c r="AP897"/>
      <c r="AQ897"/>
      <c r="AR897"/>
      <c r="AS897"/>
      <c r="AT897"/>
      <c r="AU897"/>
      <c r="AV897"/>
      <c r="AW897"/>
      <c r="FY897" s="210">
        <v>892</v>
      </c>
      <c r="FZ897" s="205"/>
      <c r="GA897" s="205"/>
      <c r="GB897" s="205"/>
      <c r="GC897" s="205"/>
      <c r="GD897" s="205"/>
      <c r="GE897" s="205"/>
      <c r="GF897" s="205"/>
      <c r="GG897" s="205"/>
      <c r="GH897" s="205"/>
      <c r="GI897" s="205"/>
      <c r="GJ897" s="205"/>
      <c r="GK897" s="205"/>
      <c r="GL897" s="205"/>
      <c r="GM897" s="205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/>
      <c r="AO898"/>
      <c r="AP898"/>
      <c r="AQ898"/>
      <c r="AR898"/>
      <c r="AS898"/>
      <c r="AT898"/>
      <c r="AU898"/>
      <c r="AV898"/>
      <c r="AW898"/>
      <c r="FY898" s="210">
        <v>893</v>
      </c>
      <c r="FZ898" s="205"/>
      <c r="GA898" s="205"/>
      <c r="GB898" s="205"/>
      <c r="GC898" s="205"/>
      <c r="GD898" s="205"/>
      <c r="GE898" s="205"/>
      <c r="GF898" s="205"/>
      <c r="GG898" s="205"/>
      <c r="GH898" s="205"/>
      <c r="GI898" s="205"/>
      <c r="GJ898" s="205"/>
      <c r="GK898" s="205"/>
      <c r="GL898" s="205"/>
      <c r="GM898" s="205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/>
      <c r="AO899"/>
      <c r="AP899"/>
      <c r="AQ899"/>
      <c r="AR899"/>
      <c r="AS899"/>
      <c r="AT899"/>
      <c r="AU899"/>
      <c r="AV899"/>
      <c r="AW899"/>
      <c r="FY899" s="210">
        <v>894</v>
      </c>
      <c r="FZ899" s="205"/>
      <c r="GA899" s="205"/>
      <c r="GB899" s="205"/>
      <c r="GC899" s="205"/>
      <c r="GD899" s="205"/>
      <c r="GE899" s="205"/>
      <c r="GF899" s="205"/>
      <c r="GG899" s="205"/>
      <c r="GH899" s="205"/>
      <c r="GI899" s="205"/>
      <c r="GJ899" s="205"/>
      <c r="GK899" s="205"/>
      <c r="GL899" s="205"/>
      <c r="GM899" s="205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/>
      <c r="AO900"/>
      <c r="AP900"/>
      <c r="AQ900"/>
      <c r="AR900"/>
      <c r="AS900"/>
      <c r="AT900"/>
      <c r="AU900"/>
      <c r="AV900"/>
      <c r="AW900"/>
      <c r="FY900" s="210">
        <v>895</v>
      </c>
      <c r="FZ900" s="205"/>
      <c r="GA900" s="205"/>
      <c r="GB900" s="205"/>
      <c r="GC900" s="205"/>
      <c r="GD900" s="205"/>
      <c r="GE900" s="205"/>
      <c r="GF900" s="205"/>
      <c r="GG900" s="205"/>
      <c r="GH900" s="205"/>
      <c r="GI900" s="205"/>
      <c r="GJ900" s="205"/>
      <c r="GK900" s="205"/>
      <c r="GL900" s="205"/>
      <c r="GM900" s="205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/>
      <c r="AO901"/>
      <c r="AP901"/>
      <c r="AQ901"/>
      <c r="AR901"/>
      <c r="AS901"/>
      <c r="AT901"/>
      <c r="AU901"/>
      <c r="AV901"/>
      <c r="AW901"/>
      <c r="FY901" s="210">
        <v>896</v>
      </c>
      <c r="FZ901" s="205"/>
      <c r="GA901" s="205"/>
      <c r="GB901" s="205"/>
      <c r="GC901" s="205"/>
      <c r="GD901" s="205"/>
      <c r="GE901" s="205"/>
      <c r="GF901" s="205"/>
      <c r="GG901" s="205"/>
      <c r="GH901" s="205"/>
      <c r="GI901" s="205"/>
      <c r="GJ901" s="205"/>
      <c r="GK901" s="205"/>
      <c r="GL901" s="205"/>
      <c r="GM901" s="205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/>
      <c r="AO902"/>
      <c r="AP902"/>
      <c r="AQ902"/>
      <c r="AR902"/>
      <c r="AS902"/>
      <c r="AT902"/>
      <c r="AU902"/>
      <c r="AV902"/>
      <c r="AW902"/>
      <c r="FY902" s="210">
        <v>897</v>
      </c>
      <c r="FZ902" s="205"/>
      <c r="GA902" s="205"/>
      <c r="GB902" s="205"/>
      <c r="GC902" s="205"/>
      <c r="GD902" s="205"/>
      <c r="GE902" s="205"/>
      <c r="GF902" s="205"/>
      <c r="GG902" s="205"/>
      <c r="GH902" s="205"/>
      <c r="GI902" s="205"/>
      <c r="GJ902" s="205"/>
      <c r="GK902" s="205"/>
      <c r="GL902" s="205"/>
      <c r="GM902" s="205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/>
      <c r="AO903"/>
      <c r="AP903"/>
      <c r="AQ903"/>
      <c r="AR903"/>
      <c r="AS903"/>
      <c r="AT903"/>
      <c r="AU903"/>
      <c r="AV903"/>
      <c r="AW903"/>
      <c r="FY903" s="210">
        <v>898</v>
      </c>
      <c r="FZ903" s="205"/>
      <c r="GA903" s="205"/>
      <c r="GB903" s="205"/>
      <c r="GC903" s="205"/>
      <c r="GD903" s="205"/>
      <c r="GE903" s="205"/>
      <c r="GF903" s="205"/>
      <c r="GG903" s="205"/>
      <c r="GH903" s="205"/>
      <c r="GI903" s="205"/>
      <c r="GJ903" s="205"/>
      <c r="GK903" s="205"/>
      <c r="GL903" s="205"/>
      <c r="GM903" s="205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/>
      <c r="AO904"/>
      <c r="AP904"/>
      <c r="AQ904"/>
      <c r="AR904"/>
      <c r="AS904"/>
      <c r="AT904"/>
      <c r="AU904"/>
      <c r="AV904"/>
      <c r="AW904"/>
      <c r="FY904" s="210">
        <v>899</v>
      </c>
      <c r="FZ904" s="205"/>
      <c r="GA904" s="205"/>
      <c r="GB904" s="205"/>
      <c r="GC904" s="205"/>
      <c r="GD904" s="205"/>
      <c r="GE904" s="205"/>
      <c r="GF904" s="205"/>
      <c r="GG904" s="205"/>
      <c r="GH904" s="205"/>
      <c r="GI904" s="205"/>
      <c r="GJ904" s="205"/>
      <c r="GK904" s="205"/>
      <c r="GL904" s="205"/>
      <c r="GM904" s="205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/>
      <c r="AO905"/>
      <c r="AP905"/>
      <c r="AQ905"/>
      <c r="AR905"/>
      <c r="AS905"/>
      <c r="AT905"/>
      <c r="AU905"/>
      <c r="AV905"/>
      <c r="AW905"/>
      <c r="FY905" s="210">
        <v>900</v>
      </c>
      <c r="FZ905" s="205"/>
      <c r="GA905" s="205"/>
      <c r="GB905" s="205"/>
      <c r="GC905" s="205"/>
      <c r="GD905" s="205"/>
      <c r="GE905" s="205"/>
      <c r="GF905" s="205"/>
      <c r="GG905" s="205"/>
      <c r="GH905" s="205"/>
      <c r="GI905" s="205"/>
      <c r="GJ905" s="205"/>
      <c r="GK905" s="205"/>
      <c r="GL905" s="205"/>
      <c r="GM905" s="2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/>
      <c r="AO906"/>
      <c r="AP906"/>
      <c r="AQ906"/>
      <c r="AR906"/>
      <c r="AS906"/>
      <c r="AT906"/>
      <c r="AU906"/>
      <c r="AV906"/>
      <c r="AW906"/>
      <c r="FY906" s="210">
        <v>901</v>
      </c>
      <c r="FZ906" s="205"/>
      <c r="GA906" s="205"/>
      <c r="GB906" s="205"/>
      <c r="GC906" s="205"/>
      <c r="GD906" s="205"/>
      <c r="GE906" s="205"/>
      <c r="GF906" s="205"/>
      <c r="GG906" s="205"/>
      <c r="GH906" s="205"/>
      <c r="GI906" s="205"/>
      <c r="GJ906" s="205"/>
      <c r="GK906" s="205"/>
      <c r="GL906" s="205"/>
      <c r="GM906" s="205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/>
      <c r="AO907"/>
      <c r="AP907"/>
      <c r="AQ907"/>
      <c r="AR907"/>
      <c r="AS907"/>
      <c r="AT907"/>
      <c r="AU907"/>
      <c r="AV907"/>
      <c r="AW907"/>
      <c r="FY907" s="210">
        <v>902</v>
      </c>
      <c r="FZ907" s="205"/>
      <c r="GA907" s="205"/>
      <c r="GB907" s="205"/>
      <c r="GC907" s="205"/>
      <c r="GD907" s="205"/>
      <c r="GE907" s="205"/>
      <c r="GF907" s="205"/>
      <c r="GG907" s="205"/>
      <c r="GH907" s="205"/>
      <c r="GI907" s="205"/>
      <c r="GJ907" s="205"/>
      <c r="GK907" s="205"/>
      <c r="GL907" s="205"/>
      <c r="GM907" s="205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/>
      <c r="AO908"/>
      <c r="AP908"/>
      <c r="AQ908"/>
      <c r="AR908"/>
      <c r="AS908"/>
      <c r="AT908"/>
      <c r="AU908"/>
      <c r="AV908"/>
      <c r="AW908"/>
      <c r="FY908" s="210">
        <v>903</v>
      </c>
      <c r="FZ908" s="205"/>
      <c r="GA908" s="205"/>
      <c r="GB908" s="205"/>
      <c r="GC908" s="205"/>
      <c r="GD908" s="205"/>
      <c r="GE908" s="205"/>
      <c r="GF908" s="205"/>
      <c r="GG908" s="205"/>
      <c r="GH908" s="205"/>
      <c r="GI908" s="205"/>
      <c r="GJ908" s="205"/>
      <c r="GK908" s="205"/>
      <c r="GL908" s="205"/>
      <c r="GM908" s="205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/>
      <c r="AO909"/>
      <c r="AP909"/>
      <c r="AQ909"/>
      <c r="AR909"/>
      <c r="AS909"/>
      <c r="AT909"/>
      <c r="AU909"/>
      <c r="AV909"/>
      <c r="AW909"/>
      <c r="FY909" s="210">
        <v>904</v>
      </c>
      <c r="FZ909" s="205"/>
      <c r="GA909" s="205"/>
      <c r="GB909" s="205"/>
      <c r="GC909" s="205"/>
      <c r="GD909" s="205"/>
      <c r="GE909" s="205"/>
      <c r="GF909" s="205"/>
      <c r="GG909" s="205"/>
      <c r="GH909" s="205"/>
      <c r="GI909" s="205"/>
      <c r="GJ909" s="205"/>
      <c r="GK909" s="205"/>
      <c r="GL909" s="205"/>
      <c r="GM909" s="205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/>
      <c r="AO910"/>
      <c r="AP910"/>
      <c r="AQ910"/>
      <c r="AR910"/>
      <c r="AS910"/>
      <c r="AT910"/>
      <c r="AU910"/>
      <c r="AV910"/>
      <c r="AW910"/>
      <c r="FY910" s="210">
        <v>905</v>
      </c>
      <c r="FZ910" s="205"/>
      <c r="GA910" s="205"/>
      <c r="GB910" s="205"/>
      <c r="GC910" s="205"/>
      <c r="GD910" s="205"/>
      <c r="GE910" s="205"/>
      <c r="GF910" s="205"/>
      <c r="GG910" s="205"/>
      <c r="GH910" s="205"/>
      <c r="GI910" s="205"/>
      <c r="GJ910" s="205"/>
      <c r="GK910" s="205"/>
      <c r="GL910" s="205"/>
      <c r="GM910" s="205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/>
      <c r="AO911"/>
      <c r="AP911"/>
      <c r="AQ911"/>
      <c r="AR911"/>
      <c r="AS911"/>
      <c r="AT911"/>
      <c r="AU911"/>
      <c r="AV911"/>
      <c r="AW911"/>
      <c r="FY911" s="210">
        <v>906</v>
      </c>
      <c r="FZ911" s="205"/>
      <c r="GA911" s="205"/>
      <c r="GB911" s="205"/>
      <c r="GC911" s="205"/>
      <c r="GD911" s="205"/>
      <c r="GE911" s="205"/>
      <c r="GF911" s="205"/>
      <c r="GG911" s="205"/>
      <c r="GH911" s="205"/>
      <c r="GI911" s="205"/>
      <c r="GJ911" s="205"/>
      <c r="GK911" s="205"/>
      <c r="GL911" s="205"/>
      <c r="GM911" s="205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/>
      <c r="AO912"/>
      <c r="AP912"/>
      <c r="AQ912"/>
      <c r="AR912"/>
      <c r="AS912"/>
      <c r="AT912"/>
      <c r="AU912"/>
      <c r="AV912"/>
      <c r="AW912"/>
      <c r="FY912" s="210">
        <v>907</v>
      </c>
      <c r="FZ912" s="205"/>
      <c r="GA912" s="205"/>
      <c r="GB912" s="205"/>
      <c r="GC912" s="205"/>
      <c r="GD912" s="205"/>
      <c r="GE912" s="205"/>
      <c r="GF912" s="205"/>
      <c r="GG912" s="205"/>
      <c r="GH912" s="205"/>
      <c r="GI912" s="205"/>
      <c r="GJ912" s="205"/>
      <c r="GK912" s="205"/>
      <c r="GL912" s="205"/>
      <c r="GM912" s="205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/>
      <c r="AO913"/>
      <c r="AP913"/>
      <c r="AQ913"/>
      <c r="AR913"/>
      <c r="AS913"/>
      <c r="AT913"/>
      <c r="AU913"/>
      <c r="AV913"/>
      <c r="AW913"/>
      <c r="FY913" s="210">
        <v>908</v>
      </c>
      <c r="FZ913" s="205"/>
      <c r="GA913" s="205"/>
      <c r="GB913" s="205"/>
      <c r="GC913" s="205"/>
      <c r="GD913" s="205"/>
      <c r="GE913" s="205"/>
      <c r="GF913" s="205"/>
      <c r="GG913" s="205"/>
      <c r="GH913" s="205"/>
      <c r="GI913" s="205"/>
      <c r="GJ913" s="205"/>
      <c r="GK913" s="205"/>
      <c r="GL913" s="205"/>
      <c r="GM913" s="205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/>
      <c r="AO914"/>
      <c r="AP914"/>
      <c r="AQ914"/>
      <c r="AR914"/>
      <c r="AS914"/>
      <c r="AT914"/>
      <c r="AU914"/>
      <c r="AV914"/>
      <c r="AW914"/>
      <c r="FY914" s="210">
        <v>909</v>
      </c>
      <c r="FZ914" s="205"/>
      <c r="GA914" s="205"/>
      <c r="GB914" s="205"/>
      <c r="GC914" s="205"/>
      <c r="GD914" s="205"/>
      <c r="GE914" s="205"/>
      <c r="GF914" s="205"/>
      <c r="GG914" s="205"/>
      <c r="GH914" s="205"/>
      <c r="GI914" s="205"/>
      <c r="GJ914" s="205"/>
      <c r="GK914" s="205"/>
      <c r="GL914" s="205"/>
      <c r="GM914" s="205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/>
      <c r="AO915"/>
      <c r="AP915"/>
      <c r="AQ915"/>
      <c r="AR915"/>
      <c r="AS915"/>
      <c r="AT915"/>
      <c r="AU915"/>
      <c r="AV915"/>
      <c r="AW915"/>
      <c r="FY915" s="210">
        <v>910</v>
      </c>
      <c r="FZ915" s="205"/>
      <c r="GA915" s="205"/>
      <c r="GB915" s="205"/>
      <c r="GC915" s="205"/>
      <c r="GD915" s="205"/>
      <c r="GE915" s="205"/>
      <c r="GF915" s="205"/>
      <c r="GG915" s="205"/>
      <c r="GH915" s="205"/>
      <c r="GI915" s="205"/>
      <c r="GJ915" s="205"/>
      <c r="GK915" s="205"/>
      <c r="GL915" s="205"/>
      <c r="GM915" s="20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/>
      <c r="AO916"/>
      <c r="AP916"/>
      <c r="AQ916"/>
      <c r="AR916"/>
      <c r="AS916"/>
      <c r="AT916"/>
      <c r="AU916"/>
      <c r="AV916"/>
      <c r="AW916"/>
      <c r="FY916" s="210">
        <v>911</v>
      </c>
      <c r="FZ916" s="205"/>
      <c r="GA916" s="205"/>
      <c r="GB916" s="205"/>
      <c r="GC916" s="205"/>
      <c r="GD916" s="205"/>
      <c r="GE916" s="205"/>
      <c r="GF916" s="205"/>
      <c r="GG916" s="205"/>
      <c r="GH916" s="205"/>
      <c r="GI916" s="205"/>
      <c r="GJ916" s="205"/>
      <c r="GK916" s="205"/>
      <c r="GL916" s="205"/>
      <c r="GM916" s="205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/>
      <c r="AO917"/>
      <c r="AP917"/>
      <c r="AQ917"/>
      <c r="AR917"/>
      <c r="AS917"/>
      <c r="AT917"/>
      <c r="AU917"/>
      <c r="AV917"/>
      <c r="AW917"/>
      <c r="FY917" s="210">
        <v>912</v>
      </c>
      <c r="FZ917" s="205"/>
      <c r="GA917" s="205"/>
      <c r="GB917" s="205"/>
      <c r="GC917" s="205"/>
      <c r="GD917" s="205"/>
      <c r="GE917" s="205"/>
      <c r="GF917" s="205"/>
      <c r="GG917" s="205"/>
      <c r="GH917" s="205"/>
      <c r="GI917" s="205"/>
      <c r="GJ917" s="205"/>
      <c r="GK917" s="205"/>
      <c r="GL917" s="205"/>
      <c r="GM917" s="205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/>
      <c r="AO918"/>
      <c r="AP918"/>
      <c r="AQ918"/>
      <c r="AR918"/>
      <c r="AS918"/>
      <c r="AT918"/>
      <c r="AU918"/>
      <c r="AV918"/>
      <c r="AW918"/>
      <c r="FY918" s="210">
        <v>913</v>
      </c>
      <c r="FZ918" s="205"/>
      <c r="GA918" s="205"/>
      <c r="GB918" s="205"/>
      <c r="GC918" s="205"/>
      <c r="GD918" s="205"/>
      <c r="GE918" s="205"/>
      <c r="GF918" s="205"/>
      <c r="GG918" s="205"/>
      <c r="GH918" s="205"/>
      <c r="GI918" s="205"/>
      <c r="GJ918" s="205"/>
      <c r="GK918" s="205"/>
      <c r="GL918" s="205"/>
      <c r="GM918" s="205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/>
      <c r="AO919"/>
      <c r="AP919"/>
      <c r="AQ919"/>
      <c r="AR919"/>
      <c r="AS919"/>
      <c r="AT919"/>
      <c r="AU919"/>
      <c r="AV919"/>
      <c r="AW919"/>
      <c r="FY919" s="210">
        <v>914</v>
      </c>
      <c r="FZ919" s="205"/>
      <c r="GA919" s="205"/>
      <c r="GB919" s="205"/>
      <c r="GC919" s="205"/>
      <c r="GD919" s="205"/>
      <c r="GE919" s="205"/>
      <c r="GF919" s="205"/>
      <c r="GG919" s="205"/>
      <c r="GH919" s="205"/>
      <c r="GI919" s="205"/>
      <c r="GJ919" s="205"/>
      <c r="GK919" s="205"/>
      <c r="GL919" s="205"/>
      <c r="GM919" s="205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/>
      <c r="AO920"/>
      <c r="AP920"/>
      <c r="AQ920"/>
      <c r="AR920"/>
      <c r="AS920"/>
      <c r="AT920"/>
      <c r="AU920"/>
      <c r="AV920"/>
      <c r="AW920"/>
      <c r="FY920" s="210">
        <v>915</v>
      </c>
      <c r="FZ920" s="205"/>
      <c r="GA920" s="205"/>
      <c r="GB920" s="205"/>
      <c r="GC920" s="205"/>
      <c r="GD920" s="205"/>
      <c r="GE920" s="205"/>
      <c r="GF920" s="205"/>
      <c r="GG920" s="205"/>
      <c r="GH920" s="205"/>
      <c r="GI920" s="205"/>
      <c r="GJ920" s="205"/>
      <c r="GK920" s="205"/>
      <c r="GL920" s="205"/>
      <c r="GM920" s="205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/>
      <c r="AO921"/>
      <c r="AP921"/>
      <c r="AQ921"/>
      <c r="AR921"/>
      <c r="AS921"/>
      <c r="AT921"/>
      <c r="AU921"/>
      <c r="AV921"/>
      <c r="AW921"/>
      <c r="FY921" s="210">
        <v>916</v>
      </c>
      <c r="FZ921" s="205"/>
      <c r="GA921" s="205"/>
      <c r="GB921" s="205"/>
      <c r="GC921" s="205"/>
      <c r="GD921" s="205"/>
      <c r="GE921" s="205"/>
      <c r="GF921" s="205"/>
      <c r="GG921" s="205"/>
      <c r="GH921" s="205"/>
      <c r="GI921" s="205"/>
      <c r="GJ921" s="205"/>
      <c r="GK921" s="205"/>
      <c r="GL921" s="205"/>
      <c r="GM921" s="205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/>
      <c r="AO922"/>
      <c r="AP922"/>
      <c r="AQ922"/>
      <c r="AR922"/>
      <c r="AS922"/>
      <c r="AT922"/>
      <c r="AU922"/>
      <c r="AV922"/>
      <c r="AW922"/>
      <c r="FY922" s="210">
        <v>917</v>
      </c>
      <c r="FZ922" s="205"/>
      <c r="GA922" s="205"/>
      <c r="GB922" s="205"/>
      <c r="GC922" s="205"/>
      <c r="GD922" s="205"/>
      <c r="GE922" s="205"/>
      <c r="GF922" s="205"/>
      <c r="GG922" s="205"/>
      <c r="GH922" s="205"/>
      <c r="GI922" s="205"/>
      <c r="GJ922" s="205"/>
      <c r="GK922" s="205"/>
      <c r="GL922" s="205"/>
      <c r="GM922" s="205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/>
      <c r="AO923"/>
      <c r="AP923"/>
      <c r="AQ923"/>
      <c r="AR923"/>
      <c r="AS923"/>
      <c r="AT923"/>
      <c r="AU923"/>
      <c r="AV923"/>
      <c r="AW923"/>
      <c r="FY923" s="210">
        <v>918</v>
      </c>
      <c r="FZ923" s="205"/>
      <c r="GA923" s="205"/>
      <c r="GB923" s="205"/>
      <c r="GC923" s="205"/>
      <c r="GD923" s="205"/>
      <c r="GE923" s="205"/>
      <c r="GF923" s="205"/>
      <c r="GG923" s="205"/>
      <c r="GH923" s="205"/>
      <c r="GI923" s="205"/>
      <c r="GJ923" s="205"/>
      <c r="GK923" s="205"/>
      <c r="GL923" s="205"/>
      <c r="GM923" s="205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/>
      <c r="AO924"/>
      <c r="AP924"/>
      <c r="AQ924"/>
      <c r="AR924"/>
      <c r="AS924"/>
      <c r="AT924"/>
      <c r="AU924"/>
      <c r="AV924"/>
      <c r="AW924"/>
      <c r="FY924" s="210">
        <v>919</v>
      </c>
      <c r="FZ924" s="205"/>
      <c r="GA924" s="205"/>
      <c r="GB924" s="205"/>
      <c r="GC924" s="205"/>
      <c r="GD924" s="205"/>
      <c r="GE924" s="205"/>
      <c r="GF924" s="205"/>
      <c r="GG924" s="205"/>
      <c r="GH924" s="205"/>
      <c r="GI924" s="205"/>
      <c r="GJ924" s="205"/>
      <c r="GK924" s="205"/>
      <c r="GL924" s="205"/>
      <c r="GM924" s="205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/>
      <c r="AO925"/>
      <c r="AP925"/>
      <c r="AQ925"/>
      <c r="AR925"/>
      <c r="AS925"/>
      <c r="AT925"/>
      <c r="AU925"/>
      <c r="AV925"/>
      <c r="AW925"/>
      <c r="FY925" s="210">
        <v>920</v>
      </c>
      <c r="FZ925" s="205"/>
      <c r="GA925" s="205"/>
      <c r="GB925" s="205"/>
      <c r="GC925" s="205"/>
      <c r="GD925" s="205"/>
      <c r="GE925" s="205"/>
      <c r="GF925" s="205"/>
      <c r="GG925" s="205"/>
      <c r="GH925" s="205"/>
      <c r="GI925" s="205"/>
      <c r="GJ925" s="205"/>
      <c r="GK925" s="205"/>
      <c r="GL925" s="205"/>
      <c r="GM925" s="20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/>
      <c r="AO926"/>
      <c r="AP926"/>
      <c r="AQ926"/>
      <c r="AR926"/>
      <c r="AS926"/>
      <c r="AT926"/>
      <c r="AU926"/>
      <c r="AV926"/>
      <c r="AW926"/>
      <c r="FY926" s="210">
        <v>921</v>
      </c>
      <c r="FZ926" s="205"/>
      <c r="GA926" s="205"/>
      <c r="GB926" s="205"/>
      <c r="GC926" s="205"/>
      <c r="GD926" s="205"/>
      <c r="GE926" s="205"/>
      <c r="GF926" s="205"/>
      <c r="GG926" s="205"/>
      <c r="GH926" s="205"/>
      <c r="GI926" s="205"/>
      <c r="GJ926" s="205"/>
      <c r="GK926" s="205"/>
      <c r="GL926" s="205"/>
      <c r="GM926" s="205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/>
      <c r="AO927"/>
      <c r="AP927"/>
      <c r="AQ927"/>
      <c r="AR927"/>
      <c r="AS927"/>
      <c r="AT927"/>
      <c r="AU927"/>
      <c r="AV927"/>
      <c r="AW927"/>
      <c r="FY927" s="210">
        <v>922</v>
      </c>
      <c r="FZ927" s="205"/>
      <c r="GA927" s="205"/>
      <c r="GB927" s="205"/>
      <c r="GC927" s="205"/>
      <c r="GD927" s="205"/>
      <c r="GE927" s="205"/>
      <c r="GF927" s="205"/>
      <c r="GG927" s="205"/>
      <c r="GH927" s="205"/>
      <c r="GI927" s="205"/>
      <c r="GJ927" s="205"/>
      <c r="GK927" s="205"/>
      <c r="GL927" s="205"/>
      <c r="GM927" s="205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/>
      <c r="AO928"/>
      <c r="AP928"/>
      <c r="AQ928"/>
      <c r="AR928"/>
      <c r="AS928"/>
      <c r="AT928"/>
      <c r="AU928"/>
      <c r="AV928"/>
      <c r="AW928"/>
      <c r="FY928" s="210">
        <v>923</v>
      </c>
      <c r="FZ928" s="205"/>
      <c r="GA928" s="205"/>
      <c r="GB928" s="205"/>
      <c r="GC928" s="205"/>
      <c r="GD928" s="205"/>
      <c r="GE928" s="205"/>
      <c r="GF928" s="205"/>
      <c r="GG928" s="205"/>
      <c r="GH928" s="205"/>
      <c r="GI928" s="205"/>
      <c r="GJ928" s="205"/>
      <c r="GK928" s="205"/>
      <c r="GL928" s="205"/>
      <c r="GM928" s="205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/>
      <c r="AO929"/>
      <c r="AP929"/>
      <c r="AQ929"/>
      <c r="AR929"/>
      <c r="AS929"/>
      <c r="AT929"/>
      <c r="AU929"/>
      <c r="AV929"/>
      <c r="AW929"/>
      <c r="FY929" s="210">
        <v>924</v>
      </c>
      <c r="FZ929" s="205"/>
      <c r="GA929" s="205"/>
      <c r="GB929" s="205"/>
      <c r="GC929" s="205"/>
      <c r="GD929" s="205"/>
      <c r="GE929" s="205"/>
      <c r="GF929" s="205"/>
      <c r="GG929" s="205"/>
      <c r="GH929" s="205"/>
      <c r="GI929" s="205"/>
      <c r="GJ929" s="205"/>
      <c r="GK929" s="205"/>
      <c r="GL929" s="205"/>
      <c r="GM929" s="205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/>
      <c r="AO930"/>
      <c r="AP930"/>
      <c r="AQ930"/>
      <c r="AR930"/>
      <c r="AS930"/>
      <c r="AT930"/>
      <c r="AU930"/>
      <c r="AV930"/>
      <c r="AW930"/>
      <c r="FY930" s="210">
        <v>925</v>
      </c>
      <c r="FZ930" s="205"/>
      <c r="GA930" s="205"/>
      <c r="GB930" s="205"/>
      <c r="GC930" s="205"/>
      <c r="GD930" s="205"/>
      <c r="GE930" s="205"/>
      <c r="GF930" s="205"/>
      <c r="GG930" s="205"/>
      <c r="GH930" s="205"/>
      <c r="GI930" s="205"/>
      <c r="GJ930" s="205"/>
      <c r="GK930" s="205"/>
      <c r="GL930" s="205"/>
      <c r="GM930" s="205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/>
      <c r="AO931"/>
      <c r="AP931"/>
      <c r="AQ931"/>
      <c r="AR931"/>
      <c r="AS931"/>
      <c r="AT931"/>
      <c r="AU931"/>
      <c r="AV931"/>
      <c r="AW931"/>
      <c r="FY931" s="210">
        <v>926</v>
      </c>
      <c r="FZ931" s="205"/>
      <c r="GA931" s="205"/>
      <c r="GB931" s="205"/>
      <c r="GC931" s="205"/>
      <c r="GD931" s="205"/>
      <c r="GE931" s="205"/>
      <c r="GF931" s="205"/>
      <c r="GG931" s="205"/>
      <c r="GH931" s="205"/>
      <c r="GI931" s="205"/>
      <c r="GJ931" s="205"/>
      <c r="GK931" s="205"/>
      <c r="GL931" s="205"/>
      <c r="GM931" s="205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/>
      <c r="AO932"/>
      <c r="AP932"/>
      <c r="AQ932"/>
      <c r="AR932"/>
      <c r="AS932"/>
      <c r="AT932"/>
      <c r="AU932"/>
      <c r="AV932"/>
      <c r="AW932"/>
      <c r="FY932" s="210">
        <v>927</v>
      </c>
      <c r="FZ932" s="205"/>
      <c r="GA932" s="205"/>
      <c r="GB932" s="205"/>
      <c r="GC932" s="205"/>
      <c r="GD932" s="205"/>
      <c r="GE932" s="205"/>
      <c r="GF932" s="205"/>
      <c r="GG932" s="205"/>
      <c r="GH932" s="205"/>
      <c r="GI932" s="205"/>
      <c r="GJ932" s="205"/>
      <c r="GK932" s="205"/>
      <c r="GL932" s="205"/>
      <c r="GM932" s="205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/>
      <c r="AO933"/>
      <c r="AP933"/>
      <c r="AQ933"/>
      <c r="AR933"/>
      <c r="AS933"/>
      <c r="AT933"/>
      <c r="AU933"/>
      <c r="AV933"/>
      <c r="AW933"/>
      <c r="FY933" s="210">
        <v>928</v>
      </c>
      <c r="FZ933" s="205"/>
      <c r="GA933" s="205"/>
      <c r="GB933" s="205"/>
      <c r="GC933" s="205"/>
      <c r="GD933" s="205"/>
      <c r="GE933" s="205"/>
      <c r="GF933" s="205"/>
      <c r="GG933" s="205"/>
      <c r="GH933" s="205"/>
      <c r="GI933" s="205"/>
      <c r="GJ933" s="205"/>
      <c r="GK933" s="205"/>
      <c r="GL933" s="205"/>
      <c r="GM933" s="205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/>
      <c r="AO934"/>
      <c r="AP934"/>
      <c r="AQ934"/>
      <c r="AR934"/>
      <c r="AS934"/>
      <c r="AT934"/>
      <c r="AU934"/>
      <c r="AV934"/>
      <c r="AW934"/>
      <c r="FY934" s="210">
        <v>929</v>
      </c>
      <c r="FZ934" s="205"/>
      <c r="GA934" s="205"/>
      <c r="GB934" s="205"/>
      <c r="GC934" s="205"/>
      <c r="GD934" s="205"/>
      <c r="GE934" s="205"/>
      <c r="GF934" s="205"/>
      <c r="GG934" s="205"/>
      <c r="GH934" s="205"/>
      <c r="GI934" s="205"/>
      <c r="GJ934" s="205"/>
      <c r="GK934" s="205"/>
      <c r="GL934" s="205"/>
      <c r="GM934" s="205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/>
      <c r="AO935"/>
      <c r="AP935"/>
      <c r="AQ935"/>
      <c r="AR935"/>
      <c r="AS935"/>
      <c r="AT935"/>
      <c r="AU935"/>
      <c r="AV935"/>
      <c r="AW935"/>
      <c r="FY935" s="210">
        <v>930</v>
      </c>
      <c r="FZ935" s="205"/>
      <c r="GA935" s="205"/>
      <c r="GB935" s="205"/>
      <c r="GC935" s="205"/>
      <c r="GD935" s="205"/>
      <c r="GE935" s="205"/>
      <c r="GF935" s="205"/>
      <c r="GG935" s="205"/>
      <c r="GH935" s="205"/>
      <c r="GI935" s="205"/>
      <c r="GJ935" s="205"/>
      <c r="GK935" s="205"/>
      <c r="GL935" s="205"/>
      <c r="GM935" s="20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/>
      <c r="AO936"/>
      <c r="AP936"/>
      <c r="AQ936"/>
      <c r="AR936"/>
      <c r="AS936"/>
      <c r="AT936"/>
      <c r="AU936"/>
      <c r="AV936"/>
      <c r="AW936"/>
      <c r="FY936" s="210">
        <v>931</v>
      </c>
      <c r="FZ936" s="205"/>
      <c r="GA936" s="205"/>
      <c r="GB936" s="205"/>
      <c r="GC936" s="205"/>
      <c r="GD936" s="205"/>
      <c r="GE936" s="205"/>
      <c r="GF936" s="205"/>
      <c r="GG936" s="205"/>
      <c r="GH936" s="205"/>
      <c r="GI936" s="205"/>
      <c r="GJ936" s="205"/>
      <c r="GK936" s="205"/>
      <c r="GL936" s="205"/>
      <c r="GM936" s="205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/>
      <c r="AO937"/>
      <c r="AP937"/>
      <c r="AQ937"/>
      <c r="AR937"/>
      <c r="AS937"/>
      <c r="AT937"/>
      <c r="AU937"/>
      <c r="AV937"/>
      <c r="AW937"/>
      <c r="FY937" s="210">
        <v>932</v>
      </c>
      <c r="FZ937" s="205"/>
      <c r="GA937" s="205"/>
      <c r="GB937" s="205"/>
      <c r="GC937" s="205"/>
      <c r="GD937" s="205"/>
      <c r="GE937" s="205"/>
      <c r="GF937" s="205"/>
      <c r="GG937" s="205"/>
      <c r="GH937" s="205"/>
      <c r="GI937" s="205"/>
      <c r="GJ937" s="205"/>
      <c r="GK937" s="205"/>
      <c r="GL937" s="205"/>
      <c r="GM937" s="205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/>
      <c r="AO938"/>
      <c r="AP938"/>
      <c r="AQ938"/>
      <c r="AR938"/>
      <c r="AS938"/>
      <c r="AT938"/>
      <c r="AU938"/>
      <c r="AV938"/>
      <c r="AW938"/>
      <c r="FY938" s="210">
        <v>933</v>
      </c>
      <c r="FZ938" s="205"/>
      <c r="GA938" s="205"/>
      <c r="GB938" s="205"/>
      <c r="GC938" s="205"/>
      <c r="GD938" s="205"/>
      <c r="GE938" s="205"/>
      <c r="GF938" s="205"/>
      <c r="GG938" s="205"/>
      <c r="GH938" s="205"/>
      <c r="GI938" s="205"/>
      <c r="GJ938" s="205"/>
      <c r="GK938" s="205"/>
      <c r="GL938" s="205"/>
      <c r="GM938" s="205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/>
      <c r="AO939"/>
      <c r="AP939"/>
      <c r="AQ939"/>
      <c r="AR939"/>
      <c r="AS939"/>
      <c r="AT939"/>
      <c r="AU939"/>
      <c r="AV939"/>
      <c r="AW939"/>
      <c r="FY939" s="210">
        <v>934</v>
      </c>
      <c r="FZ939" s="205"/>
      <c r="GA939" s="205"/>
      <c r="GB939" s="205"/>
      <c r="GC939" s="205"/>
      <c r="GD939" s="205"/>
      <c r="GE939" s="205"/>
      <c r="GF939" s="205"/>
      <c r="GG939" s="205"/>
      <c r="GH939" s="205"/>
      <c r="GI939" s="205"/>
      <c r="GJ939" s="205"/>
      <c r="GK939" s="205"/>
      <c r="GL939" s="205"/>
      <c r="GM939" s="205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/>
      <c r="AO940"/>
      <c r="AP940"/>
      <c r="AQ940"/>
      <c r="AR940"/>
      <c r="AS940"/>
      <c r="AT940"/>
      <c r="AU940"/>
      <c r="AV940"/>
      <c r="AW940"/>
      <c r="FY940" s="210">
        <v>935</v>
      </c>
      <c r="FZ940" s="205"/>
      <c r="GA940" s="205"/>
      <c r="GB940" s="205"/>
      <c r="GC940" s="205"/>
      <c r="GD940" s="205"/>
      <c r="GE940" s="205"/>
      <c r="GF940" s="205"/>
      <c r="GG940" s="205"/>
      <c r="GH940" s="205"/>
      <c r="GI940" s="205"/>
      <c r="GJ940" s="205"/>
      <c r="GK940" s="205"/>
      <c r="GL940" s="205"/>
      <c r="GM940" s="205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/>
      <c r="AO941"/>
      <c r="AP941"/>
      <c r="AQ941"/>
      <c r="AR941"/>
      <c r="AS941"/>
      <c r="AT941"/>
      <c r="AU941"/>
      <c r="AV941"/>
      <c r="AW941"/>
      <c r="FY941" s="210">
        <v>936</v>
      </c>
      <c r="FZ941" s="205"/>
      <c r="GA941" s="205"/>
      <c r="GB941" s="205"/>
      <c r="GC941" s="205"/>
      <c r="GD941" s="205"/>
      <c r="GE941" s="205"/>
      <c r="GF941" s="205"/>
      <c r="GG941" s="205"/>
      <c r="GH941" s="205"/>
      <c r="GI941" s="205"/>
      <c r="GJ941" s="205"/>
      <c r="GK941" s="205"/>
      <c r="GL941" s="205"/>
      <c r="GM941" s="205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/>
      <c r="AO942"/>
      <c r="AP942"/>
      <c r="AQ942"/>
      <c r="AR942"/>
      <c r="AS942"/>
      <c r="AT942"/>
      <c r="AU942"/>
      <c r="AV942"/>
      <c r="AW942"/>
      <c r="FY942" s="210">
        <v>937</v>
      </c>
      <c r="FZ942" s="205"/>
      <c r="GA942" s="205"/>
      <c r="GB942" s="205"/>
      <c r="GC942" s="205"/>
      <c r="GD942" s="205"/>
      <c r="GE942" s="205"/>
      <c r="GF942" s="205"/>
      <c r="GG942" s="205"/>
      <c r="GH942" s="205"/>
      <c r="GI942" s="205"/>
      <c r="GJ942" s="205"/>
      <c r="GK942" s="205"/>
      <c r="GL942" s="205"/>
      <c r="GM942" s="205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/>
      <c r="AO943"/>
      <c r="AP943"/>
      <c r="AQ943"/>
      <c r="AR943"/>
      <c r="AS943"/>
      <c r="AT943"/>
      <c r="AU943"/>
      <c r="AV943"/>
      <c r="AW943"/>
      <c r="FY943" s="210">
        <v>938</v>
      </c>
      <c r="FZ943" s="205"/>
      <c r="GA943" s="205"/>
      <c r="GB943" s="205"/>
      <c r="GC943" s="205"/>
      <c r="GD943" s="205"/>
      <c r="GE943" s="205"/>
      <c r="GF943" s="205"/>
      <c r="GG943" s="205"/>
      <c r="GH943" s="205"/>
      <c r="GI943" s="205"/>
      <c r="GJ943" s="205"/>
      <c r="GK943" s="205"/>
      <c r="GL943" s="205"/>
      <c r="GM943" s="205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/>
      <c r="AO944"/>
      <c r="AP944"/>
      <c r="AQ944"/>
      <c r="AR944"/>
      <c r="AS944"/>
      <c r="AT944"/>
      <c r="AU944"/>
      <c r="AV944"/>
      <c r="AW944"/>
      <c r="FY944" s="210">
        <v>939</v>
      </c>
      <c r="FZ944" s="205"/>
      <c r="GA944" s="205"/>
      <c r="GB944" s="205"/>
      <c r="GC944" s="205"/>
      <c r="GD944" s="205"/>
      <c r="GE944" s="205"/>
      <c r="GF944" s="205"/>
      <c r="GG944" s="205"/>
      <c r="GH944" s="205"/>
      <c r="GI944" s="205"/>
      <c r="GJ944" s="205"/>
      <c r="GK944" s="205"/>
      <c r="GL944" s="205"/>
      <c r="GM944" s="205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/>
      <c r="AO945"/>
      <c r="AP945"/>
      <c r="AQ945"/>
      <c r="AR945"/>
      <c r="AS945"/>
      <c r="AT945"/>
      <c r="AU945"/>
      <c r="AV945"/>
      <c r="AW945"/>
      <c r="FY945" s="210">
        <v>940</v>
      </c>
      <c r="FZ945" s="205"/>
      <c r="GA945" s="205"/>
      <c r="GB945" s="205"/>
      <c r="GC945" s="205"/>
      <c r="GD945" s="205"/>
      <c r="GE945" s="205"/>
      <c r="GF945" s="205"/>
      <c r="GG945" s="205"/>
      <c r="GH945" s="205"/>
      <c r="GI945" s="205"/>
      <c r="GJ945" s="205"/>
      <c r="GK945" s="205"/>
      <c r="GL945" s="205"/>
      <c r="GM945" s="20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/>
      <c r="AO946"/>
      <c r="AP946"/>
      <c r="AQ946"/>
      <c r="AR946"/>
      <c r="AS946"/>
      <c r="AT946"/>
      <c r="AU946"/>
      <c r="AV946"/>
      <c r="AW946"/>
      <c r="FY946" s="210">
        <v>941</v>
      </c>
      <c r="FZ946" s="205"/>
      <c r="GA946" s="205"/>
      <c r="GB946" s="205"/>
      <c r="GC946" s="205"/>
      <c r="GD946" s="205"/>
      <c r="GE946" s="205"/>
      <c r="GF946" s="205"/>
      <c r="GG946" s="205"/>
      <c r="GH946" s="205"/>
      <c r="GI946" s="205"/>
      <c r="GJ946" s="205"/>
      <c r="GK946" s="205"/>
      <c r="GL946" s="205"/>
      <c r="GM946" s="205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/>
      <c r="AO947"/>
      <c r="AP947"/>
      <c r="AQ947"/>
      <c r="AR947"/>
      <c r="AS947"/>
      <c r="AT947"/>
      <c r="AU947"/>
      <c r="AV947"/>
      <c r="AW947"/>
      <c r="FY947" s="210">
        <v>942</v>
      </c>
      <c r="FZ947" s="205"/>
      <c r="GA947" s="205"/>
      <c r="GB947" s="205"/>
      <c r="GC947" s="205"/>
      <c r="GD947" s="205"/>
      <c r="GE947" s="205"/>
      <c r="GF947" s="205"/>
      <c r="GG947" s="205"/>
      <c r="GH947" s="205"/>
      <c r="GI947" s="205"/>
      <c r="GJ947" s="205"/>
      <c r="GK947" s="205"/>
      <c r="GL947" s="205"/>
      <c r="GM947" s="205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/>
      <c r="AO948"/>
      <c r="AP948"/>
      <c r="AQ948"/>
      <c r="AR948"/>
      <c r="AS948"/>
      <c r="AT948"/>
      <c r="AU948"/>
      <c r="AV948"/>
      <c r="AW948"/>
      <c r="FY948" s="210">
        <v>943</v>
      </c>
      <c r="FZ948" s="205"/>
      <c r="GA948" s="205"/>
      <c r="GB948" s="205"/>
      <c r="GC948" s="205"/>
      <c r="GD948" s="205"/>
      <c r="GE948" s="205"/>
      <c r="GF948" s="205"/>
      <c r="GG948" s="205"/>
      <c r="GH948" s="205"/>
      <c r="GI948" s="205"/>
      <c r="GJ948" s="205"/>
      <c r="GK948" s="205"/>
      <c r="GL948" s="205"/>
      <c r="GM948" s="205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/>
      <c r="AO949"/>
      <c r="AP949"/>
      <c r="AQ949"/>
      <c r="AR949"/>
      <c r="AS949"/>
      <c r="AT949"/>
      <c r="AU949"/>
      <c r="AV949"/>
      <c r="AW949"/>
      <c r="FY949" s="210">
        <v>944</v>
      </c>
      <c r="FZ949" s="205"/>
      <c r="GA949" s="205"/>
      <c r="GB949" s="205"/>
      <c r="GC949" s="205"/>
      <c r="GD949" s="205"/>
      <c r="GE949" s="205"/>
      <c r="GF949" s="205"/>
      <c r="GG949" s="205"/>
      <c r="GH949" s="205"/>
      <c r="GI949" s="205"/>
      <c r="GJ949" s="205"/>
      <c r="GK949" s="205"/>
      <c r="GL949" s="205"/>
      <c r="GM949" s="205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/>
      <c r="AO950"/>
      <c r="AP950"/>
      <c r="AQ950"/>
      <c r="AR950"/>
      <c r="AS950"/>
      <c r="AT950"/>
      <c r="AU950"/>
      <c r="AV950"/>
      <c r="AW950"/>
      <c r="FY950" s="210">
        <v>945</v>
      </c>
      <c r="FZ950" s="205"/>
      <c r="GA950" s="205"/>
      <c r="GB950" s="205"/>
      <c r="GC950" s="205"/>
      <c r="GD950" s="205"/>
      <c r="GE950" s="205"/>
      <c r="GF950" s="205"/>
      <c r="GG950" s="205"/>
      <c r="GH950" s="205"/>
      <c r="GI950" s="205"/>
      <c r="GJ950" s="205"/>
      <c r="GK950" s="205"/>
      <c r="GL950" s="205"/>
      <c r="GM950" s="205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/>
      <c r="AO951"/>
      <c r="AP951"/>
      <c r="AQ951"/>
      <c r="AR951"/>
      <c r="AS951"/>
      <c r="AT951"/>
      <c r="AU951"/>
      <c r="AV951"/>
      <c r="AW951"/>
      <c r="FY951" s="210">
        <v>946</v>
      </c>
      <c r="FZ951" s="205"/>
      <c r="GA951" s="205"/>
      <c r="GB951" s="205"/>
      <c r="GC951" s="205"/>
      <c r="GD951" s="205"/>
      <c r="GE951" s="205"/>
      <c r="GF951" s="205"/>
      <c r="GG951" s="205"/>
      <c r="GH951" s="205"/>
      <c r="GI951" s="205"/>
      <c r="GJ951" s="205"/>
      <c r="GK951" s="205"/>
      <c r="GL951" s="205"/>
      <c r="GM951" s="205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/>
      <c r="AO952"/>
      <c r="AP952"/>
      <c r="AQ952"/>
      <c r="AR952"/>
      <c r="AS952"/>
      <c r="AT952"/>
      <c r="AU952"/>
      <c r="AV952"/>
      <c r="AW952"/>
      <c r="FY952" s="210">
        <v>947</v>
      </c>
      <c r="FZ952" s="205"/>
      <c r="GA952" s="205"/>
      <c r="GB952" s="205"/>
      <c r="GC952" s="205"/>
      <c r="GD952" s="205"/>
      <c r="GE952" s="205"/>
      <c r="GF952" s="205"/>
      <c r="GG952" s="205"/>
      <c r="GH952" s="205"/>
      <c r="GI952" s="205"/>
      <c r="GJ952" s="205"/>
      <c r="GK952" s="205"/>
      <c r="GL952" s="205"/>
      <c r="GM952" s="205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/>
      <c r="AO953"/>
      <c r="AP953"/>
      <c r="AQ953"/>
      <c r="AR953"/>
      <c r="AS953"/>
      <c r="AT953"/>
      <c r="AU953"/>
      <c r="AV953"/>
      <c r="AW953"/>
      <c r="FY953" s="210">
        <v>948</v>
      </c>
      <c r="FZ953" s="205"/>
      <c r="GA953" s="205"/>
      <c r="GB953" s="205"/>
      <c r="GC953" s="205"/>
      <c r="GD953" s="205"/>
      <c r="GE953" s="205"/>
      <c r="GF953" s="205"/>
      <c r="GG953" s="205"/>
      <c r="GH953" s="205"/>
      <c r="GI953" s="205"/>
      <c r="GJ953" s="205"/>
      <c r="GK953" s="205"/>
      <c r="GL953" s="205"/>
      <c r="GM953" s="205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/>
      <c r="AO954"/>
      <c r="AP954"/>
      <c r="AQ954"/>
      <c r="AR954"/>
      <c r="AS954"/>
      <c r="AT954"/>
      <c r="AU954"/>
      <c r="AV954"/>
      <c r="AW954"/>
      <c r="FY954" s="210">
        <v>949</v>
      </c>
      <c r="FZ954" s="205"/>
      <c r="GA954" s="205"/>
      <c r="GB954" s="205"/>
      <c r="GC954" s="205"/>
      <c r="GD954" s="205"/>
      <c r="GE954" s="205"/>
      <c r="GF954" s="205"/>
      <c r="GG954" s="205"/>
      <c r="GH954" s="205"/>
      <c r="GI954" s="205"/>
      <c r="GJ954" s="205"/>
      <c r="GK954" s="205"/>
      <c r="GL954" s="205"/>
      <c r="GM954" s="205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/>
      <c r="AO955"/>
      <c r="AP955"/>
      <c r="AQ955"/>
      <c r="AR955"/>
      <c r="AS955"/>
      <c r="AT955"/>
      <c r="AU955"/>
      <c r="AV955"/>
      <c r="AW955"/>
      <c r="FY955" s="210">
        <v>950</v>
      </c>
      <c r="FZ955" s="205"/>
      <c r="GA955" s="205"/>
      <c r="GB955" s="205"/>
      <c r="GC955" s="205"/>
      <c r="GD955" s="205"/>
      <c r="GE955" s="205"/>
      <c r="GF955" s="205"/>
      <c r="GG955" s="205"/>
      <c r="GH955" s="205"/>
      <c r="GI955" s="205"/>
      <c r="GJ955" s="205"/>
      <c r="GK955" s="205"/>
      <c r="GL955" s="205"/>
      <c r="GM955" s="20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/>
      <c r="AO956"/>
      <c r="AP956"/>
      <c r="AQ956"/>
      <c r="AR956"/>
      <c r="AS956"/>
      <c r="AT956"/>
      <c r="AU956"/>
      <c r="AV956"/>
      <c r="AW956"/>
      <c r="FY956" s="210">
        <v>951</v>
      </c>
      <c r="FZ956" s="205"/>
      <c r="GA956" s="205"/>
      <c r="GB956" s="205"/>
      <c r="GC956" s="205"/>
      <c r="GD956" s="205"/>
      <c r="GE956" s="205"/>
      <c r="GF956" s="205"/>
      <c r="GG956" s="205"/>
      <c r="GH956" s="205"/>
      <c r="GI956" s="205"/>
      <c r="GJ956" s="205"/>
      <c r="GK956" s="205"/>
      <c r="GL956" s="205"/>
      <c r="GM956" s="205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/>
      <c r="AO957"/>
      <c r="AP957"/>
      <c r="AQ957"/>
      <c r="AR957"/>
      <c r="AS957"/>
      <c r="AT957"/>
      <c r="AU957"/>
      <c r="AV957"/>
      <c r="AW957"/>
      <c r="FY957" s="210">
        <v>952</v>
      </c>
      <c r="FZ957" s="205"/>
      <c r="GA957" s="205"/>
      <c r="GB957" s="205"/>
      <c r="GC957" s="205"/>
      <c r="GD957" s="205"/>
      <c r="GE957" s="205"/>
      <c r="GF957" s="205"/>
      <c r="GG957" s="205"/>
      <c r="GH957" s="205"/>
      <c r="GI957" s="205"/>
      <c r="GJ957" s="205"/>
      <c r="GK957" s="205"/>
      <c r="GL957" s="205"/>
      <c r="GM957" s="205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/>
      <c r="AO958"/>
      <c r="AP958"/>
      <c r="AQ958"/>
      <c r="AR958"/>
      <c r="AS958"/>
      <c r="AT958"/>
      <c r="AU958"/>
      <c r="AV958"/>
      <c r="AW958"/>
      <c r="FY958" s="210">
        <v>953</v>
      </c>
      <c r="FZ958" s="205"/>
      <c r="GA958" s="205"/>
      <c r="GB958" s="205"/>
      <c r="GC958" s="205"/>
      <c r="GD958" s="205"/>
      <c r="GE958" s="205"/>
      <c r="GF958" s="205"/>
      <c r="GG958" s="205"/>
      <c r="GH958" s="205"/>
      <c r="GI958" s="205"/>
      <c r="GJ958" s="205"/>
      <c r="GK958" s="205"/>
      <c r="GL958" s="205"/>
      <c r="GM958" s="205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/>
      <c r="AO959"/>
      <c r="AP959"/>
      <c r="AQ959"/>
      <c r="AR959"/>
      <c r="AS959"/>
      <c r="AT959"/>
      <c r="AU959"/>
      <c r="AV959"/>
      <c r="AW959"/>
      <c r="FY959" s="210">
        <v>954</v>
      </c>
      <c r="FZ959" s="205"/>
      <c r="GA959" s="205"/>
      <c r="GB959" s="205"/>
      <c r="GC959" s="205"/>
      <c r="GD959" s="205"/>
      <c r="GE959" s="205"/>
      <c r="GF959" s="205"/>
      <c r="GG959" s="205"/>
      <c r="GH959" s="205"/>
      <c r="GI959" s="205"/>
      <c r="GJ959" s="205"/>
      <c r="GK959" s="205"/>
      <c r="GL959" s="205"/>
      <c r="GM959" s="205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/>
      <c r="AO960"/>
      <c r="AP960"/>
      <c r="AQ960"/>
      <c r="AR960"/>
      <c r="AS960"/>
      <c r="AT960"/>
      <c r="AU960"/>
      <c r="AV960"/>
      <c r="AW960"/>
      <c r="FY960" s="210">
        <v>955</v>
      </c>
      <c r="FZ960" s="205"/>
      <c r="GA960" s="205"/>
      <c r="GB960" s="205"/>
      <c r="GC960" s="205"/>
      <c r="GD960" s="205"/>
      <c r="GE960" s="205"/>
      <c r="GF960" s="205"/>
      <c r="GG960" s="205"/>
      <c r="GH960" s="205"/>
      <c r="GI960" s="205"/>
      <c r="GJ960" s="205"/>
      <c r="GK960" s="205"/>
      <c r="GL960" s="205"/>
      <c r="GM960" s="205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/>
      <c r="AO961"/>
      <c r="AP961"/>
      <c r="AQ961"/>
      <c r="AR961"/>
      <c r="AS961"/>
      <c r="AT961"/>
      <c r="AU961"/>
      <c r="AV961"/>
      <c r="AW961"/>
      <c r="FY961" s="210">
        <v>956</v>
      </c>
      <c r="FZ961" s="205"/>
      <c r="GA961" s="205"/>
      <c r="GB961" s="205"/>
      <c r="GC961" s="205"/>
      <c r="GD961" s="205"/>
      <c r="GE961" s="205"/>
      <c r="GF961" s="205"/>
      <c r="GG961" s="205"/>
      <c r="GH961" s="205"/>
      <c r="GI961" s="205"/>
      <c r="GJ961" s="205"/>
      <c r="GK961" s="205"/>
      <c r="GL961" s="205"/>
      <c r="GM961" s="205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/>
      <c r="AO962"/>
      <c r="AP962"/>
      <c r="AQ962"/>
      <c r="AR962"/>
      <c r="AS962"/>
      <c r="AT962"/>
      <c r="AU962"/>
      <c r="AV962"/>
      <c r="AW962"/>
      <c r="FY962" s="210">
        <v>957</v>
      </c>
      <c r="FZ962" s="205"/>
      <c r="GA962" s="205"/>
      <c r="GB962" s="205"/>
      <c r="GC962" s="205"/>
      <c r="GD962" s="205"/>
      <c r="GE962" s="205"/>
      <c r="GF962" s="205"/>
      <c r="GG962" s="205"/>
      <c r="GH962" s="205"/>
      <c r="GI962" s="205"/>
      <c r="GJ962" s="205"/>
      <c r="GK962" s="205"/>
      <c r="GL962" s="205"/>
      <c r="GM962" s="205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/>
      <c r="AO963"/>
      <c r="AP963"/>
      <c r="AQ963"/>
      <c r="AR963"/>
      <c r="AS963"/>
      <c r="AT963"/>
      <c r="AU963"/>
      <c r="AV963"/>
      <c r="AW963"/>
      <c r="FY963" s="210">
        <v>958</v>
      </c>
      <c r="FZ963" s="205"/>
      <c r="GA963" s="205"/>
      <c r="GB963" s="205"/>
      <c r="GC963" s="205"/>
      <c r="GD963" s="205"/>
      <c r="GE963" s="205"/>
      <c r="GF963" s="205"/>
      <c r="GG963" s="205"/>
      <c r="GH963" s="205"/>
      <c r="GI963" s="205"/>
      <c r="GJ963" s="205"/>
      <c r="GK963" s="205"/>
      <c r="GL963" s="205"/>
      <c r="GM963" s="205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/>
      <c r="AO964"/>
      <c r="AP964"/>
      <c r="AQ964"/>
      <c r="AR964"/>
      <c r="AS964"/>
      <c r="AT964"/>
      <c r="AU964"/>
      <c r="AV964"/>
      <c r="AW964"/>
      <c r="FY964" s="210">
        <v>959</v>
      </c>
      <c r="FZ964" s="205"/>
      <c r="GA964" s="205"/>
      <c r="GB964" s="205"/>
      <c r="GC964" s="205"/>
      <c r="GD964" s="205"/>
      <c r="GE964" s="205"/>
      <c r="GF964" s="205"/>
      <c r="GG964" s="205"/>
      <c r="GH964" s="205"/>
      <c r="GI964" s="205"/>
      <c r="GJ964" s="205"/>
      <c r="GK964" s="205"/>
      <c r="GL964" s="205"/>
      <c r="GM964" s="205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/>
      <c r="AO965"/>
      <c r="AP965"/>
      <c r="AQ965"/>
      <c r="AR965"/>
      <c r="AS965"/>
      <c r="AT965"/>
      <c r="AU965"/>
      <c r="AV965"/>
      <c r="AW965"/>
      <c r="FY965" s="210">
        <v>960</v>
      </c>
      <c r="FZ965" s="205"/>
      <c r="GA965" s="205"/>
      <c r="GB965" s="205"/>
      <c r="GC965" s="205"/>
      <c r="GD965" s="205"/>
      <c r="GE965" s="205"/>
      <c r="GF965" s="205"/>
      <c r="GG965" s="205"/>
      <c r="GH965" s="205"/>
      <c r="GI965" s="205"/>
      <c r="GJ965" s="205"/>
      <c r="GK965" s="205"/>
      <c r="GL965" s="205"/>
      <c r="GM965" s="20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/>
      <c r="AO966"/>
      <c r="AP966"/>
      <c r="AQ966"/>
      <c r="AR966"/>
      <c r="AS966"/>
      <c r="AT966"/>
      <c r="AU966"/>
      <c r="AV966"/>
      <c r="AW966"/>
      <c r="FY966" s="210">
        <v>961</v>
      </c>
      <c r="FZ966" s="205"/>
      <c r="GA966" s="205"/>
      <c r="GB966" s="205"/>
      <c r="GC966" s="205"/>
      <c r="GD966" s="205"/>
      <c r="GE966" s="205"/>
      <c r="GF966" s="205"/>
      <c r="GG966" s="205"/>
      <c r="GH966" s="205"/>
      <c r="GI966" s="205"/>
      <c r="GJ966" s="205"/>
      <c r="GK966" s="205"/>
      <c r="GL966" s="205"/>
      <c r="GM966" s="205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/>
      <c r="AO967"/>
      <c r="AP967"/>
      <c r="AQ967"/>
      <c r="AR967"/>
      <c r="AS967"/>
      <c r="AT967"/>
      <c r="AU967"/>
      <c r="AV967"/>
      <c r="AW967"/>
      <c r="FY967" s="210">
        <v>962</v>
      </c>
      <c r="FZ967" s="205"/>
      <c r="GA967" s="205"/>
      <c r="GB967" s="205"/>
      <c r="GC967" s="205"/>
      <c r="GD967" s="205"/>
      <c r="GE967" s="205"/>
      <c r="GF967" s="205"/>
      <c r="GG967" s="205"/>
      <c r="GH967" s="205"/>
      <c r="GI967" s="205"/>
      <c r="GJ967" s="205"/>
      <c r="GK967" s="205"/>
      <c r="GL967" s="205"/>
      <c r="GM967" s="205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/>
      <c r="AO968"/>
      <c r="AP968"/>
      <c r="AQ968"/>
      <c r="AR968"/>
      <c r="AS968"/>
      <c r="AT968"/>
      <c r="AU968"/>
      <c r="AV968"/>
      <c r="AW968"/>
      <c r="FY968" s="210">
        <v>963</v>
      </c>
      <c r="FZ968" s="205"/>
      <c r="GA968" s="205"/>
      <c r="GB968" s="205"/>
      <c r="GC968" s="205"/>
      <c r="GD968" s="205"/>
      <c r="GE968" s="205"/>
      <c r="GF968" s="205"/>
      <c r="GG968" s="205"/>
      <c r="GH968" s="205"/>
      <c r="GI968" s="205"/>
      <c r="GJ968" s="205"/>
      <c r="GK968" s="205"/>
      <c r="GL968" s="205"/>
      <c r="GM968" s="205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/>
      <c r="AO969"/>
      <c r="AP969"/>
      <c r="AQ969"/>
      <c r="AR969"/>
      <c r="AS969"/>
      <c r="AT969"/>
      <c r="AU969"/>
      <c r="AV969"/>
      <c r="AW969"/>
      <c r="FY969" s="210">
        <v>964</v>
      </c>
      <c r="FZ969" s="205"/>
      <c r="GA969" s="205"/>
      <c r="GB969" s="205"/>
      <c r="GC969" s="205"/>
      <c r="GD969" s="205"/>
      <c r="GE969" s="205"/>
      <c r="GF969" s="205"/>
      <c r="GG969" s="205"/>
      <c r="GH969" s="205"/>
      <c r="GI969" s="205"/>
      <c r="GJ969" s="205"/>
      <c r="GK969" s="205"/>
      <c r="GL969" s="205"/>
      <c r="GM969" s="205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/>
      <c r="AO970"/>
      <c r="AP970"/>
      <c r="AQ970"/>
      <c r="AR970"/>
      <c r="AS970"/>
      <c r="AT970"/>
      <c r="AU970"/>
      <c r="AV970"/>
      <c r="AW970"/>
      <c r="FY970" s="210">
        <v>965</v>
      </c>
      <c r="FZ970" s="205"/>
      <c r="GA970" s="205"/>
      <c r="GB970" s="205"/>
      <c r="GC970" s="205"/>
      <c r="GD970" s="205"/>
      <c r="GE970" s="205"/>
      <c r="GF970" s="205"/>
      <c r="GG970" s="205"/>
      <c r="GH970" s="205"/>
      <c r="GI970" s="205"/>
      <c r="GJ970" s="205"/>
      <c r="GK970" s="205"/>
      <c r="GL970" s="205"/>
      <c r="GM970" s="205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/>
      <c r="AO971"/>
      <c r="AP971"/>
      <c r="AQ971"/>
      <c r="AR971"/>
      <c r="AS971"/>
      <c r="AT971"/>
      <c r="AU971"/>
      <c r="AV971"/>
      <c r="AW971"/>
      <c r="FY971" s="210">
        <v>966</v>
      </c>
      <c r="FZ971" s="205"/>
      <c r="GA971" s="205"/>
      <c r="GB971" s="205"/>
      <c r="GC971" s="205"/>
      <c r="GD971" s="205"/>
      <c r="GE971" s="205"/>
      <c r="GF971" s="205"/>
      <c r="GG971" s="205"/>
      <c r="GH971" s="205"/>
      <c r="GI971" s="205"/>
      <c r="GJ971" s="205"/>
      <c r="GK971" s="205"/>
      <c r="GL971" s="205"/>
      <c r="GM971" s="205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/>
      <c r="AO972"/>
      <c r="AP972"/>
      <c r="AQ972"/>
      <c r="AR972"/>
      <c r="AS972"/>
      <c r="AT972"/>
      <c r="AU972"/>
      <c r="AV972"/>
      <c r="AW972"/>
      <c r="FY972" s="210">
        <v>967</v>
      </c>
      <c r="FZ972" s="205"/>
      <c r="GA972" s="205"/>
      <c r="GB972" s="205"/>
      <c r="GC972" s="205"/>
      <c r="GD972" s="205"/>
      <c r="GE972" s="205"/>
      <c r="GF972" s="205"/>
      <c r="GG972" s="205"/>
      <c r="GH972" s="205"/>
      <c r="GI972" s="205"/>
      <c r="GJ972" s="205"/>
      <c r="GK972" s="205"/>
      <c r="GL972" s="205"/>
      <c r="GM972" s="205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/>
      <c r="AO973"/>
      <c r="AP973"/>
      <c r="AQ973"/>
      <c r="AR973"/>
      <c r="AS973"/>
      <c r="AT973"/>
      <c r="AU973"/>
      <c r="AV973"/>
      <c r="AW973"/>
      <c r="FY973" s="210">
        <v>968</v>
      </c>
      <c r="FZ973" s="205"/>
      <c r="GA973" s="205"/>
      <c r="GB973" s="205"/>
      <c r="GC973" s="205"/>
      <c r="GD973" s="205"/>
      <c r="GE973" s="205"/>
      <c r="GF973" s="205"/>
      <c r="GG973" s="205"/>
      <c r="GH973" s="205"/>
      <c r="GI973" s="205"/>
      <c r="GJ973" s="205"/>
      <c r="GK973" s="205"/>
      <c r="GL973" s="205"/>
      <c r="GM973" s="205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/>
      <c r="AO974"/>
      <c r="AP974"/>
      <c r="AQ974"/>
      <c r="AR974"/>
      <c r="AS974"/>
      <c r="AT974"/>
      <c r="AU974"/>
      <c r="AV974"/>
      <c r="AW974"/>
      <c r="FY974" s="210">
        <v>969</v>
      </c>
      <c r="FZ974" s="205"/>
      <c r="GA974" s="205"/>
      <c r="GB974" s="205"/>
      <c r="GC974" s="205"/>
      <c r="GD974" s="205"/>
      <c r="GE974" s="205"/>
      <c r="GF974" s="205"/>
      <c r="GG974" s="205"/>
      <c r="GH974" s="205"/>
      <c r="GI974" s="205"/>
      <c r="GJ974" s="205"/>
      <c r="GK974" s="205"/>
      <c r="GL974" s="205"/>
      <c r="GM974" s="205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/>
      <c r="AO975"/>
      <c r="AP975"/>
      <c r="AQ975"/>
      <c r="AR975"/>
      <c r="AS975"/>
      <c r="AT975"/>
      <c r="AU975"/>
      <c r="AV975"/>
      <c r="AW975"/>
      <c r="FY975" s="210">
        <v>970</v>
      </c>
      <c r="FZ975" s="205"/>
      <c r="GA975" s="205"/>
      <c r="GB975" s="205"/>
      <c r="GC975" s="205"/>
      <c r="GD975" s="205"/>
      <c r="GE975" s="205"/>
      <c r="GF975" s="205"/>
      <c r="GG975" s="205"/>
      <c r="GH975" s="205"/>
      <c r="GI975" s="205"/>
      <c r="GJ975" s="205"/>
      <c r="GK975" s="205"/>
      <c r="GL975" s="205"/>
      <c r="GM975" s="20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/>
      <c r="AO976"/>
      <c r="AP976"/>
      <c r="AQ976"/>
      <c r="AR976"/>
      <c r="AS976"/>
      <c r="AT976"/>
      <c r="AU976"/>
      <c r="AV976"/>
      <c r="AW976"/>
      <c r="FY976" s="210">
        <v>971</v>
      </c>
      <c r="FZ976" s="205"/>
      <c r="GA976" s="205"/>
      <c r="GB976" s="205"/>
      <c r="GC976" s="205"/>
      <c r="GD976" s="205"/>
      <c r="GE976" s="205"/>
      <c r="GF976" s="205"/>
      <c r="GG976" s="205"/>
      <c r="GH976" s="205"/>
      <c r="GI976" s="205"/>
      <c r="GJ976" s="205"/>
      <c r="GK976" s="205"/>
      <c r="GL976" s="205"/>
      <c r="GM976" s="205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/>
      <c r="AO977"/>
      <c r="AP977"/>
      <c r="AQ977"/>
      <c r="AR977"/>
      <c r="AS977"/>
      <c r="AT977"/>
      <c r="AU977"/>
      <c r="AV977"/>
      <c r="AW977"/>
      <c r="FY977" s="210">
        <v>972</v>
      </c>
      <c r="FZ977" s="205"/>
      <c r="GA977" s="205"/>
      <c r="GB977" s="205"/>
      <c r="GC977" s="205"/>
      <c r="GD977" s="205"/>
      <c r="GE977" s="205"/>
      <c r="GF977" s="205"/>
      <c r="GG977" s="205"/>
      <c r="GH977" s="205"/>
      <c r="GI977" s="205"/>
      <c r="GJ977" s="205"/>
      <c r="GK977" s="205"/>
      <c r="GL977" s="205"/>
      <c r="GM977" s="205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/>
      <c r="AO978"/>
      <c r="AP978"/>
      <c r="AQ978"/>
      <c r="AR978"/>
      <c r="AS978"/>
      <c r="AT978"/>
      <c r="AU978"/>
      <c r="AV978"/>
      <c r="AW978"/>
      <c r="FY978" s="210">
        <v>973</v>
      </c>
      <c r="FZ978" s="205"/>
      <c r="GA978" s="205"/>
      <c r="GB978" s="205"/>
      <c r="GC978" s="205"/>
      <c r="GD978" s="205"/>
      <c r="GE978" s="205"/>
      <c r="GF978" s="205"/>
      <c r="GG978" s="205"/>
      <c r="GH978" s="205"/>
      <c r="GI978" s="205"/>
      <c r="GJ978" s="205"/>
      <c r="GK978" s="205"/>
      <c r="GL978" s="205"/>
      <c r="GM978" s="205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/>
      <c r="AO979"/>
      <c r="AP979"/>
      <c r="AQ979"/>
      <c r="AR979"/>
      <c r="AS979"/>
      <c r="AT979"/>
      <c r="AU979"/>
      <c r="AV979"/>
      <c r="AW979"/>
      <c r="FY979" s="210">
        <v>974</v>
      </c>
      <c r="FZ979" s="205"/>
      <c r="GA979" s="205"/>
      <c r="GB979" s="205"/>
      <c r="GC979" s="205"/>
      <c r="GD979" s="205"/>
      <c r="GE979" s="205"/>
      <c r="GF979" s="205"/>
      <c r="GG979" s="205"/>
      <c r="GH979" s="205"/>
      <c r="GI979" s="205"/>
      <c r="GJ979" s="205"/>
      <c r="GK979" s="205"/>
      <c r="GL979" s="205"/>
      <c r="GM979" s="205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/>
      <c r="AO980"/>
      <c r="AP980"/>
      <c r="AQ980"/>
      <c r="AR980"/>
      <c r="AS980"/>
      <c r="AT980"/>
      <c r="AU980"/>
      <c r="AV980"/>
      <c r="AW980"/>
      <c r="FY980" s="210">
        <v>975</v>
      </c>
      <c r="FZ980" s="205"/>
      <c r="GA980" s="205"/>
      <c r="GB980" s="205"/>
      <c r="GC980" s="205"/>
      <c r="GD980" s="205"/>
      <c r="GE980" s="205"/>
      <c r="GF980" s="205"/>
      <c r="GG980" s="205"/>
      <c r="GH980" s="205"/>
      <c r="GI980" s="205"/>
      <c r="GJ980" s="205"/>
      <c r="GK980" s="205"/>
      <c r="GL980" s="205"/>
      <c r="GM980" s="205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/>
      <c r="AO981"/>
      <c r="AP981"/>
      <c r="AQ981"/>
      <c r="AR981"/>
      <c r="AS981"/>
      <c r="AT981"/>
      <c r="AU981"/>
      <c r="AV981"/>
      <c r="AW981"/>
      <c r="FY981" s="210">
        <v>976</v>
      </c>
      <c r="FZ981" s="205"/>
      <c r="GA981" s="205"/>
      <c r="GB981" s="205"/>
      <c r="GC981" s="205"/>
      <c r="GD981" s="205"/>
      <c r="GE981" s="205"/>
      <c r="GF981" s="205"/>
      <c r="GG981" s="205"/>
      <c r="GH981" s="205"/>
      <c r="GI981" s="205"/>
      <c r="GJ981" s="205"/>
      <c r="GK981" s="205"/>
      <c r="GL981" s="205"/>
      <c r="GM981" s="205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/>
      <c r="AO982"/>
      <c r="AP982"/>
      <c r="AQ982"/>
      <c r="AR982"/>
      <c r="AS982"/>
      <c r="AT982"/>
      <c r="AU982"/>
      <c r="AV982"/>
      <c r="AW982"/>
      <c r="FY982" s="210">
        <v>977</v>
      </c>
      <c r="FZ982" s="205"/>
      <c r="GA982" s="205"/>
      <c r="GB982" s="205"/>
      <c r="GC982" s="205"/>
      <c r="GD982" s="205"/>
      <c r="GE982" s="205"/>
      <c r="GF982" s="205"/>
      <c r="GG982" s="205"/>
      <c r="GH982" s="205"/>
      <c r="GI982" s="205"/>
      <c r="GJ982" s="205"/>
      <c r="GK982" s="205"/>
      <c r="GL982" s="205"/>
      <c r="GM982" s="205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/>
      <c r="AO983"/>
      <c r="AP983"/>
      <c r="AQ983"/>
      <c r="AR983"/>
      <c r="AS983"/>
      <c r="AT983"/>
      <c r="AU983"/>
      <c r="AV983"/>
      <c r="AW983"/>
      <c r="FY983" s="210">
        <v>978</v>
      </c>
      <c r="FZ983" s="205"/>
      <c r="GA983" s="205"/>
      <c r="GB983" s="205"/>
      <c r="GC983" s="205"/>
      <c r="GD983" s="205"/>
      <c r="GE983" s="205"/>
      <c r="GF983" s="205"/>
      <c r="GG983" s="205"/>
      <c r="GH983" s="205"/>
      <c r="GI983" s="205"/>
      <c r="GJ983" s="205"/>
      <c r="GK983" s="205"/>
      <c r="GL983" s="205"/>
      <c r="GM983" s="205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/>
      <c r="AO984"/>
      <c r="AP984"/>
      <c r="AQ984"/>
      <c r="AR984"/>
      <c r="AS984"/>
      <c r="AT984"/>
      <c r="AU984"/>
      <c r="AV984"/>
      <c r="AW984"/>
      <c r="FY984" s="210">
        <v>979</v>
      </c>
      <c r="FZ984" s="205"/>
      <c r="GA984" s="205"/>
      <c r="GB984" s="205"/>
      <c r="GC984" s="205"/>
      <c r="GD984" s="205"/>
      <c r="GE984" s="205"/>
      <c r="GF984" s="205"/>
      <c r="GG984" s="205"/>
      <c r="GH984" s="205"/>
      <c r="GI984" s="205"/>
      <c r="GJ984" s="205"/>
      <c r="GK984" s="205"/>
      <c r="GL984" s="205"/>
      <c r="GM984" s="205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/>
      <c r="AO985"/>
      <c r="AP985"/>
      <c r="AQ985"/>
      <c r="AR985"/>
      <c r="AS985"/>
      <c r="AT985"/>
      <c r="AU985"/>
      <c r="AV985"/>
      <c r="AW985"/>
      <c r="FY985" s="210">
        <v>980</v>
      </c>
      <c r="FZ985" s="205"/>
      <c r="GA985" s="205"/>
      <c r="GB985" s="205"/>
      <c r="GC985" s="205"/>
      <c r="GD985" s="205"/>
      <c r="GE985" s="205"/>
      <c r="GF985" s="205"/>
      <c r="GG985" s="205"/>
      <c r="GH985" s="205"/>
      <c r="GI985" s="205"/>
      <c r="GJ985" s="205"/>
      <c r="GK985" s="205"/>
      <c r="GL985" s="205"/>
      <c r="GM985" s="20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/>
      <c r="AO986"/>
      <c r="AP986"/>
      <c r="AQ986"/>
      <c r="AR986"/>
      <c r="AS986"/>
      <c r="AT986"/>
      <c r="AU986"/>
      <c r="AV986"/>
      <c r="AW986"/>
      <c r="FY986" s="210">
        <v>981</v>
      </c>
      <c r="FZ986" s="205"/>
      <c r="GA986" s="205"/>
      <c r="GB986" s="205"/>
      <c r="GC986" s="205"/>
      <c r="GD986" s="205"/>
      <c r="GE986" s="205"/>
      <c r="GF986" s="205"/>
      <c r="GG986" s="205"/>
      <c r="GH986" s="205"/>
      <c r="GI986" s="205"/>
      <c r="GJ986" s="205"/>
      <c r="GK986" s="205"/>
      <c r="GL986" s="205"/>
      <c r="GM986" s="205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/>
      <c r="AO987"/>
      <c r="AP987"/>
      <c r="AQ987"/>
      <c r="AR987"/>
      <c r="AS987"/>
      <c r="AT987"/>
      <c r="AU987"/>
      <c r="AV987"/>
      <c r="AW987"/>
      <c r="FY987" s="210">
        <v>982</v>
      </c>
      <c r="FZ987" s="205"/>
      <c r="GA987" s="205"/>
      <c r="GB987" s="205"/>
      <c r="GC987" s="205"/>
      <c r="GD987" s="205"/>
      <c r="GE987" s="205"/>
      <c r="GF987" s="205"/>
      <c r="GG987" s="205"/>
      <c r="GH987" s="205"/>
      <c r="GI987" s="205"/>
      <c r="GJ987" s="205"/>
      <c r="GK987" s="205"/>
      <c r="GL987" s="205"/>
      <c r="GM987" s="205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/>
      <c r="AO988"/>
      <c r="AP988"/>
      <c r="AQ988"/>
      <c r="AR988"/>
      <c r="AS988"/>
      <c r="AT988"/>
      <c r="AU988"/>
      <c r="AV988"/>
      <c r="AW988"/>
      <c r="FY988" s="210">
        <v>983</v>
      </c>
      <c r="FZ988" s="205"/>
      <c r="GA988" s="205"/>
      <c r="GB988" s="205"/>
      <c r="GC988" s="205"/>
      <c r="GD988" s="205"/>
      <c r="GE988" s="205"/>
      <c r="GF988" s="205"/>
      <c r="GG988" s="205"/>
      <c r="GH988" s="205"/>
      <c r="GI988" s="205"/>
      <c r="GJ988" s="205"/>
      <c r="GK988" s="205"/>
      <c r="GL988" s="205"/>
      <c r="GM988" s="205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/>
      <c r="AO989"/>
      <c r="AP989"/>
      <c r="AQ989"/>
      <c r="AR989"/>
      <c r="AS989"/>
      <c r="AT989"/>
      <c r="AU989"/>
      <c r="AV989"/>
      <c r="AW989"/>
      <c r="FY989" s="210">
        <v>984</v>
      </c>
      <c r="FZ989" s="205"/>
      <c r="GA989" s="205"/>
      <c r="GB989" s="205"/>
      <c r="GC989" s="205"/>
      <c r="GD989" s="205"/>
      <c r="GE989" s="205"/>
      <c r="GF989" s="205"/>
      <c r="GG989" s="205"/>
      <c r="GH989" s="205"/>
      <c r="GI989" s="205"/>
      <c r="GJ989" s="205"/>
      <c r="GK989" s="205"/>
      <c r="GL989" s="205"/>
      <c r="GM989" s="205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/>
      <c r="AO990"/>
      <c r="AP990"/>
      <c r="AQ990"/>
      <c r="AR990"/>
      <c r="AS990"/>
      <c r="AT990"/>
      <c r="AU990"/>
      <c r="AV990"/>
      <c r="AW990"/>
      <c r="FY990" s="210">
        <v>985</v>
      </c>
      <c r="FZ990" s="205"/>
      <c r="GA990" s="205"/>
      <c r="GB990" s="205"/>
      <c r="GC990" s="205"/>
      <c r="GD990" s="205"/>
      <c r="GE990" s="205"/>
      <c r="GF990" s="205"/>
      <c r="GG990" s="205"/>
      <c r="GH990" s="205"/>
      <c r="GI990" s="205"/>
      <c r="GJ990" s="205"/>
      <c r="GK990" s="205"/>
      <c r="GL990" s="205"/>
      <c r="GM990" s="205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/>
      <c r="AO991"/>
      <c r="AP991"/>
      <c r="AQ991"/>
      <c r="AR991"/>
      <c r="AS991"/>
      <c r="AT991"/>
      <c r="AU991"/>
      <c r="AV991"/>
      <c r="AW991"/>
      <c r="FY991" s="210">
        <v>986</v>
      </c>
      <c r="FZ991" s="205"/>
      <c r="GA991" s="205"/>
      <c r="GB991" s="205"/>
      <c r="GC991" s="205"/>
      <c r="GD991" s="205"/>
      <c r="GE991" s="205"/>
      <c r="GF991" s="205"/>
      <c r="GG991" s="205"/>
      <c r="GH991" s="205"/>
      <c r="GI991" s="205"/>
      <c r="GJ991" s="205"/>
      <c r="GK991" s="205"/>
      <c r="GL991" s="205"/>
      <c r="GM991" s="205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/>
      <c r="AO992"/>
      <c r="AP992"/>
      <c r="AQ992"/>
      <c r="AR992"/>
      <c r="AS992"/>
      <c r="AT992"/>
      <c r="AU992"/>
      <c r="AV992"/>
      <c r="AW992"/>
      <c r="FY992" s="210">
        <v>987</v>
      </c>
      <c r="FZ992" s="205"/>
      <c r="GA992" s="205"/>
      <c r="GB992" s="205"/>
      <c r="GC992" s="205"/>
      <c r="GD992" s="205"/>
      <c r="GE992" s="205"/>
      <c r="GF992" s="205"/>
      <c r="GG992" s="205"/>
      <c r="GH992" s="205"/>
      <c r="GI992" s="205"/>
      <c r="GJ992" s="205"/>
      <c r="GK992" s="205"/>
      <c r="GL992" s="205"/>
      <c r="GM992" s="205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/>
      <c r="AO993"/>
      <c r="AP993"/>
      <c r="AQ993"/>
      <c r="AR993"/>
      <c r="AS993"/>
      <c r="AT993"/>
      <c r="AU993"/>
      <c r="AV993"/>
      <c r="AW993"/>
      <c r="FY993" s="210">
        <v>988</v>
      </c>
      <c r="FZ993" s="205"/>
      <c r="GA993" s="205"/>
      <c r="GB993" s="205"/>
      <c r="GC993" s="205"/>
      <c r="GD993" s="205"/>
      <c r="GE993" s="205"/>
      <c r="GF993" s="205"/>
      <c r="GG993" s="205"/>
      <c r="GH993" s="205"/>
      <c r="GI993" s="205"/>
      <c r="GJ993" s="205"/>
      <c r="GK993" s="205"/>
      <c r="GL993" s="205"/>
      <c r="GM993" s="205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/>
      <c r="AO994"/>
      <c r="AP994"/>
      <c r="AQ994"/>
      <c r="AR994"/>
      <c r="AS994"/>
      <c r="AT994"/>
      <c r="AU994"/>
      <c r="AV994"/>
      <c r="AW994"/>
      <c r="FY994" s="210">
        <v>989</v>
      </c>
      <c r="FZ994" s="205"/>
      <c r="GA994" s="205"/>
      <c r="GB994" s="205"/>
      <c r="GC994" s="205"/>
      <c r="GD994" s="205"/>
      <c r="GE994" s="205"/>
      <c r="GF994" s="205"/>
      <c r="GG994" s="205"/>
      <c r="GH994" s="205"/>
      <c r="GI994" s="205"/>
      <c r="GJ994" s="205"/>
      <c r="GK994" s="205"/>
      <c r="GL994" s="205"/>
      <c r="GM994" s="205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/>
      <c r="AO995"/>
      <c r="AP995"/>
      <c r="AQ995"/>
      <c r="AR995"/>
      <c r="AS995"/>
      <c r="AT995"/>
      <c r="AU995"/>
      <c r="AV995"/>
      <c r="AW995"/>
      <c r="FY995" s="210">
        <v>990</v>
      </c>
      <c r="FZ995" s="205"/>
      <c r="GA995" s="205"/>
      <c r="GB995" s="205"/>
      <c r="GC995" s="205"/>
      <c r="GD995" s="205"/>
      <c r="GE995" s="205"/>
      <c r="GF995" s="205"/>
      <c r="GG995" s="205"/>
      <c r="GH995" s="205"/>
      <c r="GI995" s="205"/>
      <c r="GJ995" s="205"/>
      <c r="GK995" s="205"/>
      <c r="GL995" s="205"/>
      <c r="GM995" s="20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/>
      <c r="AO996"/>
      <c r="AP996"/>
      <c r="AQ996"/>
      <c r="AR996"/>
      <c r="AS996"/>
      <c r="AT996"/>
      <c r="AU996"/>
      <c r="AV996"/>
      <c r="AW996"/>
      <c r="FY996" s="210">
        <v>991</v>
      </c>
      <c r="FZ996" s="205"/>
      <c r="GA996" s="205"/>
      <c r="GB996" s="205"/>
      <c r="GC996" s="205"/>
      <c r="GD996" s="205"/>
      <c r="GE996" s="205"/>
      <c r="GF996" s="205"/>
      <c r="GG996" s="205"/>
      <c r="GH996" s="205"/>
      <c r="GI996" s="205"/>
      <c r="GJ996" s="205"/>
      <c r="GK996" s="205"/>
      <c r="GL996" s="205"/>
      <c r="GM996" s="205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/>
      <c r="AO997"/>
      <c r="AP997"/>
      <c r="AQ997"/>
      <c r="AR997"/>
      <c r="AS997"/>
      <c r="AT997"/>
      <c r="AU997"/>
      <c r="AV997"/>
      <c r="AW997"/>
      <c r="FY997" s="210">
        <v>992</v>
      </c>
      <c r="FZ997" s="205"/>
      <c r="GA997" s="205"/>
      <c r="GB997" s="205"/>
      <c r="GC997" s="205"/>
      <c r="GD997" s="205"/>
      <c r="GE997" s="205"/>
      <c r="GF997" s="205"/>
      <c r="GG997" s="205"/>
      <c r="GH997" s="205"/>
      <c r="GI997" s="205"/>
      <c r="GJ997" s="205"/>
      <c r="GK997" s="205"/>
      <c r="GL997" s="205"/>
      <c r="GM997" s="205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/>
      <c r="AO998"/>
      <c r="AP998"/>
      <c r="AQ998"/>
      <c r="AR998"/>
      <c r="AS998"/>
      <c r="AT998"/>
      <c r="AU998"/>
      <c r="AV998"/>
      <c r="AW998"/>
      <c r="FY998" s="210">
        <v>993</v>
      </c>
      <c r="FZ998" s="205"/>
      <c r="GA998" s="205"/>
      <c r="GB998" s="205"/>
      <c r="GC998" s="205"/>
      <c r="GD998" s="205"/>
      <c r="GE998" s="205"/>
      <c r="GF998" s="205"/>
      <c r="GG998" s="205"/>
      <c r="GH998" s="205"/>
      <c r="GI998" s="205"/>
      <c r="GJ998" s="205"/>
      <c r="GK998" s="205"/>
      <c r="GL998" s="205"/>
      <c r="GM998" s="205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/>
      <c r="AO999"/>
      <c r="AP999"/>
      <c r="AQ999"/>
      <c r="AR999"/>
      <c r="AS999"/>
      <c r="AT999"/>
      <c r="AU999"/>
      <c r="AV999"/>
      <c r="AW999"/>
      <c r="FY999" s="210">
        <v>994</v>
      </c>
      <c r="FZ999" s="205"/>
      <c r="GA999" s="205"/>
      <c r="GB999" s="205"/>
      <c r="GC999" s="205"/>
      <c r="GD999" s="205"/>
      <c r="GE999" s="205"/>
      <c r="GF999" s="205"/>
      <c r="GG999" s="205"/>
      <c r="GH999" s="205"/>
      <c r="GI999" s="205"/>
      <c r="GJ999" s="205"/>
      <c r="GK999" s="205"/>
      <c r="GL999" s="205"/>
      <c r="GM999" s="205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/>
      <c r="AO1000"/>
      <c r="AP1000"/>
      <c r="AQ1000"/>
      <c r="AR1000"/>
      <c r="AS1000"/>
      <c r="AT1000"/>
      <c r="AU1000"/>
      <c r="AV1000"/>
      <c r="AW1000"/>
      <c r="FY1000" s="210">
        <v>995</v>
      </c>
      <c r="FZ1000" s="205"/>
      <c r="GA1000" s="205"/>
      <c r="GB1000" s="205"/>
      <c r="GC1000" s="205"/>
      <c r="GD1000" s="205"/>
      <c r="GE1000" s="205"/>
      <c r="GF1000" s="205"/>
      <c r="GG1000" s="205"/>
      <c r="GH1000" s="205"/>
      <c r="GI1000" s="205"/>
      <c r="GJ1000" s="205"/>
      <c r="GK1000" s="205"/>
      <c r="GL1000" s="205"/>
      <c r="GM1000" s="205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/>
      <c r="AO1001"/>
      <c r="AP1001"/>
      <c r="AQ1001"/>
      <c r="AR1001"/>
      <c r="AS1001"/>
      <c r="AT1001"/>
      <c r="AU1001"/>
      <c r="AV1001"/>
      <c r="AW1001"/>
      <c r="FY1001" s="210">
        <v>996</v>
      </c>
      <c r="FZ1001" s="205"/>
      <c r="GA1001" s="205"/>
      <c r="GB1001" s="205"/>
      <c r="GC1001" s="205"/>
      <c r="GD1001" s="205"/>
      <c r="GE1001" s="205"/>
      <c r="GF1001" s="205"/>
      <c r="GG1001" s="205"/>
      <c r="GH1001" s="205"/>
      <c r="GI1001" s="205"/>
      <c r="GJ1001" s="205"/>
      <c r="GK1001" s="205"/>
      <c r="GL1001" s="205"/>
      <c r="GM1001" s="205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/>
      <c r="AO1002"/>
      <c r="AP1002"/>
      <c r="AQ1002"/>
      <c r="AR1002"/>
      <c r="AS1002"/>
      <c r="AT1002"/>
      <c r="AU1002"/>
      <c r="AV1002"/>
      <c r="AW1002"/>
      <c r="FY1002" s="210">
        <v>997</v>
      </c>
      <c r="FZ1002" s="205"/>
      <c r="GA1002" s="205"/>
      <c r="GB1002" s="205"/>
      <c r="GC1002" s="205"/>
      <c r="GD1002" s="205"/>
      <c r="GE1002" s="205"/>
      <c r="GF1002" s="205"/>
      <c r="GG1002" s="205"/>
      <c r="GH1002" s="205"/>
      <c r="GI1002" s="205"/>
      <c r="GJ1002" s="205"/>
      <c r="GK1002" s="205"/>
      <c r="GL1002" s="205"/>
      <c r="GM1002" s="205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/>
      <c r="AO1003"/>
      <c r="AP1003"/>
      <c r="AQ1003"/>
      <c r="AR1003"/>
      <c r="AS1003"/>
      <c r="AT1003"/>
      <c r="AU1003"/>
      <c r="AV1003"/>
      <c r="AW1003"/>
      <c r="FY1003" s="210">
        <v>998</v>
      </c>
      <c r="FZ1003" s="205"/>
      <c r="GA1003" s="205"/>
      <c r="GB1003" s="205"/>
      <c r="GC1003" s="205"/>
      <c r="GD1003" s="205"/>
      <c r="GE1003" s="205"/>
      <c r="GF1003" s="205"/>
      <c r="GG1003" s="205"/>
      <c r="GH1003" s="205"/>
      <c r="GI1003" s="205"/>
      <c r="GJ1003" s="205"/>
      <c r="GK1003" s="205"/>
      <c r="GL1003" s="205"/>
      <c r="GM1003" s="205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/>
      <c r="AO1004"/>
      <c r="AP1004"/>
      <c r="AQ1004"/>
      <c r="AR1004"/>
      <c r="AS1004"/>
      <c r="AT1004"/>
      <c r="AU1004"/>
      <c r="AV1004"/>
      <c r="AW1004"/>
      <c r="FY1004" s="210">
        <v>999</v>
      </c>
      <c r="FZ1004" s="205"/>
      <c r="GA1004" s="205"/>
      <c r="GB1004" s="205"/>
      <c r="GC1004" s="205"/>
      <c r="GD1004" s="205"/>
      <c r="GE1004" s="205"/>
      <c r="GF1004" s="205"/>
      <c r="GG1004" s="205"/>
      <c r="GH1004" s="205"/>
      <c r="GI1004" s="205"/>
      <c r="GJ1004" s="205"/>
      <c r="GK1004" s="205"/>
      <c r="GL1004" s="205"/>
      <c r="GM1004" s="205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/>
      <c r="AO1005"/>
      <c r="AP1005"/>
      <c r="AQ1005"/>
      <c r="AR1005"/>
      <c r="AS1005"/>
      <c r="AT1005"/>
      <c r="AU1005"/>
      <c r="AV1005"/>
      <c r="AW1005"/>
      <c r="FY1005" s="210">
        <v>1000</v>
      </c>
      <c r="FZ1005" s="205"/>
      <c r="GA1005" s="205"/>
      <c r="GB1005" s="205"/>
      <c r="GC1005" s="205"/>
      <c r="GD1005" s="205"/>
      <c r="GE1005" s="205"/>
      <c r="GF1005" s="205"/>
      <c r="GG1005" s="205"/>
      <c r="GH1005" s="205"/>
      <c r="GI1005" s="205"/>
      <c r="GJ1005" s="205"/>
      <c r="GK1005" s="205"/>
      <c r="GL1005" s="205"/>
      <c r="GM1005" s="2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/>
      <c r="AO1006"/>
      <c r="AP1006"/>
      <c r="AQ1006"/>
      <c r="AR1006"/>
      <c r="AS1006"/>
      <c r="AT1006"/>
      <c r="AU1006"/>
      <c r="AV1006"/>
      <c r="AW1006"/>
      <c r="FY1006" s="205"/>
      <c r="FZ1006" s="205"/>
      <c r="GA1006" s="205"/>
      <c r="GB1006" s="205"/>
      <c r="GC1006" s="205"/>
      <c r="GD1006" s="205"/>
      <c r="GE1006" s="205"/>
      <c r="GF1006" s="205"/>
      <c r="GG1006" s="205"/>
      <c r="GH1006" s="205"/>
      <c r="GI1006" s="205"/>
      <c r="GJ1006" s="205"/>
      <c r="GK1006" s="205"/>
      <c r="GL1006" s="205"/>
      <c r="GM1006" s="205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/>
      <c r="AO1007"/>
      <c r="AP1007"/>
      <c r="AQ1007"/>
      <c r="AR1007"/>
      <c r="AS1007"/>
      <c r="AT1007"/>
      <c r="AU1007"/>
      <c r="AV1007"/>
      <c r="AW1007"/>
      <c r="FY1007" s="205"/>
      <c r="FZ1007" s="205"/>
      <c r="GA1007" s="205"/>
      <c r="GB1007" s="205"/>
      <c r="GC1007" s="205"/>
      <c r="GD1007" s="205"/>
      <c r="GE1007" s="205"/>
      <c r="GF1007" s="205"/>
      <c r="GG1007" s="205"/>
      <c r="GH1007" s="205"/>
      <c r="GI1007" s="205"/>
      <c r="GJ1007" s="205"/>
      <c r="GK1007" s="205"/>
      <c r="GL1007" s="205"/>
      <c r="GM1007" s="205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/>
      <c r="AO1008"/>
      <c r="AP1008"/>
      <c r="AQ1008"/>
      <c r="AR1008"/>
      <c r="AS1008"/>
      <c r="AT1008"/>
      <c r="AU1008"/>
      <c r="AV1008"/>
      <c r="AW1008"/>
      <c r="FY1008" s="205"/>
      <c r="FZ1008" s="205"/>
      <c r="GA1008" s="205"/>
      <c r="GB1008" s="205"/>
      <c r="GC1008" s="205"/>
      <c r="GD1008" s="205"/>
      <c r="GE1008" s="205"/>
      <c r="GF1008" s="205"/>
      <c r="GG1008" s="205"/>
      <c r="GH1008" s="205"/>
      <c r="GI1008" s="205"/>
      <c r="GJ1008" s="205"/>
      <c r="GK1008" s="205"/>
      <c r="GL1008" s="205"/>
      <c r="GM1008" s="205"/>
    </row>
    <row r="1009" spans="1:195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/>
      <c r="AO1009"/>
      <c r="AP1009"/>
      <c r="AQ1009"/>
      <c r="AR1009"/>
      <c r="AS1009"/>
      <c r="AT1009"/>
      <c r="AU1009"/>
      <c r="AV1009"/>
      <c r="AW1009"/>
      <c r="FY1009" s="205"/>
      <c r="FZ1009" s="205"/>
      <c r="GA1009" s="205"/>
      <c r="GB1009" s="205"/>
      <c r="GC1009" s="205"/>
      <c r="GD1009" s="205"/>
      <c r="GE1009" s="205"/>
      <c r="GF1009" s="205"/>
      <c r="GG1009" s="205"/>
      <c r="GH1009" s="205"/>
      <c r="GI1009" s="205"/>
      <c r="GJ1009" s="205"/>
      <c r="GK1009" s="205"/>
      <c r="GL1009" s="205"/>
      <c r="GM1009" s="205"/>
    </row>
    <row r="1010" spans="1:195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/>
      <c r="AO1010"/>
      <c r="AP1010"/>
      <c r="AQ1010"/>
      <c r="AR1010"/>
      <c r="AS1010"/>
      <c r="AT1010"/>
      <c r="AU1010"/>
      <c r="AV1010"/>
      <c r="AW1010"/>
      <c r="FY1010" s="205"/>
      <c r="FZ1010" s="205"/>
      <c r="GA1010" s="205"/>
      <c r="GB1010" s="205"/>
      <c r="GC1010" s="205"/>
      <c r="GD1010" s="205"/>
      <c r="GE1010" s="205"/>
      <c r="GF1010" s="205"/>
      <c r="GG1010" s="205"/>
      <c r="GH1010" s="205"/>
      <c r="GI1010" s="205"/>
      <c r="GJ1010" s="205"/>
      <c r="GK1010" s="205"/>
      <c r="GL1010" s="205"/>
      <c r="GM1010" s="205"/>
    </row>
    <row r="1011" spans="1:195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/>
      <c r="AO1011"/>
      <c r="AP1011"/>
      <c r="AQ1011"/>
      <c r="AR1011"/>
      <c r="AS1011"/>
      <c r="AT1011"/>
      <c r="AU1011"/>
      <c r="AV1011"/>
      <c r="AW1011"/>
      <c r="FY1011" s="205"/>
      <c r="FZ1011" s="205"/>
      <c r="GA1011" s="205"/>
      <c r="GB1011" s="205"/>
      <c r="GC1011" s="205"/>
      <c r="GD1011" s="205"/>
      <c r="GE1011" s="205"/>
      <c r="GF1011" s="205"/>
      <c r="GG1011" s="205"/>
      <c r="GH1011" s="205"/>
      <c r="GI1011" s="205"/>
      <c r="GJ1011" s="205"/>
      <c r="GK1011" s="205"/>
      <c r="GL1011" s="205"/>
      <c r="GM1011" s="205"/>
    </row>
    <row r="1012" spans="1:195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/>
      <c r="AO1012"/>
      <c r="AP1012"/>
      <c r="AQ1012"/>
      <c r="AR1012"/>
      <c r="AS1012"/>
      <c r="AT1012"/>
      <c r="AU1012"/>
      <c r="AV1012"/>
      <c r="AW1012"/>
    </row>
    <row r="1013" spans="1:195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/>
      <c r="AO1013"/>
      <c r="AP1013"/>
      <c r="AQ1013"/>
      <c r="AR1013"/>
      <c r="AS1013"/>
      <c r="AT1013"/>
      <c r="AU1013"/>
      <c r="AV1013"/>
      <c r="AW1013"/>
    </row>
    <row r="1014" spans="1:195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/>
      <c r="AO1014"/>
      <c r="AP1014"/>
      <c r="AQ1014"/>
      <c r="AR1014"/>
      <c r="AS1014"/>
      <c r="AT1014"/>
      <c r="AU1014"/>
      <c r="AV1014"/>
      <c r="AW1014"/>
    </row>
    <row r="1015" spans="1:195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/>
      <c r="AO1015"/>
      <c r="AP1015"/>
      <c r="AQ1015"/>
      <c r="AR1015"/>
      <c r="AS1015"/>
      <c r="AT1015"/>
      <c r="AU1015"/>
      <c r="AV1015"/>
      <c r="AW1015"/>
    </row>
    <row r="1016" spans="1:195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/>
      <c r="AO1016"/>
      <c r="AP1016"/>
      <c r="AQ1016"/>
      <c r="AR1016"/>
      <c r="AS1016"/>
      <c r="AT1016"/>
      <c r="AU1016"/>
      <c r="AV1016"/>
      <c r="AW1016"/>
    </row>
    <row r="1017" spans="1:195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195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195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195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195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195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195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195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FM12:FN12"/>
    <mergeCell ref="FM13:FN13"/>
    <mergeCell ref="FM14:FN14"/>
    <mergeCell ref="FM15:FN15"/>
    <mergeCell ref="FM16:FN16"/>
    <mergeCell ref="FM7:FN7"/>
    <mergeCell ref="FM8:FN8"/>
    <mergeCell ref="FM9:FN9"/>
    <mergeCell ref="FM10:FN10"/>
    <mergeCell ref="FM11:FN11"/>
    <mergeCell ref="FK12:FL12"/>
    <mergeCell ref="FK13:FL13"/>
    <mergeCell ref="FK14:FL14"/>
    <mergeCell ref="FK15:FL15"/>
    <mergeCell ref="FK16:FL16"/>
    <mergeCell ref="FI11:FJ11"/>
    <mergeCell ref="FK7:FL7"/>
    <mergeCell ref="FK8:FL8"/>
    <mergeCell ref="FK9:FL9"/>
    <mergeCell ref="FK10:FL10"/>
    <mergeCell ref="FK11:FL11"/>
    <mergeCell ref="CW86:CX86"/>
    <mergeCell ref="O455:R455"/>
    <mergeCell ref="GC2:GI2"/>
    <mergeCell ref="FI6:FJ6"/>
    <mergeCell ref="FK6:FL6"/>
    <mergeCell ref="FM6:FN6"/>
    <mergeCell ref="FJ4:FM4"/>
    <mergeCell ref="FI12:FJ12"/>
    <mergeCell ref="FI13:FJ13"/>
    <mergeCell ref="FI14:FJ14"/>
    <mergeCell ref="FI15:FJ15"/>
    <mergeCell ref="FI16:FJ16"/>
    <mergeCell ref="FI7:FJ7"/>
    <mergeCell ref="FI8:FJ8"/>
    <mergeCell ref="FI9:FJ9"/>
    <mergeCell ref="FI10:FJ10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2011-01-15T01:27:42Z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