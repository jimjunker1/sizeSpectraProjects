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225" yWindow="15" windowWidth="14295" windowHeight="807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G148"/>
  <c r="DH148"/>
  <c r="EK148" s="1"/>
  <c r="DI148"/>
  <c r="ES148" s="1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P148"/>
  <c r="EQ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FT148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FT149"/>
  <c r="FU149"/>
  <c r="DG150"/>
  <c r="EK150" s="1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P150"/>
  <c r="FU150" s="1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FT150"/>
  <c r="DG151"/>
  <c r="EK151" s="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P151"/>
  <c r="EQ151"/>
  <c r="FU151" s="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FT151"/>
  <c r="DG152"/>
  <c r="DH152"/>
  <c r="EK152" s="1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P152"/>
  <c r="EQ152"/>
  <c r="ER152"/>
  <c r="FU152" s="1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FT152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T153"/>
  <c r="FU153"/>
  <c r="DG154"/>
  <c r="EK154" s="1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P154"/>
  <c r="FU154" s="1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FT154"/>
  <c r="DG155"/>
  <c r="EK155" s="1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P155"/>
  <c r="EQ155"/>
  <c r="FU155" s="1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FT155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FT156"/>
  <c r="FU156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FT157"/>
  <c r="FU157"/>
  <c r="DF148"/>
  <c r="DF149"/>
  <c r="DF150"/>
  <c r="DF151"/>
  <c r="DF152"/>
  <c r="DF153"/>
  <c r="DF154"/>
  <c r="DF155"/>
  <c r="DF156"/>
  <c r="DF157"/>
  <c r="DD150"/>
  <c r="DD151"/>
  <c r="DC151" s="1"/>
  <c r="DD152"/>
  <c r="DD153"/>
  <c r="DD154"/>
  <c r="DD155"/>
  <c r="DC155" s="1"/>
  <c r="DD156"/>
  <c r="DD157"/>
  <c r="DD148"/>
  <c r="DC148" s="1"/>
  <c r="DD149"/>
  <c r="DC149"/>
  <c r="DC150"/>
  <c r="DC152"/>
  <c r="DC153"/>
  <c r="DC154"/>
  <c r="DC156"/>
  <c r="DC157"/>
  <c r="CZ146"/>
  <c r="CZ147"/>
  <c r="CZ148"/>
  <c r="CZ149"/>
  <c r="CZ150"/>
  <c r="CZ151"/>
  <c r="CZ152"/>
  <c r="CZ153"/>
  <c r="CZ154"/>
  <c r="CZ155"/>
  <c r="CZ156"/>
  <c r="CZ157"/>
  <c r="CZ158"/>
  <c r="CX149"/>
  <c r="CW149"/>
  <c r="CL149"/>
  <c r="CK149"/>
  <c r="BA149"/>
  <c r="CM149" s="1"/>
  <c r="AY149"/>
  <c r="CL148"/>
  <c r="CK148"/>
  <c r="BA148"/>
  <c r="CM148" s="1"/>
  <c r="AY148"/>
  <c r="ER148" l="1"/>
  <c r="FU148" s="1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3"/>
  <c r="CX110"/>
  <c r="CX116"/>
  <c r="DE212" l="1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58"/>
  <c r="BA138"/>
  <c r="CM138" s="1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 s="1"/>
  <c r="EE207"/>
  <c r="FO207" s="1"/>
  <c r="ED207"/>
  <c r="FN207"/>
  <c r="EC207"/>
  <c r="FM207" s="1"/>
  <c r="EB207"/>
  <c r="FL207" s="1"/>
  <c r="EA207"/>
  <c r="FK207" s="1"/>
  <c r="DZ207"/>
  <c r="FJ207" s="1"/>
  <c r="DY207"/>
  <c r="FI207" s="1"/>
  <c r="DX207"/>
  <c r="FH207"/>
  <c r="DW207"/>
  <c r="FG207" s="1"/>
  <c r="DV207"/>
  <c r="FF207" s="1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 s="1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 s="1"/>
  <c r="EF206"/>
  <c r="FP206" s="1"/>
  <c r="EE206"/>
  <c r="FO206" s="1"/>
  <c r="ED206"/>
  <c r="FN206" s="1"/>
  <c r="EC206"/>
  <c r="FM206" s="1"/>
  <c r="EB206"/>
  <c r="FL206" s="1"/>
  <c r="EA206"/>
  <c r="FK206"/>
  <c r="DZ206"/>
  <c r="FJ206" s="1"/>
  <c r="DY206"/>
  <c r="FI206" s="1"/>
  <c r="DX206"/>
  <c r="FH206" s="1"/>
  <c r="DW206"/>
  <c r="FG206" s="1"/>
  <c r="DV206"/>
  <c r="FF206" s="1"/>
  <c r="DU206"/>
  <c r="FE206"/>
  <c r="DT206"/>
  <c r="FD206" s="1"/>
  <c r="DS206"/>
  <c r="FC206"/>
  <c r="DR206"/>
  <c r="FB206" s="1"/>
  <c r="DQ206"/>
  <c r="FA206" s="1"/>
  <c r="DP206"/>
  <c r="EZ206" s="1"/>
  <c r="DO206"/>
  <c r="EY206"/>
  <c r="DN206"/>
  <c r="EX206" s="1"/>
  <c r="DM206"/>
  <c r="EW206" s="1"/>
  <c r="DL206"/>
  <c r="EV206" s="1"/>
  <c r="DK206"/>
  <c r="EU206"/>
  <c r="DJ206"/>
  <c r="ET206" s="1"/>
  <c r="DI206"/>
  <c r="ES206" s="1"/>
  <c r="DH206"/>
  <c r="ER206" s="1"/>
  <c r="DG206"/>
  <c r="EQ206" s="1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 s="1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 s="1"/>
  <c r="DT205"/>
  <c r="FD205" s="1"/>
  <c r="DS205"/>
  <c r="FC205" s="1"/>
  <c r="DR205"/>
  <c r="FB205" s="1"/>
  <c r="DQ205"/>
  <c r="FA205" s="1"/>
  <c r="DP205"/>
  <c r="EZ205" s="1"/>
  <c r="DO205"/>
  <c r="EY205" s="1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 s="1"/>
  <c r="EI204"/>
  <c r="FS204" s="1"/>
  <c r="EH204"/>
  <c r="FR204" s="1"/>
  <c r="EG204"/>
  <c r="FQ204" s="1"/>
  <c r="EF204"/>
  <c r="FP204" s="1"/>
  <c r="EE204"/>
  <c r="FO204"/>
  <c r="ED204"/>
  <c r="FN204" s="1"/>
  <c r="EC204"/>
  <c r="FM204" s="1"/>
  <c r="EB204"/>
  <c r="FL204" s="1"/>
  <c r="EA204"/>
  <c r="FK204" s="1"/>
  <c r="DZ204"/>
  <c r="FJ204" s="1"/>
  <c r="DY204"/>
  <c r="FI204" s="1"/>
  <c r="DX204"/>
  <c r="FH204" s="1"/>
  <c r="DW204"/>
  <c r="FG204"/>
  <c r="DV204"/>
  <c r="FF204" s="1"/>
  <c r="DU204"/>
  <c r="FE204" s="1"/>
  <c r="DT204"/>
  <c r="FD204" s="1"/>
  <c r="DS204"/>
  <c r="FC204" s="1"/>
  <c r="DR204"/>
  <c r="FB204" s="1"/>
  <c r="DQ204"/>
  <c r="FA204" s="1"/>
  <c r="DP204"/>
  <c r="EZ204" s="1"/>
  <c r="DO204"/>
  <c r="EY204"/>
  <c r="DN204"/>
  <c r="EX204" s="1"/>
  <c r="DM204"/>
  <c r="EW204" s="1"/>
  <c r="DL204"/>
  <c r="EV204" s="1"/>
  <c r="DK204"/>
  <c r="EU204" s="1"/>
  <c r="DJ204"/>
  <c r="ET204" s="1"/>
  <c r="DI204"/>
  <c r="ES204" s="1"/>
  <c r="DH204"/>
  <c r="ER204" s="1"/>
  <c r="DG204"/>
  <c r="EQ204"/>
  <c r="DD204"/>
  <c r="CZ204"/>
  <c r="CM204"/>
  <c r="CL204"/>
  <c r="CK204"/>
  <c r="AY204"/>
  <c r="B204"/>
  <c r="DF203"/>
  <c r="EP203" s="1"/>
  <c r="FU203" s="1"/>
  <c r="EJ203"/>
  <c r="FT203" s="1"/>
  <c r="EI203"/>
  <c r="FS203" s="1"/>
  <c r="EH203"/>
  <c r="FR203" s="1"/>
  <c r="EG203"/>
  <c r="FQ203" s="1"/>
  <c r="EF203"/>
  <c r="FP203" s="1"/>
  <c r="EE203"/>
  <c r="FO203" s="1"/>
  <c r="ED203"/>
  <c r="FN203" s="1"/>
  <c r="EC203"/>
  <c r="FM203" s="1"/>
  <c r="EB203"/>
  <c r="FL203" s="1"/>
  <c r="EA203"/>
  <c r="FK203" s="1"/>
  <c r="DZ203"/>
  <c r="FJ203" s="1"/>
  <c r="DY203"/>
  <c r="FI203" s="1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 s="1"/>
  <c r="DJ203"/>
  <c r="ET203" s="1"/>
  <c r="DI203"/>
  <c r="ES203" s="1"/>
  <c r="DH203"/>
  <c r="ER203" s="1"/>
  <c r="DG203"/>
  <c r="EQ203" s="1"/>
  <c r="EK203"/>
  <c r="DD203"/>
  <c r="DE203" s="1"/>
  <c r="CZ203"/>
  <c r="CM203"/>
  <c r="CL203"/>
  <c r="CK203"/>
  <c r="AY203"/>
  <c r="B203"/>
  <c r="DF202"/>
  <c r="EJ202"/>
  <c r="FT202" s="1"/>
  <c r="EI202"/>
  <c r="FS202" s="1"/>
  <c r="EH202"/>
  <c r="FR202" s="1"/>
  <c r="EG202"/>
  <c r="FQ202" s="1"/>
  <c r="EF202"/>
  <c r="FP202" s="1"/>
  <c r="EE202"/>
  <c r="FO202" s="1"/>
  <c r="ED202"/>
  <c r="FN202"/>
  <c r="EC202"/>
  <c r="FM202" s="1"/>
  <c r="EB202"/>
  <c r="FL202" s="1"/>
  <c r="EA202"/>
  <c r="FK202" s="1"/>
  <c r="DZ202"/>
  <c r="FJ202" s="1"/>
  <c r="DY202"/>
  <c r="FI202" s="1"/>
  <c r="DX202"/>
  <c r="FH202" s="1"/>
  <c r="DW202"/>
  <c r="FG202" s="1"/>
  <c r="DV202"/>
  <c r="FF202"/>
  <c r="DU202"/>
  <c r="FE202" s="1"/>
  <c r="DT202"/>
  <c r="FD202" s="1"/>
  <c r="DS202"/>
  <c r="FC202" s="1"/>
  <c r="DR202"/>
  <c r="FB202" s="1"/>
  <c r="DQ202"/>
  <c r="FA202" s="1"/>
  <c r="DP202"/>
  <c r="EZ202" s="1"/>
  <c r="DO202"/>
  <c r="EY202" s="1"/>
  <c r="DN202"/>
  <c r="EX202"/>
  <c r="DM202"/>
  <c r="EW202" s="1"/>
  <c r="DL202"/>
  <c r="EV202" s="1"/>
  <c r="DK202"/>
  <c r="EU202" s="1"/>
  <c r="DJ202"/>
  <c r="ET202" s="1"/>
  <c r="DI202"/>
  <c r="ES202" s="1"/>
  <c r="DH202"/>
  <c r="ER202" s="1"/>
  <c r="DG202"/>
  <c r="EQ202" s="1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 s="1"/>
  <c r="EA201"/>
  <c r="FK201" s="1"/>
  <c r="DZ201"/>
  <c r="FJ201"/>
  <c r="DY201"/>
  <c r="FI201" s="1"/>
  <c r="DX201"/>
  <c r="FH201" s="1"/>
  <c r="DW201"/>
  <c r="FG201" s="1"/>
  <c r="DV201"/>
  <c r="FF201" s="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 s="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 s="1"/>
  <c r="EH200"/>
  <c r="FR200" s="1"/>
  <c r="EG200"/>
  <c r="FQ200" s="1"/>
  <c r="EF200"/>
  <c r="FP200" s="1"/>
  <c r="EE200"/>
  <c r="FO200" s="1"/>
  <c r="ED200"/>
  <c r="FN200" s="1"/>
  <c r="EC200"/>
  <c r="FM200"/>
  <c r="EB200"/>
  <c r="FL200" s="1"/>
  <c r="EA200"/>
  <c r="FK200" s="1"/>
  <c r="DZ200"/>
  <c r="FJ200" s="1"/>
  <c r="DY200"/>
  <c r="FI200" s="1"/>
  <c r="DX200"/>
  <c r="FH200" s="1"/>
  <c r="DW200"/>
  <c r="FG200"/>
  <c r="DV200"/>
  <c r="FF200" s="1"/>
  <c r="DU200"/>
  <c r="FE200"/>
  <c r="DT200"/>
  <c r="FD200" s="1"/>
  <c r="DS200"/>
  <c r="FC200" s="1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 s="1"/>
  <c r="DJ200"/>
  <c r="ET200" s="1"/>
  <c r="DI200"/>
  <c r="ES200"/>
  <c r="DH200"/>
  <c r="ER200" s="1"/>
  <c r="DG200"/>
  <c r="EQ200" s="1"/>
  <c r="DD200"/>
  <c r="CZ200"/>
  <c r="CM200"/>
  <c r="CL200"/>
  <c r="CK200"/>
  <c r="AY200"/>
  <c r="B200"/>
  <c r="DF199"/>
  <c r="EP199" s="1"/>
  <c r="FU199" s="1"/>
  <c r="EJ199"/>
  <c r="FT199" s="1"/>
  <c r="EI199"/>
  <c r="FS199" s="1"/>
  <c r="EH199"/>
  <c r="FR199" s="1"/>
  <c r="EG199"/>
  <c r="FQ199" s="1"/>
  <c r="EF199"/>
  <c r="FP199" s="1"/>
  <c r="EE199"/>
  <c r="FO199" s="1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 s="1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 s="1"/>
  <c r="EC198"/>
  <c r="FM198" s="1"/>
  <c r="EB198"/>
  <c r="FL198"/>
  <c r="EA198"/>
  <c r="FK198" s="1"/>
  <c r="DZ198"/>
  <c r="FJ198" s="1"/>
  <c r="DY198"/>
  <c r="FI198" s="1"/>
  <c r="DX198"/>
  <c r="FH198"/>
  <c r="DW198"/>
  <c r="FG198" s="1"/>
  <c r="DV198"/>
  <c r="FF198" s="1"/>
  <c r="DU198"/>
  <c r="FE198" s="1"/>
  <c r="DT198"/>
  <c r="FD198" s="1"/>
  <c r="DS198"/>
  <c r="FC198" s="1"/>
  <c r="DR198"/>
  <c r="FB198" s="1"/>
  <c r="DQ198"/>
  <c r="FA198" s="1"/>
  <c r="DP198"/>
  <c r="EZ198"/>
  <c r="DO198"/>
  <c r="EY198" s="1"/>
  <c r="DN198"/>
  <c r="EX198" s="1"/>
  <c r="DM198"/>
  <c r="EW198" s="1"/>
  <c r="DL198"/>
  <c r="EV198" s="1"/>
  <c r="DK198"/>
  <c r="EU198" s="1"/>
  <c r="DJ198"/>
  <c r="ET198"/>
  <c r="DI198"/>
  <c r="ES198" s="1"/>
  <c r="DH198"/>
  <c r="ER198"/>
  <c r="DG198"/>
  <c r="EQ198" s="1"/>
  <c r="DD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 s="1"/>
  <c r="DY197"/>
  <c r="FI197" s="1"/>
  <c r="DX197"/>
  <c r="FH197"/>
  <c r="DW197"/>
  <c r="FG197" s="1"/>
  <c r="DV197"/>
  <c r="FF197" s="1"/>
  <c r="DU197"/>
  <c r="FE197" s="1"/>
  <c r="DT197"/>
  <c r="FD197" s="1"/>
  <c r="DS197"/>
  <c r="FC197" s="1"/>
  <c r="DR197"/>
  <c r="FB197" s="1"/>
  <c r="DQ197"/>
  <c r="FA197" s="1"/>
  <c r="DP197"/>
  <c r="EZ197" s="1"/>
  <c r="DO197"/>
  <c r="EY197" s="1"/>
  <c r="DN197"/>
  <c r="EX197" s="1"/>
  <c r="DM197"/>
  <c r="EW197" s="1"/>
  <c r="DL197"/>
  <c r="EV197" s="1"/>
  <c r="DK197"/>
  <c r="EU197" s="1"/>
  <c r="DJ197"/>
  <c r="ET197" s="1"/>
  <c r="DI197"/>
  <c r="ES197" s="1"/>
  <c r="DH197"/>
  <c r="ER197" s="1"/>
  <c r="DG197"/>
  <c r="EQ197" s="1"/>
  <c r="DD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 s="1"/>
  <c r="DV195"/>
  <c r="FF195" s="1"/>
  <c r="DU195"/>
  <c r="FE195" s="1"/>
  <c r="DT195"/>
  <c r="FD195" s="1"/>
  <c r="DS195"/>
  <c r="FC195" s="1"/>
  <c r="DR195"/>
  <c r="FB195" s="1"/>
  <c r="DQ195"/>
  <c r="FA195" s="1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DD195"/>
  <c r="DE195"/>
  <c r="DC195"/>
  <c r="CZ195"/>
  <c r="CM195"/>
  <c r="CL195"/>
  <c r="CK195"/>
  <c r="AY195"/>
  <c r="B195"/>
  <c r="DF194"/>
  <c r="EJ194"/>
  <c r="FT194" s="1"/>
  <c r="EI194"/>
  <c r="FS194" s="1"/>
  <c r="EH194"/>
  <c r="FR194"/>
  <c r="EG194"/>
  <c r="FQ194" s="1"/>
  <c r="EF194"/>
  <c r="FP194" s="1"/>
  <c r="EE194"/>
  <c r="FO194" s="1"/>
  <c r="ED194"/>
  <c r="FN194"/>
  <c r="EC194"/>
  <c r="FM194" s="1"/>
  <c r="EB194"/>
  <c r="FL194" s="1"/>
  <c r="EA194"/>
  <c r="FK194" s="1"/>
  <c r="DZ194"/>
  <c r="FJ194" s="1"/>
  <c r="DY194"/>
  <c r="FI194" s="1"/>
  <c r="DX194"/>
  <c r="FH194" s="1"/>
  <c r="DW194"/>
  <c r="FG194" s="1"/>
  <c r="DV194"/>
  <c r="FF194"/>
  <c r="DU194"/>
  <c r="FE194" s="1"/>
  <c r="DT194"/>
  <c r="FD194" s="1"/>
  <c r="DS194"/>
  <c r="FC194" s="1"/>
  <c r="DR194"/>
  <c r="FB194" s="1"/>
  <c r="DQ194"/>
  <c r="FA194" s="1"/>
  <c r="DP194"/>
  <c r="EZ194"/>
  <c r="DO194"/>
  <c r="EY194" s="1"/>
  <c r="DN194"/>
  <c r="EX194"/>
  <c r="DM194"/>
  <c r="EW194" s="1"/>
  <c r="DL194"/>
  <c r="EV194" s="1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 s="1"/>
  <c r="EF192"/>
  <c r="FP192" s="1"/>
  <c r="EE192"/>
  <c r="FO192"/>
  <c r="ED192"/>
  <c r="FN192" s="1"/>
  <c r="EC192"/>
  <c r="FM192" s="1"/>
  <c r="EB192"/>
  <c r="FL192" s="1"/>
  <c r="EA192"/>
  <c r="FK192"/>
  <c r="DZ192"/>
  <c r="FJ192" s="1"/>
  <c r="DY192"/>
  <c r="FI192" s="1"/>
  <c r="DX192"/>
  <c r="FH192" s="1"/>
  <c r="DW192"/>
  <c r="FG192" s="1"/>
  <c r="DV192"/>
  <c r="FF192" s="1"/>
  <c r="DU192"/>
  <c r="FE192" s="1"/>
  <c r="DT192"/>
  <c r="FD192" s="1"/>
  <c r="DS192"/>
  <c r="FC192"/>
  <c r="DR192"/>
  <c r="FB192" s="1"/>
  <c r="DQ192"/>
  <c r="FA192" s="1"/>
  <c r="DP192"/>
  <c r="EZ192" s="1"/>
  <c r="DO192"/>
  <c r="EY192" s="1"/>
  <c r="DN192"/>
  <c r="EX192" s="1"/>
  <c r="DM192"/>
  <c r="EW192"/>
  <c r="DL192"/>
  <c r="EV192" s="1"/>
  <c r="DK192"/>
  <c r="EU192"/>
  <c r="DJ192"/>
  <c r="ET192" s="1"/>
  <c r="DI192"/>
  <c r="ES192" s="1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 s="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 s="1"/>
  <c r="DZ191"/>
  <c r="FJ191" s="1"/>
  <c r="DY191"/>
  <c r="FI191" s="1"/>
  <c r="DX191"/>
  <c r="FH191" s="1"/>
  <c r="DW191"/>
  <c r="FG191" s="1"/>
  <c r="DV191"/>
  <c r="FF191" s="1"/>
  <c r="DU191"/>
  <c r="FE191" s="1"/>
  <c r="DT191"/>
  <c r="FD191" s="1"/>
  <c r="DS191"/>
  <c r="FC191" s="1"/>
  <c r="DR191"/>
  <c r="FB191" s="1"/>
  <c r="DQ191"/>
  <c r="FA191" s="1"/>
  <c r="DP191"/>
  <c r="EZ191" s="1"/>
  <c r="DO191"/>
  <c r="EY191" s="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 s="1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 s="1"/>
  <c r="DS190"/>
  <c r="FC190" s="1"/>
  <c r="DR190"/>
  <c r="FB190" s="1"/>
  <c r="DQ190"/>
  <c r="FA190" s="1"/>
  <c r="DP190"/>
  <c r="EZ190" s="1"/>
  <c r="DO190"/>
  <c r="EY190" s="1"/>
  <c r="DN190"/>
  <c r="EX190"/>
  <c r="DM190"/>
  <c r="EW190" s="1"/>
  <c r="DL190"/>
  <c r="EV190" s="1"/>
  <c r="DK190"/>
  <c r="EU190" s="1"/>
  <c r="DJ190"/>
  <c r="ET190" s="1"/>
  <c r="DI190"/>
  <c r="ES190" s="1"/>
  <c r="DH190"/>
  <c r="ER190" s="1"/>
  <c r="DG190"/>
  <c r="EQ190" s="1"/>
  <c r="DD190"/>
  <c r="CZ190"/>
  <c r="CM190"/>
  <c r="CL190"/>
  <c r="CK190"/>
  <c r="AY190"/>
  <c r="B190"/>
  <c r="DF189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5"/>
  <c r="CX186"/>
  <c r="CZ186"/>
  <c r="DP186"/>
  <c r="DU186"/>
  <c r="DW186"/>
  <c r="EA186"/>
  <c r="EB186"/>
  <c r="EF186"/>
  <c r="EG186"/>
  <c r="DD186"/>
  <c r="BA186"/>
  <c r="CM186"/>
  <c r="CL186"/>
  <c r="CK186"/>
  <c r="AY186"/>
  <c r="B186"/>
  <c r="CX185"/>
  <c r="CZ185"/>
  <c r="EC185"/>
  <c r="DD185"/>
  <c r="DE185" s="1"/>
  <c r="BA185"/>
  <c r="CM185" s="1"/>
  <c r="CL185"/>
  <c r="CK185"/>
  <c r="AY185"/>
  <c r="B184"/>
  <c r="CX184"/>
  <c r="CZ184"/>
  <c r="DF184"/>
  <c r="DL184"/>
  <c r="DT184"/>
  <c r="EA184"/>
  <c r="EI184"/>
  <c r="DD184"/>
  <c r="BA184"/>
  <c r="CM184"/>
  <c r="CL184"/>
  <c r="CK184"/>
  <c r="AY184"/>
  <c r="B183"/>
  <c r="CX183"/>
  <c r="CZ183"/>
  <c r="DD183"/>
  <c r="DC183" s="1"/>
  <c r="DE183"/>
  <c r="BA183"/>
  <c r="CM183" s="1"/>
  <c r="CL183"/>
  <c r="CK183"/>
  <c r="AY183"/>
  <c r="B181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2"/>
  <c r="CX181"/>
  <c r="CZ181"/>
  <c r="DO181"/>
  <c r="DQ181"/>
  <c r="DS181"/>
  <c r="DU181"/>
  <c r="DW181"/>
  <c r="DY181"/>
  <c r="EA181"/>
  <c r="EC181"/>
  <c r="EE181"/>
  <c r="EG181"/>
  <c r="EI181"/>
  <c r="DD181"/>
  <c r="DE181"/>
  <c r="DE234" s="1"/>
  <c r="DC181"/>
  <c r="BA181"/>
  <c r="CM181" s="1"/>
  <c r="CL181"/>
  <c r="CK181"/>
  <c r="AY181"/>
  <c r="B187"/>
  <c r="CX180"/>
  <c r="CZ180"/>
  <c r="DK180"/>
  <c r="DN180"/>
  <c r="DS180"/>
  <c r="DU180"/>
  <c r="DZ180"/>
  <c r="EC180"/>
  <c r="EH180"/>
  <c r="EI180"/>
  <c r="DD180"/>
  <c r="BA180"/>
  <c r="CM180" s="1"/>
  <c r="CL180"/>
  <c r="CK180"/>
  <c r="AY180"/>
  <c r="B179"/>
  <c r="CX179"/>
  <c r="CZ179"/>
  <c r="DP179" s="1"/>
  <c r="EH179"/>
  <c r="DD179"/>
  <c r="DC179" s="1"/>
  <c r="BA179"/>
  <c r="CM179"/>
  <c r="CL179"/>
  <c r="CK179"/>
  <c r="AY179"/>
  <c r="B178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DE221" s="1"/>
  <c r="CL178"/>
  <c r="CK178"/>
  <c r="AY178"/>
  <c r="B180"/>
  <c r="CX177"/>
  <c r="CZ177"/>
  <c r="DF177"/>
  <c r="DH177"/>
  <c r="DP177"/>
  <c r="DV177"/>
  <c r="DX177"/>
  <c r="EF177"/>
  <c r="DD177"/>
  <c r="BA177"/>
  <c r="CM177"/>
  <c r="CL177"/>
  <c r="CK177"/>
  <c r="AY177"/>
  <c r="B175"/>
  <c r="CZ176"/>
  <c r="DD176"/>
  <c r="DE176"/>
  <c r="DC176"/>
  <c r="BA176"/>
  <c r="CM176" s="1"/>
  <c r="CL176"/>
  <c r="CK176"/>
  <c r="AY176"/>
  <c r="B177"/>
  <c r="CZ175"/>
  <c r="DH175"/>
  <c r="DJ175"/>
  <c r="DP175"/>
  <c r="DR175"/>
  <c r="DT175"/>
  <c r="DZ175"/>
  <c r="EB175"/>
  <c r="EF175"/>
  <c r="EJ175"/>
  <c r="DD175"/>
  <c r="BA175"/>
  <c r="CM175" s="1"/>
  <c r="CL175"/>
  <c r="CK175"/>
  <c r="AY175"/>
  <c r="B174"/>
  <c r="CZ174"/>
  <c r="DG174"/>
  <c r="DI174"/>
  <c r="DO174"/>
  <c r="DQ174"/>
  <c r="DS174"/>
  <c r="DU174"/>
  <c r="DW174"/>
  <c r="DX174"/>
  <c r="DY174"/>
  <c r="EA174"/>
  <c r="EB174"/>
  <c r="EC174"/>
  <c r="EE174"/>
  <c r="EF174"/>
  <c r="EG174"/>
  <c r="EI174"/>
  <c r="EJ174"/>
  <c r="DD174"/>
  <c r="BA174"/>
  <c r="CM174" s="1"/>
  <c r="CL174"/>
  <c r="CK174"/>
  <c r="AY174"/>
  <c r="B173"/>
  <c r="CZ173"/>
  <c r="DH173" s="1"/>
  <c r="DI173"/>
  <c r="DJ173"/>
  <c r="DN173"/>
  <c r="DP173"/>
  <c r="DT173"/>
  <c r="DU173"/>
  <c r="DY173"/>
  <c r="DZ173"/>
  <c r="ED173"/>
  <c r="EF173"/>
  <c r="EJ173"/>
  <c r="DD173"/>
  <c r="BA173"/>
  <c r="CM173"/>
  <c r="CL173"/>
  <c r="CK173"/>
  <c r="AY173"/>
  <c r="B172"/>
  <c r="CZ172"/>
  <c r="DD172"/>
  <c r="DE172" s="1"/>
  <c r="BA172"/>
  <c r="CM172" s="1"/>
  <c r="CL172"/>
  <c r="CK172"/>
  <c r="AY172"/>
  <c r="B169"/>
  <c r="CX171"/>
  <c r="CZ171"/>
  <c r="DL171"/>
  <c r="DN171"/>
  <c r="DV171"/>
  <c r="DZ171"/>
  <c r="EH171"/>
  <c r="EJ171"/>
  <c r="DD171"/>
  <c r="BA171"/>
  <c r="CM171"/>
  <c r="CL171"/>
  <c r="CK171"/>
  <c r="AY171"/>
  <c r="B168"/>
  <c r="CX170"/>
  <c r="CZ170"/>
  <c r="DG170" s="1"/>
  <c r="DH170"/>
  <c r="DI170"/>
  <c r="DK170"/>
  <c r="DL170"/>
  <c r="DM170"/>
  <c r="DO170"/>
  <c r="DP170"/>
  <c r="DQ170"/>
  <c r="DS170"/>
  <c r="DT170"/>
  <c r="DU170"/>
  <c r="DW170"/>
  <c r="DX170"/>
  <c r="DY170"/>
  <c r="EA170"/>
  <c r="EB170"/>
  <c r="EC170"/>
  <c r="EE170"/>
  <c r="EF170"/>
  <c r="EG170"/>
  <c r="EI170"/>
  <c r="EJ170"/>
  <c r="DD170"/>
  <c r="BA170"/>
  <c r="CM170"/>
  <c r="CL170"/>
  <c r="CK170"/>
  <c r="AY170"/>
  <c r="B176"/>
  <c r="CZ169"/>
  <c r="DS169"/>
  <c r="EA169"/>
  <c r="DD169"/>
  <c r="DE169" s="1"/>
  <c r="DC169"/>
  <c r="BA169"/>
  <c r="CM169"/>
  <c r="CL169"/>
  <c r="CK169"/>
  <c r="AY169"/>
  <c r="B170"/>
  <c r="CX168"/>
  <c r="CZ168"/>
  <c r="DD168"/>
  <c r="CL168"/>
  <c r="CK168"/>
  <c r="AY168"/>
  <c r="B171"/>
  <c r="CX167"/>
  <c r="CZ167"/>
  <c r="DZ167" s="1"/>
  <c r="DJ167"/>
  <c r="DK167"/>
  <c r="DP167"/>
  <c r="DU167"/>
  <c r="EA167"/>
  <c r="EF167"/>
  <c r="DD167"/>
  <c r="BA167"/>
  <c r="CM167"/>
  <c r="CL167"/>
  <c r="CK167"/>
  <c r="AY167"/>
  <c r="B160"/>
  <c r="CW166"/>
  <c r="CX166"/>
  <c r="CZ166"/>
  <c r="DF166"/>
  <c r="DK166"/>
  <c r="DQ166"/>
  <c r="DV166"/>
  <c r="EA166"/>
  <c r="EG166"/>
  <c r="DD166"/>
  <c r="BA166"/>
  <c r="CM166"/>
  <c r="CL166"/>
  <c r="CK166"/>
  <c r="AY166"/>
  <c r="B159"/>
  <c r="CZ165"/>
  <c r="DI165"/>
  <c r="DJ165"/>
  <c r="DN165"/>
  <c r="DO165"/>
  <c r="DS165"/>
  <c r="DU165"/>
  <c r="DY165"/>
  <c r="DZ165"/>
  <c r="ED165"/>
  <c r="EE165"/>
  <c r="EI165"/>
  <c r="DD165"/>
  <c r="DE165" s="1"/>
  <c r="BA165"/>
  <c r="CM165"/>
  <c r="CL165"/>
  <c r="CK165"/>
  <c r="AY165"/>
  <c r="B166"/>
  <c r="CZ164"/>
  <c r="DF164" s="1"/>
  <c r="DH164"/>
  <c r="DI164"/>
  <c r="DK164"/>
  <c r="DO164"/>
  <c r="DP164"/>
  <c r="DS164"/>
  <c r="DV164"/>
  <c r="DX164"/>
  <c r="DY164"/>
  <c r="EA164"/>
  <c r="ED164"/>
  <c r="EE164"/>
  <c r="EF164"/>
  <c r="EI164"/>
  <c r="EJ164"/>
  <c r="DD164"/>
  <c r="BA164"/>
  <c r="CM164"/>
  <c r="CL164"/>
  <c r="CK164"/>
  <c r="AY164"/>
  <c r="B167"/>
  <c r="CZ163"/>
  <c r="DK163"/>
  <c r="DP163"/>
  <c r="DU163"/>
  <c r="EA163"/>
  <c r="EF163"/>
  <c r="DD163"/>
  <c r="BA163"/>
  <c r="CM163"/>
  <c r="CL163"/>
  <c r="CK163"/>
  <c r="AY163"/>
  <c r="B162"/>
  <c r="CZ162"/>
  <c r="DF162"/>
  <c r="DH162"/>
  <c r="DI162"/>
  <c r="DJ162"/>
  <c r="DL162"/>
  <c r="DM162"/>
  <c r="DN162"/>
  <c r="DP162"/>
  <c r="DQ162"/>
  <c r="DR162"/>
  <c r="DT162"/>
  <c r="DU162"/>
  <c r="DV162"/>
  <c r="DX162"/>
  <c r="DY162"/>
  <c r="DZ162"/>
  <c r="EB162"/>
  <c r="EC162"/>
  <c r="ED162"/>
  <c r="EF162"/>
  <c r="EG162"/>
  <c r="EH162"/>
  <c r="EJ162"/>
  <c r="DD162"/>
  <c r="DE162" s="1"/>
  <c r="DE232" s="1"/>
  <c r="DC162"/>
  <c r="BA162"/>
  <c r="CM162" s="1"/>
  <c r="CL162"/>
  <c r="CK162"/>
  <c r="AY162"/>
  <c r="B161"/>
  <c r="CX161"/>
  <c r="CZ161"/>
  <c r="DV161" s="1"/>
  <c r="DP161"/>
  <c r="DD161"/>
  <c r="BA161"/>
  <c r="CM161"/>
  <c r="CL161"/>
  <c r="CK161"/>
  <c r="AY161"/>
  <c r="B163"/>
  <c r="CW160"/>
  <c r="CX160"/>
  <c r="CZ160"/>
  <c r="ED160" s="1"/>
  <c r="EB160"/>
  <c r="DD160"/>
  <c r="BA160"/>
  <c r="CM160"/>
  <c r="CL160"/>
  <c r="CK160"/>
  <c r="AY160"/>
  <c r="B158"/>
  <c r="CX159"/>
  <c r="DH159" s="1"/>
  <c r="CZ159"/>
  <c r="DN159" s="1"/>
  <c r="DO159"/>
  <c r="DP159"/>
  <c r="DT159"/>
  <c r="DV159"/>
  <c r="DZ159"/>
  <c r="EA159"/>
  <c r="EE159"/>
  <c r="EF159"/>
  <c r="EJ159"/>
  <c r="DD159"/>
  <c r="DE159"/>
  <c r="DC159"/>
  <c r="CL159"/>
  <c r="CK159"/>
  <c r="AY159"/>
  <c r="B164"/>
  <c r="DP158"/>
  <c r="DU158"/>
  <c r="EA158"/>
  <c r="DD158"/>
  <c r="CM158"/>
  <c r="CL158"/>
  <c r="CK158"/>
  <c r="AY158"/>
  <c r="B165"/>
  <c r="BA155"/>
  <c r="CM155" s="1"/>
  <c r="CL155"/>
  <c r="CK155"/>
  <c r="AY155"/>
  <c r="B148"/>
  <c r="CX154"/>
  <c r="BA154"/>
  <c r="CM154" s="1"/>
  <c r="CL154"/>
  <c r="CK154"/>
  <c r="AY154"/>
  <c r="B150"/>
  <c r="BA153"/>
  <c r="CM153" s="1"/>
  <c r="CL153"/>
  <c r="CK153"/>
  <c r="AY153"/>
  <c r="B151"/>
  <c r="BA152"/>
  <c r="CM152" s="1"/>
  <c r="CL152"/>
  <c r="CK152"/>
  <c r="AY152"/>
  <c r="B152"/>
  <c r="DE153"/>
  <c r="BA151"/>
  <c r="CM151" s="1"/>
  <c r="CL151"/>
  <c r="CK151"/>
  <c r="AY151"/>
  <c r="B154"/>
  <c r="DE152"/>
  <c r="BA150"/>
  <c r="CM150" s="1"/>
  <c r="CL150"/>
  <c r="CK150"/>
  <c r="AY150"/>
  <c r="B153"/>
  <c r="B156"/>
  <c r="B157"/>
  <c r="B149"/>
  <c r="B155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7"/>
  <c r="CX146"/>
  <c r="DL146"/>
  <c r="DN146"/>
  <c r="DV146"/>
  <c r="DX146"/>
  <c r="EF146"/>
  <c r="EJ146"/>
  <c r="DD146"/>
  <c r="DC146" s="1"/>
  <c r="BA146"/>
  <c r="CM146"/>
  <c r="CL146"/>
  <c r="CK146"/>
  <c r="AY146"/>
  <c r="B145"/>
  <c r="CX145"/>
  <c r="CZ145"/>
  <c r="DM145"/>
  <c r="DN145"/>
  <c r="DO145"/>
  <c r="DQ145"/>
  <c r="DR145"/>
  <c r="DS145"/>
  <c r="DU145"/>
  <c r="DV145"/>
  <c r="DW145"/>
  <c r="DY145"/>
  <c r="DZ145"/>
  <c r="EA145"/>
  <c r="EC145"/>
  <c r="ED145"/>
  <c r="EE145"/>
  <c r="EG145"/>
  <c r="EH145"/>
  <c r="EI145"/>
  <c r="DD145"/>
  <c r="DE145" s="1"/>
  <c r="DC145"/>
  <c r="BA145"/>
  <c r="CM145"/>
  <c r="CL145"/>
  <c r="CK145"/>
  <c r="AY145"/>
  <c r="B144"/>
  <c r="CX144"/>
  <c r="CZ144"/>
  <c r="EA144" s="1"/>
  <c r="DD144"/>
  <c r="DE144"/>
  <c r="DC144"/>
  <c r="BA144"/>
  <c r="CM144" s="1"/>
  <c r="CL144"/>
  <c r="CK144"/>
  <c r="AY144"/>
  <c r="B138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1"/>
  <c r="CX142"/>
  <c r="CZ142"/>
  <c r="DP142"/>
  <c r="DU142"/>
  <c r="EA142"/>
  <c r="EF142"/>
  <c r="DD142"/>
  <c r="BA142"/>
  <c r="CM142"/>
  <c r="CL142"/>
  <c r="CK142"/>
  <c r="AY142"/>
  <c r="B139"/>
  <c r="CW141"/>
  <c r="CX141"/>
  <c r="CZ141"/>
  <c r="DI141" s="1"/>
  <c r="DO141"/>
  <c r="DQ141"/>
  <c r="DS141"/>
  <c r="DY141"/>
  <c r="EA141"/>
  <c r="EE141"/>
  <c r="EI141"/>
  <c r="DD141"/>
  <c r="DE141"/>
  <c r="DE230" s="1"/>
  <c r="DC141"/>
  <c r="BA141"/>
  <c r="CM141"/>
  <c r="CL141"/>
  <c r="CK141"/>
  <c r="AY141"/>
  <c r="B143"/>
  <c r="CW140"/>
  <c r="CX140"/>
  <c r="CZ140"/>
  <c r="EI140" s="1"/>
  <c r="DD140"/>
  <c r="DE140" s="1"/>
  <c r="BA140"/>
  <c r="CM140"/>
  <c r="CL140"/>
  <c r="CK140"/>
  <c r="AY140"/>
  <c r="B142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BA139"/>
  <c r="CM139"/>
  <c r="CL139"/>
  <c r="CK139"/>
  <c r="AY139"/>
  <c r="B146"/>
  <c r="CZ138"/>
  <c r="DF138" s="1"/>
  <c r="DG138"/>
  <c r="DI138"/>
  <c r="DJ138"/>
  <c r="DM138"/>
  <c r="DN138"/>
  <c r="DO138"/>
  <c r="DR138"/>
  <c r="DS138"/>
  <c r="DU138"/>
  <c r="DW138"/>
  <c r="DY138"/>
  <c r="DZ138"/>
  <c r="EC138"/>
  <c r="ED138"/>
  <c r="EE138"/>
  <c r="EH138"/>
  <c r="EI138"/>
  <c r="DD138"/>
  <c r="CL138"/>
  <c r="CK138"/>
  <c r="AY138"/>
  <c r="B140"/>
  <c r="CZ137"/>
  <c r="DF137"/>
  <c r="DH137"/>
  <c r="DI137"/>
  <c r="DJ137"/>
  <c r="DL137"/>
  <c r="DM137"/>
  <c r="DN137"/>
  <c r="DP137"/>
  <c r="DQ137"/>
  <c r="DR137"/>
  <c r="DT137"/>
  <c r="DU137"/>
  <c r="DV137"/>
  <c r="DX137"/>
  <c r="DY137"/>
  <c r="DZ137"/>
  <c r="EB137"/>
  <c r="EC137"/>
  <c r="ED137"/>
  <c r="EF137"/>
  <c r="EG137"/>
  <c r="EH137"/>
  <c r="EJ137"/>
  <c r="DD137"/>
  <c r="DC137" s="1"/>
  <c r="DE137"/>
  <c r="BA137"/>
  <c r="CM137" s="1"/>
  <c r="CL137"/>
  <c r="CK137"/>
  <c r="AY137"/>
  <c r="B128"/>
  <c r="CZ136"/>
  <c r="DF136" s="1"/>
  <c r="DJ136"/>
  <c r="DL136"/>
  <c r="DN136"/>
  <c r="DT136"/>
  <c r="DV136"/>
  <c r="DZ136"/>
  <c r="ED136"/>
  <c r="EH136"/>
  <c r="EJ136"/>
  <c r="DD136"/>
  <c r="BA136"/>
  <c r="CM136"/>
  <c r="CL136"/>
  <c r="CK136"/>
  <c r="AY136"/>
  <c r="B134"/>
  <c r="CW135"/>
  <c r="CX135"/>
  <c r="CZ135"/>
  <c r="DN135"/>
  <c r="DX135"/>
  <c r="EF135"/>
  <c r="DD135"/>
  <c r="DC135" s="1"/>
  <c r="BA135"/>
  <c r="CM135"/>
  <c r="CL135"/>
  <c r="CK135"/>
  <c r="AY135"/>
  <c r="B136"/>
  <c r="CW134"/>
  <c r="CX134"/>
  <c r="CZ134"/>
  <c r="EH134" s="1"/>
  <c r="DD134"/>
  <c r="DC134" s="1"/>
  <c r="BA134"/>
  <c r="CM134"/>
  <c r="CL134"/>
  <c r="CK134"/>
  <c r="AY134"/>
  <c r="B130"/>
  <c r="CZ133"/>
  <c r="DG133" s="1"/>
  <c r="DD133"/>
  <c r="DE133" s="1"/>
  <c r="BA133"/>
  <c r="CM133" s="1"/>
  <c r="CL133"/>
  <c r="CK133"/>
  <c r="AY133"/>
  <c r="B137"/>
  <c r="CX132"/>
  <c r="CZ132"/>
  <c r="DF132" s="1"/>
  <c r="DH132"/>
  <c r="DJ132"/>
  <c r="DL132"/>
  <c r="DP132"/>
  <c r="DR132"/>
  <c r="DT132"/>
  <c r="DX132"/>
  <c r="DZ132"/>
  <c r="EB132"/>
  <c r="ED132"/>
  <c r="EF132"/>
  <c r="EH132"/>
  <c r="EJ132"/>
  <c r="DD132"/>
  <c r="BA132"/>
  <c r="CM132" s="1"/>
  <c r="CL132"/>
  <c r="CK132"/>
  <c r="AY132"/>
  <c r="B131"/>
  <c r="CZ131"/>
  <c r="DF131" s="1"/>
  <c r="DH131"/>
  <c r="DI131"/>
  <c r="DL131"/>
  <c r="DM131"/>
  <c r="DP131"/>
  <c r="DQ131"/>
  <c r="DT131"/>
  <c r="DU131"/>
  <c r="DX131"/>
  <c r="DY131"/>
  <c r="EB131"/>
  <c r="EC131"/>
  <c r="EF131"/>
  <c r="EG131"/>
  <c r="EJ131"/>
  <c r="DD131"/>
  <c r="DE131" s="1"/>
  <c r="DE229" s="1"/>
  <c r="BA131"/>
  <c r="CM131"/>
  <c r="CL131"/>
  <c r="CK131"/>
  <c r="AY131"/>
  <c r="B132"/>
  <c r="CX130"/>
  <c r="DG130" s="1"/>
  <c r="CZ130"/>
  <c r="DI130"/>
  <c r="DM130"/>
  <c r="DQ130"/>
  <c r="DU130"/>
  <c r="DY130"/>
  <c r="EC130"/>
  <c r="EG130"/>
  <c r="DD130"/>
  <c r="DE130"/>
  <c r="DC130"/>
  <c r="BA130"/>
  <c r="CM130" s="1"/>
  <c r="CL130"/>
  <c r="CK130"/>
  <c r="AY130"/>
  <c r="B133"/>
  <c r="CX129"/>
  <c r="CZ129"/>
  <c r="DR129"/>
  <c r="EH129"/>
  <c r="DD129"/>
  <c r="BA129"/>
  <c r="CM129" s="1"/>
  <c r="CL129"/>
  <c r="CK129"/>
  <c r="AY129"/>
  <c r="B129"/>
  <c r="CW128"/>
  <c r="CX128"/>
  <c r="CZ128"/>
  <c r="DH128" s="1"/>
  <c r="DP128"/>
  <c r="DT128"/>
  <c r="EF128"/>
  <c r="EJ128"/>
  <c r="DD128"/>
  <c r="CL128"/>
  <c r="CK128"/>
  <c r="AY128"/>
  <c r="B135"/>
  <c r="CX127"/>
  <c r="CZ127"/>
  <c r="DD127"/>
  <c r="DE127" s="1"/>
  <c r="BA127"/>
  <c r="CM127" s="1"/>
  <c r="CL127"/>
  <c r="CK127"/>
  <c r="AY127"/>
  <c r="B123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5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1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18"/>
  <c r="CX123"/>
  <c r="CZ123"/>
  <c r="DD123"/>
  <c r="DE123"/>
  <c r="DC123"/>
  <c r="BA123"/>
  <c r="CM123" s="1"/>
  <c r="CL123"/>
  <c r="CK123"/>
  <c r="AY123"/>
  <c r="B119"/>
  <c r="CX122"/>
  <c r="CZ122"/>
  <c r="DJ122" s="1"/>
  <c r="DF122"/>
  <c r="DH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6"/>
  <c r="CW121"/>
  <c r="CX121"/>
  <c r="CZ121"/>
  <c r="DD121"/>
  <c r="BA121"/>
  <c r="CM121"/>
  <c r="CL121"/>
  <c r="CK121"/>
  <c r="AY121"/>
  <c r="B127"/>
  <c r="CZ120"/>
  <c r="DM120"/>
  <c r="DQ120"/>
  <c r="DU120"/>
  <c r="EC120"/>
  <c r="EG120"/>
  <c r="DD120"/>
  <c r="BA120"/>
  <c r="CM120"/>
  <c r="CL120"/>
  <c r="CK120"/>
  <c r="AY120"/>
  <c r="B120"/>
  <c r="CW119"/>
  <c r="CX119"/>
  <c r="DG119" s="1"/>
  <c r="CZ119"/>
  <c r="DI119"/>
  <c r="DM119"/>
  <c r="DO119"/>
  <c r="DQ119"/>
  <c r="DS119"/>
  <c r="DU119"/>
  <c r="DW119"/>
  <c r="DY119"/>
  <c r="EA119"/>
  <c r="EC119"/>
  <c r="EE119"/>
  <c r="EG119"/>
  <c r="EI119"/>
  <c r="DD119"/>
  <c r="DE119" s="1"/>
  <c r="BA119"/>
  <c r="CM119"/>
  <c r="CL119"/>
  <c r="CK119"/>
  <c r="AY119"/>
  <c r="B122"/>
  <c r="CX118"/>
  <c r="CZ118"/>
  <c r="DI118" s="1"/>
  <c r="DG118"/>
  <c r="DK118"/>
  <c r="DO118"/>
  <c r="DS118"/>
  <c r="DW118"/>
  <c r="EA118"/>
  <c r="EE118"/>
  <c r="EI118"/>
  <c r="DD118"/>
  <c r="CL118"/>
  <c r="CK118"/>
  <c r="AY118"/>
  <c r="B124"/>
  <c r="CZ117"/>
  <c r="DI117" s="1"/>
  <c r="DG117"/>
  <c r="DK117"/>
  <c r="DO117"/>
  <c r="DS117"/>
  <c r="DW117"/>
  <c r="EA117"/>
  <c r="EE117"/>
  <c r="EI117"/>
  <c r="DD117"/>
  <c r="BA117"/>
  <c r="CM117" s="1"/>
  <c r="CL117"/>
  <c r="CK117"/>
  <c r="AY117"/>
  <c r="B110"/>
  <c r="CZ116"/>
  <c r="DT116"/>
  <c r="EB116"/>
  <c r="EJ116"/>
  <c r="DD116"/>
  <c r="DC116" s="1"/>
  <c r="BA116"/>
  <c r="CM116"/>
  <c r="CL116"/>
  <c r="CK116"/>
  <c r="AY116"/>
  <c r="B117"/>
  <c r="CZ115"/>
  <c r="DD115"/>
  <c r="BA115"/>
  <c r="CM115" s="1"/>
  <c r="CL115"/>
  <c r="CK115"/>
  <c r="AY115"/>
  <c r="B115"/>
  <c r="CZ114"/>
  <c r="DT114"/>
  <c r="EB114"/>
  <c r="EJ114"/>
  <c r="DD114"/>
  <c r="DC114" s="1"/>
  <c r="BA114"/>
  <c r="CM114"/>
  <c r="CL114"/>
  <c r="CK114"/>
  <c r="AY114"/>
  <c r="B109"/>
  <c r="CZ113"/>
  <c r="DI113" s="1"/>
  <c r="DO113"/>
  <c r="DS113"/>
  <c r="EE113"/>
  <c r="EI113"/>
  <c r="DD113"/>
  <c r="DE113" s="1"/>
  <c r="DC113"/>
  <c r="BA113"/>
  <c r="CM113" s="1"/>
  <c r="CL113"/>
  <c r="CK113"/>
  <c r="AY113"/>
  <c r="B108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4"/>
  <c r="CZ111"/>
  <c r="DI111"/>
  <c r="DM111"/>
  <c r="DQ111"/>
  <c r="DU111"/>
  <c r="DY111"/>
  <c r="EC111"/>
  <c r="EG111"/>
  <c r="DD111"/>
  <c r="DE111" s="1"/>
  <c r="DE227" s="1"/>
  <c r="DC111"/>
  <c r="BA111"/>
  <c r="CM111" s="1"/>
  <c r="CL111"/>
  <c r="CK111"/>
  <c r="AY111"/>
  <c r="B112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3"/>
  <c r="CZ109"/>
  <c r="DI109" s="1"/>
  <c r="DG109"/>
  <c r="DK109"/>
  <c r="DO109"/>
  <c r="DS109"/>
  <c r="DW109"/>
  <c r="EA109"/>
  <c r="EE109"/>
  <c r="EI109"/>
  <c r="DD109"/>
  <c r="BA109"/>
  <c r="CM109" s="1"/>
  <c r="CL109"/>
  <c r="CK109"/>
  <c r="AY109"/>
  <c r="B116"/>
  <c r="CZ108"/>
  <c r="EB108"/>
  <c r="EJ108"/>
  <c r="DD108"/>
  <c r="DC108" s="1"/>
  <c r="CL108"/>
  <c r="CK108"/>
  <c r="AY108"/>
  <c r="B111"/>
  <c r="CW107"/>
  <c r="CX107"/>
  <c r="CZ107"/>
  <c r="DU107" s="1"/>
  <c r="DD107"/>
  <c r="BA107"/>
  <c r="CM107" s="1"/>
  <c r="CL107"/>
  <c r="CK107"/>
  <c r="AY107"/>
  <c r="B98"/>
  <c r="CZ106"/>
  <c r="DL106" s="1"/>
  <c r="EB106"/>
  <c r="EJ106"/>
  <c r="DD106"/>
  <c r="DC106" s="1"/>
  <c r="BA106"/>
  <c r="CM106"/>
  <c r="CL106"/>
  <c r="CK106"/>
  <c r="AY106"/>
  <c r="B99"/>
  <c r="CZ105"/>
  <c r="DI105" s="1"/>
  <c r="DO105"/>
  <c r="DS105"/>
  <c r="EE105"/>
  <c r="EI105"/>
  <c r="DD105"/>
  <c r="DE105"/>
  <c r="DC105"/>
  <c r="BA105"/>
  <c r="CM105" s="1"/>
  <c r="CL105"/>
  <c r="CK105"/>
  <c r="AY105"/>
  <c r="B102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7"/>
  <c r="CZ103"/>
  <c r="DI103"/>
  <c r="DM103"/>
  <c r="DQ103"/>
  <c r="DU103"/>
  <c r="DY103"/>
  <c r="EC103"/>
  <c r="EG103"/>
  <c r="DD103"/>
  <c r="DE103"/>
  <c r="DC103"/>
  <c r="BA103"/>
  <c r="CM103" s="1"/>
  <c r="CL103"/>
  <c r="CK103"/>
  <c r="AY103"/>
  <c r="B106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3"/>
  <c r="CX101"/>
  <c r="CZ101"/>
  <c r="DS101" s="1"/>
  <c r="EA101"/>
  <c r="DD101"/>
  <c r="DE101" s="1"/>
  <c r="DE226" s="1"/>
  <c r="DC101"/>
  <c r="BA101"/>
  <c r="CM101"/>
  <c r="CL101"/>
  <c r="CK101"/>
  <c r="AY101"/>
  <c r="B105"/>
  <c r="CX100"/>
  <c r="CZ100"/>
  <c r="EI100" s="1"/>
  <c r="DD100"/>
  <c r="DE100" s="1"/>
  <c r="BA100"/>
  <c r="CM100" s="1"/>
  <c r="CL100"/>
  <c r="CK100"/>
  <c r="AY100"/>
  <c r="B101"/>
  <c r="CZ99"/>
  <c r="DG99" s="1"/>
  <c r="DJ99"/>
  <c r="DL99"/>
  <c r="DR99"/>
  <c r="DT99"/>
  <c r="DZ99"/>
  <c r="EB99"/>
  <c r="EG99"/>
  <c r="EH99"/>
  <c r="DD99"/>
  <c r="DC99" s="1"/>
  <c r="BA99"/>
  <c r="CM99"/>
  <c r="CL99"/>
  <c r="CK99"/>
  <c r="AY99"/>
  <c r="B104"/>
  <c r="CZ98"/>
  <c r="DI98"/>
  <c r="DM98"/>
  <c r="DQ98"/>
  <c r="DU98"/>
  <c r="DY98"/>
  <c r="EC98"/>
  <c r="EG98"/>
  <c r="DD98"/>
  <c r="DE98" s="1"/>
  <c r="DE213" s="1"/>
  <c r="DC98"/>
  <c r="CL98"/>
  <c r="CK98"/>
  <c r="AY98"/>
  <c r="B100"/>
  <c r="CZ97"/>
  <c r="DG97" s="1"/>
  <c r="DD97"/>
  <c r="DE97" s="1"/>
  <c r="BA97"/>
  <c r="CM97" s="1"/>
  <c r="CL97"/>
  <c r="CK97"/>
  <c r="AY97"/>
  <c r="B97"/>
  <c r="CZ96"/>
  <c r="DF96" s="1"/>
  <c r="DH96"/>
  <c r="DI96"/>
  <c r="DL96"/>
  <c r="DM96"/>
  <c r="DP96"/>
  <c r="DQ96"/>
  <c r="DT96"/>
  <c r="DU96"/>
  <c r="DX96"/>
  <c r="DY96"/>
  <c r="EB96"/>
  <c r="EC96"/>
  <c r="EF96"/>
  <c r="EG96"/>
  <c r="EJ96"/>
  <c r="DD96"/>
  <c r="DC96" s="1"/>
  <c r="BA96"/>
  <c r="CM96"/>
  <c r="CL96"/>
  <c r="CK96"/>
  <c r="AY96"/>
  <c r="B93"/>
  <c r="CZ95"/>
  <c r="DD95"/>
  <c r="DE95" s="1"/>
  <c r="BA95"/>
  <c r="CM95" s="1"/>
  <c r="CL95"/>
  <c r="CK95"/>
  <c r="AY95"/>
  <c r="B89"/>
  <c r="CZ94"/>
  <c r="DM94" s="1"/>
  <c r="DU94"/>
  <c r="ED94"/>
  <c r="DD94"/>
  <c r="DC94" s="1"/>
  <c r="BA94"/>
  <c r="CM94"/>
  <c r="CL94"/>
  <c r="CK94"/>
  <c r="AY94"/>
  <c r="B96"/>
  <c r="CZ93"/>
  <c r="DD93"/>
  <c r="DE93" s="1"/>
  <c r="DC93"/>
  <c r="BA93"/>
  <c r="CM93" s="1"/>
  <c r="CL93"/>
  <c r="CK93"/>
  <c r="AY93"/>
  <c r="B92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88"/>
  <c r="CZ91"/>
  <c r="DG91" s="1"/>
  <c r="DD91"/>
  <c r="DE91" s="1"/>
  <c r="DC91"/>
  <c r="BA91"/>
  <c r="CM91" s="1"/>
  <c r="CL91"/>
  <c r="CK91"/>
  <c r="AY91"/>
  <c r="B91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5"/>
  <c r="CX89"/>
  <c r="CZ89"/>
  <c r="DN89" s="1"/>
  <c r="DQ89"/>
  <c r="DS89"/>
  <c r="DU89"/>
  <c r="DW89"/>
  <c r="DY89"/>
  <c r="EA89"/>
  <c r="EC89"/>
  <c r="EE89"/>
  <c r="EG89"/>
  <c r="EI89"/>
  <c r="DD89"/>
  <c r="DE89" s="1"/>
  <c r="DC89"/>
  <c r="BA89"/>
  <c r="CM89" s="1"/>
  <c r="CL89"/>
  <c r="CK89"/>
  <c r="AY89"/>
  <c r="B90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4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DE157" l="1"/>
  <c r="DC117"/>
  <c r="DE117"/>
  <c r="DE142"/>
  <c r="DC142"/>
  <c r="DE158"/>
  <c r="DE219" s="1"/>
  <c r="DC158"/>
  <c r="DG108"/>
  <c r="EQ108" s="1"/>
  <c r="DH108"/>
  <c r="DP108"/>
  <c r="DX108"/>
  <c r="FH108" s="1"/>
  <c r="EF108"/>
  <c r="FP108" s="1"/>
  <c r="DF108"/>
  <c r="DN108"/>
  <c r="ED108"/>
  <c r="FN108" s="1"/>
  <c r="DJ108"/>
  <c r="ET108" s="1"/>
  <c r="DR108"/>
  <c r="DZ108"/>
  <c r="EH108"/>
  <c r="FR108" s="1"/>
  <c r="DV108"/>
  <c r="FF108" s="1"/>
  <c r="DG114"/>
  <c r="DH114"/>
  <c r="DP114"/>
  <c r="EZ114" s="1"/>
  <c r="DX114"/>
  <c r="FH114" s="1"/>
  <c r="EF114"/>
  <c r="DF114"/>
  <c r="DV114"/>
  <c r="FF114" s="1"/>
  <c r="DJ114"/>
  <c r="ET114" s="1"/>
  <c r="DR114"/>
  <c r="DZ114"/>
  <c r="EH114"/>
  <c r="FR114" s="1"/>
  <c r="DN114"/>
  <c r="EX114" s="1"/>
  <c r="ED114"/>
  <c r="DM115"/>
  <c r="EC115"/>
  <c r="FM115" s="1"/>
  <c r="DI115"/>
  <c r="ES115" s="1"/>
  <c r="DQ115"/>
  <c r="EG115"/>
  <c r="DY115"/>
  <c r="FI115" s="1"/>
  <c r="DG116"/>
  <c r="DH116"/>
  <c r="DP116"/>
  <c r="DX116"/>
  <c r="FH116" s="1"/>
  <c r="EF116"/>
  <c r="DF116"/>
  <c r="DN116"/>
  <c r="ED116"/>
  <c r="FN116" s="1"/>
  <c r="DJ116"/>
  <c r="ET116" s="1"/>
  <c r="DR116"/>
  <c r="DZ116"/>
  <c r="EH116"/>
  <c r="FR116" s="1"/>
  <c r="DV116"/>
  <c r="FF116" s="1"/>
  <c r="DC118"/>
  <c r="DE118"/>
  <c r="DE215" s="1"/>
  <c r="DC120"/>
  <c r="DE120"/>
  <c r="DG120"/>
  <c r="DK120"/>
  <c r="DO120"/>
  <c r="EY120" s="1"/>
  <c r="DS120"/>
  <c r="DW120"/>
  <c r="EA120"/>
  <c r="EE120"/>
  <c r="EI120"/>
  <c r="FS120" s="1"/>
  <c r="DJ120"/>
  <c r="DN120"/>
  <c r="DV120"/>
  <c r="FF120" s="1"/>
  <c r="DZ120"/>
  <c r="EH120"/>
  <c r="DH120"/>
  <c r="DL120"/>
  <c r="EV120" s="1"/>
  <c r="DP120"/>
  <c r="EZ120" s="1"/>
  <c r="DT120"/>
  <c r="DX120"/>
  <c r="EB120"/>
  <c r="FL120" s="1"/>
  <c r="EF120"/>
  <c r="FP120" s="1"/>
  <c r="EJ120"/>
  <c r="DF120"/>
  <c r="DR120"/>
  <c r="FB120" s="1"/>
  <c r="ED120"/>
  <c r="DE155"/>
  <c r="DF158"/>
  <c r="DJ158"/>
  <c r="ET158" s="1"/>
  <c r="DN158"/>
  <c r="DR158"/>
  <c r="DV158"/>
  <c r="DZ158"/>
  <c r="ED158"/>
  <c r="FN158" s="1"/>
  <c r="EH158"/>
  <c r="FR158" s="1"/>
  <c r="DH158"/>
  <c r="DM158"/>
  <c r="EW158" s="1"/>
  <c r="DS158"/>
  <c r="DX158"/>
  <c r="FH158" s="1"/>
  <c r="EC158"/>
  <c r="FM158" s="1"/>
  <c r="EI158"/>
  <c r="DL158"/>
  <c r="DW158"/>
  <c r="EG158"/>
  <c r="DI158"/>
  <c r="DI219" s="1"/>
  <c r="DO158"/>
  <c r="EY158" s="1"/>
  <c r="DT158"/>
  <c r="FD158" s="1"/>
  <c r="DY158"/>
  <c r="FI158" s="1"/>
  <c r="EE158"/>
  <c r="EJ158"/>
  <c r="DG158"/>
  <c r="EQ158" s="1"/>
  <c r="DQ158"/>
  <c r="EB158"/>
  <c r="FL158" s="1"/>
  <c r="DC175"/>
  <c r="DE175"/>
  <c r="DS176"/>
  <c r="FC176" s="1"/>
  <c r="EI176"/>
  <c r="DM176"/>
  <c r="DK176"/>
  <c r="DU176"/>
  <c r="FE176" s="1"/>
  <c r="EC176"/>
  <c r="DL183"/>
  <c r="DZ183"/>
  <c r="DP183"/>
  <c r="EZ183" s="1"/>
  <c r="EH183"/>
  <c r="DH183"/>
  <c r="DR183"/>
  <c r="EJ183"/>
  <c r="FT183" s="1"/>
  <c r="EF183"/>
  <c r="DY94"/>
  <c r="DS100"/>
  <c r="EE101"/>
  <c r="DR134"/>
  <c r="DY140"/>
  <c r="EH94"/>
  <c r="FR94" s="1"/>
  <c r="DZ94"/>
  <c r="EI101"/>
  <c r="DL108"/>
  <c r="DG94"/>
  <c r="DK94"/>
  <c r="DO94"/>
  <c r="EY94" s="1"/>
  <c r="DS94"/>
  <c r="FC94" s="1"/>
  <c r="DW94"/>
  <c r="EA94"/>
  <c r="EE94"/>
  <c r="FO94" s="1"/>
  <c r="EI94"/>
  <c r="DJ94"/>
  <c r="DR94"/>
  <c r="DH94"/>
  <c r="ER94" s="1"/>
  <c r="DL94"/>
  <c r="DP94"/>
  <c r="DT94"/>
  <c r="DX94"/>
  <c r="FH94" s="1"/>
  <c r="EB94"/>
  <c r="EF94"/>
  <c r="EJ94"/>
  <c r="DF94"/>
  <c r="EP94" s="1"/>
  <c r="DN94"/>
  <c r="DV94"/>
  <c r="DI100"/>
  <c r="DK100"/>
  <c r="EU100" s="1"/>
  <c r="EA100"/>
  <c r="DG100"/>
  <c r="DO100"/>
  <c r="EE100"/>
  <c r="FO100" s="1"/>
  <c r="DW100"/>
  <c r="FG100" s="1"/>
  <c r="DM101"/>
  <c r="DQ101"/>
  <c r="DU101"/>
  <c r="FE101" s="1"/>
  <c r="DY101"/>
  <c r="EC101"/>
  <c r="EG101"/>
  <c r="DP101"/>
  <c r="EZ101" s="1"/>
  <c r="DX101"/>
  <c r="EB101"/>
  <c r="EJ101"/>
  <c r="DN101"/>
  <c r="DR101"/>
  <c r="DV101"/>
  <c r="DZ101"/>
  <c r="ED101"/>
  <c r="FN101" s="1"/>
  <c r="EH101"/>
  <c r="FR101" s="1"/>
  <c r="DI101"/>
  <c r="DT101"/>
  <c r="EF101"/>
  <c r="FP101" s="1"/>
  <c r="DC115"/>
  <c r="DE115"/>
  <c r="DJ134"/>
  <c r="DZ134"/>
  <c r="FJ134" s="1"/>
  <c r="DF134"/>
  <c r="DN134"/>
  <c r="ED134"/>
  <c r="DV134"/>
  <c r="FF134" s="1"/>
  <c r="DO140"/>
  <c r="EY140" s="1"/>
  <c r="DW140"/>
  <c r="EE140"/>
  <c r="DS140"/>
  <c r="FC140" s="1"/>
  <c r="EC140"/>
  <c r="EA140"/>
  <c r="DU140"/>
  <c r="EG140"/>
  <c r="DQ140"/>
  <c r="DG144"/>
  <c r="DW144"/>
  <c r="DO144"/>
  <c r="EY144" s="1"/>
  <c r="EI144"/>
  <c r="FS144" s="1"/>
  <c r="DK144"/>
  <c r="DS144"/>
  <c r="EE144"/>
  <c r="FO144" s="1"/>
  <c r="DG106"/>
  <c r="DH106"/>
  <c r="DP106"/>
  <c r="DX106"/>
  <c r="EF106"/>
  <c r="FP106" s="1"/>
  <c r="DN106"/>
  <c r="ED106"/>
  <c r="DJ106"/>
  <c r="ET106" s="1"/>
  <c r="DR106"/>
  <c r="DZ106"/>
  <c r="EH106"/>
  <c r="DF106"/>
  <c r="EP106" s="1"/>
  <c r="DV106"/>
  <c r="DO107"/>
  <c r="DM107"/>
  <c r="EC107"/>
  <c r="FM107" s="1"/>
  <c r="DI107"/>
  <c r="DQ107"/>
  <c r="EG107"/>
  <c r="DY107"/>
  <c r="FI107" s="1"/>
  <c r="DE154"/>
  <c r="DC160"/>
  <c r="DE160"/>
  <c r="DC168"/>
  <c r="DE168"/>
  <c r="DE220" s="1"/>
  <c r="DC107"/>
  <c r="DE107"/>
  <c r="DC109"/>
  <c r="DE109"/>
  <c r="DH129"/>
  <c r="DH216" s="1"/>
  <c r="DJ129"/>
  <c r="ET129" s="1"/>
  <c r="DZ129"/>
  <c r="DV129"/>
  <c r="DN129"/>
  <c r="EX129" s="1"/>
  <c r="ED129"/>
  <c r="FN129" s="1"/>
  <c r="DF129"/>
  <c r="DJ135"/>
  <c r="DR135"/>
  <c r="FB135" s="1"/>
  <c r="DH135"/>
  <c r="DT135"/>
  <c r="EB135"/>
  <c r="EJ135"/>
  <c r="FT135" s="1"/>
  <c r="DP135"/>
  <c r="DZ135"/>
  <c r="DL135"/>
  <c r="DV135"/>
  <c r="FF135" s="1"/>
  <c r="ED135"/>
  <c r="FN135" s="1"/>
  <c r="DF135"/>
  <c r="EH135"/>
  <c r="DN142"/>
  <c r="EX142" s="1"/>
  <c r="DR142"/>
  <c r="DV142"/>
  <c r="DZ142"/>
  <c r="ED142"/>
  <c r="FN142" s="1"/>
  <c r="EH142"/>
  <c r="DM142"/>
  <c r="DS142"/>
  <c r="DX142"/>
  <c r="EC142"/>
  <c r="FM142" s="1"/>
  <c r="EI142"/>
  <c r="DI142"/>
  <c r="EB142"/>
  <c r="FL142" s="1"/>
  <c r="DO142"/>
  <c r="DT142"/>
  <c r="DY142"/>
  <c r="EE142"/>
  <c r="FO142" s="1"/>
  <c r="EJ142"/>
  <c r="FT142" s="1"/>
  <c r="DQ142"/>
  <c r="DW142"/>
  <c r="EG142"/>
  <c r="FQ142" s="1"/>
  <c r="DF163"/>
  <c r="DJ163"/>
  <c r="DN163"/>
  <c r="DR163"/>
  <c r="FB163" s="1"/>
  <c r="DV163"/>
  <c r="FF163" s="1"/>
  <c r="DZ163"/>
  <c r="ED163"/>
  <c r="EH163"/>
  <c r="DH163"/>
  <c r="DM163"/>
  <c r="DS163"/>
  <c r="DX163"/>
  <c r="FH163" s="1"/>
  <c r="EC163"/>
  <c r="EI163"/>
  <c r="DG163"/>
  <c r="DQ163"/>
  <c r="FA163" s="1"/>
  <c r="EB163"/>
  <c r="DI163"/>
  <c r="DO163"/>
  <c r="DT163"/>
  <c r="FD163" s="1"/>
  <c r="DY163"/>
  <c r="EE163"/>
  <c r="EJ163"/>
  <c r="DL163"/>
  <c r="DW163"/>
  <c r="EG163"/>
  <c r="DK185"/>
  <c r="EA185"/>
  <c r="FK185" s="1"/>
  <c r="DS185"/>
  <c r="FC185" s="1"/>
  <c r="EE185"/>
  <c r="DW185"/>
  <c r="DO185"/>
  <c r="EY185" s="1"/>
  <c r="EP195"/>
  <c r="FU195" s="1"/>
  <c r="EK195"/>
  <c r="EG94"/>
  <c r="DI94"/>
  <c r="ES94" s="1"/>
  <c r="DO101"/>
  <c r="EC94"/>
  <c r="DQ94"/>
  <c r="DW101"/>
  <c r="FG101" s="1"/>
  <c r="DT106"/>
  <c r="DT108"/>
  <c r="DL114"/>
  <c r="DU115"/>
  <c r="DL116"/>
  <c r="EV116" s="1"/>
  <c r="DY120"/>
  <c r="DI120"/>
  <c r="EF158"/>
  <c r="FP158" s="1"/>
  <c r="DK158"/>
  <c r="EU158" s="1"/>
  <c r="EA176"/>
  <c r="DT183"/>
  <c r="EK197"/>
  <c r="DG146"/>
  <c r="EQ146" s="1"/>
  <c r="DJ146"/>
  <c r="ET146" s="1"/>
  <c r="DR146"/>
  <c r="FB146" s="1"/>
  <c r="DZ146"/>
  <c r="EH146"/>
  <c r="FR146" s="1"/>
  <c r="DE164"/>
  <c r="DC164"/>
  <c r="DH165"/>
  <c r="DL165"/>
  <c r="DP165"/>
  <c r="DT165"/>
  <c r="FD165" s="1"/>
  <c r="DX165"/>
  <c r="FH165" s="1"/>
  <c r="EB165"/>
  <c r="EF165"/>
  <c r="EJ165"/>
  <c r="FT165" s="1"/>
  <c r="DZ168"/>
  <c r="EF168"/>
  <c r="DI169"/>
  <c r="DG169"/>
  <c r="EQ169" s="1"/>
  <c r="DW169"/>
  <c r="DH171"/>
  <c r="DP171"/>
  <c r="DX171"/>
  <c r="FH171" s="1"/>
  <c r="EF171"/>
  <c r="DJ180"/>
  <c r="DQ180"/>
  <c r="DV180"/>
  <c r="EA180"/>
  <c r="EG180"/>
  <c r="DN186"/>
  <c r="DR186"/>
  <c r="DV186"/>
  <c r="FF186" s="1"/>
  <c r="DZ186"/>
  <c r="ED186"/>
  <c r="EH186"/>
  <c r="FR186" s="1"/>
  <c r="DC136"/>
  <c r="DE136"/>
  <c r="DG137"/>
  <c r="DK137"/>
  <c r="EK137" s="1"/>
  <c r="DO137"/>
  <c r="DS137"/>
  <c r="DW137"/>
  <c r="EA137"/>
  <c r="EE137"/>
  <c r="EI137"/>
  <c r="DI145"/>
  <c r="DP145"/>
  <c r="EZ145" s="1"/>
  <c r="DT145"/>
  <c r="DX145"/>
  <c r="EB145"/>
  <c r="EF145"/>
  <c r="FP145" s="1"/>
  <c r="EJ145"/>
  <c r="FT145" s="1"/>
  <c r="DG162"/>
  <c r="DK162"/>
  <c r="EK162" s="1"/>
  <c r="DO162"/>
  <c r="DS162"/>
  <c r="DW162"/>
  <c r="EA162"/>
  <c r="FK162" s="1"/>
  <c r="EE162"/>
  <c r="FO162" s="1"/>
  <c r="EI162"/>
  <c r="DP166"/>
  <c r="EF166"/>
  <c r="FP166" s="1"/>
  <c r="DE174"/>
  <c r="DC174"/>
  <c r="DK174"/>
  <c r="DR174"/>
  <c r="FB174" s="1"/>
  <c r="DV174"/>
  <c r="DZ174"/>
  <c r="ED174"/>
  <c r="EH174"/>
  <c r="FR174" s="1"/>
  <c r="DE188"/>
  <c r="DC188"/>
  <c r="DE200"/>
  <c r="DC200"/>
  <c r="DO89"/>
  <c r="EI96"/>
  <c r="EE96"/>
  <c r="EA96"/>
  <c r="FK96" s="1"/>
  <c r="DW96"/>
  <c r="DS96"/>
  <c r="DO96"/>
  <c r="DK96"/>
  <c r="DG96"/>
  <c r="EQ96" s="1"/>
  <c r="DC97"/>
  <c r="EJ99"/>
  <c r="EF99"/>
  <c r="FP99" s="1"/>
  <c r="DX99"/>
  <c r="DP99"/>
  <c r="DH99"/>
  <c r="DC100"/>
  <c r="DG101"/>
  <c r="EQ101" s="1"/>
  <c r="EA105"/>
  <c r="DK105"/>
  <c r="DG107"/>
  <c r="EA113"/>
  <c r="DK113"/>
  <c r="DC119"/>
  <c r="DC127"/>
  <c r="EB128"/>
  <c r="DL128"/>
  <c r="DC131"/>
  <c r="EI131"/>
  <c r="FS131" s="1"/>
  <c r="EE131"/>
  <c r="EA131"/>
  <c r="DW131"/>
  <c r="DS131"/>
  <c r="FC131" s="1"/>
  <c r="DO131"/>
  <c r="DK131"/>
  <c r="DG131"/>
  <c r="DV132"/>
  <c r="FF132" s="1"/>
  <c r="DN132"/>
  <c r="EX132" s="1"/>
  <c r="DC133"/>
  <c r="EB136"/>
  <c r="DR136"/>
  <c r="EG138"/>
  <c r="FQ138" s="1"/>
  <c r="EA138"/>
  <c r="DV138"/>
  <c r="DQ138"/>
  <c r="FA138" s="1"/>
  <c r="DK138"/>
  <c r="EK138" s="1"/>
  <c r="DC139"/>
  <c r="EG141"/>
  <c r="DW141"/>
  <c r="FG141" s="1"/>
  <c r="DE146"/>
  <c r="ED146"/>
  <c r="FN146" s="1"/>
  <c r="DT146"/>
  <c r="FD146" s="1"/>
  <c r="DH146"/>
  <c r="ER146" s="1"/>
  <c r="EI159"/>
  <c r="ED159"/>
  <c r="DX159"/>
  <c r="FH159" s="1"/>
  <c r="DS159"/>
  <c r="FC159" s="1"/>
  <c r="DT164"/>
  <c r="DN164"/>
  <c r="DC165"/>
  <c r="EH165"/>
  <c r="EC165"/>
  <c r="DW165"/>
  <c r="DR165"/>
  <c r="FB165" s="1"/>
  <c r="DM165"/>
  <c r="EW165" s="1"/>
  <c r="DG165"/>
  <c r="DP168"/>
  <c r="EI169"/>
  <c r="DO169"/>
  <c r="ED171"/>
  <c r="DT171"/>
  <c r="DJ171"/>
  <c r="ET171" s="1"/>
  <c r="EH173"/>
  <c r="EC173"/>
  <c r="DX173"/>
  <c r="DR173"/>
  <c r="FB173" s="1"/>
  <c r="DM173"/>
  <c r="EF179"/>
  <c r="EF180"/>
  <c r="DY180"/>
  <c r="FI180" s="1"/>
  <c r="DR180"/>
  <c r="FB180" s="1"/>
  <c r="DH180"/>
  <c r="DC185"/>
  <c r="EJ186"/>
  <c r="FT186" s="1"/>
  <c r="EE186"/>
  <c r="FO186" s="1"/>
  <c r="DY186"/>
  <c r="DT186"/>
  <c r="DO186"/>
  <c r="DJ159"/>
  <c r="ET159" s="1"/>
  <c r="DQ159"/>
  <c r="DU159"/>
  <c r="DY159"/>
  <c r="FI159" s="1"/>
  <c r="EC159"/>
  <c r="EG159"/>
  <c r="DG173"/>
  <c r="DK173"/>
  <c r="EK173" s="1"/>
  <c r="DO173"/>
  <c r="EY173" s="1"/>
  <c r="DS173"/>
  <c r="DW173"/>
  <c r="EA173"/>
  <c r="FK173" s="1"/>
  <c r="EE173"/>
  <c r="FO173" s="1"/>
  <c r="EI173"/>
  <c r="DC197"/>
  <c r="DE197"/>
  <c r="DE198"/>
  <c r="DC198"/>
  <c r="DE204"/>
  <c r="DC204"/>
  <c r="DG136"/>
  <c r="EQ136" s="1"/>
  <c r="DH136"/>
  <c r="DP136"/>
  <c r="DX136"/>
  <c r="EF136"/>
  <c r="DH138"/>
  <c r="DL138"/>
  <c r="DP138"/>
  <c r="EZ138" s="1"/>
  <c r="DT138"/>
  <c r="DX138"/>
  <c r="EB138"/>
  <c r="EF138"/>
  <c r="FP138" s="1"/>
  <c r="EJ138"/>
  <c r="FT138" s="1"/>
  <c r="DM141"/>
  <c r="DU141"/>
  <c r="EC141"/>
  <c r="FM141" s="1"/>
  <c r="DJ164"/>
  <c r="DG164"/>
  <c r="DL164"/>
  <c r="EV164" s="1"/>
  <c r="DQ164"/>
  <c r="FA164" s="1"/>
  <c r="DW164"/>
  <c r="EB164"/>
  <c r="EG164"/>
  <c r="FQ164" s="1"/>
  <c r="DE167"/>
  <c r="DC167"/>
  <c r="DC170"/>
  <c r="DE170"/>
  <c r="DF170"/>
  <c r="EP170" s="1"/>
  <c r="DJ170"/>
  <c r="DN170"/>
  <c r="DR170"/>
  <c r="DV170"/>
  <c r="FF170" s="1"/>
  <c r="DZ170"/>
  <c r="ED170"/>
  <c r="EH170"/>
  <c r="FR170" s="1"/>
  <c r="DL175"/>
  <c r="DX175"/>
  <c r="EH175"/>
  <c r="DN177"/>
  <c r="EX177" s="1"/>
  <c r="ED177"/>
  <c r="FN177" s="1"/>
  <c r="DE180"/>
  <c r="DC180"/>
  <c r="EP189"/>
  <c r="FU189" s="1"/>
  <c r="EK189"/>
  <c r="DQ186"/>
  <c r="DN212"/>
  <c r="DC95"/>
  <c r="EH96"/>
  <c r="ED96"/>
  <c r="DZ96"/>
  <c r="DV96"/>
  <c r="FF96" s="1"/>
  <c r="DR96"/>
  <c r="DN96"/>
  <c r="DJ96"/>
  <c r="EK96" s="1"/>
  <c r="EI99"/>
  <c r="ED99"/>
  <c r="DV99"/>
  <c r="FF99" s="1"/>
  <c r="DN99"/>
  <c r="DF99"/>
  <c r="DW105"/>
  <c r="DG105"/>
  <c r="EQ105" s="1"/>
  <c r="DE106"/>
  <c r="DW113"/>
  <c r="DG113"/>
  <c r="DE114"/>
  <c r="DX128"/>
  <c r="EH131"/>
  <c r="ED131"/>
  <c r="DZ131"/>
  <c r="FJ131" s="1"/>
  <c r="DV131"/>
  <c r="FF131" s="1"/>
  <c r="DR131"/>
  <c r="DN131"/>
  <c r="DJ131"/>
  <c r="ET131" s="1"/>
  <c r="DC140"/>
  <c r="EB146"/>
  <c r="DP146"/>
  <c r="DF146"/>
  <c r="DE156"/>
  <c r="EH159"/>
  <c r="EB159"/>
  <c r="FL159" s="1"/>
  <c r="DW159"/>
  <c r="DR159"/>
  <c r="DG159"/>
  <c r="EG165"/>
  <c r="FQ165" s="1"/>
  <c r="EA165"/>
  <c r="FK165" s="1"/>
  <c r="DV165"/>
  <c r="DQ165"/>
  <c r="DK165"/>
  <c r="EK165" s="1"/>
  <c r="DF165"/>
  <c r="EP165" s="1"/>
  <c r="DJ168"/>
  <c r="EE169"/>
  <c r="DK169"/>
  <c r="EU169" s="1"/>
  <c r="EB171"/>
  <c r="FL171" s="1"/>
  <c r="DR171"/>
  <c r="DF171"/>
  <c r="DC172"/>
  <c r="EG173"/>
  <c r="EB173"/>
  <c r="DV173"/>
  <c r="DQ173"/>
  <c r="DL173"/>
  <c r="EV173" s="1"/>
  <c r="DF173"/>
  <c r="DT174"/>
  <c r="DM174"/>
  <c r="DR179"/>
  <c r="ED180"/>
  <c r="DX180"/>
  <c r="DP180"/>
  <c r="DF180"/>
  <c r="EP180" s="1"/>
  <c r="EI186"/>
  <c r="EC186"/>
  <c r="DX186"/>
  <c r="FH186" s="1"/>
  <c r="DS186"/>
  <c r="FC186" s="1"/>
  <c r="DJ186"/>
  <c r="DC203"/>
  <c r="DE151"/>
  <c r="DE231" s="1"/>
  <c r="DE150"/>
  <c r="FQ89"/>
  <c r="FI89"/>
  <c r="FA94"/>
  <c r="EW94"/>
  <c r="ES100"/>
  <c r="EW103"/>
  <c r="EW111"/>
  <c r="ES119"/>
  <c r="EW120"/>
  <c r="ES120"/>
  <c r="ES130"/>
  <c r="ES141"/>
  <c r="FA142"/>
  <c r="EW142"/>
  <c r="FA159"/>
  <c r="FA180"/>
  <c r="EW182"/>
  <c r="ES182"/>
  <c r="EW90"/>
  <c r="ES90"/>
  <c r="EW101"/>
  <c r="EW107"/>
  <c r="EW115"/>
  <c r="ES124"/>
  <c r="EW138"/>
  <c r="EW145"/>
  <c r="EW162"/>
  <c r="ES162"/>
  <c r="ES164"/>
  <c r="EW173"/>
  <c r="ES173"/>
  <c r="EZ94"/>
  <c r="EZ99"/>
  <c r="EZ142"/>
  <c r="EZ143"/>
  <c r="FM96"/>
  <c r="FI96"/>
  <c r="EW96"/>
  <c r="ES96"/>
  <c r="EW98"/>
  <c r="ES101"/>
  <c r="ES105"/>
  <c r="ES107"/>
  <c r="ES113"/>
  <c r="FM119"/>
  <c r="EW119"/>
  <c r="FM130"/>
  <c r="EW130"/>
  <c r="FM131"/>
  <c r="FI131"/>
  <c r="EW131"/>
  <c r="ES131"/>
  <c r="FI139"/>
  <c r="ES139"/>
  <c r="EW141"/>
  <c r="FM143"/>
  <c r="FI143"/>
  <c r="ES145"/>
  <c r="FM165"/>
  <c r="FI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S163"/>
  <c r="ES169"/>
  <c r="EW170"/>
  <c r="ES170"/>
  <c r="ES174"/>
  <c r="EW176"/>
  <c r="N372"/>
  <c r="N382" s="1"/>
  <c r="FJ92"/>
  <c r="FJ96"/>
  <c r="FJ165"/>
  <c r="EY100"/>
  <c r="FC109"/>
  <c r="EY165"/>
  <c r="FC181"/>
  <c r="U372"/>
  <c r="U379" s="1"/>
  <c r="EY96"/>
  <c r="EY131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P165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EX116"/>
  <c r="FJ120"/>
  <c r="FS124"/>
  <c r="EY124"/>
  <c r="FB125"/>
  <c r="FB126"/>
  <c r="FF129"/>
  <c r="FB132"/>
  <c r="FS137"/>
  <c r="EY137"/>
  <c r="EY139"/>
  <c r="FF142"/>
  <c r="FB142"/>
  <c r="EV143"/>
  <c r="FJ146"/>
  <c r="FF159"/>
  <c r="FB159"/>
  <c r="FS163"/>
  <c r="EY163"/>
  <c r="EX164"/>
  <c r="FS170"/>
  <c r="EY170"/>
  <c r="FJ171"/>
  <c r="FB171"/>
  <c r="FC174"/>
  <c r="FB179"/>
  <c r="EY181"/>
  <c r="FF182"/>
  <c r="FB182"/>
  <c r="FS184"/>
  <c r="EY186"/>
  <c r="AF372"/>
  <c r="AF379" s="1"/>
  <c r="FJ101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EX158"/>
  <c r="FF161"/>
  <c r="FR163"/>
  <c r="FJ163"/>
  <c r="EX163"/>
  <c r="FB170"/>
  <c r="EX170"/>
  <c r="FF174"/>
  <c r="FR175"/>
  <c r="FF180"/>
  <c r="FJ183"/>
  <c r="FB186"/>
  <c r="EX186"/>
  <c r="W372"/>
  <c r="W377" s="1"/>
  <c r="FE96"/>
  <c r="FT101"/>
  <c r="ET102"/>
  <c r="ET112"/>
  <c r="FH122"/>
  <c r="FP136"/>
  <c r="FT139"/>
  <c r="FH145"/>
  <c r="FT147"/>
  <c r="FT162"/>
  <c r="FH164"/>
  <c r="ET167"/>
  <c r="FT173"/>
  <c r="FH173"/>
  <c r="FT175"/>
  <c r="FH178"/>
  <c r="FP183"/>
  <c r="FP90"/>
  <c r="FB96"/>
  <c r="FB122"/>
  <c r="FP124"/>
  <c r="FB131"/>
  <c r="FB136"/>
  <c r="FP139"/>
  <c r="FF139"/>
  <c r="FF143"/>
  <c r="FF147"/>
  <c r="FP163"/>
  <c r="FF165"/>
  <c r="FF166"/>
  <c r="FP167"/>
  <c r="FP170"/>
  <c r="FB175"/>
  <c r="FF177"/>
  <c r="FB183"/>
  <c r="FP186"/>
  <c r="ET94"/>
  <c r="FL99"/>
  <c r="FH101"/>
  <c r="ET104"/>
  <c r="ET110"/>
  <c r="ET120"/>
  <c r="FH136"/>
  <c r="ET139"/>
  <c r="FL147"/>
  <c r="FH162"/>
  <c r="FP173"/>
  <c r="FP177"/>
  <c r="FP178"/>
  <c r="FH180"/>
  <c r="FM89"/>
  <c r="FQ90"/>
  <c r="FM90"/>
  <c r="FI90"/>
  <c r="FT92"/>
  <c r="FP92"/>
  <c r="FI92"/>
  <c r="FT94"/>
  <c r="FP94"/>
  <c r="FT99"/>
  <c r="FF101"/>
  <c r="FB101"/>
  <c r="FF102"/>
  <c r="FI103"/>
  <c r="FF104"/>
  <c r="FB106"/>
  <c r="FQ107"/>
  <c r="FF110"/>
  <c r="FI111"/>
  <c r="FF112"/>
  <c r="FB114"/>
  <c r="FQ115"/>
  <c r="FB116"/>
  <c r="FI119"/>
  <c r="FT120"/>
  <c r="FT122"/>
  <c r="FM124"/>
  <c r="FI124"/>
  <c r="FF125"/>
  <c r="FF126"/>
  <c r="FT136"/>
  <c r="FM137"/>
  <c r="FI137"/>
  <c r="FI141"/>
  <c r="FP142"/>
  <c r="FF145"/>
  <c r="FB145"/>
  <c r="FF146"/>
  <c r="FT159"/>
  <c r="FF162"/>
  <c r="FB162"/>
  <c r="ET162"/>
  <c r="FQ163"/>
  <c r="FM163"/>
  <c r="FI163"/>
  <c r="FF164"/>
  <c r="FM170"/>
  <c r="FI170"/>
  <c r="FF171"/>
  <c r="FF173"/>
  <c r="FQ174"/>
  <c r="FM174"/>
  <c r="FI174"/>
  <c r="ET175"/>
  <c r="FM176"/>
  <c r="FT182"/>
  <c r="FP182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FD139"/>
  <c r="FO140"/>
  <c r="FR142"/>
  <c r="FD14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D94"/>
  <c r="EV94"/>
  <c r="FS96"/>
  <c r="FO96"/>
  <c r="EU96"/>
  <c r="FH99"/>
  <c r="EX101"/>
  <c r="EX102"/>
  <c r="EX104"/>
  <c r="FK105"/>
  <c r="EU105"/>
  <c r="FR106"/>
  <c r="FA107"/>
  <c r="FS109"/>
  <c r="EX110"/>
  <c r="FK113"/>
  <c r="EU113"/>
  <c r="FA115"/>
  <c r="FS117"/>
  <c r="FA119"/>
  <c r="FH120"/>
  <c r="FD120"/>
  <c r="FD122"/>
  <c r="EV122"/>
  <c r="FE124"/>
  <c r="EX126"/>
  <c r="FO131"/>
  <c r="FK131"/>
  <c r="EU131"/>
  <c r="EX134"/>
  <c r="FD136"/>
  <c r="FA137"/>
  <c r="FK140"/>
  <c r="FH142"/>
  <c r="FD142"/>
  <c r="FS143"/>
  <c r="FO143"/>
  <c r="FK143"/>
  <c r="FR145"/>
  <c r="EX145"/>
  <c r="EX146"/>
  <c r="FH147"/>
  <c r="FD159"/>
  <c r="FR162"/>
  <c r="EX162"/>
  <c r="FK164"/>
  <c r="EU164"/>
  <c r="FS165"/>
  <c r="FO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D147"/>
  <c r="FR159"/>
  <c r="FO163"/>
  <c r="FG163"/>
  <c r="EU163"/>
  <c r="FK170"/>
  <c r="EU170"/>
  <c r="FR171"/>
  <c r="FD173"/>
  <c r="FK174"/>
  <c r="EU180"/>
  <c r="FR182"/>
  <c r="AI372"/>
  <c r="AI378" s="1"/>
  <c r="FD90"/>
  <c r="EV90"/>
  <c r="FO92"/>
  <c r="FD92"/>
  <c r="EV92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R143"/>
  <c r="FA145"/>
  <c r="EV158"/>
  <c r="FO159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R159"/>
  <c r="ER162"/>
  <c r="EQ163"/>
  <c r="EQ170"/>
  <c r="FS89"/>
  <c r="FK89"/>
  <c r="FC89"/>
  <c r="FT90"/>
  <c r="FH90"/>
  <c r="EZ90"/>
  <c r="FS92"/>
  <c r="FK92"/>
  <c r="FH92"/>
  <c r="EZ92"/>
  <c r="FS94"/>
  <c r="FK94"/>
  <c r="EU94"/>
  <c r="EQ94"/>
  <c r="FN96"/>
  <c r="FS99"/>
  <c r="FK100"/>
  <c r="FM101"/>
  <c r="FI101"/>
  <c r="FT102"/>
  <c r="EQ102"/>
  <c r="FE103"/>
  <c r="FT104"/>
  <c r="EQ104"/>
  <c r="FH106"/>
  <c r="ER106"/>
  <c r="ER108"/>
  <c r="EY109"/>
  <c r="FT110"/>
  <c r="EQ110"/>
  <c r="FE111"/>
  <c r="FT112"/>
  <c r="EQ112"/>
  <c r="EQ113"/>
  <c r="ER114"/>
  <c r="EY117"/>
  <c r="EY119"/>
  <c r="EQ119"/>
  <c r="FK120"/>
  <c r="EU120"/>
  <c r="EQ120"/>
  <c r="FT124"/>
  <c r="FH124"/>
  <c r="FT125"/>
  <c r="EQ125"/>
  <c r="FT126"/>
  <c r="EQ130"/>
  <c r="FN131"/>
  <c r="FT132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FK159"/>
  <c r="EY159"/>
  <c r="FM162"/>
  <c r="FI162"/>
  <c r="FT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1"/>
  <c r="FS182"/>
  <c r="FK182"/>
  <c r="EY182"/>
  <c r="EU182"/>
  <c r="EQ182"/>
  <c r="EZ187"/>
  <c r="AD372"/>
  <c r="AD379" s="1"/>
  <c r="EQ90"/>
  <c r="EQ92"/>
  <c r="EQ99"/>
  <c r="EQ91"/>
  <c r="EQ107"/>
  <c r="EQ131"/>
  <c r="EQ139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I142"/>
  <c r="FT143"/>
  <c r="FH143"/>
  <c r="FK145"/>
  <c r="EY145"/>
  <c r="FH146"/>
  <c r="FM159"/>
  <c r="EY162"/>
  <c r="EQ162"/>
  <c r="FN163"/>
  <c r="ET163"/>
  <c r="EQ164"/>
  <c r="EZ165"/>
  <c r="ER165"/>
  <c r="EZ171"/>
  <c r="ER171"/>
  <c r="EU173"/>
  <c r="EQ173"/>
  <c r="EU174"/>
  <c r="FH175"/>
  <c r="FK180"/>
  <c r="ET180"/>
  <c r="FM181"/>
  <c r="FM182"/>
  <c r="FI182"/>
  <c r="FK184"/>
  <c r="EU185"/>
  <c r="Z372"/>
  <c r="Z378" s="1"/>
  <c r="EK201"/>
  <c r="EK191"/>
  <c r="EK196"/>
  <c r="EP198"/>
  <c r="FU198" s="1"/>
  <c r="FJ108"/>
  <c r="EX108"/>
  <c r="EV128"/>
  <c r="FS138"/>
  <c r="FM138"/>
  <c r="FJ168"/>
  <c r="FS178"/>
  <c r="FB178"/>
  <c r="EY178"/>
  <c r="FF88"/>
  <c r="FO118"/>
  <c r="EZ128"/>
  <c r="ET168"/>
  <c r="FI178"/>
  <c r="EU178"/>
  <c r="FH88"/>
  <c r="ER88"/>
  <c r="FB108"/>
  <c r="FS118"/>
  <c r="ES118"/>
  <c r="FT128"/>
  <c r="FD128"/>
  <c r="FO138"/>
  <c r="FK138"/>
  <c r="EX138"/>
  <c r="FK158"/>
  <c r="FJ178"/>
  <c r="FD178"/>
  <c r="EV178"/>
  <c r="EQ178"/>
  <c r="FT158"/>
  <c r="EZ178"/>
  <c r="FT88"/>
  <c r="FD88"/>
  <c r="FM98"/>
  <c r="FK118"/>
  <c r="FI138"/>
  <c r="FF138"/>
  <c r="EY118"/>
  <c r="FP128"/>
  <c r="ES138"/>
  <c r="FT178"/>
  <c r="FM178"/>
  <c r="FC178"/>
  <c r="FP88"/>
  <c r="FE98"/>
  <c r="FR88"/>
  <c r="FJ88"/>
  <c r="FB88"/>
  <c r="ET88"/>
  <c r="FI98"/>
  <c r="ES98"/>
  <c r="FH128"/>
  <c r="FE138"/>
  <c r="EY138"/>
  <c r="FO158"/>
  <c r="FE158"/>
  <c r="FB158"/>
  <c r="FR178"/>
  <c r="FO178"/>
  <c r="FK178"/>
  <c r="ES178"/>
  <c r="FF158"/>
  <c r="FF178"/>
  <c r="FT108"/>
  <c r="FR138"/>
  <c r="FH138"/>
  <c r="FB138"/>
  <c r="EV147"/>
  <c r="ET147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N143"/>
  <c r="FN120"/>
  <c r="E505"/>
  <c r="H506" s="1"/>
  <c r="FN178"/>
  <c r="FN173"/>
  <c r="FN165"/>
  <c r="FN137"/>
  <c r="FN124"/>
  <c r="FN114"/>
  <c r="FL186"/>
  <c r="FL173"/>
  <c r="FL165"/>
  <c r="FL163"/>
  <c r="FL143"/>
  <c r="FL138"/>
  <c r="FL124"/>
  <c r="FL175"/>
  <c r="FL146"/>
  <c r="FL137"/>
  <c r="FL112"/>
  <c r="FG181"/>
  <c r="FG174"/>
  <c r="E491"/>
  <c r="H492" s="1"/>
  <c r="X372"/>
  <c r="X373" s="1"/>
  <c r="FG162"/>
  <c r="ER131"/>
  <c r="ER112"/>
  <c r="ER135"/>
  <c r="ER125"/>
  <c r="ER120"/>
  <c r="EP143"/>
  <c r="EP120"/>
  <c r="EP178"/>
  <c r="EP173"/>
  <c r="EP136"/>
  <c r="EP110"/>
  <c r="O376"/>
  <c r="O373"/>
  <c r="O380"/>
  <c r="AA372"/>
  <c r="AA374" s="1"/>
  <c r="FJ182"/>
  <c r="FJ158"/>
  <c r="FJ143"/>
  <c r="FJ142"/>
  <c r="FJ114"/>
  <c r="FJ159"/>
  <c r="FJ145"/>
  <c r="FJ137"/>
  <c r="E487"/>
  <c r="H488" s="1"/>
  <c r="FC164"/>
  <c r="T372"/>
  <c r="T381" s="1"/>
  <c r="FC169"/>
  <c r="EZ186"/>
  <c r="EZ177"/>
  <c r="EZ170"/>
  <c r="EZ131"/>
  <c r="EZ116"/>
  <c r="E477"/>
  <c r="H478" s="1"/>
  <c r="Q372"/>
  <c r="Q382" s="1"/>
  <c r="EZ182"/>
  <c r="EZ146"/>
  <c r="EZ137"/>
  <c r="R372"/>
  <c r="R379" s="1"/>
  <c r="FA174"/>
  <c r="FA181"/>
  <c r="FA162"/>
  <c r="EX143"/>
  <c r="EX120"/>
  <c r="E473"/>
  <c r="H474" s="1"/>
  <c r="EX178"/>
  <c r="EX165"/>
  <c r="EX159"/>
  <c r="EX137"/>
  <c r="EX124"/>
  <c r="EV165"/>
  <c r="EV163"/>
  <c r="EV146"/>
  <c r="EV138"/>
  <c r="EV137"/>
  <c r="EV112"/>
  <c r="FN90"/>
  <c r="ER90"/>
  <c r="FQ92"/>
  <c r="FN99"/>
  <c r="ER99"/>
  <c r="FQ101"/>
  <c r="FL102"/>
  <c r="FL104"/>
  <c r="FL131"/>
  <c r="FL135"/>
  <c r="FN136"/>
  <c r="FG143"/>
  <c r="ER158"/>
  <c r="FG169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L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C158"/>
  <c r="FN159"/>
  <c r="FL162"/>
  <c r="ER163"/>
  <c r="FL164"/>
  <c r="FG165"/>
  <c r="FG170"/>
  <c r="FJ173"/>
  <c r="FG173"/>
  <c r="ER173"/>
  <c r="FJ175"/>
  <c r="ER175"/>
  <c r="EZ179"/>
  <c r="FE181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AG372"/>
  <c r="AG378" s="1"/>
  <c r="FP143"/>
  <c r="FP131"/>
  <c r="FP116"/>
  <c r="E509"/>
  <c r="H508" s="1"/>
  <c r="FP146"/>
  <c r="FP137"/>
  <c r="K372"/>
  <c r="K378" s="1"/>
  <c r="ET182"/>
  <c r="ET170"/>
  <c r="ET143"/>
  <c r="ET138"/>
  <c r="ET137"/>
  <c r="FL94"/>
  <c r="FQ99"/>
  <c r="EP102"/>
  <c r="FN106"/>
  <c r="FG119"/>
  <c r="ER132"/>
  <c r="ER138"/>
  <c r="FQ143"/>
  <c r="FL145"/>
  <c r="FQ162"/>
  <c r="FQ166"/>
  <c r="EP166"/>
  <c r="FQ173"/>
  <c r="FG178"/>
  <c r="FN88"/>
  <c r="EP88"/>
  <c r="FG89"/>
  <c r="FL90"/>
  <c r="FN94"/>
  <c r="FQ96"/>
  <c r="FG96"/>
  <c r="FN102"/>
  <c r="FG105"/>
  <c r="FL106"/>
  <c r="FL108"/>
  <c r="FN110"/>
  <c r="FG113"/>
  <c r="EP114"/>
  <c r="FG120"/>
  <c r="FL122"/>
  <c r="FL125"/>
  <c r="EP125"/>
  <c r="FN126"/>
  <c r="EP126"/>
  <c r="FL128"/>
  <c r="FE130"/>
  <c r="FQ131"/>
  <c r="EP137"/>
  <c r="FN138"/>
  <c r="FJ138"/>
  <c r="FQ139"/>
  <c r="FL139"/>
  <c r="FC139"/>
  <c r="FQ140"/>
  <c r="ER143"/>
  <c r="FC144"/>
  <c r="FQ145"/>
  <c r="EP146"/>
  <c r="FJ147"/>
  <c r="FQ158"/>
  <c r="EZ159"/>
  <c r="FC162"/>
  <c r="EZ162"/>
  <c r="FN164"/>
  <c r="FQ170"/>
  <c r="FN170"/>
  <c r="FJ170"/>
  <c r="FE170"/>
  <c r="FE173"/>
  <c r="FN174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FG117"/>
  <c r="FG118"/>
  <c r="FS119"/>
  <c r="FC119"/>
  <c r="FC120"/>
  <c r="FP122"/>
  <c r="EZ122"/>
  <c r="ER122"/>
  <c r="FQ124"/>
  <c r="FA124"/>
  <c r="FN125"/>
  <c r="EX125"/>
  <c r="FJ126"/>
  <c r="ET126"/>
  <c r="EP129"/>
  <c r="FE131"/>
  <c r="FJ132"/>
  <c r="ET132"/>
  <c r="EX135"/>
  <c r="FL136"/>
  <c r="EV136"/>
  <c r="FC138"/>
  <c r="FN139"/>
  <c r="EZ139"/>
  <c r="FS140"/>
  <c r="FQ141"/>
  <c r="FA141"/>
  <c r="FG142"/>
  <c r="FE145"/>
  <c r="FN147"/>
  <c r="EX147"/>
  <c r="EP147"/>
  <c r="EZ158"/>
  <c r="FS159"/>
  <c r="FP159"/>
  <c r="FG159"/>
  <c r="FL160"/>
  <c r="EZ161"/>
  <c r="FP162"/>
  <c r="FJ162"/>
  <c r="FE163"/>
  <c r="FG164"/>
  <c r="FE165"/>
  <c r="EZ167"/>
  <c r="EZ168"/>
  <c r="EV171"/>
  <c r="FC173"/>
  <c r="EZ173"/>
  <c r="ET173"/>
  <c r="EV175"/>
  <c r="FS176"/>
  <c r="EP177"/>
  <c r="FQ178"/>
  <c r="FE178"/>
  <c r="FA178"/>
  <c r="ET178"/>
  <c r="FP179"/>
  <c r="FP180"/>
  <c r="FQ182"/>
  <c r="FC182"/>
  <c r="ER183"/>
  <c r="FG185"/>
  <c r="ET186"/>
  <c r="FJ187"/>
  <c r="ER110"/>
  <c r="FQ111"/>
  <c r="FA111"/>
  <c r="FN112"/>
  <c r="EX112"/>
  <c r="FS113"/>
  <c r="FC113"/>
  <c r="FP114"/>
  <c r="FE119"/>
  <c r="FQ120"/>
  <c r="FA120"/>
  <c r="FJ122"/>
  <c r="ET122"/>
  <c r="FG124"/>
  <c r="FJ125"/>
  <c r="ET125"/>
  <c r="FL126"/>
  <c r="EV126"/>
  <c r="ER128"/>
  <c r="FJ129"/>
  <c r="FQ130"/>
  <c r="FA130"/>
  <c r="FL132"/>
  <c r="EV132"/>
  <c r="ET134"/>
  <c r="FJ135"/>
  <c r="ET135"/>
  <c r="ER136"/>
  <c r="FG138"/>
  <c r="FA139"/>
  <c r="EV139"/>
  <c r="ER139"/>
  <c r="FE140"/>
  <c r="FS141"/>
  <c r="FC141"/>
  <c r="FE142"/>
  <c r="FS145"/>
  <c r="FC145"/>
  <c r="FP147"/>
  <c r="EZ147"/>
  <c r="ER147"/>
  <c r="FS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E149"/>
  <c r="DE218" s="1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E228" s="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E216" s="1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DE214" s="1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DE217" s="1"/>
  <c r="EP138"/>
  <c r="DE148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DG89"/>
  <c r="EQ89" s="1"/>
  <c r="EG91"/>
  <c r="FQ91" s="1"/>
  <c r="EC91"/>
  <c r="FM91" s="1"/>
  <c r="DY91"/>
  <c r="FI91" s="1"/>
  <c r="DU91"/>
  <c r="FE91" s="1"/>
  <c r="DQ91"/>
  <c r="DQ212" s="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DG166"/>
  <c r="EQ166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H164"/>
  <c r="FR164" s="1"/>
  <c r="EC164"/>
  <c r="FM164" s="1"/>
  <c r="DZ164"/>
  <c r="FJ164" s="1"/>
  <c r="DU164"/>
  <c r="FE164" s="1"/>
  <c r="DR164"/>
  <c r="FB164" s="1"/>
  <c r="DM164"/>
  <c r="EW164" s="1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E233" s="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H424" l="1"/>
  <c r="AH442" s="1"/>
  <c r="AA426"/>
  <c r="AA444" s="1"/>
  <c r="AH426"/>
  <c r="AH444" s="1"/>
  <c r="Z430"/>
  <c r="Z448" s="1"/>
  <c r="S424"/>
  <c r="S442" s="1"/>
  <c r="N427"/>
  <c r="N445" s="1"/>
  <c r="Z431"/>
  <c r="Z449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AE427"/>
  <c r="AE445" s="1"/>
  <c r="Y428"/>
  <c r="Y446" s="1"/>
  <c r="AJ429"/>
  <c r="AJ447" s="1"/>
  <c r="M428"/>
  <c r="M446" s="1"/>
  <c r="AI429"/>
  <c r="AI447" s="1"/>
  <c r="U429"/>
  <c r="U447" s="1"/>
  <c r="AE430"/>
  <c r="AE448" s="1"/>
  <c r="AG430"/>
  <c r="AG448" s="1"/>
  <c r="L431"/>
  <c r="L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P426"/>
  <c r="P444" s="1"/>
  <c r="AK431"/>
  <c r="AK449" s="1"/>
  <c r="N424"/>
  <c r="N442" s="1"/>
  <c r="AD424"/>
  <c r="AD442" s="1"/>
  <c r="W426"/>
  <c r="W444" s="1"/>
  <c r="AD426"/>
  <c r="AD444" s="1"/>
  <c r="AH428"/>
  <c r="AH446" s="1"/>
  <c r="N425"/>
  <c r="N443" s="1"/>
  <c r="AD425"/>
  <c r="AD443" s="1"/>
  <c r="V430"/>
  <c r="V448" s="1"/>
  <c r="AE424"/>
  <c r="AE442" s="1"/>
  <c r="R429"/>
  <c r="R447" s="1"/>
  <c r="O423"/>
  <c r="O441" s="1"/>
  <c r="W425"/>
  <c r="W443" s="1"/>
  <c r="Z427"/>
  <c r="Z445" s="1"/>
  <c r="AD429"/>
  <c r="AD447" s="1"/>
  <c r="X423"/>
  <c r="X441" s="1"/>
  <c r="L432"/>
  <c r="L450" s="1"/>
  <c r="M424"/>
  <c r="M442" s="1"/>
  <c r="S425"/>
  <c r="S443" s="1"/>
  <c r="Y426"/>
  <c r="Y444" s="1"/>
  <c r="I427"/>
  <c r="I445" s="1"/>
  <c r="O427"/>
  <c r="O445" s="1"/>
  <c r="AA427"/>
  <c r="AA445" s="1"/>
  <c r="Q428"/>
  <c r="Q446" s="1"/>
  <c r="T429"/>
  <c r="T447" s="1"/>
  <c r="S428"/>
  <c r="S446" s="1"/>
  <c r="K429"/>
  <c r="K447" s="1"/>
  <c r="Q429"/>
  <c r="Q447" s="1"/>
  <c r="AG429"/>
  <c r="AG447" s="1"/>
  <c r="AF429"/>
  <c r="AF447" s="1"/>
  <c r="W430"/>
  <c r="W448" s="1"/>
  <c r="AB430"/>
  <c r="AB448" s="1"/>
  <c r="U430"/>
  <c r="U448" s="1"/>
  <c r="AC431"/>
  <c r="AC449" s="1"/>
  <c r="W431"/>
  <c r="W449" s="1"/>
  <c r="L428"/>
  <c r="L446" s="1"/>
  <c r="T424"/>
  <c r="T442" s="1"/>
  <c r="I425"/>
  <c r="I443" s="1"/>
  <c r="L426"/>
  <c r="L444" s="1"/>
  <c r="Y431"/>
  <c r="Y449" s="1"/>
  <c r="L425"/>
  <c r="L443" s="1"/>
  <c r="AE429"/>
  <c r="AE447" s="1"/>
  <c r="S426"/>
  <c r="S444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R424"/>
  <c r="R442" s="1"/>
  <c r="K426"/>
  <c r="K444" s="1"/>
  <c r="R426"/>
  <c r="R444" s="1"/>
  <c r="V428"/>
  <c r="V446" s="1"/>
  <c r="AF423"/>
  <c r="AF441" s="1"/>
  <c r="AI424"/>
  <c r="AI442" s="1"/>
  <c r="Z429"/>
  <c r="Z447" s="1"/>
  <c r="S423"/>
  <c r="S441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H428"/>
  <c r="H446" s="1"/>
  <c r="AG428"/>
  <c r="AG446" s="1"/>
  <c r="W428"/>
  <c r="W446" s="1"/>
  <c r="O429"/>
  <c r="O447" s="1"/>
  <c r="AK429"/>
  <c r="AK447" s="1"/>
  <c r="K430"/>
  <c r="K448" s="1"/>
  <c r="AA430"/>
  <c r="AA448" s="1"/>
  <c r="X431"/>
  <c r="X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Q423"/>
  <c r="Q441" s="1"/>
  <c r="L430"/>
  <c r="L448" s="1"/>
  <c r="N426"/>
  <c r="N444" s="1"/>
  <c r="R428"/>
  <c r="R446" s="1"/>
  <c r="V425"/>
  <c r="V443" s="1"/>
  <c r="O424"/>
  <c r="O442" s="1"/>
  <c r="I61"/>
  <c r="I432"/>
  <c r="I450" s="1"/>
  <c r="R431"/>
  <c r="R449" s="1"/>
  <c r="AE423"/>
  <c r="AE441" s="1"/>
  <c r="Y423"/>
  <c r="Y441" s="1"/>
  <c r="G432"/>
  <c r="G450" s="1"/>
  <c r="V423"/>
  <c r="V441" s="1"/>
  <c r="U423"/>
  <c r="U441" s="1"/>
  <c r="AK61"/>
  <c r="AK432"/>
  <c r="AK450" s="1"/>
  <c r="Y424"/>
  <c r="Y442" s="1"/>
  <c r="H425"/>
  <c r="H443" s="1"/>
  <c r="I426"/>
  <c r="I444" s="1"/>
  <c r="X427"/>
  <c r="X445" s="1"/>
  <c r="AC427"/>
  <c r="AC445" s="1"/>
  <c r="L429"/>
  <c r="L447" s="1"/>
  <c r="AI428"/>
  <c r="AI446" s="1"/>
  <c r="AA429"/>
  <c r="AA447" s="1"/>
  <c r="AC430"/>
  <c r="AC448" s="1"/>
  <c r="I431"/>
  <c r="I449" s="1"/>
  <c r="AF431"/>
  <c r="AF449" s="1"/>
  <c r="S431"/>
  <c r="S449" s="1"/>
  <c r="AJ428"/>
  <c r="AJ446" s="1"/>
  <c r="AJ424"/>
  <c r="AJ442" s="1"/>
  <c r="AC425"/>
  <c r="AC443" s="1"/>
  <c r="AB427"/>
  <c r="AB445" s="1"/>
  <c r="AH423"/>
  <c r="AH441" s="1"/>
  <c r="H426"/>
  <c r="H444" s="1"/>
  <c r="AJ430"/>
  <c r="AJ448" s="1"/>
  <c r="J424"/>
  <c r="J442" s="1"/>
  <c r="Z424"/>
  <c r="Z442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N430"/>
  <c r="N448" s="1"/>
  <c r="AD430"/>
  <c r="AD448" s="1"/>
  <c r="AB423"/>
  <c r="AB441" s="1"/>
  <c r="AJ423"/>
  <c r="AJ441" s="1"/>
  <c r="W424"/>
  <c r="W442" s="1"/>
  <c r="H423"/>
  <c r="H441" s="1"/>
  <c r="V427"/>
  <c r="V445" s="1"/>
  <c r="AH429"/>
  <c r="AH447" s="1"/>
  <c r="AH431"/>
  <c r="AH449" s="1"/>
  <c r="W423"/>
  <c r="W441" s="1"/>
  <c r="T423"/>
  <c r="T441" s="1"/>
  <c r="J427"/>
  <c r="J445" s="1"/>
  <c r="N429"/>
  <c r="N447" s="1"/>
  <c r="V431"/>
  <c r="V449" s="1"/>
  <c r="S61"/>
  <c r="S432"/>
  <c r="S450" s="1"/>
  <c r="N423"/>
  <c r="N441" s="1"/>
  <c r="AD423"/>
  <c r="AD441" s="1"/>
  <c r="M423"/>
  <c r="M441" s="1"/>
  <c r="AC432"/>
  <c r="AC450" s="1"/>
  <c r="T432"/>
  <c r="T450" s="1"/>
  <c r="AA432"/>
  <c r="AA450" s="1"/>
  <c r="Q425"/>
  <c r="Q443" s="1"/>
  <c r="AC424"/>
  <c r="AC442" s="1"/>
  <c r="AB425"/>
  <c r="AB443" s="1"/>
  <c r="AE425"/>
  <c r="AE443" s="1"/>
  <c r="Q426"/>
  <c r="Q444" s="1"/>
  <c r="AG426"/>
  <c r="AG444" s="1"/>
  <c r="H427"/>
  <c r="H445" s="1"/>
  <c r="Q427"/>
  <c r="Q445" s="1"/>
  <c r="AK427"/>
  <c r="AK445" s="1"/>
  <c r="S427"/>
  <c r="S445" s="1"/>
  <c r="AI427"/>
  <c r="AI445" s="1"/>
  <c r="X429"/>
  <c r="X447" s="1"/>
  <c r="AC428"/>
  <c r="AC446" s="1"/>
  <c r="AF428"/>
  <c r="AF446" s="1"/>
  <c r="P428"/>
  <c r="P446" s="1"/>
  <c r="K428"/>
  <c r="K446" s="1"/>
  <c r="AA428"/>
  <c r="AA446" s="1"/>
  <c r="U428"/>
  <c r="U446" s="1"/>
  <c r="S429"/>
  <c r="S447" s="1"/>
  <c r="I429"/>
  <c r="I447" s="1"/>
  <c r="Y429"/>
  <c r="Y447" s="1"/>
  <c r="H430"/>
  <c r="H448" s="1"/>
  <c r="O430"/>
  <c r="O448" s="1"/>
  <c r="AI430"/>
  <c r="AI448" s="1"/>
  <c r="AK430"/>
  <c r="AK448" s="1"/>
  <c r="M430"/>
  <c r="M448" s="1"/>
  <c r="P431"/>
  <c r="P449" s="1"/>
  <c r="Q431"/>
  <c r="Q449" s="1"/>
  <c r="H431"/>
  <c r="H449" s="1"/>
  <c r="K431"/>
  <c r="K449" s="1"/>
  <c r="AI431"/>
  <c r="AI449" s="1"/>
  <c r="X428"/>
  <c r="X446" s="1"/>
  <c r="L424"/>
  <c r="L442" s="1"/>
  <c r="AB424"/>
  <c r="AB442" s="1"/>
  <c r="K425"/>
  <c r="K443" s="1"/>
  <c r="U425"/>
  <c r="U443" s="1"/>
  <c r="AK425"/>
  <c r="AK443" s="1"/>
  <c r="AB426"/>
  <c r="AB444" s="1"/>
  <c r="AJ427"/>
  <c r="AJ445" s="1"/>
  <c r="AF430"/>
  <c r="AF448" s="1"/>
  <c r="AF425"/>
  <c r="AF443" s="1"/>
  <c r="AK423"/>
  <c r="AK441" s="1"/>
  <c r="X426"/>
  <c r="X444" s="1"/>
  <c r="P430"/>
  <c r="P448" s="1"/>
  <c r="EK158"/>
  <c r="ES168"/>
  <c r="DI220"/>
  <c r="EZ89"/>
  <c r="DP212"/>
  <c r="EU168"/>
  <c r="DK220"/>
  <c r="EW89"/>
  <c r="DM212"/>
  <c r="EV89"/>
  <c r="DL212"/>
  <c r="EZ98"/>
  <c r="DP213"/>
  <c r="DG215"/>
  <c r="EK131"/>
  <c r="EK120"/>
  <c r="EP158"/>
  <c r="EU162"/>
  <c r="FU162" s="1"/>
  <c r="EU137"/>
  <c r="EK94"/>
  <c r="ET96"/>
  <c r="ES158"/>
  <c r="EQ128"/>
  <c r="DG216"/>
  <c r="EY98"/>
  <c r="DO213"/>
  <c r="EV98"/>
  <c r="DL213"/>
  <c r="EU89"/>
  <c r="DK212"/>
  <c r="EU98"/>
  <c r="DK213"/>
  <c r="ER118"/>
  <c r="DH215"/>
  <c r="EX98"/>
  <c r="DN213"/>
  <c r="DG217"/>
  <c r="DQ213"/>
  <c r="DO212"/>
  <c r="DM213"/>
  <c r="DH217"/>
  <c r="DG218"/>
  <c r="DH218"/>
  <c r="X381"/>
  <c r="N374"/>
  <c r="N381"/>
  <c r="N373"/>
  <c r="N375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DW21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DP21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EJ218"/>
  <c r="DT218"/>
  <c r="EI218"/>
  <c r="EA21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EB21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EF218"/>
  <c r="EG21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DX218"/>
  <c r="EC21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DJ218"/>
  <c r="DI21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DL218"/>
  <c r="DM218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14"/>
  <c r="EK102"/>
  <c r="EK126"/>
  <c r="EK88"/>
  <c r="EK108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06"/>
  <c r="EK125"/>
  <c r="EK166"/>
  <c r="FU135"/>
  <c r="FU112"/>
  <c r="EK112"/>
  <c r="FU139"/>
  <c r="J429" l="1"/>
  <c r="C429" s="1"/>
  <c r="J431"/>
  <c r="J449" s="1"/>
  <c r="C449" s="1"/>
  <c r="FU158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88"/>
  <c r="Y11"/>
  <c r="DG233"/>
  <c r="FU116"/>
  <c r="DG234"/>
  <c r="FU128"/>
  <c r="AC8" s="1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C431" l="1"/>
  <c r="K482"/>
  <c r="J447"/>
  <c r="C447" s="1"/>
  <c r="AE7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<sst xmlns="http://schemas.openxmlformats.org/spreadsheetml/2006/main" count="1094" uniqueCount="150">
  <si>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</si>
  <si>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</si>
  <si>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</si>
  <si>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</si>
  <si>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</si>
  <si>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</si>
  <si>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</si>
  <si>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</si>
  <si>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</si>
  <si>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</si>
  <si>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</si>
  <si>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</si>
  <si>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</si>
  <si>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</si>
  <si>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</si>
  <si>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</si>
  <si>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</si>
  <si>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</si>
  <si>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</si>
  <si>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</si>
  <si>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</si>
  <si>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</si>
  <si>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</si>
  <si>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</si>
  <si>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</si>
  <si>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</si>
  <si>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</si>
  <si>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</si>
  <si>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</si>
  <si>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</si>
  <si>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</si>
  <si>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</si>
  <si>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</si>
  <si>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</si>
  <si>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</si>
  <si>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</si>
  <si>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</si>
  <si>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</si>
  <si>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</si>
  <si>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</si>
  <si>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</si>
  <si>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</si>
  <si>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</si>
  <si>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</si>
  <si>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</si>
  <si>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</si>
  <si>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</si>
  <si>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</si>
  <si>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</si>
  <si>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</si>
  <si>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</si>
  <si>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</si>
  <si>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</si>
  <si>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</si>
  <si>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</si>
  <si>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</si>
  <si>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</si>
  <si>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</si>
  <si>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</si>
  <si>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</si>
  <si>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</si>
  <si>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</si>
  <si>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</si>
  <si>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</si>
  <si>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</si>
  <si>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</si>
  <si>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</si>
  <si>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</si>
  <si>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</si>
  <si>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</si>
  <si>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</si>
  <si>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</si>
  <si>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</si>
  <si>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</si>
  <si>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</si>
  <si>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</si>
  <si>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</si>
  <si>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</si>
  <si>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</si>
  <si>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</si>
  <si>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</si>
  <si>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</si>
  <si>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</si>
  <si>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</si>
  <si>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</si>
  <si>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</si>
  <si>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</si>
  <si>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</si>
  <si>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</si>
  <si>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</si>
  <si>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</si>
  <si>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</si>
  <si>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</si>
  <si>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</si>
  <si>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</si>
  <si>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</si>
  <si>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</si>
  <si>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</si>
  <si>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</si>
  <si>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</si>
  <si>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</si>
  <si>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</si>
  <si>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</si>
  <si>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</si>
  <si>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</si>
  <si>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</si>
  <si>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</si>
  <si>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</si>
  <si>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</si>
  <si>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</si>
  <si>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</si>
  <si>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</si>
  <si>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</si>
  <si>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</si>
  <si>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</si>
  <si>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</si>
  <si>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</si>
  <si>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</si>
  <si>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</si>
  <si>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</si>
  <si>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</si>
  <si>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</si>
  <si>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</si>
  <si>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</si>
  <si>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</si>
  <si>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</si>
  <si>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</si>
  <si>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</si>
  <si>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</si>
  <si>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</si>
  <si>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</si>
  <si>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</si>
  <si>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</si>
  <si>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</si>
  <si>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</si>
  <si>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</si>
  <si>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</si>
  <si>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</si>
  <si>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</si>
  <si>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</si>
  <si>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</si>
  <si>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</si>
  <si>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</si>
  <si>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</si>
  <si>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</si>
  <si>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</si>
  <si>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</si>
  <si>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Avg. Boot Prod</t>
  </si>
  <si>
    <t>Inerval Growth Prod - Boot</t>
  </si>
  <si>
    <t>Lepto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</si>
</sst>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5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B1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30" t="s">
        <v>148</v>
      </c>
      <c r="GD2" s="230"/>
      <c r="GE2" s="230"/>
      <c r="GF2" s="230"/>
      <c r="GG2" s="230"/>
      <c r="GH2" s="230"/>
      <c r="GI2" s="230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194.0614533390418</v>
      </c>
      <c r="N4" s="130">
        <v>15.118976539550875</v>
      </c>
      <c r="O4" s="130">
        <v>118.14254351912513</v>
      </c>
      <c r="P4" s="130">
        <v>92.952056373063144</v>
      </c>
      <c r="Q4" s="130">
        <v>13.997285006802622</v>
      </c>
      <c r="R4" s="130">
        <v>145.90175791360682</v>
      </c>
      <c r="S4" s="131">
        <v>6.2080901975282918</v>
      </c>
      <c r="T4" s="131">
        <v>-18.246106321668055</v>
      </c>
      <c r="U4" s="5"/>
      <c r="V4" s="4"/>
      <c r="W4" s="127">
        <f t="shared" ref="W4:W13" si="0">C4</f>
        <v>39646</v>
      </c>
      <c r="X4" s="132">
        <f>AVERAGE(EK88:EK97)</f>
        <v>27.083333333333332</v>
      </c>
      <c r="Y4" s="131">
        <f>COUNT(EK88:EK97)</f>
        <v>10</v>
      </c>
      <c r="Z4" s="130">
        <f>STDEV(EK88:EK97)</f>
        <v>26.985221149618674</v>
      </c>
      <c r="AA4" s="130">
        <f>Z4/SQRT(Y4)</f>
        <v>8.5334761996142401</v>
      </c>
      <c r="AB4" s="131"/>
      <c r="AC4" s="130">
        <f>AVERAGE($FU88:$FU97)</f>
        <v>1.5968788654892587</v>
      </c>
      <c r="AD4" s="132">
        <f>COUNT($FU88:$FU97)</f>
        <v>10</v>
      </c>
      <c r="AE4" s="130">
        <f>STDEV($FU88:$FU97)</f>
        <v>1.8271226240131797</v>
      </c>
      <c r="AF4" s="130">
        <f>AE4/SQRT(AD4)</f>
        <v>0.57778690563051072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146</v>
      </c>
      <c r="FK4" s="233"/>
      <c r="FL4" s="233"/>
      <c r="FM4" s="233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193.28697478789368</v>
      </c>
      <c r="N5" s="130">
        <f t="shared" si="1"/>
        <v>15.060994692763233</v>
      </c>
      <c r="O5" s="130">
        <f t="shared" si="1"/>
        <v>117.78102381822495</v>
      </c>
      <c r="P5" s="130">
        <f t="shared" si="1"/>
        <v>92.674923308932151</v>
      </c>
      <c r="Q5" s="130">
        <f t="shared" si="1"/>
        <v>13.93777096113271</v>
      </c>
      <c r="R5" s="130">
        <f t="shared" si="1"/>
        <v>139.62561054687947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57.24702380952381</v>
      </c>
      <c r="Y5" s="131">
        <f>COUNT(EK98:EK107)</f>
        <v>10</v>
      </c>
      <c r="Z5" s="130">
        <f>STDEV(EK98:EK107)</f>
        <v>138.63326905773846</v>
      </c>
      <c r="AA5" s="130">
        <f t="shared" ref="AA5:AA13" si="2">Z5/SQRT(Y5)</f>
        <v>43.839688969739854</v>
      </c>
      <c r="AB5" s="131"/>
      <c r="AC5" s="130">
        <f>AVERAGE($FU98:$FU107)</f>
        <v>6.6925690395201496</v>
      </c>
      <c r="AD5" s="132">
        <f>COUNT($FU98:$FU107)</f>
        <v>10</v>
      </c>
      <c r="AE5" s="130">
        <f>STDEV($FU98:$FU107)</f>
        <v>17.298976935208778</v>
      </c>
      <c r="AF5" s="130">
        <f t="shared" ref="AF5:AF13" si="3">AE5/SQRT(AD5)</f>
        <v>5.4704168305978769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261.54372708862928</v>
      </c>
      <c r="N6" s="130">
        <f t="shared" si="4"/>
        <v>19.317433538117829</v>
      </c>
      <c r="O6" s="130">
        <f t="shared" si="4"/>
        <v>152.7818639645468</v>
      </c>
      <c r="P6" s="130">
        <f t="shared" si="4"/>
        <v>119.0619821220812</v>
      </c>
      <c r="Q6" s="130">
        <f t="shared" si="4"/>
        <v>17.832340460571881</v>
      </c>
      <c r="R6" s="130">
        <f t="shared" si="4"/>
        <v>179.74980751870118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235.52827380952377</v>
      </c>
      <c r="Y6" s="131">
        <f>COUNT(EK108:EK117)</f>
        <v>10</v>
      </c>
      <c r="Z6" s="130">
        <f>STDEV(EK108:EK117)</f>
        <v>362.82520230478002</v>
      </c>
      <c r="AA6" s="130">
        <f t="shared" si="2"/>
        <v>114.73540317944786</v>
      </c>
      <c r="AB6" s="131"/>
      <c r="AC6" s="130">
        <f>AVERAGE($FU108:$FU117)</f>
        <v>37.168474369900274</v>
      </c>
      <c r="AD6" s="132">
        <f>COUNT($FU108:$FU117)</f>
        <v>10</v>
      </c>
      <c r="AE6" s="130">
        <f>STDEV($FU108:$FU117)</f>
        <v>25.590319104446898</v>
      </c>
      <c r="AF6" s="130">
        <f t="shared" si="3"/>
        <v>8.092369442057251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147</v>
      </c>
      <c r="FJ6" s="231"/>
      <c r="FK6" s="232" t="s">
        <v>144</v>
      </c>
      <c r="FL6" s="232"/>
      <c r="FM6" s="232" t="s">
        <v>145</v>
      </c>
      <c r="FN6" s="232"/>
      <c r="FO6" s="5"/>
      <c r="FY6" s="210">
        <v>1</v>
      </c>
      <c r="FZ6">
        <v>4.1686095974731989</v>
      </c>
      <c r="GA6">
        <v>17.189097817564775</v>
      </c>
      <c r="GB6">
        <v>18.003506068299703</v>
      </c>
      <c r="GC6">
        <v>9.6777890276200438</v>
      </c>
      <c r="GD6">
        <v>4.9110047184052448</v>
      </c>
      <c r="GE6">
        <v>5.7509232304450162</v>
      </c>
      <c r="GF6">
        <v>3.0031266746175542</v>
      </c>
      <c r="GG6">
        <v>0.55170556019380068</v>
      </c>
      <c r="GH6">
        <v>0.90422588968412598</v>
      </c>
      <c r="GI6">
        <v>8.6465115050148338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134.63591472557249</v>
      </c>
      <c r="N7" s="130">
        <f t="shared" si="5"/>
        <v>10.91316238626144</v>
      </c>
      <c r="O7" s="130">
        <f t="shared" si="5"/>
        <v>83.272704415955772</v>
      </c>
      <c r="P7" s="130">
        <f t="shared" si="5"/>
        <v>67.161807046770249</v>
      </c>
      <c r="Q7" s="130">
        <f t="shared" si="5"/>
        <v>10.146584755159957</v>
      </c>
      <c r="R7" s="130">
        <f t="shared" si="5"/>
        <v>105.02225124311032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363.06980817927513</v>
      </c>
      <c r="Y7" s="131">
        <f>COUNT(EK118:EK127)</f>
        <v>10</v>
      </c>
      <c r="Z7" s="130">
        <f>STDEV(EK118:EK127)</f>
        <v>217.1854000698934</v>
      </c>
      <c r="AA7" s="130">
        <f t="shared" si="2"/>
        <v>68.680053875575581</v>
      </c>
      <c r="AB7" s="131"/>
      <c r="AC7" s="130">
        <f>AVERAGE($FU118:$FU127)</f>
        <v>43.321261663251995</v>
      </c>
      <c r="AD7" s="132">
        <f>COUNT($FU118:$FU127)</f>
        <v>10</v>
      </c>
      <c r="AE7" s="130">
        <f>STDEV($FU118:$FU127)</f>
        <v>49.528648802992521</v>
      </c>
      <c r="AF7" s="130">
        <f t="shared" si="3"/>
        <v>15.662333964802858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34">
        <f>AVERAGE(FZ6:FZ1005)</f>
        <v>4.1960608541965509</v>
      </c>
      <c r="FJ7" s="234"/>
      <c r="FK7" s="234">
        <f>PERCENTILE($FZ$6:$FZ$1005,0.975)</f>
        <v>9.8420594192737223</v>
      </c>
      <c r="FL7" s="234"/>
      <c r="FM7" s="234">
        <f>PERCENTILE($FZ$6:$FZ$1005,0.025)</f>
        <v>0.86963724950029042</v>
      </c>
      <c r="FN7" s="234"/>
      <c r="FO7" s="5"/>
      <c r="FY7" s="210">
        <v>2</v>
      </c>
      <c r="FZ7">
        <v>3.9334339669339644</v>
      </c>
      <c r="GA7">
        <v>28.954185104833837</v>
      </c>
      <c r="GB7">
        <v>29.556728180378482</v>
      </c>
      <c r="GC7">
        <v>11.233880114485491</v>
      </c>
      <c r="GD7">
        <v>2.6403263174532055</v>
      </c>
      <c r="GE7">
        <v>2.7668461901470462</v>
      </c>
      <c r="GF7">
        <v>1.0845361508844891</v>
      </c>
      <c r="GG7">
        <v>0.86889872822098235</v>
      </c>
      <c r="GH7">
        <v>1.161037908745131</v>
      </c>
      <c r="GI7">
        <v>9.8714393455477989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463.3037333037334</v>
      </c>
      <c r="Y8" s="131">
        <f>COUNT(EK128:EK137)</f>
        <v>10</v>
      </c>
      <c r="Z8" s="130">
        <f>STDEV(EK128:EK137)</f>
        <v>429.6298057066615</v>
      </c>
      <c r="AA8" s="130">
        <f t="shared" si="2"/>
        <v>135.86087367286569</v>
      </c>
      <c r="AB8" s="131"/>
      <c r="AC8" s="130">
        <f>AVERAGE($FU128:$FU137)</f>
        <v>18.023048711217033</v>
      </c>
      <c r="AD8" s="132">
        <f>COUNT($FU128:$FU137)</f>
        <v>10</v>
      </c>
      <c r="AE8" s="130">
        <f>STDEV($FU128:$FU137)</f>
        <v>16.416106686400919</v>
      </c>
      <c r="AF8" s="130">
        <f t="shared" si="3"/>
        <v>5.1912287441346381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34">
        <f>AVERAGE(GA6:GA1005)</f>
        <v>25.237623673584284</v>
      </c>
      <c r="FJ8" s="234"/>
      <c r="FK8" s="234">
        <f>PERCENTILE($GA$6:$GA$1005,0.975)</f>
        <v>36.145241654116838</v>
      </c>
      <c r="FL8" s="234"/>
      <c r="FM8" s="234">
        <f>PERCENTILE($GA$6:$GA$1005,0.025)</f>
        <v>14.933318384363599</v>
      </c>
      <c r="FN8" s="234"/>
      <c r="FO8" s="5"/>
      <c r="FY8" s="210">
        <v>3</v>
      </c>
      <c r="FZ8">
        <v>4.8640262432346795</v>
      </c>
      <c r="GA8">
        <v>27.597314423310792</v>
      </c>
      <c r="GB8">
        <v>23.716300707027319</v>
      </c>
      <c r="GC8">
        <v>8.7363029754522863</v>
      </c>
      <c r="GD8">
        <v>3.6716857376284349</v>
      </c>
      <c r="GE8">
        <v>5.3109647304283998</v>
      </c>
      <c r="GF8">
        <v>3.119945055045009</v>
      </c>
      <c r="GG8">
        <v>2.2913033741316107</v>
      </c>
      <c r="GH8">
        <v>2.7793472542693221</v>
      </c>
      <c r="GI8">
        <v>9.8382898139534554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365.02158992967821</v>
      </c>
      <c r="Y9" s="131">
        <f>COUNT(EK138:EK147)</f>
        <v>10</v>
      </c>
      <c r="Z9" s="130">
        <f>STDEV(EK138:EK147)</f>
        <v>582.35824618550646</v>
      </c>
      <c r="AA9" s="130">
        <f t="shared" si="2"/>
        <v>184.15784721272644</v>
      </c>
      <c r="AB9" s="131"/>
      <c r="AC9" s="130">
        <f>AVERAGE($FU138:$FU147)</f>
        <v>12.536588496531357</v>
      </c>
      <c r="AD9" s="132">
        <f>COUNT($FU138:$FU147)</f>
        <v>10</v>
      </c>
      <c r="AE9" s="130">
        <f>STDEV($FU138:$FU147)</f>
        <v>17.241785342864613</v>
      </c>
      <c r="AF9" s="130">
        <f t="shared" si="3"/>
        <v>5.452331261115936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34">
        <f>AVERAGE(GB6:GB1005)</f>
        <v>23.181078437636746</v>
      </c>
      <c r="FJ9" s="234"/>
      <c r="FK9" s="234">
        <f>PERCENTILE($GB$6:$GB$1005,0.975)</f>
        <v>33.287057712662708</v>
      </c>
      <c r="FL9" s="234"/>
      <c r="FM9" s="234">
        <f>PERCENTILE($GB$6:$GB$1005,0.025)</f>
        <v>14.962516902950608</v>
      </c>
      <c r="FN9" s="234"/>
      <c r="FO9" s="5"/>
      <c r="FY9" s="210">
        <v>4</v>
      </c>
      <c r="FZ9">
        <v>3.9590573147045753</v>
      </c>
      <c r="GA9">
        <v>28.646110215406441</v>
      </c>
      <c r="GB9">
        <v>26.295590645875748</v>
      </c>
      <c r="GC9">
        <v>10.701783560893546</v>
      </c>
      <c r="GD9">
        <v>4.4860890266185525</v>
      </c>
      <c r="GE9">
        <v>6.8666804820053775</v>
      </c>
      <c r="GF9">
        <v>4.9483898302268585</v>
      </c>
      <c r="GG9">
        <v>2.1976319424001689</v>
      </c>
      <c r="GH9">
        <v>2.6542540902608187</v>
      </c>
      <c r="GI9">
        <v>11.080406171294404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196.72309027777777</v>
      </c>
      <c r="Y10" s="131">
        <f>COUNT(EK148:EK157)</f>
        <v>8</v>
      </c>
      <c r="Z10" s="130">
        <f>STDEV(EK148:EK157)</f>
        <v>489.75193255957959</v>
      </c>
      <c r="AA10" s="130">
        <f t="shared" si="2"/>
        <v>173.1534563060477</v>
      </c>
      <c r="AB10" s="131"/>
      <c r="AC10" s="130">
        <f>AVERAGE($FU148:$FU157)</f>
        <v>9.4940354573647312</v>
      </c>
      <c r="AD10" s="132">
        <f>COUNT($FU148:$FU157)</f>
        <v>8</v>
      </c>
      <c r="AE10" s="130">
        <f>STDEV($FU148:$FU157)</f>
        <v>17.703707018395644</v>
      </c>
      <c r="AF10" s="130">
        <f t="shared" si="3"/>
        <v>6.2592056424237166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34">
        <f>AVERAGE(GC6:GC1005)</f>
        <v>9.7596086948557694</v>
      </c>
      <c r="FJ10" s="234"/>
      <c r="FK10" s="234">
        <f>PERCENTILE($GC$6:$GC$1005,0.975)</f>
        <v>14.585901764324296</v>
      </c>
      <c r="FL10" s="234"/>
      <c r="FM10" s="234">
        <f>PERCENTILE($GC$6:$GC$1005,0.025)</f>
        <v>5.5393093803543092</v>
      </c>
      <c r="FN10" s="234"/>
      <c r="FO10" s="5"/>
      <c r="FY10" s="210">
        <v>5</v>
      </c>
      <c r="FZ10">
        <v>4.4554034121525232</v>
      </c>
      <c r="GA10">
        <v>16.665938588988528</v>
      </c>
      <c r="GB10">
        <v>18.848090842089114</v>
      </c>
      <c r="GC10">
        <v>9.6530136409743701</v>
      </c>
      <c r="GD10">
        <v>3.9213975098159963</v>
      </c>
      <c r="GE10">
        <v>6.124056615569696</v>
      </c>
      <c r="GF10">
        <v>4.7307511753718456</v>
      </c>
      <c r="GG10">
        <v>2.1958315849043233</v>
      </c>
      <c r="GH10">
        <v>5.1701636344251369</v>
      </c>
      <c r="GI10">
        <v>9.3498347416299481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40.340909090909086</v>
      </c>
      <c r="Y11" s="131">
        <f>COUNT(EK158:EK167)</f>
        <v>10</v>
      </c>
      <c r="Z11" s="130">
        <f>STDEV(EK158:EK167)</f>
        <v>94.443262834935368</v>
      </c>
      <c r="AA11" s="130">
        <f t="shared" si="2"/>
        <v>29.865582021632665</v>
      </c>
      <c r="AB11" s="131"/>
      <c r="AC11" s="130">
        <f>AVERAGE($FU158:$FU167)</f>
        <v>3.3980352528096605</v>
      </c>
      <c r="AD11" s="132">
        <f>COUNT($FU158:$FU167)</f>
        <v>10</v>
      </c>
      <c r="AE11" s="130">
        <f>STDEV($FU158:$FU167)</f>
        <v>7.1833881477703843</v>
      </c>
      <c r="AF11" s="130">
        <f t="shared" si="3"/>
        <v>2.2715867864012598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34">
        <f>AVERAGE(GD5:GD1005)</f>
        <v>3.8304421143184291</v>
      </c>
      <c r="FJ11" s="234"/>
      <c r="FK11" s="234">
        <f>PERCENTILE($GD$6:$GD$1005,0.975)</f>
        <v>5.6769390808843339</v>
      </c>
      <c r="FL11" s="234"/>
      <c r="FM11" s="234">
        <f>PERCENTILE($GD$6:$GD$1005,0.025)</f>
        <v>2.2912027907102734</v>
      </c>
      <c r="FN11" s="234"/>
      <c r="FO11" s="5"/>
      <c r="FY11" s="210">
        <v>6</v>
      </c>
      <c r="FZ11">
        <v>4.1989023082779919</v>
      </c>
      <c r="GA11">
        <v>17.613426071473608</v>
      </c>
      <c r="GB11">
        <v>19.025726057747477</v>
      </c>
      <c r="GC11">
        <v>9.9051257561923762</v>
      </c>
      <c r="GD11">
        <v>5.1366547714787645</v>
      </c>
      <c r="GE11">
        <v>6.3955563064722032</v>
      </c>
      <c r="GF11">
        <v>2.3557895370494082</v>
      </c>
      <c r="GG11">
        <v>2.1958315849043233</v>
      </c>
      <c r="GH11">
        <v>2.5188439423783215</v>
      </c>
      <c r="GI11">
        <v>9.1733708778261693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18.518518518518519</v>
      </c>
      <c r="Y12" s="131">
        <f>COUNT(EK168:EK177)</f>
        <v>10</v>
      </c>
      <c r="Z12" s="130">
        <f>STDEV(EK168:EK177)</f>
        <v>41.537866770662873</v>
      </c>
      <c r="AA12" s="130">
        <f t="shared" si="2"/>
        <v>13.135426813991765</v>
      </c>
      <c r="AB12" s="131"/>
      <c r="AC12" s="130">
        <f>AVERAGE($FU168:$FU177)</f>
        <v>4.8588776106559708</v>
      </c>
      <c r="AD12" s="132">
        <f>COUNT($FU168:$FU177)</f>
        <v>10</v>
      </c>
      <c r="AE12" s="130">
        <f>STDEV($FU168:$FU177)</f>
        <v>10.264080137620983</v>
      </c>
      <c r="AF12" s="130">
        <f t="shared" si="3"/>
        <v>3.2457871321376817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34">
        <f>AVERAGE(GE6:GE1005)</f>
        <v>5.3901101400522045</v>
      </c>
      <c r="FJ12" s="234"/>
      <c r="FK12" s="234">
        <f>PERCENTILE($GE$6:$GE$1005,0.975)</f>
        <v>9.4456645789811535</v>
      </c>
      <c r="FL12" s="234"/>
      <c r="FM12" s="234">
        <f>PERCENTILE($GE$6:$GE$1005,0.025)</f>
        <v>2.1377973904620866</v>
      </c>
      <c r="FN12" s="234"/>
      <c r="FO12" s="5"/>
      <c r="FY12" s="210">
        <v>7</v>
      </c>
      <c r="FZ12">
        <v>4.44505394761471</v>
      </c>
      <c r="GA12">
        <v>27.144925169497387</v>
      </c>
      <c r="GB12">
        <v>25.549688058103722</v>
      </c>
      <c r="GC12">
        <v>10.220089789471611</v>
      </c>
      <c r="GD12">
        <v>3.1547076991044216</v>
      </c>
      <c r="GE12">
        <v>5.229847226406025</v>
      </c>
      <c r="GF12">
        <v>6.9646266331143485</v>
      </c>
      <c r="GG12">
        <v>3.583857715477941</v>
      </c>
      <c r="GH12">
        <v>2.904440418277825</v>
      </c>
      <c r="GI12">
        <v>10.644386842597864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17.727152965974106</v>
      </c>
      <c r="Y13" s="131">
        <f>COUNT(EK178:EK187)</f>
        <v>10</v>
      </c>
      <c r="Z13" s="130">
        <f>STDEV(EK178:EK187)</f>
        <v>37.71120526904997</v>
      </c>
      <c r="AA13" s="130">
        <f t="shared" si="2"/>
        <v>11.925330196034079</v>
      </c>
      <c r="AB13" s="131"/>
      <c r="AC13" s="130">
        <f>AVERAGE($FU178:$FU187)</f>
        <v>1.9824306913982241</v>
      </c>
      <c r="AD13" s="132">
        <f>COUNT($FU178:$FU187)</f>
        <v>10</v>
      </c>
      <c r="AE13" s="130">
        <f>STDEV($FU178:$FU187)</f>
        <v>4.3787827509729507</v>
      </c>
      <c r="AF13" s="130">
        <f t="shared" si="3"/>
        <v>1.3846926872132401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34">
        <f>AVERAGE(GF6:GF1005)</f>
        <v>5.0129744158695537</v>
      </c>
      <c r="FJ13" s="234"/>
      <c r="FK13" s="234">
        <f>PERCENTILE($GF$6:$GF$1005,0.975)</f>
        <v>10.297004598856848</v>
      </c>
      <c r="FL13" s="234"/>
      <c r="FM13" s="234">
        <f>PERCENTILE($GF$6:$GF$1005,0.025)</f>
        <v>1.2872514921648168</v>
      </c>
      <c r="FN13" s="234"/>
      <c r="FO13" s="5"/>
      <c r="FY13" s="210">
        <v>8</v>
      </c>
      <c r="FZ13">
        <v>1.2409974910199328</v>
      </c>
      <c r="GA13">
        <v>14.935690271297872</v>
      </c>
      <c r="GB13">
        <v>18.212651524474545</v>
      </c>
      <c r="GC13">
        <v>8.8579319590327064</v>
      </c>
      <c r="GD13">
        <v>4.1282936896535594</v>
      </c>
      <c r="GE13">
        <v>6.132008572667889</v>
      </c>
      <c r="GF13">
        <v>5.6944480393746426</v>
      </c>
      <c r="GG13">
        <v>2.7167593447528047</v>
      </c>
      <c r="GH13">
        <v>2.58389321221388</v>
      </c>
      <c r="GI13">
        <v>8.5840499748955938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34">
        <f>AVERAGE(GG6:GG1005)</f>
        <v>2.8824882430785896</v>
      </c>
      <c r="FJ14" s="234"/>
      <c r="FK14" s="234">
        <f>PERCENTILE($GG$6:$GG$1005,0.975)</f>
        <v>5.5905910883609318</v>
      </c>
      <c r="FL14" s="234"/>
      <c r="FM14" s="234">
        <f>PERCENTILE($GG$6:$GG$1005,0.025)</f>
        <v>0.64717734942108796</v>
      </c>
      <c r="FN14" s="234"/>
      <c r="FO14" s="5"/>
      <c r="FY14" s="210">
        <v>9</v>
      </c>
      <c r="FZ14">
        <v>7.0479850340089278</v>
      </c>
      <c r="GA14">
        <v>21.054744738413969</v>
      </c>
      <c r="GB14">
        <v>29.142162445721834</v>
      </c>
      <c r="GC14">
        <v>14.811577950025994</v>
      </c>
      <c r="GD14">
        <v>4.3443799467146418</v>
      </c>
      <c r="GE14">
        <v>6.4365462849904063</v>
      </c>
      <c r="GF14">
        <v>5.1319330702341563</v>
      </c>
      <c r="GG14">
        <v>4.9469694449941377</v>
      </c>
      <c r="GH14">
        <v>5.3085081805216374</v>
      </c>
      <c r="GI14">
        <v>12.630612582053761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202.74000809887178</v>
      </c>
      <c r="AO15" s="163">
        <f>D48</f>
        <v>14.417663909603082</v>
      </c>
      <c r="AP15" s="163">
        <f>D63</f>
        <v>116.37652113701263</v>
      </c>
      <c r="AQ15" s="163">
        <f>C453</f>
        <v>93.653342897565551</v>
      </c>
      <c r="AR15" s="163">
        <f>G520</f>
        <v>13.483203569676801</v>
      </c>
      <c r="AS15" s="163">
        <f>I523</f>
        <v>146.83732804554779</v>
      </c>
      <c r="AT15" s="122">
        <f>G556</f>
        <v>6.9961116532549887</v>
      </c>
      <c r="AU15" s="122">
        <f>I556</f>
        <v>-29.540052475075985</v>
      </c>
      <c r="AV15" s="23"/>
      <c r="AW15" s="23"/>
      <c r="FG15" s="5"/>
      <c r="FH15" s="213">
        <f t="shared" si="6"/>
        <v>39949</v>
      </c>
      <c r="FI15" s="234">
        <f>AVERAGE(GH6:GH1005)</f>
        <v>3.1243474711990622</v>
      </c>
      <c r="FJ15" s="234"/>
      <c r="FK15" s="234">
        <f>PERCENTILE($GH$6:$GH$1005,0.975)</f>
        <v>6.2624609805047147</v>
      </c>
      <c r="FL15" s="234"/>
      <c r="FM15" s="234">
        <f>PERCENTILE($GH$6:$GH$1005,0.025)</f>
        <v>0.32186128889656296</v>
      </c>
      <c r="FN15" s="234"/>
      <c r="FO15" s="5"/>
      <c r="FY15" s="210">
        <v>10</v>
      </c>
      <c r="FZ15">
        <v>3.9606977288019927</v>
      </c>
      <c r="GA15">
        <v>33.153966378223608</v>
      </c>
      <c r="GB15">
        <v>24.670913612057532</v>
      </c>
      <c r="GC15">
        <v>7.2409349046494764</v>
      </c>
      <c r="GD15">
        <v>2.3808415073961848</v>
      </c>
      <c r="GE15">
        <v>5.1543798271649202</v>
      </c>
      <c r="GF15">
        <v>6.2196432163917761</v>
      </c>
      <c r="GG15">
        <v>2.0677816378358704</v>
      </c>
      <c r="GH15">
        <v>2.3871250873258196</v>
      </c>
      <c r="GI15">
        <v>9.6643820172800421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34">
        <f>AVERAGE(GI6:GI1005)</f>
        <v>10.060189264140876</v>
      </c>
      <c r="FJ16" s="234"/>
      <c r="FK16" s="234">
        <f>PERCENTILE($GI$6:$GI$1005,0.975)</f>
        <v>12.818353501705419</v>
      </c>
      <c r="FL16" s="234"/>
      <c r="FM16" s="234">
        <f>PERCENTILE($GI$6:$GI$1005,0.025)</f>
        <v>7.3306328106161995</v>
      </c>
      <c r="FN16" s="234"/>
      <c r="FO16" s="5"/>
      <c r="FY16" s="210">
        <v>11</v>
      </c>
      <c r="FZ16">
        <v>1.9385614857977056</v>
      </c>
      <c r="GA16">
        <v>27.451627654762724</v>
      </c>
      <c r="GB16">
        <v>22.375430313899351</v>
      </c>
      <c r="GC16">
        <v>7.719498473337655</v>
      </c>
      <c r="GD16">
        <v>3.0448554064174997</v>
      </c>
      <c r="GE16">
        <v>5.1787988310404653</v>
      </c>
      <c r="GF16">
        <v>6.0371747688096917</v>
      </c>
      <c r="GG16">
        <v>2.2913033741316107</v>
      </c>
      <c r="GH16">
        <v>3.3617118550568845</v>
      </c>
      <c r="GI16">
        <v>9.2806274220137706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193.34538299994671</v>
      </c>
      <c r="AO17">
        <v>12.833210065206591</v>
      </c>
      <c r="AP17">
        <v>87.603438291281535</v>
      </c>
      <c r="AQ17">
        <v>72.806500089318291</v>
      </c>
      <c r="AR17">
        <v>11.982126699324432</v>
      </c>
      <c r="AS17">
        <v>127.31847067657075</v>
      </c>
      <c r="AT17" t="e">
        <v>#DIV/0!</v>
      </c>
      <c r="AU17" t="e">
        <v>#DIV/0!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1.1685418001159114</v>
      </c>
      <c r="GA17">
        <v>17.989272545657876</v>
      </c>
      <c r="GB17">
        <v>24.728427915569572</v>
      </c>
      <c r="GC17">
        <v>13.949916913393899</v>
      </c>
      <c r="GD17">
        <v>5.838206907035441</v>
      </c>
      <c r="GE17">
        <v>7.1864775144887023</v>
      </c>
      <c r="GF17">
        <v>7.8197748108422722</v>
      </c>
      <c r="GG17">
        <v>3.2992427052919244</v>
      </c>
      <c r="GH17">
        <v>3.3617118550568845</v>
      </c>
      <c r="GI17">
        <v>11.745013264822482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154.75006151431191</v>
      </c>
      <c r="AO18">
        <v>14.911991351315853</v>
      </c>
      <c r="AP18">
        <v>122.51568284159731</v>
      </c>
      <c r="AQ18">
        <v>92.071312007630425</v>
      </c>
      <c r="AR18">
        <v>13.843972571680089</v>
      </c>
      <c r="AS18">
        <v>125.73293733011576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12.546853243948869</v>
      </c>
      <c r="GA18">
        <v>37.930101238342459</v>
      </c>
      <c r="GB18">
        <v>25.418052969967096</v>
      </c>
      <c r="GC18">
        <v>8.5452288281450741</v>
      </c>
      <c r="GD18">
        <v>2.99363102692885</v>
      </c>
      <c r="GE18">
        <v>6.1251869609424174</v>
      </c>
      <c r="GF18">
        <v>4.3053014803570564</v>
      </c>
      <c r="GG18">
        <v>2.2913033741316107</v>
      </c>
      <c r="GH18">
        <v>2.5188439423783215</v>
      </c>
      <c r="GI18">
        <v>11.148742843677923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167.81772903195869</v>
      </c>
      <c r="AO19">
        <v>14.770444566083359</v>
      </c>
      <c r="AP19">
        <v>118.47699067692209</v>
      </c>
      <c r="AQ19">
        <v>91.925480314481305</v>
      </c>
      <c r="AR19">
        <v>13.767021816424194</v>
      </c>
      <c r="AS19">
        <v>121.83751467351009</v>
      </c>
      <c r="AT19">
        <v>6.8990064155777198</v>
      </c>
      <c r="AU19">
        <v>-56.961597059085236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3.9950301270129995</v>
      </c>
      <c r="GA19">
        <v>25.783778209034619</v>
      </c>
      <c r="GB19">
        <v>25.685047178588498</v>
      </c>
      <c r="GC19">
        <v>11.092518158008215</v>
      </c>
      <c r="GD19">
        <v>4.0949022829822841</v>
      </c>
      <c r="GE19">
        <v>5.2671396941408757</v>
      </c>
      <c r="GF19">
        <v>4.9185432030774878</v>
      </c>
      <c r="GG19">
        <v>3.3947144945192114</v>
      </c>
      <c r="GH19">
        <v>2.5188439423783215</v>
      </c>
      <c r="GI19">
        <v>10.68551563593066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207.69461755989792</v>
      </c>
      <c r="AO20">
        <v>16.623306723118127</v>
      </c>
      <c r="AP20">
        <v>128.58027414160176</v>
      </c>
      <c r="AQ20">
        <v>101.83599327968649</v>
      </c>
      <c r="AR20">
        <v>15.304198577197777</v>
      </c>
      <c r="AS20">
        <v>153.77947215057418</v>
      </c>
      <c r="AT20">
        <v>7.0930526659424169</v>
      </c>
      <c r="AU20">
        <v>-21.903046259452324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6.7938831584087609</v>
      </c>
      <c r="GA20">
        <v>20.143454699486622</v>
      </c>
      <c r="GB20">
        <v>27.694906671963313</v>
      </c>
      <c r="GC20">
        <v>14.922454159622486</v>
      </c>
      <c r="GD20">
        <v>3.6036667551022679</v>
      </c>
      <c r="GE20">
        <v>3.747014664024102</v>
      </c>
      <c r="GF20">
        <v>4.3911984412099283</v>
      </c>
      <c r="GG20">
        <v>1.1988829096148885</v>
      </c>
      <c r="GH20">
        <v>0.32186128889656296</v>
      </c>
      <c r="GI20">
        <v>10.906123026450761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71.257440476190482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13.072916666666664</v>
      </c>
      <c r="J21" s="18">
        <f t="shared" si="9"/>
        <v>41.220238095238102</v>
      </c>
      <c r="K21" s="18">
        <f t="shared" si="9"/>
        <v>16.964285714285715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194.41164174468906</v>
      </c>
      <c r="AO21">
        <v>13.733100476960169</v>
      </c>
      <c r="AP21">
        <v>100.02851122896584</v>
      </c>
      <c r="AQ21">
        <v>81.114481745921495</v>
      </c>
      <c r="AR21">
        <v>12.902744404353086</v>
      </c>
      <c r="AS21">
        <v>136.40334658702756</v>
      </c>
      <c r="AT21">
        <v>5.9357164162258416</v>
      </c>
      <c r="AU21">
        <v>-27.960395641826182</v>
      </c>
      <c r="AV21"/>
      <c r="AW21"/>
      <c r="FY21" s="210">
        <v>16</v>
      </c>
      <c r="FZ21">
        <v>12.526777727764614</v>
      </c>
      <c r="GA21">
        <v>36.568953691257995</v>
      </c>
      <c r="GB21">
        <v>27.155380512375309</v>
      </c>
      <c r="GC21">
        <v>13.436542791601997</v>
      </c>
      <c r="GD21">
        <v>5.4495051317121224</v>
      </c>
      <c r="GE21">
        <v>5.3606422508944815</v>
      </c>
      <c r="GF21">
        <v>4.9025450970775912</v>
      </c>
      <c r="GG21">
        <v>4.2618128652443499</v>
      </c>
      <c r="GH21">
        <v>4.3873396159195188</v>
      </c>
      <c r="GI21">
        <v>13.404447797234473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110.97098214285715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17.239583333333336</v>
      </c>
      <c r="J22" s="18">
        <f t="shared" si="10"/>
        <v>37.183779761904766</v>
      </c>
      <c r="K22" s="18">
        <f t="shared" si="10"/>
        <v>27.38095238095238</v>
      </c>
      <c r="L22" s="18">
        <f t="shared" si="10"/>
        <v>14.0625</v>
      </c>
      <c r="M22" s="18">
        <f t="shared" si="10"/>
        <v>13.541666666666666</v>
      </c>
      <c r="N22" s="18">
        <f t="shared" si="10"/>
        <v>1.5625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204.16349871118967</v>
      </c>
      <c r="AO22">
        <v>13.730365027733924</v>
      </c>
      <c r="AP22">
        <v>94.018303719626658</v>
      </c>
      <c r="AQ22">
        <v>78.519227213800647</v>
      </c>
      <c r="AR22">
        <v>12.749033731654416</v>
      </c>
      <c r="AS22">
        <v>138.76245577614776</v>
      </c>
      <c r="AT22">
        <v>5.7900874118187851</v>
      </c>
      <c r="AU22">
        <v>-18.887445206885239</v>
      </c>
      <c r="AV22"/>
      <c r="AW22"/>
      <c r="FY22" s="210">
        <v>17</v>
      </c>
      <c r="FZ22">
        <v>6.589387564252398</v>
      </c>
      <c r="GA22">
        <v>33.190568151552419</v>
      </c>
      <c r="GB22">
        <v>31.505243712163772</v>
      </c>
      <c r="GC22">
        <v>12.922228709123839</v>
      </c>
      <c r="GD22">
        <v>3.8786386923355236</v>
      </c>
      <c r="GE22">
        <v>3.8559833971553541</v>
      </c>
      <c r="GF22">
        <v>3.8308330569198681</v>
      </c>
      <c r="GG22">
        <v>3.2666645474507594</v>
      </c>
      <c r="GH22">
        <v>1.8047604865382569</v>
      </c>
      <c r="GI22">
        <v>12.056533397422577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269.69596495458563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47.603595219435732</v>
      </c>
      <c r="I23" s="18">
        <f t="shared" si="11"/>
        <v>136.38372074525091</v>
      </c>
      <c r="J23" s="18">
        <f t="shared" si="11"/>
        <v>21.725063131313131</v>
      </c>
      <c r="K23" s="18">
        <f t="shared" si="11"/>
        <v>22.506313131313128</v>
      </c>
      <c r="L23" s="18">
        <f t="shared" si="11"/>
        <v>18.607954545454547</v>
      </c>
      <c r="M23" s="18">
        <f t="shared" si="11"/>
        <v>17.045454545454543</v>
      </c>
      <c r="N23" s="18">
        <f t="shared" si="11"/>
        <v>5.8238636363636358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163.73126175215276</v>
      </c>
      <c r="AO23">
        <v>16.016038482032759</v>
      </c>
      <c r="AP23">
        <v>129.70662230544235</v>
      </c>
      <c r="AQ23">
        <v>99.841623499665872</v>
      </c>
      <c r="AR23">
        <v>14.740159369840947</v>
      </c>
      <c r="AS23">
        <v>141.27147049863069</v>
      </c>
      <c r="AT23">
        <v>6.3986721843140169</v>
      </c>
      <c r="AU23">
        <v>-3.5819049414046562</v>
      </c>
      <c r="AV23"/>
      <c r="AW23"/>
      <c r="FY23" s="210">
        <v>18</v>
      </c>
      <c r="FZ23">
        <v>5.2040976244990205</v>
      </c>
      <c r="GA23">
        <v>22.519946858989925</v>
      </c>
      <c r="GB23">
        <v>17.199499762679476</v>
      </c>
      <c r="GC23">
        <v>7.0201156036904084</v>
      </c>
      <c r="GD23">
        <v>3.6254095148845717</v>
      </c>
      <c r="GE23">
        <v>7.5595863957320697</v>
      </c>
      <c r="GF23">
        <v>8.4089624118589974</v>
      </c>
      <c r="GG23">
        <v>3.8073794517736808</v>
      </c>
      <c r="GH23">
        <v>4.2622464519110155</v>
      </c>
      <c r="GI23">
        <v>9.4202646020649379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418.03031289830864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64.270261886102389</v>
      </c>
      <c r="I24" s="18">
        <f t="shared" si="12"/>
        <v>301.3165309905612</v>
      </c>
      <c r="J24" s="18">
        <f t="shared" si="12"/>
        <v>25.959934163059163</v>
      </c>
      <c r="K24" s="18">
        <f t="shared" si="12"/>
        <v>12.089646464646464</v>
      </c>
      <c r="L24" s="18">
        <f t="shared" si="12"/>
        <v>6.107954545454545</v>
      </c>
      <c r="M24" s="18">
        <f t="shared" si="12"/>
        <v>4.024621212121211</v>
      </c>
      <c r="N24" s="18">
        <f t="shared" si="12"/>
        <v>4.2613636363636358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193.40998368281626</v>
      </c>
      <c r="AO24">
        <v>12.743918723908768</v>
      </c>
      <c r="AP24">
        <v>90.519650392781244</v>
      </c>
      <c r="AQ24">
        <v>73.086724079383416</v>
      </c>
      <c r="AR24">
        <v>11.851198256586407</v>
      </c>
      <c r="AS24">
        <v>126.91923848697871</v>
      </c>
      <c r="AT24">
        <v>5.3362972952599153</v>
      </c>
      <c r="AU24">
        <v>-22.661394833152954</v>
      </c>
      <c r="AV24"/>
      <c r="AW24"/>
      <c r="FY24" s="210">
        <v>19</v>
      </c>
      <c r="FZ24">
        <v>6.4097501959186722</v>
      </c>
      <c r="GA24">
        <v>28.839325662663594</v>
      </c>
      <c r="GB24">
        <v>20.948606082879099</v>
      </c>
      <c r="GC24">
        <v>9.5945707008393288</v>
      </c>
      <c r="GD24">
        <v>4.401017921215483</v>
      </c>
      <c r="GE24">
        <v>6.851221319623642</v>
      </c>
      <c r="GF24">
        <v>7.1248849149673115</v>
      </c>
      <c r="GG24">
        <v>0.86889872822098235</v>
      </c>
      <c r="GH24">
        <v>1.161037908745131</v>
      </c>
      <c r="GI24">
        <v>10.279161064037689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526.30257303970552</v>
      </c>
      <c r="E25" s="18">
        <f t="shared" si="8"/>
        <v>24</v>
      </c>
      <c r="F25" s="50"/>
      <c r="G25" s="18">
        <f t="shared" ref="G25:AK25" si="13">AVERAGE(G74:G75)</f>
        <v>44.387811942959004</v>
      </c>
      <c r="H25" s="18">
        <f t="shared" si="13"/>
        <v>117.66184183463596</v>
      </c>
      <c r="I25" s="18">
        <f t="shared" si="13"/>
        <v>341.7060217152129</v>
      </c>
      <c r="J25" s="18">
        <f t="shared" si="13"/>
        <v>13.219246031746033</v>
      </c>
      <c r="K25" s="18">
        <f t="shared" si="13"/>
        <v>0</v>
      </c>
      <c r="L25" s="18">
        <f t="shared" si="13"/>
        <v>2.083333333333333</v>
      </c>
      <c r="M25" s="18">
        <f t="shared" si="13"/>
        <v>6.7234848484848468</v>
      </c>
      <c r="N25" s="18">
        <f t="shared" si="13"/>
        <v>0.52083333333333326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217.10269297446933</v>
      </c>
      <c r="AO25">
        <v>18.912723073453929</v>
      </c>
      <c r="AP25">
        <v>139.02225987572692</v>
      </c>
      <c r="AQ25">
        <v>110.85541967767945</v>
      </c>
      <c r="AR25">
        <v>17.572224581633151</v>
      </c>
      <c r="AS25">
        <v>180.47370429434611</v>
      </c>
      <c r="AT25">
        <v>8.0252590801754149</v>
      </c>
      <c r="AU25">
        <v>-12.363510532753482</v>
      </c>
      <c r="AV25"/>
      <c r="AW25"/>
      <c r="FY25" s="210">
        <v>20</v>
      </c>
      <c r="FZ25">
        <v>1.1136269508017733</v>
      </c>
      <c r="GA25">
        <v>17.883644738367803</v>
      </c>
      <c r="GB25">
        <v>18.170061564852745</v>
      </c>
      <c r="GC25">
        <v>10.595992288349201</v>
      </c>
      <c r="GD25">
        <v>4.8340833016698408</v>
      </c>
      <c r="GE25">
        <v>2.6128489744874619</v>
      </c>
      <c r="GF25">
        <v>5.2189048235122417</v>
      </c>
      <c r="GG25">
        <v>5.4642964898509279</v>
      </c>
      <c r="GH25">
        <v>3.8152919990059497</v>
      </c>
      <c r="GI25">
        <v>9.0486929199679622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329.46562092931578</v>
      </c>
      <c r="E26" s="18">
        <f t="shared" si="8"/>
        <v>48</v>
      </c>
      <c r="F26" s="50"/>
      <c r="G26" s="18">
        <f t="shared" ref="G26:AK26" si="14">AVERAGE(G75:G76)</f>
        <v>44.387811942959004</v>
      </c>
      <c r="H26" s="18">
        <f t="shared" si="14"/>
        <v>109.13319600130262</v>
      </c>
      <c r="I26" s="18">
        <f t="shared" si="14"/>
        <v>163.23154480323598</v>
      </c>
      <c r="J26" s="18">
        <f t="shared" si="14"/>
        <v>1.5625</v>
      </c>
      <c r="K26" s="18">
        <f t="shared" si="14"/>
        <v>0</v>
      </c>
      <c r="L26" s="18">
        <f t="shared" si="14"/>
        <v>1.171875</v>
      </c>
      <c r="M26" s="18">
        <f t="shared" si="14"/>
        <v>9.4578598484848477</v>
      </c>
      <c r="N26" s="18">
        <f t="shared" si="14"/>
        <v>0.52083333333333326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161.21022298541186</v>
      </c>
      <c r="AO26">
        <v>14.47746864479941</v>
      </c>
      <c r="AP26">
        <v>128.03508096066221</v>
      </c>
      <c r="AQ26">
        <v>96.900665917127213</v>
      </c>
      <c r="AR26">
        <v>13.339214356779005</v>
      </c>
      <c r="AS26">
        <v>122.5846114425409</v>
      </c>
      <c r="AT26">
        <v>7.4148467693854334</v>
      </c>
      <c r="AU26">
        <v>-63.755468768305434</v>
      </c>
      <c r="AV26"/>
      <c r="AW26"/>
      <c r="FY26" s="210">
        <v>21</v>
      </c>
      <c r="FZ26">
        <v>7.2240865184870149</v>
      </c>
      <c r="GA26">
        <v>22.973011731041066</v>
      </c>
      <c r="GB26">
        <v>23.401789969873036</v>
      </c>
      <c r="GC26">
        <v>10.44100431143028</v>
      </c>
      <c r="GD26">
        <v>4.201113627715082</v>
      </c>
      <c r="GE26">
        <v>5.6236580451920331</v>
      </c>
      <c r="GF26">
        <v>1.8994184224600366</v>
      </c>
      <c r="GG26">
        <v>2.7475371450981236</v>
      </c>
      <c r="GH26">
        <v>2.8407052312748844</v>
      </c>
      <c r="GI26">
        <v>10.16432593752382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46.656013257575751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8.1380208333333339</v>
      </c>
      <c r="I27" s="18">
        <f t="shared" si="15"/>
        <v>11.521464646464647</v>
      </c>
      <c r="J27" s="18">
        <f t="shared" si="15"/>
        <v>22.569444444444446</v>
      </c>
      <c r="K27" s="18">
        <f t="shared" si="15"/>
        <v>0</v>
      </c>
      <c r="L27" s="18">
        <f t="shared" si="15"/>
        <v>0.65104166666666663</v>
      </c>
      <c r="M27" s="18">
        <f t="shared" si="15"/>
        <v>3.7760416666666661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211.52129198379066</v>
      </c>
      <c r="AO27">
        <v>13.814844481913942</v>
      </c>
      <c r="AP27">
        <v>115.19436746635935</v>
      </c>
      <c r="AQ27">
        <v>88.679589585267351</v>
      </c>
      <c r="AR27">
        <v>12.733099419551465</v>
      </c>
      <c r="AS27">
        <v>132.76572371767782</v>
      </c>
      <c r="AT27">
        <v>5.810583778949777</v>
      </c>
      <c r="AU27">
        <v>-12.055346470404883</v>
      </c>
      <c r="AV27"/>
      <c r="AW27"/>
      <c r="FY27" s="210">
        <v>22</v>
      </c>
      <c r="FZ27">
        <v>1.5312107115823979</v>
      </c>
      <c r="GA27">
        <v>21.489909927959527</v>
      </c>
      <c r="GB27">
        <v>25.520708203293715</v>
      </c>
      <c r="GC27">
        <v>11.691110730306944</v>
      </c>
      <c r="GD27">
        <v>4.4806886722757691</v>
      </c>
      <c r="GE27">
        <v>5.471987933607708</v>
      </c>
      <c r="GF27">
        <v>5.7643468942276179</v>
      </c>
      <c r="GG27">
        <v>4.9107905721612823</v>
      </c>
      <c r="GH27">
        <v>4.5227497638020155</v>
      </c>
      <c r="GI27">
        <v>11.003596036357948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46.880260942760948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20.664983164983166</v>
      </c>
      <c r="J28" s="18">
        <f t="shared" si="15"/>
        <v>22.569444444444446</v>
      </c>
      <c r="K28" s="18">
        <f t="shared" si="15"/>
        <v>0</v>
      </c>
      <c r="L28" s="18">
        <f t="shared" si="15"/>
        <v>0</v>
      </c>
      <c r="M28" s="18">
        <f t="shared" si="15"/>
        <v>3.645833333333333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268.32220903121731</v>
      </c>
      <c r="AO28">
        <v>17.599023864877729</v>
      </c>
      <c r="AP28">
        <v>120.33106867397413</v>
      </c>
      <c r="AQ28">
        <v>97.086586232274982</v>
      </c>
      <c r="AR28">
        <v>16.195117915998356</v>
      </c>
      <c r="AS28">
        <v>171.26614727173282</v>
      </c>
      <c r="AT28">
        <v>7.0155070491305525</v>
      </c>
      <c r="AU28">
        <v>-6.3778660974826886</v>
      </c>
      <c r="AV28"/>
      <c r="AW28"/>
      <c r="FY28" s="210">
        <v>23</v>
      </c>
      <c r="FZ28">
        <v>1.2769703033283577</v>
      </c>
      <c r="GA28">
        <v>21.718569313428105</v>
      </c>
      <c r="GB28">
        <v>19.751228687867936</v>
      </c>
      <c r="GC28">
        <v>7.7872420501111517</v>
      </c>
      <c r="GD28">
        <v>4.0831703408889437</v>
      </c>
      <c r="GE28">
        <v>5.8466859334102139</v>
      </c>
      <c r="GF28">
        <v>3.7587846172164672</v>
      </c>
      <c r="GG28">
        <v>0.64717734942108796</v>
      </c>
      <c r="GH28">
        <v>0</v>
      </c>
      <c r="GI28">
        <v>8.1917093242489365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21.132095001505569</v>
      </c>
      <c r="E29" s="18">
        <f>C13-C12</f>
        <v>38</v>
      </c>
      <c r="F29" s="50"/>
      <c r="G29" s="18">
        <f t="shared" si="15"/>
        <v>0</v>
      </c>
      <c r="H29" s="18">
        <f t="shared" si="15"/>
        <v>4.446138211382114</v>
      </c>
      <c r="I29" s="18">
        <f t="shared" si="15"/>
        <v>9.143518518518519</v>
      </c>
      <c r="J29" s="18">
        <f t="shared" si="15"/>
        <v>3.3757716049382713</v>
      </c>
      <c r="K29" s="18">
        <f t="shared" si="15"/>
        <v>0</v>
      </c>
      <c r="L29" s="18">
        <f t="shared" si="15"/>
        <v>0</v>
      </c>
      <c r="M29" s="18">
        <f t="shared" si="15"/>
        <v>4.1666666666666661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183.56441838189656</v>
      </c>
      <c r="AO29">
        <v>16.734308156050517</v>
      </c>
      <c r="AP29">
        <v>144.3237515179143</v>
      </c>
      <c r="AQ29">
        <v>113.82324590881969</v>
      </c>
      <c r="AR29">
        <v>15.464277018878093</v>
      </c>
      <c r="AS29">
        <v>143.12766006746864</v>
      </c>
      <c r="AT29">
        <v>8.5819960567412163</v>
      </c>
      <c r="AU29">
        <v>-35.280078718151472</v>
      </c>
      <c r="AV29"/>
      <c r="AW29"/>
      <c r="FY29" s="210">
        <v>24</v>
      </c>
      <c r="FZ29">
        <v>1.8195253310183452</v>
      </c>
      <c r="GA29">
        <v>22.305017769070126</v>
      </c>
      <c r="GB29">
        <v>25.21771473517358</v>
      </c>
      <c r="GC29">
        <v>12.046743457687086</v>
      </c>
      <c r="GD29">
        <v>3.6738759615383723</v>
      </c>
      <c r="GE29">
        <v>1.0924837110111234</v>
      </c>
      <c r="GF29">
        <v>4.134368672627752</v>
      </c>
      <c r="GG29">
        <v>3.8201704651404049</v>
      </c>
      <c r="GH29">
        <v>2.2006739463117539</v>
      </c>
      <c r="GI29">
        <v>9.8296848270485793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187.0088173459126</v>
      </c>
      <c r="E30" s="18">
        <v>24</v>
      </c>
      <c r="F30" s="50"/>
      <c r="G30" s="18">
        <f>AVERAGE(G70:G79)</f>
        <v>8.8775623885918016</v>
      </c>
      <c r="H30" s="18">
        <f t="shared" ref="H30:AK30" si="16">AVERAGE(H70:H79)</f>
        <v>35.569919219757431</v>
      </c>
      <c r="I30" s="18">
        <f t="shared" si="16"/>
        <v>102.36552845842274</v>
      </c>
      <c r="J30" s="18">
        <f t="shared" si="16"/>
        <v>20.421952661535993</v>
      </c>
      <c r="K30" s="18">
        <f t="shared" si="16"/>
        <v>7.8941197691197686</v>
      </c>
      <c r="L30" s="18">
        <f t="shared" si="16"/>
        <v>4.2684659090909092</v>
      </c>
      <c r="M30" s="18">
        <f t="shared" si="16"/>
        <v>6.342329545454545</v>
      </c>
      <c r="N30" s="18">
        <f t="shared" si="16"/>
        <v>1.2689393939393938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225.66596943501014</v>
      </c>
      <c r="AO30">
        <v>16.107890462231126</v>
      </c>
      <c r="AP30">
        <v>124.43305060710034</v>
      </c>
      <c r="AQ30">
        <v>97.436032925673175</v>
      </c>
      <c r="AR30">
        <v>14.86422717852588</v>
      </c>
      <c r="AS30">
        <v>170.86951906549513</v>
      </c>
      <c r="AT30">
        <v>6.6603060574729271</v>
      </c>
      <c r="AU30">
        <v>-21.382320296951686</v>
      </c>
      <c r="AV30"/>
      <c r="AW30"/>
      <c r="FY30" s="210">
        <v>25</v>
      </c>
      <c r="FZ30">
        <v>1.2369546722454206</v>
      </c>
      <c r="GA30">
        <v>11.655100781185006</v>
      </c>
      <c r="GB30">
        <v>10.587560490280975</v>
      </c>
      <c r="GC30">
        <v>4.697637049130984</v>
      </c>
      <c r="GD30">
        <v>3.5822340455096793</v>
      </c>
      <c r="GE30">
        <v>6.2864802959772996</v>
      </c>
      <c r="GF30">
        <v>3.0180499881922387</v>
      </c>
      <c r="GG30">
        <v>0.86889872822098235</v>
      </c>
      <c r="GH30">
        <v>3.812357600791946</v>
      </c>
      <c r="GI30">
        <v>6.0540186935392928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164.30459687386826</v>
      </c>
      <c r="AO31">
        <v>16.451772872150926</v>
      </c>
      <c r="AP31">
        <v>119.64647084813149</v>
      </c>
      <c r="AQ31">
        <v>93.723445774779691</v>
      </c>
      <c r="AR31">
        <v>15.201671024379664</v>
      </c>
      <c r="AS31">
        <v>133.36768901417219</v>
      </c>
      <c r="AT31" t="e">
        <v>#DIV/0!</v>
      </c>
      <c r="AU31" t="e">
        <v>#DIV/0!</v>
      </c>
      <c r="AV31"/>
      <c r="AW31"/>
      <c r="FY31" s="210">
        <v>26</v>
      </c>
      <c r="FZ31">
        <v>3.4207969850471724</v>
      </c>
      <c r="GA31">
        <v>26.919934052851495</v>
      </c>
      <c r="GB31">
        <v>24.798730190791098</v>
      </c>
      <c r="GC31">
        <v>11.262362895368511</v>
      </c>
      <c r="GD31">
        <v>4.7957732643450042</v>
      </c>
      <c r="GE31">
        <v>4.5686602036154582</v>
      </c>
      <c r="GF31">
        <v>3.5422207547866673</v>
      </c>
      <c r="GG31">
        <v>2.9366803660568532</v>
      </c>
      <c r="GH31">
        <v>2.6439371063868249</v>
      </c>
      <c r="GI31">
        <v>10.532796360291362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202.74000809887178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233.1469867738827</v>
      </c>
      <c r="AO32">
        <v>20.049835684414127</v>
      </c>
      <c r="AP32">
        <v>156.76485733648184</v>
      </c>
      <c r="AQ32">
        <v>127.45394748108247</v>
      </c>
      <c r="AR32">
        <v>18.605657899509175</v>
      </c>
      <c r="AS32">
        <v>213.56142463113127</v>
      </c>
      <c r="AT32">
        <v>9.1901253118315456</v>
      </c>
      <c r="AU32">
        <v>-14.755360172508402</v>
      </c>
      <c r="AV32"/>
      <c r="AW32"/>
      <c r="FY32" s="210">
        <v>27</v>
      </c>
      <c r="FZ32">
        <v>9.7218699298636242</v>
      </c>
      <c r="GA32">
        <v>31.133350861075005</v>
      </c>
      <c r="GB32">
        <v>19.504466080659359</v>
      </c>
      <c r="GC32">
        <v>8.2099492862027894</v>
      </c>
      <c r="GD32">
        <v>4.1003836427930729</v>
      </c>
      <c r="GE32">
        <v>5.9236198681411292</v>
      </c>
      <c r="GF32">
        <v>4.8315714497994025</v>
      </c>
      <c r="GG32">
        <v>0.55170556019380068</v>
      </c>
      <c r="GH32">
        <v>0.32186128889656296</v>
      </c>
      <c r="GI32">
        <v>9.6400688093452018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202.45218609619164</v>
      </c>
      <c r="AO33">
        <v>18.067099206767192</v>
      </c>
      <c r="AP33">
        <v>145.60978588102796</v>
      </c>
      <c r="AQ33">
        <v>112.90084171491478</v>
      </c>
      <c r="AR33">
        <v>16.840879255948437</v>
      </c>
      <c r="AS33">
        <v>157.04644279224408</v>
      </c>
      <c r="AT33">
        <v>7.8444679075509489</v>
      </c>
      <c r="AU33">
        <v>-18.079799046268167</v>
      </c>
      <c r="AV33"/>
      <c r="AW33"/>
      <c r="FY33" s="210">
        <v>28</v>
      </c>
      <c r="FZ33">
        <v>9.0659619802662057</v>
      </c>
      <c r="GA33">
        <v>33.454047430490355</v>
      </c>
      <c r="GB33">
        <v>15.642804258966049</v>
      </c>
      <c r="GC33">
        <v>4.1782030322760511</v>
      </c>
      <c r="GD33">
        <v>2.6972148998204517</v>
      </c>
      <c r="GE33">
        <v>7.1235565807741903</v>
      </c>
      <c r="GF33">
        <v>9.8861051345773756</v>
      </c>
      <c r="GG33">
        <v>2.6212875555255168</v>
      </c>
      <c r="GH33">
        <v>1.0359447447366277</v>
      </c>
      <c r="GI33">
        <v>8.8113640382638962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220.04315221442397</v>
      </c>
      <c r="AO34">
        <v>14.007215954585167</v>
      </c>
      <c r="AP34">
        <v>110.45190920449426</v>
      </c>
      <c r="AQ34">
        <v>89.027508678084089</v>
      </c>
      <c r="AR34">
        <v>12.850614860162555</v>
      </c>
      <c r="AS34">
        <v>132.42964779545147</v>
      </c>
      <c r="AT34">
        <v>5.8861658760625595</v>
      </c>
      <c r="AU34">
        <v>-6.7026468213414194</v>
      </c>
      <c r="AV34"/>
      <c r="AW34"/>
      <c r="FY34" s="210">
        <v>29</v>
      </c>
      <c r="FZ34">
        <v>1.3123228341137088</v>
      </c>
      <c r="GA34">
        <v>26.557655722527041</v>
      </c>
      <c r="GB34">
        <v>28.855544523620221</v>
      </c>
      <c r="GC34">
        <v>10.811812781775945</v>
      </c>
      <c r="GD34">
        <v>3.6021712395908061</v>
      </c>
      <c r="GE34">
        <v>7.1656163517419262</v>
      </c>
      <c r="GF34">
        <v>6.0371747688096917</v>
      </c>
      <c r="GG34">
        <v>4.1227722623050171</v>
      </c>
      <c r="GH34">
        <v>7.0349680151363394</v>
      </c>
      <c r="GI34">
        <v>11.758376644076597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241.31779007479926</v>
      </c>
      <c r="AO35">
        <v>15.519012638159335</v>
      </c>
      <c r="AP35">
        <v>119.69661722761209</v>
      </c>
      <c r="AQ35">
        <v>96.478474499110945</v>
      </c>
      <c r="AR35">
        <v>14.056627089103266</v>
      </c>
      <c r="AS35">
        <v>152.97223340785536</v>
      </c>
      <c r="AT35" t="e">
        <v>#DIV/0!</v>
      </c>
      <c r="AU35" t="e">
        <v>#DIV/0!</v>
      </c>
      <c r="AV35"/>
      <c r="AW35"/>
      <c r="FY35" s="210">
        <v>30</v>
      </c>
      <c r="FZ35">
        <v>4.0649669352674316</v>
      </c>
      <c r="GA35">
        <v>28.11076024639916</v>
      </c>
      <c r="GB35">
        <v>21.305657898363819</v>
      </c>
      <c r="GC35">
        <v>9.349061792412023</v>
      </c>
      <c r="GD35">
        <v>4.3321818013899458</v>
      </c>
      <c r="GE35">
        <v>5.4471838500357332</v>
      </c>
      <c r="GF35">
        <v>7.5111434962549382</v>
      </c>
      <c r="GG35">
        <v>5.9095396049465627</v>
      </c>
      <c r="GH35">
        <v>5.7517713405967088</v>
      </c>
      <c r="GI35">
        <v>10.73549104180276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4.6507158099826139E-4</v>
      </c>
      <c r="H36" s="59">
        <f t="shared" ref="H36:AK36" si="17">(1-($A$43/100))*($A$39*(H35^$A$41))</f>
        <v>3.5150000000000003E-3</v>
      </c>
      <c r="I36" s="59">
        <f t="shared" si="17"/>
        <v>2.6566286792841443E-2</v>
      </c>
      <c r="J36" s="59">
        <f t="shared" si="17"/>
        <v>8.6729162096827933E-2</v>
      </c>
      <c r="K36" s="59">
        <f t="shared" si="17"/>
        <v>0.20078736670256092</v>
      </c>
      <c r="L36" s="59">
        <f t="shared" si="17"/>
        <v>0.38505237105281664</v>
      </c>
      <c r="M36" s="59">
        <f t="shared" si="17"/>
        <v>0.65549695407316177</v>
      </c>
      <c r="N36" s="59">
        <f t="shared" si="17"/>
        <v>1.0278302852390999</v>
      </c>
      <c r="O36" s="59">
        <f t="shared" si="17"/>
        <v>1.517546164494922</v>
      </c>
      <c r="P36" s="59">
        <f t="shared" si="17"/>
        <v>2.1399566310150369</v>
      </c>
      <c r="Q36" s="59">
        <f t="shared" si="17"/>
        <v>2.9102167054488572</v>
      </c>
      <c r="R36" s="59">
        <f t="shared" si="17"/>
        <v>3.8433433517375608</v>
      </c>
      <c r="S36" s="59">
        <f t="shared" si="17"/>
        <v>4.9542304619464099</v>
      </c>
      <c r="T36" s="59">
        <f t="shared" si="17"/>
        <v>6.2576609889577455</v>
      </c>
      <c r="U36" s="59">
        <f t="shared" si="17"/>
        <v>7.7683169650156332</v>
      </c>
      <c r="V36" s="59">
        <f t="shared" si="17"/>
        <v>9.5007879103293469</v>
      </c>
      <c r="W36" s="59">
        <f t="shared" si="17"/>
        <v>11.469577987865909</v>
      </c>
      <c r="X36" s="59">
        <f t="shared" si="17"/>
        <v>13.689112162966889</v>
      </c>
      <c r="Y36" s="59">
        <f t="shared" si="17"/>
        <v>16.173741560110425</v>
      </c>
      <c r="Z36" s="59">
        <f t="shared" si="17"/>
        <v>18.937748162765295</v>
      </c>
      <c r="AA36" s="59">
        <f t="shared" si="17"/>
        <v>21.995348969067553</v>
      </c>
      <c r="AB36" s="59">
        <f t="shared" si="17"/>
        <v>25.360699691758413</v>
      </c>
      <c r="AC36" s="59">
        <f t="shared" si="17"/>
        <v>29.047898072722788</v>
      </c>
      <c r="AD36" s="59">
        <f t="shared" si="17"/>
        <v>33.070986868766035</v>
      </c>
      <c r="AE36" s="59">
        <f t="shared" si="17"/>
        <v>37.443956554736779</v>
      </c>
      <c r="AF36" s="59">
        <f t="shared" si="17"/>
        <v>42.180747781904969</v>
      </c>
      <c r="AG36" s="59">
        <f t="shared" si="17"/>
        <v>47.295253623051856</v>
      </c>
      <c r="AH36" s="59">
        <f t="shared" si="17"/>
        <v>52.801321630578869</v>
      </c>
      <c r="AI36" s="59">
        <f t="shared" si="17"/>
        <v>58.712755729815285</v>
      </c>
      <c r="AJ36" s="59">
        <f t="shared" si="17"/>
        <v>65.043317966341974</v>
      </c>
      <c r="AK36" s="59">
        <f t="shared" si="17"/>
        <v>71.806730123405515</v>
      </c>
      <c r="AL36" s="42"/>
      <c r="AM36" s="43">
        <v>20</v>
      </c>
      <c r="AN36">
        <v>165.48316214188927</v>
      </c>
      <c r="AO36">
        <v>13.559680560974783</v>
      </c>
      <c r="AP36">
        <v>97.442767456510921</v>
      </c>
      <c r="AQ36">
        <v>78.757444050865914</v>
      </c>
      <c r="AR36">
        <v>12.570994993784804</v>
      </c>
      <c r="AS36">
        <v>139.02192489059422</v>
      </c>
      <c r="AT36">
        <v>6.5488680813916256</v>
      </c>
      <c r="AU36">
        <v>-35.447153529919099</v>
      </c>
      <c r="AV36"/>
      <c r="AW36"/>
      <c r="FY36" s="210">
        <v>31</v>
      </c>
      <c r="FZ36">
        <v>7.098863327285148</v>
      </c>
      <c r="GA36">
        <v>29.841313801641007</v>
      </c>
      <c r="GB36">
        <v>25.5895710616443</v>
      </c>
      <c r="GC36">
        <v>10.508334924087119</v>
      </c>
      <c r="GD36">
        <v>3.9337467981056125</v>
      </c>
      <c r="GE36">
        <v>5.9641114495211847</v>
      </c>
      <c r="GF36">
        <v>4.8326462422246159</v>
      </c>
      <c r="GG36">
        <v>3.6182362308149516</v>
      </c>
      <c r="GH36">
        <v>4.1985112649080758</v>
      </c>
      <c r="GI36">
        <v>11.245329014760951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7.3285098213786322</v>
      </c>
      <c r="E37" s="107">
        <f t="shared" ref="E37:E46" si="19">+D37/D21</f>
        <v>0.1028455382680681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0.34729885338558336</v>
      </c>
      <c r="J37" s="49">
        <f t="shared" si="21"/>
        <v>3.5749967114317474</v>
      </c>
      <c r="K37" s="49">
        <f t="shared" si="21"/>
        <v>3.4062142565613014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203.8293614573839</v>
      </c>
      <c r="AO37">
        <v>15.228394357501051</v>
      </c>
      <c r="AP37">
        <v>113.76993190371448</v>
      </c>
      <c r="AQ37">
        <v>91.51665094009536</v>
      </c>
      <c r="AR37">
        <v>14.251662721879299</v>
      </c>
      <c r="AS37">
        <v>137.50145807859434</v>
      </c>
      <c r="AT37">
        <v>6.3113660102007971</v>
      </c>
      <c r="AU37">
        <v>154.1753374083226</v>
      </c>
      <c r="AV37"/>
      <c r="AW37"/>
      <c r="FY37" s="210">
        <v>32</v>
      </c>
      <c r="FZ37">
        <v>1.530584167322729</v>
      </c>
      <c r="GA37">
        <v>25.126954503565912</v>
      </c>
      <c r="GB37">
        <v>17.650779052225992</v>
      </c>
      <c r="GC37">
        <v>4.2101327638118589</v>
      </c>
      <c r="GD37">
        <v>2.8987586257567792</v>
      </c>
      <c r="GE37">
        <v>5.8383926932816115</v>
      </c>
      <c r="GF37">
        <v>4.2044812059294987</v>
      </c>
      <c r="GG37">
        <v>3.9354293988421336</v>
      </c>
      <c r="GH37">
        <v>5.3595491736532059</v>
      </c>
      <c r="GI37">
        <v>7.9289609605768128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25.077964145435448</v>
      </c>
      <c r="E38" s="107">
        <f t="shared" si="19"/>
        <v>0.2259866828352626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0.45799171502242286</v>
      </c>
      <c r="J38" s="49">
        <f t="shared" si="21"/>
        <v>3.2249180623429883</v>
      </c>
      <c r="K38" s="49">
        <f t="shared" si="21"/>
        <v>5.497749326379644</v>
      </c>
      <c r="L38" s="49">
        <f t="shared" si="21"/>
        <v>5.414798967930234</v>
      </c>
      <c r="M38" s="49">
        <f t="shared" si="21"/>
        <v>8.8765212530740651</v>
      </c>
      <c r="N38" s="49">
        <f t="shared" si="21"/>
        <v>1.6059848206860936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194.88240582227348</v>
      </c>
      <c r="AO38">
        <v>16.480925553192623</v>
      </c>
      <c r="AP38">
        <v>123.09008627628228</v>
      </c>
      <c r="AQ38">
        <v>96.387099445574933</v>
      </c>
      <c r="AR38">
        <v>15.321029881900351</v>
      </c>
      <c r="AS38">
        <v>173.0626517365645</v>
      </c>
      <c r="AT38">
        <v>6.7354831477204868</v>
      </c>
      <c r="AU38">
        <v>-25.213233390774199</v>
      </c>
      <c r="AV38"/>
      <c r="AW38"/>
      <c r="FY38" s="210">
        <v>33</v>
      </c>
      <c r="FZ38">
        <v>3.9056632701470608</v>
      </c>
      <c r="GA38">
        <v>23.313109021218541</v>
      </c>
      <c r="GB38">
        <v>21.850373324213937</v>
      </c>
      <c r="GC38">
        <v>9.0864129336604815</v>
      </c>
      <c r="GD38">
        <v>2.4873999204482153</v>
      </c>
      <c r="GE38">
        <v>3.5584743594114445</v>
      </c>
      <c r="GF38">
        <v>4.0017658646491707</v>
      </c>
      <c r="GG38">
        <v>1.6441260247105225</v>
      </c>
      <c r="GH38">
        <v>2.8407052312748844</v>
      </c>
      <c r="GI38">
        <v>8.6727589159702667</v>
      </c>
      <c r="GJ38"/>
      <c r="GK38"/>
      <c r="GL38"/>
      <c r="GM38"/>
    </row>
    <row r="39" spans="1:195" s="7" customFormat="1">
      <c r="A39" s="114">
        <v>3.8E-3</v>
      </c>
      <c r="B39" s="57"/>
      <c r="C39" s="48" t="s">
        <v>40</v>
      </c>
      <c r="D39" s="49">
        <f t="shared" si="18"/>
        <v>34.517939522154109</v>
      </c>
      <c r="E39" s="107">
        <f t="shared" si="19"/>
        <v>0.12798834245802163</v>
      </c>
      <c r="F39" s="18"/>
      <c r="G39" s="49">
        <f t="shared" si="20"/>
        <v>0</v>
      </c>
      <c r="H39" s="49">
        <f t="shared" si="21"/>
        <v>0.1673266371963166</v>
      </c>
      <c r="I39" s="49">
        <f t="shared" si="21"/>
        <v>3.6232090391931346</v>
      </c>
      <c r="J39" s="49">
        <f t="shared" si="21"/>
        <v>1.8841965218794767</v>
      </c>
      <c r="K39" s="49">
        <f t="shared" si="21"/>
        <v>4.5189833478196313</v>
      </c>
      <c r="L39" s="49">
        <f t="shared" si="21"/>
        <v>7.1650370181703105</v>
      </c>
      <c r="M39" s="49">
        <f t="shared" si="21"/>
        <v>11.173243535337983</v>
      </c>
      <c r="N39" s="49">
        <f t="shared" si="21"/>
        <v>5.9859434225572574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180.78381553813634</v>
      </c>
      <c r="AO39">
        <v>12.332293729498423</v>
      </c>
      <c r="AP39">
        <v>91.805210245495061</v>
      </c>
      <c r="AQ39">
        <v>73.061537919921193</v>
      </c>
      <c r="AR39">
        <v>11.335133117500197</v>
      </c>
      <c r="AS39">
        <v>110.53541726402105</v>
      </c>
      <c r="AT39" t="e">
        <v>#DIV/0!</v>
      </c>
      <c r="AU39" t="e">
        <v>#DIV/0!</v>
      </c>
      <c r="AV39"/>
      <c r="AW39"/>
      <c r="FY39" s="210">
        <v>34</v>
      </c>
      <c r="FZ39">
        <v>4.8235036772328668</v>
      </c>
      <c r="GA39">
        <v>27.536301500613398</v>
      </c>
      <c r="GB39">
        <v>16.546291910971206</v>
      </c>
      <c r="GC39">
        <v>6.1136187954016243</v>
      </c>
      <c r="GD39">
        <v>3.1111873109447985</v>
      </c>
      <c r="GE39">
        <v>4.6599102931524552</v>
      </c>
      <c r="GF39">
        <v>7.191609774547155</v>
      </c>
      <c r="GG39">
        <v>3.5227644415876638</v>
      </c>
      <c r="GH39">
        <v>3.5547886871149497</v>
      </c>
      <c r="GI39">
        <v>8.5524482487877194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22.279670892026175</v>
      </c>
      <c r="E40" s="107">
        <f t="shared" si="19"/>
        <v>5.3296783043209589E-2</v>
      </c>
      <c r="F40" s="18"/>
      <c r="G40" s="49">
        <f t="shared" si="20"/>
        <v>0</v>
      </c>
      <c r="H40" s="49">
        <f t="shared" si="21"/>
        <v>0.22590997052964992</v>
      </c>
      <c r="I40" s="49">
        <f t="shared" si="21"/>
        <v>8.0048613777193456</v>
      </c>
      <c r="J40" s="49">
        <f t="shared" si="21"/>
        <v>2.2514833380509391</v>
      </c>
      <c r="K40" s="49">
        <f t="shared" si="21"/>
        <v>2.4274482780012887</v>
      </c>
      <c r="L40" s="49">
        <f t="shared" si="21"/>
        <v>2.3518823800101014</v>
      </c>
      <c r="M40" s="49">
        <f t="shared" si="21"/>
        <v>2.6381269458436902</v>
      </c>
      <c r="N40" s="49">
        <f t="shared" si="21"/>
        <v>4.3799586018711638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147.31534973024671</v>
      </c>
      <c r="AO40">
        <v>14.700389811014086</v>
      </c>
      <c r="AP40">
        <v>113.3334158344822</v>
      </c>
      <c r="AQ40">
        <v>86.140258876627129</v>
      </c>
      <c r="AR40">
        <v>13.830307562750876</v>
      </c>
      <c r="AS40">
        <v>137.75004414458013</v>
      </c>
      <c r="AT40">
        <v>6.1874390242407529</v>
      </c>
      <c r="AU40">
        <v>-48.886444388353347</v>
      </c>
      <c r="AV40"/>
      <c r="AW40"/>
      <c r="FY40" s="210">
        <v>35</v>
      </c>
      <c r="FZ40">
        <v>3.6914416243442556</v>
      </c>
      <c r="GA40">
        <v>26.683828670736748</v>
      </c>
      <c r="GB40">
        <v>22.697868453772244</v>
      </c>
      <c r="GC40">
        <v>9.4064693856878066</v>
      </c>
      <c r="GD40">
        <v>3.7227633822648842</v>
      </c>
      <c r="GE40">
        <v>5.1463170966457543</v>
      </c>
      <c r="GF40">
        <v>6.1038996283895353</v>
      </c>
      <c r="GG40">
        <v>5.0388405192297343</v>
      </c>
      <c r="GH40">
        <v>4.9763299077510812</v>
      </c>
      <c r="GI40">
        <v>10.281444400754626</v>
      </c>
      <c r="GJ40"/>
      <c r="GK40"/>
      <c r="GL40"/>
      <c r="GM40"/>
    </row>
    <row r="41" spans="1:195" s="7" customFormat="1">
      <c r="A41" s="114">
        <v>2.9180000000000001</v>
      </c>
      <c r="B41" s="57"/>
      <c r="C41" s="48" t="s">
        <v>42</v>
      </c>
      <c r="D41" s="49">
        <f t="shared" si="18"/>
        <v>16.403323739732784</v>
      </c>
      <c r="E41" s="107">
        <f t="shared" si="19"/>
        <v>3.1167097749482744E-2</v>
      </c>
      <c r="F41" s="18"/>
      <c r="G41" s="49">
        <f t="shared" si="20"/>
        <v>2.0643509877365452E-2</v>
      </c>
      <c r="H41" s="49">
        <f t="shared" ref="H41:AK43" si="22">H25*H$36</f>
        <v>0.41358137404874545</v>
      </c>
      <c r="I41" s="49">
        <f t="shared" si="22"/>
        <v>9.0778601717272522</v>
      </c>
      <c r="J41" s="49">
        <f t="shared" si="22"/>
        <v>1.1464941318851511</v>
      </c>
      <c r="K41" s="49">
        <f t="shared" si="22"/>
        <v>0</v>
      </c>
      <c r="L41" s="49">
        <f t="shared" si="22"/>
        <v>0.80219243969336784</v>
      </c>
      <c r="M41" s="49">
        <f t="shared" si="22"/>
        <v>4.4072238389388705</v>
      </c>
      <c r="N41" s="49">
        <f t="shared" si="22"/>
        <v>0.53532827356203116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162.98090258914044</v>
      </c>
      <c r="AO41">
        <v>8.7748830010693428</v>
      </c>
      <c r="AP41">
        <v>61.111680209231707</v>
      </c>
      <c r="AQ41">
        <v>51.799292345073823</v>
      </c>
      <c r="AR41">
        <v>8.2827269646977832</v>
      </c>
      <c r="AS41">
        <v>101.86162605508297</v>
      </c>
      <c r="AT41" t="e">
        <v>#DIV/0!</v>
      </c>
      <c r="AU41" t="e">
        <v>#DIV/0!</v>
      </c>
      <c r="AV41"/>
      <c r="AW41"/>
      <c r="FY41" s="210">
        <v>36</v>
      </c>
      <c r="FZ41">
        <v>6.7743145771433788</v>
      </c>
      <c r="GA41">
        <v>21.145308390313676</v>
      </c>
      <c r="GB41">
        <v>15.320246723989793</v>
      </c>
      <c r="GC41">
        <v>7.9571082518954981</v>
      </c>
      <c r="GD41">
        <v>3.696056994426046</v>
      </c>
      <c r="GE41">
        <v>4.2903976713022942</v>
      </c>
      <c r="GF41">
        <v>6.2057946952423046</v>
      </c>
      <c r="GG41">
        <v>4.8171191404298401</v>
      </c>
      <c r="GH41">
        <v>4.3976565997935122</v>
      </c>
      <c r="GI41">
        <v>8.8065528570913134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12.062376886101777</v>
      </c>
      <c r="E42" s="107">
        <f t="shared" si="19"/>
        <v>3.6611944068937211E-2</v>
      </c>
      <c r="F42" s="18"/>
      <c r="G42" s="49">
        <f t="shared" si="20"/>
        <v>2.0643509877365452E-2</v>
      </c>
      <c r="H42" s="49">
        <f t="shared" si="22"/>
        <v>0.38360318394457876</v>
      </c>
      <c r="I42" s="49">
        <f t="shared" si="22"/>
        <v>4.3364560328813146</v>
      </c>
      <c r="J42" s="49">
        <f t="shared" si="22"/>
        <v>0.13551431577629364</v>
      </c>
      <c r="K42" s="49">
        <f t="shared" si="22"/>
        <v>0</v>
      </c>
      <c r="L42" s="49">
        <f t="shared" si="22"/>
        <v>0.45123324732751952</v>
      </c>
      <c r="M42" s="49">
        <f t="shared" si="22"/>
        <v>6.1995983227326734</v>
      </c>
      <c r="N42" s="49">
        <f t="shared" si="22"/>
        <v>0.53532827356203116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204.97453132856967</v>
      </c>
      <c r="AO42">
        <v>15.843012301332532</v>
      </c>
      <c r="AP42">
        <v>119.9809305517017</v>
      </c>
      <c r="AQ42">
        <v>95.42189217954045</v>
      </c>
      <c r="AR42">
        <v>14.645738845410502</v>
      </c>
      <c r="AS42">
        <v>171.62171513592281</v>
      </c>
      <c r="AT42">
        <v>6.6684127289546895</v>
      </c>
      <c r="AU42">
        <v>-17.657063494953555</v>
      </c>
      <c r="AV42"/>
      <c r="AW42"/>
      <c r="FY42" s="210">
        <v>37</v>
      </c>
      <c r="FZ42">
        <v>1.3327698839312641</v>
      </c>
      <c r="GA42">
        <v>30.221018790723278</v>
      </c>
      <c r="GB42">
        <v>28.908113937599481</v>
      </c>
      <c r="GC42">
        <v>11.085305164604955</v>
      </c>
      <c r="GD42">
        <v>4.1054993519777812</v>
      </c>
      <c r="GE42">
        <v>4.0298856461801833</v>
      </c>
      <c r="GF42">
        <v>3.2175913341994358</v>
      </c>
      <c r="GG42">
        <v>1.2943546988421759</v>
      </c>
      <c r="GH42">
        <v>2.1303130682648153</v>
      </c>
      <c r="GI42">
        <v>10.721874115632806</v>
      </c>
      <c r="GJ42"/>
      <c r="GK42"/>
      <c r="GL42"/>
      <c r="GM42"/>
    </row>
    <row r="43" spans="1:195" s="7" customFormat="1">
      <c r="A43" s="95">
        <v>7.5</v>
      </c>
      <c r="B43" s="1"/>
      <c r="C43" s="48" t="s">
        <v>119</v>
      </c>
      <c r="D43" s="49">
        <f>IF(SUM(G43:AK43)&lt;0.0001, 0, SUM(G43:AK43))</f>
        <v>5.0179856313158275</v>
      </c>
      <c r="E43" s="107">
        <f t="shared" si="19"/>
        <v>0.10755281647432734</v>
      </c>
      <c r="F43" s="18"/>
      <c r="G43" s="49">
        <f t="shared" si="20"/>
        <v>0</v>
      </c>
      <c r="H43" s="49">
        <f t="shared" si="22"/>
        <v>2.8605143229166671E-2</v>
      </c>
      <c r="I43" s="49">
        <f t="shared" si="22"/>
        <v>0.30608253407156338</v>
      </c>
      <c r="J43" s="49">
        <f t="shared" si="22"/>
        <v>1.9574290056575752</v>
      </c>
      <c r="K43" s="49">
        <f t="shared" si="22"/>
        <v>0</v>
      </c>
      <c r="L43" s="49">
        <f t="shared" si="22"/>
        <v>0.25068513740417747</v>
      </c>
      <c r="M43" s="49">
        <f t="shared" si="22"/>
        <v>2.4751838109533448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208.95203857420424</v>
      </c>
      <c r="AO43">
        <v>14.444411269429185</v>
      </c>
      <c r="AP43">
        <v>115.43566506542058</v>
      </c>
      <c r="AQ43">
        <v>93.938846776969939</v>
      </c>
      <c r="AR43">
        <v>13.280768726044409</v>
      </c>
      <c r="AS43">
        <v>159.29650049137751</v>
      </c>
      <c r="AT43" t="e">
        <v>#DIV/0!</v>
      </c>
      <c r="AU43" t="e">
        <v>#DIV/0!</v>
      </c>
      <c r="AV43"/>
      <c r="AW43"/>
      <c r="FY43" s="210">
        <v>38</v>
      </c>
      <c r="FZ43">
        <v>4.4768674631761254</v>
      </c>
      <c r="GA43">
        <v>26.978978345970216</v>
      </c>
      <c r="GB43">
        <v>21.963533201457313</v>
      </c>
      <c r="GC43">
        <v>8.8038578685368307</v>
      </c>
      <c r="GD43">
        <v>2.9680289074556261</v>
      </c>
      <c r="GE43">
        <v>2.5864809811804994</v>
      </c>
      <c r="GF43">
        <v>5.2380769247852701</v>
      </c>
      <c r="GG43">
        <v>3.3621363366780468</v>
      </c>
      <c r="GH43">
        <v>1.161037908745131</v>
      </c>
      <c r="GI43">
        <v>8.9821675389420115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4.8962535200461605</v>
      </c>
      <c r="E44" s="107">
        <f t="shared" si="19"/>
        <v>0.10444168657730604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0.54899186933018307</v>
      </c>
      <c r="J44" s="49">
        <f t="shared" si="23"/>
        <v>1.9574290056575752</v>
      </c>
      <c r="K44" s="49">
        <f t="shared" si="23"/>
        <v>0</v>
      </c>
      <c r="L44" s="49">
        <f t="shared" si="23"/>
        <v>0</v>
      </c>
      <c r="M44" s="49">
        <f t="shared" si="23"/>
        <v>2.389832645058402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203.32714040878105</v>
      </c>
      <c r="AO44">
        <v>13.22265437021036</v>
      </c>
      <c r="AP44">
        <v>117.59475130824099</v>
      </c>
      <c r="AQ44">
        <v>94.516489655696716</v>
      </c>
      <c r="AR44">
        <v>11.891322861765859</v>
      </c>
      <c r="AS44">
        <v>123.30016302503782</v>
      </c>
      <c r="AT44" t="e">
        <v>#DIV/0!</v>
      </c>
      <c r="AU44" t="e">
        <v>#DIV/0!</v>
      </c>
      <c r="AV44"/>
      <c r="AW44"/>
      <c r="FY44" s="210">
        <v>39</v>
      </c>
      <c r="FZ44">
        <v>6.5354834534077115</v>
      </c>
      <c r="GA44">
        <v>29.540738193568163</v>
      </c>
      <c r="GB44">
        <v>19.832572689322813</v>
      </c>
      <c r="GC44">
        <v>7.5851588316045522</v>
      </c>
      <c r="GD44">
        <v>3.7860718007624192</v>
      </c>
      <c r="GE44">
        <v>5.2276249125443996</v>
      </c>
      <c r="GF44">
        <v>3.6611383380620408</v>
      </c>
      <c r="GG44">
        <v>1.5504545929790807</v>
      </c>
      <c r="GH44">
        <v>2.9761153791573811</v>
      </c>
      <c r="GI44">
        <v>9.2998537995662112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3.2825526624363617</v>
      </c>
      <c r="E45" s="107">
        <f t="shared" si="19"/>
        <v>0.15533493779024249</v>
      </c>
      <c r="F45" s="18"/>
      <c r="G45" s="49">
        <f>G29*G36</f>
        <v>0</v>
      </c>
      <c r="H45" s="49">
        <f t="shared" ref="H45:AK45" si="24">H29*H36</f>
        <v>1.5628175813008131E-2</v>
      </c>
      <c r="I45" s="49">
        <f t="shared" si="24"/>
        <v>0.24290933525861969</v>
      </c>
      <c r="J45" s="49">
        <f t="shared" si="24"/>
        <v>0.29277784272656032</v>
      </c>
      <c r="K45" s="49">
        <f t="shared" si="24"/>
        <v>0</v>
      </c>
      <c r="L45" s="49">
        <f t="shared" si="24"/>
        <v>0</v>
      </c>
      <c r="M45" s="49">
        <f t="shared" si="24"/>
        <v>2.7312373086381738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218.81425251396067</v>
      </c>
      <c r="AO45">
        <v>17.562310606129074</v>
      </c>
      <c r="AP45">
        <v>140.08355323805895</v>
      </c>
      <c r="AQ45">
        <v>107.25841514369729</v>
      </c>
      <c r="AR45">
        <v>16.296505237607541</v>
      </c>
      <c r="AS45">
        <v>136.53209937327802</v>
      </c>
      <c r="AT45">
        <v>6.7654213671794929</v>
      </c>
      <c r="AU45">
        <v>-28.614546419629104</v>
      </c>
      <c r="AV45"/>
      <c r="AW45"/>
      <c r="FY45" s="210">
        <v>40</v>
      </c>
      <c r="FZ45">
        <v>0.83338852977552613</v>
      </c>
      <c r="GA45">
        <v>17.288372000355665</v>
      </c>
      <c r="GB45">
        <v>22.426176268392553</v>
      </c>
      <c r="GC45">
        <v>9.2528647726131972</v>
      </c>
      <c r="GD45">
        <v>3.6234486578816401</v>
      </c>
      <c r="GE45">
        <v>7.6634519632001332</v>
      </c>
      <c r="GF45">
        <v>5.5754800740967623</v>
      </c>
      <c r="GG45">
        <v>3.7462861778834036</v>
      </c>
      <c r="GH45">
        <v>5.1730980326391407</v>
      </c>
      <c r="GI45">
        <v>9.7253737903871524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13.310062275403544</v>
      </c>
      <c r="E46" s="107">
        <f t="shared" si="19"/>
        <v>7.1173447671099649E-2</v>
      </c>
      <c r="F46" s="18"/>
      <c r="G46" s="49">
        <f>G30*G36</f>
        <v>4.1287019754730906E-3</v>
      </c>
      <c r="H46" s="49">
        <f t="shared" ref="H46:AK46" si="25">H30*H36</f>
        <v>0.12502826605744738</v>
      </c>
      <c r="I46" s="49">
        <f t="shared" si="25"/>
        <v>2.719471986727231</v>
      </c>
      <c r="J46" s="49">
        <f t="shared" si="25"/>
        <v>1.7711788427161017</v>
      </c>
      <c r="K46" s="49">
        <f t="shared" si="25"/>
        <v>1.5850395208761865</v>
      </c>
      <c r="L46" s="49">
        <f t="shared" si="25"/>
        <v>1.6435829190535711</v>
      </c>
      <c r="M46" s="49">
        <f t="shared" si="25"/>
        <v>4.1573776987736748</v>
      </c>
      <c r="N46" s="49">
        <f t="shared" si="25"/>
        <v>1.3042543392238577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212.98281632338416</v>
      </c>
      <c r="AO46">
        <v>16.136027524026062</v>
      </c>
      <c r="AP46">
        <v>128.98548389111738</v>
      </c>
      <c r="AQ46">
        <v>102.51775800746906</v>
      </c>
      <c r="AR46">
        <v>14.763873085679217</v>
      </c>
      <c r="AS46">
        <v>150.30482875698041</v>
      </c>
      <c r="AT46">
        <v>7.2011702594740052</v>
      </c>
      <c r="AU46">
        <v>-18.709389852859719</v>
      </c>
      <c r="AV46"/>
      <c r="AW46"/>
      <c r="FY46" s="210">
        <v>41</v>
      </c>
      <c r="FZ46">
        <v>1.354992749131813</v>
      </c>
      <c r="GA46">
        <v>22.30117198358543</v>
      </c>
      <c r="GB46">
        <v>32.99086278410693</v>
      </c>
      <c r="GC46">
        <v>14.001161658916654</v>
      </c>
      <c r="GD46">
        <v>2.3136094384242383</v>
      </c>
      <c r="GE46">
        <v>3.1820153988689834</v>
      </c>
      <c r="GF46">
        <v>5.8811652746550722</v>
      </c>
      <c r="GG46">
        <v>3.3621363366780468</v>
      </c>
      <c r="GH46">
        <v>1.161037908745131</v>
      </c>
      <c r="GI46">
        <v>11.082086272095562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223.07159165922334</v>
      </c>
      <c r="AO47">
        <v>16.799448089159199</v>
      </c>
      <c r="AP47">
        <v>134.62610599391314</v>
      </c>
      <c r="AQ47">
        <v>106.83066411499297</v>
      </c>
      <c r="AR47">
        <v>15.55736207635314</v>
      </c>
      <c r="AS47">
        <v>168.58194446099091</v>
      </c>
      <c r="AT47">
        <v>7.4394256148115678</v>
      </c>
      <c r="AU47">
        <v>-27.289460240992792</v>
      </c>
      <c r="AV47"/>
      <c r="AW47"/>
      <c r="FY47" s="210">
        <v>42</v>
      </c>
      <c r="FZ47">
        <v>4.0298725915111788</v>
      </c>
      <c r="GA47">
        <v>27.016212468267184</v>
      </c>
      <c r="GB47">
        <v>23.484233544006912</v>
      </c>
      <c r="GC47">
        <v>9.4438292191675366</v>
      </c>
      <c r="GD47">
        <v>4.7440302984947529</v>
      </c>
      <c r="GE47">
        <v>7.5904739657337936</v>
      </c>
      <c r="GF47">
        <v>4.2034064135042861</v>
      </c>
      <c r="GG47">
        <v>0.77522729648954036</v>
      </c>
      <c r="GH47">
        <v>2.8443965241048801</v>
      </c>
      <c r="GI47">
        <v>10.457170555030601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14.417663909603082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170.50066744877932</v>
      </c>
      <c r="AO48">
        <v>11.729675611888595</v>
      </c>
      <c r="AP48">
        <v>100.95552492401178</v>
      </c>
      <c r="AQ48">
        <v>78.684022544966538</v>
      </c>
      <c r="AR48">
        <v>10.92112428686235</v>
      </c>
      <c r="AS48">
        <v>109.57284320542813</v>
      </c>
      <c r="AT48">
        <v>4.8291539144899991</v>
      </c>
      <c r="AU48">
        <v>-5.3159644050298116</v>
      </c>
      <c r="AV48"/>
      <c r="AW48"/>
      <c r="FY48" s="210">
        <v>43</v>
      </c>
      <c r="FZ48">
        <v>4.1240442126968748</v>
      </c>
      <c r="GA48">
        <v>26.080980768537628</v>
      </c>
      <c r="GB48">
        <v>23.710506678519209</v>
      </c>
      <c r="GC48">
        <v>9.1075457052756654</v>
      </c>
      <c r="GD48">
        <v>2.8151006812724817</v>
      </c>
      <c r="GE48">
        <v>4.4962361633400727</v>
      </c>
      <c r="GF48">
        <v>5.0342867910797304</v>
      </c>
      <c r="GG48">
        <v>1.9741102061044287</v>
      </c>
      <c r="GH48">
        <v>1.9401706344207539</v>
      </c>
      <c r="GI48">
        <v>9.4463481590466021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152.91067376738934</v>
      </c>
      <c r="AO49">
        <v>13.006849041103028</v>
      </c>
      <c r="AP49">
        <v>105.5028066461676</v>
      </c>
      <c r="AQ49">
        <v>81.360788865704521</v>
      </c>
      <c r="AR49">
        <v>11.973052702791534</v>
      </c>
      <c r="AS49">
        <v>102.84374564463035</v>
      </c>
      <c r="AT49" t="e">
        <v>#DIV/0!</v>
      </c>
      <c r="AU49" t="e">
        <v>#DIV/0!</v>
      </c>
      <c r="AV49"/>
      <c r="AW49"/>
      <c r="FY49" s="210">
        <v>44</v>
      </c>
      <c r="FZ49">
        <v>3.4664958490020403</v>
      </c>
      <c r="GA49">
        <v>26.190554758258557</v>
      </c>
      <c r="GB49">
        <v>20.487311323304255</v>
      </c>
      <c r="GC49">
        <v>8.1744254634599933</v>
      </c>
      <c r="GD49">
        <v>4.3595806377942115</v>
      </c>
      <c r="GE49">
        <v>4.1017035441922358</v>
      </c>
      <c r="GF49">
        <v>3.2885649814776232</v>
      </c>
      <c r="GG49">
        <v>5.686017868650822</v>
      </c>
      <c r="GH49">
        <v>5.3595491736532059</v>
      </c>
      <c r="GI49">
        <v>9.5992074463700767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189.74096434279357</v>
      </c>
      <c r="AO50">
        <v>12.763831563118821</v>
      </c>
      <c r="AP50">
        <v>107.91449467860686</v>
      </c>
      <c r="AQ50">
        <v>85.612424640353851</v>
      </c>
      <c r="AR50">
        <v>11.652951557570974</v>
      </c>
      <c r="AS50">
        <v>116.68598154757321</v>
      </c>
      <c r="AT50">
        <v>5.4429442525272114</v>
      </c>
      <c r="AU50">
        <v>-2.9550926994491697</v>
      </c>
      <c r="AV50"/>
      <c r="AW50"/>
      <c r="FY50" s="210">
        <v>45</v>
      </c>
      <c r="FZ50">
        <v>4.2770412320539428</v>
      </c>
      <c r="GA50">
        <v>24.351546996284856</v>
      </c>
      <c r="GB50">
        <v>24.492870117205516</v>
      </c>
      <c r="GC50">
        <v>10.245329690349443</v>
      </c>
      <c r="GD50">
        <v>3.1442045905494616</v>
      </c>
      <c r="GE50">
        <v>6.5365402631180061</v>
      </c>
      <c r="GF50">
        <v>7.0048925392667254</v>
      </c>
      <c r="GG50">
        <v>1.3269328566833409</v>
      </c>
      <c r="GH50">
        <v>2.58389321221388</v>
      </c>
      <c r="GI50">
        <v>10.293162007519291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197.8692652068319</v>
      </c>
      <c r="AO51">
        <v>15.445426126072935</v>
      </c>
      <c r="AP51">
        <v>124.19714026245727</v>
      </c>
      <c r="AQ51">
        <v>97.74920306957668</v>
      </c>
      <c r="AR51">
        <v>14.188571528623742</v>
      </c>
      <c r="AS51">
        <v>145.56103544887222</v>
      </c>
      <c r="AT51">
        <v>6.5488095133106077</v>
      </c>
      <c r="AU51">
        <v>-11.729085837526263</v>
      </c>
      <c r="AV51"/>
      <c r="AW51"/>
      <c r="FY51" s="210">
        <v>46</v>
      </c>
      <c r="FZ51">
        <v>7.297049144309911</v>
      </c>
      <c r="GA51">
        <v>28.023987608049264</v>
      </c>
      <c r="GB51">
        <v>18.023081419926751</v>
      </c>
      <c r="GC51">
        <v>6.3152590891189533</v>
      </c>
      <c r="GD51">
        <v>2.7867315629360934</v>
      </c>
      <c r="GE51">
        <v>3.4760592336995311</v>
      </c>
      <c r="GF51">
        <v>3.9305785389222128</v>
      </c>
      <c r="GG51">
        <v>2.5258157662982295</v>
      </c>
      <c r="GH51">
        <v>1.6183093455241906</v>
      </c>
      <c r="GI51">
        <v>8.1228643855452756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7.6728201621851557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0.3636157567514044</v>
      </c>
      <c r="J52" s="49">
        <f t="shared" si="26"/>
        <v>3.7429583251972742</v>
      </c>
      <c r="K52" s="49">
        <f t="shared" si="26"/>
        <v>3.5662460802364779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193.59206264231858</v>
      </c>
      <c r="AO52">
        <v>13.086806244686667</v>
      </c>
      <c r="AP52">
        <v>102.036221099497</v>
      </c>
      <c r="AQ52">
        <v>83.41055590162766</v>
      </c>
      <c r="AR52">
        <v>12.135163213398094</v>
      </c>
      <c r="AS52">
        <v>138.75100079972145</v>
      </c>
      <c r="AT52">
        <v>6.3422953577125289</v>
      </c>
      <c r="AU52">
        <v>-13.005980943507916</v>
      </c>
      <c r="AV52"/>
      <c r="AW52"/>
      <c r="FY52" s="210">
        <v>47</v>
      </c>
      <c r="FZ52">
        <v>1.1699303349552561</v>
      </c>
      <c r="GA52">
        <v>24.15312974873606</v>
      </c>
      <c r="GB52">
        <v>24.206355917647763</v>
      </c>
      <c r="GC52">
        <v>11.024782598962233</v>
      </c>
      <c r="GD52">
        <v>5.9803963162651286</v>
      </c>
      <c r="GE52">
        <v>6.4181861252011707</v>
      </c>
      <c r="GF52">
        <v>2.4726079174768634</v>
      </c>
      <c r="GG52">
        <v>0.64717734942108796</v>
      </c>
      <c r="GH52">
        <v>0</v>
      </c>
      <c r="GI52">
        <v>10.122009504968641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34.512423782453901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0.6302905637012689</v>
      </c>
      <c r="J53" s="49">
        <f t="shared" si="28"/>
        <v>4.4381488938179805</v>
      </c>
      <c r="K53" s="49">
        <f t="shared" si="28"/>
        <v>7.5660310183612056</v>
      </c>
      <c r="L53" s="49">
        <f t="shared" si="28"/>
        <v>7.4518743066317343</v>
      </c>
      <c r="M53" s="49">
        <f t="shared" si="28"/>
        <v>12.215914394941468</v>
      </c>
      <c r="N53" s="49">
        <f t="shared" si="28"/>
        <v>2.2101646050002475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188.27780678678818</v>
      </c>
      <c r="AO53">
        <v>15.942112099391414</v>
      </c>
      <c r="AP53">
        <v>127.11835305529748</v>
      </c>
      <c r="AQ53">
        <v>97.04672599195618</v>
      </c>
      <c r="AR53">
        <v>14.979851597390308</v>
      </c>
      <c r="AS53">
        <v>140.81827376044552</v>
      </c>
      <c r="AT53" t="e">
        <v>#DIV/0!</v>
      </c>
      <c r="AU53" t="e">
        <v>#DIV/0!</v>
      </c>
      <c r="AV53"/>
      <c r="AW53"/>
      <c r="FY53" s="210">
        <v>48</v>
      </c>
      <c r="FZ53">
        <v>4.3083446813281867</v>
      </c>
      <c r="GA53">
        <v>24.784054100741887</v>
      </c>
      <c r="GB53">
        <v>22.07235082465499</v>
      </c>
      <c r="GC53">
        <v>8.2729227982149691</v>
      </c>
      <c r="GD53">
        <v>2.7450743921115848</v>
      </c>
      <c r="GE53">
        <v>6.4471989141137698</v>
      </c>
      <c r="GF53">
        <v>7.323351468549296</v>
      </c>
      <c r="GG53">
        <v>3.0665306706211508</v>
      </c>
      <c r="GH53">
        <v>4.4590145767990759</v>
      </c>
      <c r="GI53">
        <v>9.81952993976949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40.845156831638462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0.19799799272513793</v>
      </c>
      <c r="I54" s="49">
        <f t="shared" si="29"/>
        <v>4.2873515478718307</v>
      </c>
      <c r="J54" s="49">
        <f t="shared" si="29"/>
        <v>2.2295740563656965</v>
      </c>
      <c r="K54" s="49">
        <f t="shared" si="29"/>
        <v>5.3473233372690236</v>
      </c>
      <c r="L54" s="49">
        <f t="shared" si="29"/>
        <v>8.478404700947749</v>
      </c>
      <c r="M54" s="49">
        <f t="shared" si="29"/>
        <v>13.221324645582156</v>
      </c>
      <c r="N54" s="49">
        <f t="shared" si="29"/>
        <v>7.0831805508768646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194.06161169136587</v>
      </c>
      <c r="AO54">
        <v>13.429901987603321</v>
      </c>
      <c r="AP54">
        <v>111.77943526595875</v>
      </c>
      <c r="AQ54">
        <v>86.521165476927067</v>
      </c>
      <c r="AR54">
        <v>12.437881264861838</v>
      </c>
      <c r="AS54">
        <v>142.3321663514659</v>
      </c>
      <c r="AT54" t="e">
        <v>#DIV/0!</v>
      </c>
      <c r="AU54" t="e">
        <v>#DIV/0!</v>
      </c>
      <c r="AV54"/>
      <c r="AW54"/>
      <c r="FY54" s="210">
        <v>49</v>
      </c>
      <c r="FZ54">
        <v>1.4027066921856948</v>
      </c>
      <c r="GA54">
        <v>26.411938999050637</v>
      </c>
      <c r="GB54">
        <v>24.082431086827455</v>
      </c>
      <c r="GC54">
        <v>9.9891994853929731</v>
      </c>
      <c r="GD54">
        <v>5.9019271579036294</v>
      </c>
      <c r="GE54">
        <v>8.0332417293930156</v>
      </c>
      <c r="GF54">
        <v>5.5616315529472908</v>
      </c>
      <c r="GG54">
        <v>1.7505884698086891</v>
      </c>
      <c r="GH54">
        <v>0.32186128889656296</v>
      </c>
      <c r="GI54">
        <v>10.756859855773037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3.1191539248836655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3.162739587415099E-2</v>
      </c>
      <c r="I55" s="49">
        <f t="shared" si="30"/>
        <v>1.1206805928807084</v>
      </c>
      <c r="J55" s="49">
        <f t="shared" si="30"/>
        <v>0.31520766732713151</v>
      </c>
      <c r="K55" s="49">
        <f t="shared" si="30"/>
        <v>0.33984275892018045</v>
      </c>
      <c r="L55" s="49">
        <f t="shared" si="30"/>
        <v>0.32926353320141422</v>
      </c>
      <c r="M55" s="49">
        <f t="shared" si="30"/>
        <v>0.36933777241811666</v>
      </c>
      <c r="N55" s="49">
        <f t="shared" si="30"/>
        <v>0.61319420426196303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164.76934240754446</v>
      </c>
      <c r="AO55">
        <v>13.928155433341256</v>
      </c>
      <c r="AP55">
        <v>113.26550636830557</v>
      </c>
      <c r="AQ55">
        <v>89.995211990974767</v>
      </c>
      <c r="AR55">
        <v>12.890119172298832</v>
      </c>
      <c r="AS55">
        <v>129.51279322404855</v>
      </c>
      <c r="AT55" t="e">
        <v>#DIV/0!</v>
      </c>
      <c r="AU55" t="e">
        <v>#DIV/0!</v>
      </c>
      <c r="AV55"/>
      <c r="AW55"/>
      <c r="FY55" s="210">
        <v>50</v>
      </c>
      <c r="FZ55">
        <v>6.9122927689284523</v>
      </c>
      <c r="GA55">
        <v>26.726134059703682</v>
      </c>
      <c r="GB55">
        <v>27.2489164546664</v>
      </c>
      <c r="GC55">
        <v>13.665249179530388</v>
      </c>
      <c r="GD55">
        <v>4.4307617877380068</v>
      </c>
      <c r="GE55">
        <v>4.3132064404082664</v>
      </c>
      <c r="GF55">
        <v>4.8166481362247184</v>
      </c>
      <c r="GG55">
        <v>1.1034111203876014</v>
      </c>
      <c r="GH55">
        <v>0.32186128889656296</v>
      </c>
      <c r="GI55">
        <v>11.357963806904243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1.9683988487679338</v>
      </c>
      <c r="E56" s="19">
        <v>5.0000000000000001E-3</v>
      </c>
      <c r="F56" s="8"/>
      <c r="G56" s="49">
        <f>$E$56*$E$25*G41</f>
        <v>2.4772211852838542E-3</v>
      </c>
      <c r="H56" s="49">
        <f t="shared" ref="H56:AK56" si="31">$E$56*$E$25*H41</f>
        <v>4.9629764885849449E-2</v>
      </c>
      <c r="I56" s="49">
        <f t="shared" si="31"/>
        <v>1.0893432206072702</v>
      </c>
      <c r="J56" s="49">
        <f t="shared" si="31"/>
        <v>0.13757929582621814</v>
      </c>
      <c r="K56" s="49">
        <f t="shared" si="31"/>
        <v>0</v>
      </c>
      <c r="L56" s="49">
        <f t="shared" si="31"/>
        <v>9.6263092763204133E-2</v>
      </c>
      <c r="M56" s="49">
        <f t="shared" si="31"/>
        <v>0.52886686067266442</v>
      </c>
      <c r="N56" s="49">
        <f t="shared" si="31"/>
        <v>6.4239392827443731E-2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202.05417881251716</v>
      </c>
      <c r="AO56">
        <v>14.654232115853731</v>
      </c>
      <c r="AP56">
        <v>109.08798169516274</v>
      </c>
      <c r="AQ56">
        <v>85.307940267225177</v>
      </c>
      <c r="AR56">
        <v>13.465936714303389</v>
      </c>
      <c r="AS56">
        <v>137.42659169734446</v>
      </c>
      <c r="AT56">
        <v>5.0608793004297405</v>
      </c>
      <c r="AU56">
        <v>-16.805471441718382</v>
      </c>
      <c r="AV56"/>
      <c r="AW56"/>
      <c r="FY56" s="210">
        <v>51</v>
      </c>
      <c r="FZ56">
        <v>9.2483701105075955</v>
      </c>
      <c r="GA56">
        <v>34.443472410736661</v>
      </c>
      <c r="GB56">
        <v>36.643029515626154</v>
      </c>
      <c r="GC56">
        <v>16.251764075680644</v>
      </c>
      <c r="GD56">
        <v>4.2930654720873216</v>
      </c>
      <c r="GE56">
        <v>5.8287005181370892</v>
      </c>
      <c r="GF56">
        <v>4.3911984412099283</v>
      </c>
      <c r="GG56">
        <v>2.0677816378358704</v>
      </c>
      <c r="GH56">
        <v>1.8047604865382569</v>
      </c>
      <c r="GI56">
        <v>14.110504395217628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2.8949704526644267</v>
      </c>
      <c r="E57" s="19">
        <v>5.0000000000000001E-3</v>
      </c>
      <c r="F57" s="8"/>
      <c r="G57" s="49">
        <f>$E$57*$E$26*G42</f>
        <v>4.9544423705677083E-3</v>
      </c>
      <c r="H57" s="49">
        <f t="shared" ref="H57:AK57" si="32">$E$57*$E$26*H42</f>
        <v>9.2064764146698896E-2</v>
      </c>
      <c r="I57" s="49">
        <f t="shared" si="32"/>
        <v>1.0407494478915156</v>
      </c>
      <c r="J57" s="49">
        <f t="shared" si="32"/>
        <v>3.2523435786310471E-2</v>
      </c>
      <c r="K57" s="49">
        <f t="shared" si="32"/>
        <v>0</v>
      </c>
      <c r="L57" s="49">
        <f t="shared" si="32"/>
        <v>0.10829597935860467</v>
      </c>
      <c r="M57" s="49">
        <f t="shared" si="32"/>
        <v>1.4879035974558417</v>
      </c>
      <c r="N57" s="49">
        <f t="shared" si="32"/>
        <v>0.12847878565488746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149.30622099728984</v>
      </c>
      <c r="AO57">
        <v>16.807503009914541</v>
      </c>
      <c r="AP57">
        <v>132.91298613299273</v>
      </c>
      <c r="AQ57">
        <v>97.630239805207864</v>
      </c>
      <c r="AR57">
        <v>15.520172783392692</v>
      </c>
      <c r="AS57">
        <v>131.09264736876858</v>
      </c>
      <c r="AT57" t="e">
        <v>#DIV/0!</v>
      </c>
      <c r="AU57" t="e">
        <v>#DIV/0!</v>
      </c>
      <c r="AV57"/>
      <c r="AW57"/>
      <c r="FY57" s="210">
        <v>52</v>
      </c>
      <c r="FZ57">
        <v>9.8892592325330178</v>
      </c>
      <c r="GA57">
        <v>29.407937946074075</v>
      </c>
      <c r="GB57">
        <v>21.485828193654655</v>
      </c>
      <c r="GC57">
        <v>9.7224518354675098</v>
      </c>
      <c r="GD57">
        <v>4.2110337096452257</v>
      </c>
      <c r="GE57">
        <v>5.2014155953558916</v>
      </c>
      <c r="GF57">
        <v>4.2861293790840262</v>
      </c>
      <c r="GG57">
        <v>2.843008934325411</v>
      </c>
      <c r="GH57">
        <v>3.6835731439534483</v>
      </c>
      <c r="GI57">
        <v>10.652042435166441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6.2677712637136036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3.5729575152085212E-2</v>
      </c>
      <c r="I58" s="49">
        <f t="shared" si="33"/>
        <v>0.38231582398439895</v>
      </c>
      <c r="J58" s="49">
        <f t="shared" si="33"/>
        <v>2.4449486654275079</v>
      </c>
      <c r="K58" s="49">
        <f t="shared" si="33"/>
        <v>0</v>
      </c>
      <c r="L58" s="49">
        <f t="shared" si="33"/>
        <v>0.31312108401752964</v>
      </c>
      <c r="M58" s="49">
        <f t="shared" si="33"/>
        <v>3.091656115132082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224.49343343563228</v>
      </c>
      <c r="AO58">
        <v>15.593009921349653</v>
      </c>
      <c r="AP58">
        <v>118.55419567664168</v>
      </c>
      <c r="AQ58">
        <v>94.588852876310668</v>
      </c>
      <c r="AR58">
        <v>14.479333069700752</v>
      </c>
      <c r="AS58">
        <v>147.23718023446045</v>
      </c>
      <c r="AT58" t="e">
        <v>#DIV/0!</v>
      </c>
      <c r="AU58" t="e">
        <v>#DIV/0!</v>
      </c>
      <c r="AV58"/>
      <c r="AW58"/>
      <c r="FY58" s="210">
        <v>53</v>
      </c>
      <c r="FZ58">
        <v>4.0145987082783812</v>
      </c>
      <c r="GA58">
        <v>24.226001998685661</v>
      </c>
      <c r="GB58">
        <v>25.0643171884957</v>
      </c>
      <c r="GC58">
        <v>9.981888526910847</v>
      </c>
      <c r="GD58">
        <v>2.3014260075631725</v>
      </c>
      <c r="GE58">
        <v>2.7603484546057317</v>
      </c>
      <c r="GF58">
        <v>2.4566098114769654</v>
      </c>
      <c r="GG58">
        <v>3.933629041346288</v>
      </c>
      <c r="GH58">
        <v>4.8409197598685845</v>
      </c>
      <c r="GI58">
        <v>9.4365195416749703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3.7858517692489713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0.42448819925226816</v>
      </c>
      <c r="J59" s="49">
        <f t="shared" si="34"/>
        <v>1.5135115111805162</v>
      </c>
      <c r="K59" s="49">
        <f t="shared" si="34"/>
        <v>0</v>
      </c>
      <c r="L59" s="49">
        <f t="shared" si="34"/>
        <v>0</v>
      </c>
      <c r="M59" s="49">
        <f t="shared" si="34"/>
        <v>1.8478520588161871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130.05299156490906</v>
      </c>
      <c r="AO59">
        <v>14.187811389902052</v>
      </c>
      <c r="AP59">
        <v>115.60030276848391</v>
      </c>
      <c r="AQ59">
        <v>88.729330000293459</v>
      </c>
      <c r="AR59">
        <v>13.116189084163461</v>
      </c>
      <c r="AS59">
        <v>110.01593075789307</v>
      </c>
      <c r="AT59">
        <v>6.258215829481145</v>
      </c>
      <c r="AU59">
        <v>-30.774131865950146</v>
      </c>
      <c r="AV59"/>
      <c r="AW59"/>
      <c r="FY59" s="210">
        <v>54</v>
      </c>
      <c r="FZ59">
        <v>7.6387609396716698</v>
      </c>
      <c r="GA59">
        <v>29.49504294497995</v>
      </c>
      <c r="GB59">
        <v>26.898110650051084</v>
      </c>
      <c r="GC59">
        <v>9.9538592672670241</v>
      </c>
      <c r="GD59">
        <v>2.624437017011862</v>
      </c>
      <c r="GE59">
        <v>6.2806988768055483</v>
      </c>
      <c r="GF59">
        <v>5.6922984545242175</v>
      </c>
      <c r="GG59">
        <v>4.0291008305735758</v>
      </c>
      <c r="GH59">
        <v>5.7451456495527093</v>
      </c>
      <c r="GI59">
        <v>11.369504128501154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4.1295217901175318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1.9660581016148742E-2</v>
      </c>
      <c r="I60" s="49">
        <f t="shared" si="35"/>
        <v>0.30558516378193268</v>
      </c>
      <c r="J60" s="49">
        <f t="shared" si="35"/>
        <v>0.36832081783131904</v>
      </c>
      <c r="K60" s="49">
        <f t="shared" si="35"/>
        <v>0</v>
      </c>
      <c r="L60" s="49">
        <f t="shared" si="35"/>
        <v>0</v>
      </c>
      <c r="M60" s="49">
        <f t="shared" si="35"/>
        <v>3.4359552274881313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204.83189310544157</v>
      </c>
      <c r="AO60">
        <v>14.32020430858185</v>
      </c>
      <c r="AP60">
        <v>113.43274421896963</v>
      </c>
      <c r="AQ60">
        <v>90.713411046163017</v>
      </c>
      <c r="AR60">
        <v>13.400947950030805</v>
      </c>
      <c r="AS60">
        <v>136.0722329263607</v>
      </c>
      <c r="AT60">
        <v>6.0875951906756987</v>
      </c>
      <c r="AU60">
        <v>-21.310936555793361</v>
      </c>
      <c r="AV60"/>
      <c r="AW60"/>
      <c r="FY60" s="210">
        <v>55</v>
      </c>
      <c r="FZ60">
        <v>3.8811702701866961</v>
      </c>
      <c r="GA60">
        <v>28.238137353774281</v>
      </c>
      <c r="GB60">
        <v>29.500976509409952</v>
      </c>
      <c r="GC60">
        <v>11.995825991893048</v>
      </c>
      <c r="GD60">
        <v>3.5422781121167528</v>
      </c>
      <c r="GE60">
        <v>5.2445303703907689</v>
      </c>
      <c r="GF60">
        <v>4.3053014803570564</v>
      </c>
      <c r="GG60">
        <v>2.2913033741316107</v>
      </c>
      <c r="GH60">
        <v>2.1969826534817587</v>
      </c>
      <c r="GI60">
        <v>11.145238845974371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11.180452311338978</v>
      </c>
      <c r="E61" s="19">
        <v>3.5000000000000003E-2</v>
      </c>
      <c r="F61" s="8"/>
      <c r="G61" s="49">
        <f>$E$61*$E$30*G46</f>
        <v>3.4681096593973965E-3</v>
      </c>
      <c r="H61" s="49">
        <f t="shared" ref="H61:AK61" si="36">$E$61*$E$30*H46</f>
        <v>0.10502374348825581</v>
      </c>
      <c r="I61" s="49">
        <f t="shared" si="36"/>
        <v>2.2843564688508744</v>
      </c>
      <c r="J61" s="49">
        <f t="shared" si="36"/>
        <v>1.4877902278815256</v>
      </c>
      <c r="K61" s="49">
        <f t="shared" si="36"/>
        <v>1.3314331975359968</v>
      </c>
      <c r="L61" s="49">
        <f t="shared" si="36"/>
        <v>1.380609652005</v>
      </c>
      <c r="M61" s="49">
        <f t="shared" si="36"/>
        <v>3.4921972669698871</v>
      </c>
      <c r="N61" s="49">
        <f t="shared" si="36"/>
        <v>1.0955736449480407</v>
      </c>
      <c r="O61" s="49">
        <f t="shared" si="36"/>
        <v>0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184.30551023333032</v>
      </c>
      <c r="AO61">
        <v>15.351611076935555</v>
      </c>
      <c r="AP61">
        <v>121.26729189596333</v>
      </c>
      <c r="AQ61">
        <v>94.256413505244439</v>
      </c>
      <c r="AR61">
        <v>14.133524291860102</v>
      </c>
      <c r="AS61">
        <v>142.92751107045657</v>
      </c>
      <c r="AT61">
        <v>7.1830649645943874</v>
      </c>
      <c r="AU61">
        <v>-53.131188479310104</v>
      </c>
      <c r="AV61"/>
      <c r="AW61"/>
      <c r="FY61" s="210">
        <v>56</v>
      </c>
      <c r="FZ61">
        <v>6.3326282733487673</v>
      </c>
      <c r="GA61">
        <v>29.215752732706186</v>
      </c>
      <c r="GB61">
        <v>19.365768795028782</v>
      </c>
      <c r="GC61">
        <v>10.323325809496426</v>
      </c>
      <c r="GD61">
        <v>5.9164673395981495</v>
      </c>
      <c r="GE61">
        <v>4.578213372987662</v>
      </c>
      <c r="GF61">
        <v>4.4877699279391416</v>
      </c>
      <c r="GG61">
        <v>1.1988829096148885</v>
      </c>
      <c r="GH61">
        <v>0</v>
      </c>
      <c r="GI61">
        <v>10.028174846149692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156.87940362342039</v>
      </c>
      <c r="AO62">
        <v>12.015150742853239</v>
      </c>
      <c r="AP62">
        <v>103.14154720429106</v>
      </c>
      <c r="AQ62">
        <v>82.11973609433042</v>
      </c>
      <c r="AR62">
        <v>11.204780209241132</v>
      </c>
      <c r="AS62">
        <v>136.3233499323174</v>
      </c>
      <c r="AT62">
        <v>6.193595036312554</v>
      </c>
      <c r="AU62">
        <v>59.672492655923087</v>
      </c>
      <c r="AV62"/>
      <c r="AW62"/>
      <c r="FY62" s="210">
        <v>57</v>
      </c>
      <c r="FZ62">
        <v>1.4033269737087684</v>
      </c>
      <c r="GA62">
        <v>22.860010288394793</v>
      </c>
      <c r="GB62">
        <v>20.16296300588845</v>
      </c>
      <c r="GC62">
        <v>8.6115776011026668</v>
      </c>
      <c r="GD62">
        <v>3.7529861925751531</v>
      </c>
      <c r="GE62">
        <v>5.5863220473200652</v>
      </c>
      <c r="GF62">
        <v>7.7189545364147154</v>
      </c>
      <c r="GG62">
        <v>1.6551166805814024</v>
      </c>
      <c r="GH62">
        <v>0.64372257779312592</v>
      </c>
      <c r="GI62">
        <v>8.9713651274926889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116.37652113701263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228.03132905614297</v>
      </c>
      <c r="AO63">
        <v>15.202315226943387</v>
      </c>
      <c r="AP63">
        <v>106.09639502633702</v>
      </c>
      <c r="AQ63">
        <v>86.194575813634216</v>
      </c>
      <c r="AR63">
        <v>14.080755046677959</v>
      </c>
      <c r="AS63">
        <v>168.71646519009528</v>
      </c>
      <c r="AT63" t="e">
        <v>#DIV/0!</v>
      </c>
      <c r="AU63" t="e">
        <v>#DIV/0!</v>
      </c>
      <c r="AV63"/>
      <c r="AW63"/>
      <c r="FY63" s="210">
        <v>58</v>
      </c>
      <c r="FZ63">
        <v>0.79009207049775299</v>
      </c>
      <c r="GA63">
        <v>22.138852666577584</v>
      </c>
      <c r="GB63">
        <v>21.834280682665181</v>
      </c>
      <c r="GC63">
        <v>9.1103552618898007</v>
      </c>
      <c r="GD63">
        <v>3.9801816462906325</v>
      </c>
      <c r="GE63">
        <v>6.3294510751640267</v>
      </c>
      <c r="GF63">
        <v>7.394325115827483</v>
      </c>
      <c r="GG63">
        <v>4.2636132227401937</v>
      </c>
      <c r="GH63">
        <v>3.9403851630144526</v>
      </c>
      <c r="GI63">
        <v>9.9061235743360143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192.41804920020132</v>
      </c>
      <c r="AO64">
        <v>14.634557094830578</v>
      </c>
      <c r="AP64">
        <v>119.90046725887078</v>
      </c>
      <c r="AQ64">
        <v>93.298372366904402</v>
      </c>
      <c r="AR64">
        <v>13.446374611847899</v>
      </c>
      <c r="AS64">
        <v>133.1986146114788</v>
      </c>
      <c r="AT64">
        <v>5.8344597520665502</v>
      </c>
      <c r="AU64">
        <v>-11.970744868207476</v>
      </c>
      <c r="AV64"/>
      <c r="AW64"/>
      <c r="FY64" s="210">
        <v>59</v>
      </c>
      <c r="FZ64">
        <v>4.0099293452442009</v>
      </c>
      <c r="GA64">
        <v>16.888072890031108</v>
      </c>
      <c r="GB64">
        <v>23.498893101100208</v>
      </c>
      <c r="GC64">
        <v>12.524519061549006</v>
      </c>
      <c r="GD64">
        <v>3.952844856843297</v>
      </c>
      <c r="GE64">
        <v>4.9032915595081157</v>
      </c>
      <c r="GF64">
        <v>6.1897965892424089</v>
      </c>
      <c r="GG64">
        <v>3.9464200547130126</v>
      </c>
      <c r="GH64">
        <v>2.1969826534817587</v>
      </c>
      <c r="GI64">
        <v>10.245671517182835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236.38950606783291</v>
      </c>
      <c r="AO65">
        <v>16.213591558442673</v>
      </c>
      <c r="AP65">
        <v>117.47720158952359</v>
      </c>
      <c r="AQ65">
        <v>94.212386318178972</v>
      </c>
      <c r="AR65">
        <v>14.947790225686379</v>
      </c>
      <c r="AS65">
        <v>144.44436869436689</v>
      </c>
      <c r="AT65" t="e">
        <v>#DIV/0!</v>
      </c>
      <c r="AU65" t="e">
        <v>#DIV/0!</v>
      </c>
      <c r="AV65"/>
      <c r="AW65"/>
      <c r="FY65" s="210">
        <v>60</v>
      </c>
      <c r="FZ65">
        <v>7.010998351862753</v>
      </c>
      <c r="GA65">
        <v>26.200555330489728</v>
      </c>
      <c r="GB65">
        <v>25.246613936325751</v>
      </c>
      <c r="GC65">
        <v>11.564546897054818</v>
      </c>
      <c r="GD65">
        <v>2.9807606073937531</v>
      </c>
      <c r="GE65">
        <v>2.4028290647146235</v>
      </c>
      <c r="GF65">
        <v>3.845756370494553</v>
      </c>
      <c r="GG65">
        <v>3.583857715477941</v>
      </c>
      <c r="GH65">
        <v>2.6439371063868249</v>
      </c>
      <c r="GI65">
        <v>10.222612324796017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262.90319372693045</v>
      </c>
      <c r="AO66">
        <v>17.084675207415923</v>
      </c>
      <c r="AP66">
        <v>127.86207679111085</v>
      </c>
      <c r="AQ66">
        <v>100.89644504338831</v>
      </c>
      <c r="AR66">
        <v>15.791255715753348</v>
      </c>
      <c r="AS66">
        <v>159.63622480987456</v>
      </c>
      <c r="AT66" t="e">
        <v>#DIV/0!</v>
      </c>
      <c r="AU66" t="e">
        <v>#DIV/0!</v>
      </c>
      <c r="AV66"/>
      <c r="AW66"/>
      <c r="FY66" s="210">
        <v>61</v>
      </c>
      <c r="FZ66">
        <v>3.6138096354871774</v>
      </c>
      <c r="GA66">
        <v>24.362187637468711</v>
      </c>
      <c r="GB66">
        <v>20.289473508587541</v>
      </c>
      <c r="GC66">
        <v>7.9847992434641437</v>
      </c>
      <c r="GD66">
        <v>3.6284042424836103</v>
      </c>
      <c r="GE66">
        <v>3.9469394091002985</v>
      </c>
      <c r="GF66">
        <v>1.8135214616071638</v>
      </c>
      <c r="GG66">
        <v>0.55170556019380068</v>
      </c>
      <c r="GH66">
        <v>0.90422588968412598</v>
      </c>
      <c r="GI66">
        <v>8.172753533311429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232.67874931758803</v>
      </c>
      <c r="AO67">
        <v>21.257566560167813</v>
      </c>
      <c r="AP67">
        <v>166.03799382354578</v>
      </c>
      <c r="AQ67">
        <v>129.08264706357713</v>
      </c>
      <c r="AR67">
        <v>19.686437877908297</v>
      </c>
      <c r="AS67">
        <v>180.08036921813573</v>
      </c>
      <c r="AT67">
        <v>9.82476293840441</v>
      </c>
      <c r="AU67">
        <v>-51.3804455100205</v>
      </c>
      <c r="AV67"/>
      <c r="AW67"/>
      <c r="FY67" s="210">
        <v>62</v>
      </c>
      <c r="FZ67">
        <v>4.0793592185797571</v>
      </c>
      <c r="GA67">
        <v>25.453025252257394</v>
      </c>
      <c r="GB67">
        <v>22.137236020793758</v>
      </c>
      <c r="GC67">
        <v>7.7368528524201921</v>
      </c>
      <c r="GD67">
        <v>3.1951362997986443</v>
      </c>
      <c r="GE67">
        <v>6.5877476479032797</v>
      </c>
      <c r="GF67">
        <v>4.8475695557993008</v>
      </c>
      <c r="GG67">
        <v>1.5160760776420703</v>
      </c>
      <c r="GH67">
        <v>2.0652637984292568</v>
      </c>
      <c r="GI67">
        <v>9.1770917389674906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197.87393251928833</v>
      </c>
      <c r="AO68">
        <v>15.838834619339758</v>
      </c>
      <c r="AP68">
        <v>125.66171444903051</v>
      </c>
      <c r="AQ68">
        <v>101.38268040525971</v>
      </c>
      <c r="AR68">
        <v>14.799225909114879</v>
      </c>
      <c r="AS68">
        <v>151.4194231220302</v>
      </c>
      <c r="AT68">
        <v>7.1914122797946831</v>
      </c>
      <c r="AU68">
        <v>-25.850959411647647</v>
      </c>
      <c r="AV68"/>
      <c r="AW68"/>
      <c r="FY68" s="210">
        <v>63</v>
      </c>
      <c r="FZ68">
        <v>11.916061707203188</v>
      </c>
      <c r="GA68">
        <v>35.955199130408332</v>
      </c>
      <c r="GB68">
        <v>26.560476446085115</v>
      </c>
      <c r="GC68">
        <v>12.094221371638412</v>
      </c>
      <c r="GD68">
        <v>4.3900736857705125</v>
      </c>
      <c r="GE68">
        <v>5.0490997778964823</v>
      </c>
      <c r="GF68">
        <v>5.0342867910797304</v>
      </c>
      <c r="GG68">
        <v>3.7119076625463934</v>
      </c>
      <c r="GH68">
        <v>4.2622464519110155</v>
      </c>
      <c r="GI68">
        <v>12.556441317248325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128.26719254765868</v>
      </c>
      <c r="AO69">
        <v>14.264265818311198</v>
      </c>
      <c r="AP69">
        <v>117.78824984154463</v>
      </c>
      <c r="AQ69">
        <v>89.016259038906298</v>
      </c>
      <c r="AR69">
        <v>13.229564211396536</v>
      </c>
      <c r="AS69">
        <v>121.78303335224534</v>
      </c>
      <c r="AT69">
        <v>6.25387807681724</v>
      </c>
      <c r="AU69">
        <v>-39.582273039269978</v>
      </c>
      <c r="AV69"/>
      <c r="AW69"/>
      <c r="FY69" s="210">
        <v>64</v>
      </c>
      <c r="FZ69">
        <v>3.8994731023562563</v>
      </c>
      <c r="GA69">
        <v>25.858855786030428</v>
      </c>
      <c r="GB69">
        <v>24.76442184975976</v>
      </c>
      <c r="GC69">
        <v>11.203888790555649</v>
      </c>
      <c r="GD69">
        <v>4.2348659023644384</v>
      </c>
      <c r="GE69">
        <v>7.2785059801039678</v>
      </c>
      <c r="GF69">
        <v>9.1261984042801174</v>
      </c>
      <c r="GG69">
        <v>2.5258157662982295</v>
      </c>
      <c r="GH69">
        <v>1.3578060336331905</v>
      </c>
      <c r="GI69">
        <v>11.172685344505801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41.666666666666664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18.749999999999996</v>
      </c>
      <c r="J70" s="18">
        <f t="shared" si="39"/>
        <v>22.916666666666668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175.60613786510842</v>
      </c>
      <c r="AO70">
        <v>17.033955276037858</v>
      </c>
      <c r="AP70">
        <v>142.14376652109905</v>
      </c>
      <c r="AQ70">
        <v>109.72695875893879</v>
      </c>
      <c r="AR70">
        <v>15.763972704453558</v>
      </c>
      <c r="AS70">
        <v>141.04717398265558</v>
      </c>
      <c r="AT70">
        <v>6.6618478239879151</v>
      </c>
      <c r="AU70">
        <v>-15.183459938590483</v>
      </c>
      <c r="AV70"/>
      <c r="AW70"/>
      <c r="FY70" s="210">
        <v>65</v>
      </c>
      <c r="FZ70">
        <v>1.566301923970352</v>
      </c>
      <c r="GA70">
        <v>19.611649300688683</v>
      </c>
      <c r="GB70">
        <v>16.855299783273733</v>
      </c>
      <c r="GC70">
        <v>6.8933889222471878</v>
      </c>
      <c r="GD70">
        <v>4.2670073238810904</v>
      </c>
      <c r="GE70">
        <v>6.780492505508926</v>
      </c>
      <c r="GF70">
        <v>4.2034064135042861</v>
      </c>
      <c r="GG70">
        <v>1.7377974564419647</v>
      </c>
      <c r="GH70">
        <v>3.2263017071743878</v>
      </c>
      <c r="GI70">
        <v>8.2033909045587468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100.84821428571429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7.395833333333333</v>
      </c>
      <c r="J71" s="18">
        <f t="shared" si="40"/>
        <v>59.523809523809533</v>
      </c>
      <c r="K71" s="18">
        <f t="shared" si="40"/>
        <v>33.928571428571431</v>
      </c>
      <c r="L71" s="18">
        <f t="shared" si="40"/>
        <v>0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165.75555617157048</v>
      </c>
      <c r="AO71">
        <v>16.836871460997958</v>
      </c>
      <c r="AP71">
        <v>133.06841489452432</v>
      </c>
      <c r="AQ71">
        <v>102.34174496171629</v>
      </c>
      <c r="AR71">
        <v>15.488586597983169</v>
      </c>
      <c r="AS71">
        <v>136.81582324831805</v>
      </c>
      <c r="AT71" t="e">
        <v>#DIV/0!</v>
      </c>
      <c r="AU71" t="e">
        <v>#DIV/0!</v>
      </c>
      <c r="AV71"/>
      <c r="AW71"/>
      <c r="FY71" s="210">
        <v>66</v>
      </c>
      <c r="FZ71">
        <v>7.0838444997131518</v>
      </c>
      <c r="GA71">
        <v>31.222522353006102</v>
      </c>
      <c r="GB71">
        <v>27.385018944596833</v>
      </c>
      <c r="GC71">
        <v>11.628887529924576</v>
      </c>
      <c r="GD71">
        <v>3.9152925560648981</v>
      </c>
      <c r="GE71">
        <v>4.1003252174948184</v>
      </c>
      <c r="GF71">
        <v>4.3880244459367965</v>
      </c>
      <c r="GG71">
        <v>2.7149589872569586</v>
      </c>
      <c r="GH71">
        <v>1.161037908745131</v>
      </c>
      <c r="GI71">
        <v>11.150884260504746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121.09375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27.083333333333336</v>
      </c>
      <c r="J72" s="18">
        <f t="shared" si="41"/>
        <v>14.843750000000004</v>
      </c>
      <c r="K72" s="18">
        <f t="shared" si="41"/>
        <v>20.833333333333332</v>
      </c>
      <c r="L72" s="18">
        <f t="shared" si="41"/>
        <v>28.125</v>
      </c>
      <c r="M72" s="18">
        <f t="shared" si="41"/>
        <v>27.083333333333332</v>
      </c>
      <c r="N72" s="18">
        <f t="shared" si="41"/>
        <v>3.125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239.02924767525263</v>
      </c>
      <c r="AO72">
        <v>15.033774062341525</v>
      </c>
      <c r="AP72">
        <v>109.84992741464363</v>
      </c>
      <c r="AQ72">
        <v>91.446984006869698</v>
      </c>
      <c r="AR72">
        <v>13.84573357798776</v>
      </c>
      <c r="AS72">
        <v>171.97286388825285</v>
      </c>
      <c r="AT72" t="e">
        <v>#DIV/0!</v>
      </c>
      <c r="AU72" t="e">
        <v>#DIV/0!</v>
      </c>
      <c r="AV72"/>
      <c r="AW72"/>
      <c r="FY72" s="210">
        <v>67</v>
      </c>
      <c r="FZ72">
        <v>1.5353700083294068</v>
      </c>
      <c r="GA72">
        <v>26.178148947054162</v>
      </c>
      <c r="GB72">
        <v>23.612135570615056</v>
      </c>
      <c r="GC72">
        <v>9.0592965421515839</v>
      </c>
      <c r="GD72">
        <v>3.6639334409183517</v>
      </c>
      <c r="GE72">
        <v>4.9185175322305437</v>
      </c>
      <c r="GF72">
        <v>4.3053014803570564</v>
      </c>
      <c r="GG72">
        <v>1.5160760776420703</v>
      </c>
      <c r="GH72">
        <v>1.161037908745131</v>
      </c>
      <c r="GI72">
        <v>9.244156842503811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418.29817990917121</v>
      </c>
      <c r="E73" s="64"/>
      <c r="F73" s="64"/>
      <c r="G73" s="18">
        <f>AVERAGE(E258:E267)</f>
        <v>0</v>
      </c>
      <c r="H73" s="18">
        <f t="shared" ref="H73:AK73" si="42">AVERAGE(F258:F267)</f>
        <v>95.207190438871464</v>
      </c>
      <c r="I73" s="18">
        <f t="shared" si="42"/>
        <v>245.68410815716851</v>
      </c>
      <c r="J73" s="18">
        <f t="shared" si="42"/>
        <v>28.606376262626259</v>
      </c>
      <c r="K73" s="18">
        <f t="shared" si="42"/>
        <v>24.179292929292927</v>
      </c>
      <c r="L73" s="18">
        <f t="shared" si="42"/>
        <v>9.0909090909090899</v>
      </c>
      <c r="M73" s="18">
        <f t="shared" si="42"/>
        <v>7.007575757575756</v>
      </c>
      <c r="N73" s="18">
        <f t="shared" si="42"/>
        <v>8.5227272727272716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196.97990608434586</v>
      </c>
      <c r="AO73">
        <v>13.443578150762807</v>
      </c>
      <c r="AP73">
        <v>103.64664620851744</v>
      </c>
      <c r="AQ73">
        <v>81.366345031271834</v>
      </c>
      <c r="AR73">
        <v>12.283317270633226</v>
      </c>
      <c r="AS73">
        <v>142.51691481583282</v>
      </c>
      <c r="AT73" t="e">
        <v>#DIV/0!</v>
      </c>
      <c r="AU73" t="e">
        <v>#DIV/0!</v>
      </c>
      <c r="AV73"/>
      <c r="AW73"/>
      <c r="FY73" s="210">
        <v>68</v>
      </c>
      <c r="FZ73">
        <v>6.9760394093920777</v>
      </c>
      <c r="GA73">
        <v>28.839019258975341</v>
      </c>
      <c r="GB73">
        <v>21.795655317971498</v>
      </c>
      <c r="GC73">
        <v>8.5085491490514915</v>
      </c>
      <c r="GD73">
        <v>2.891682243479095</v>
      </c>
      <c r="GE73">
        <v>8.6637893823013243</v>
      </c>
      <c r="GF73">
        <v>11.531006669751925</v>
      </c>
      <c r="GG73">
        <v>3.8417579671106914</v>
      </c>
      <c r="GH73">
        <v>4.9125947207481406</v>
      </c>
      <c r="GI73">
        <v>11.106779504882091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417.76244588744589</v>
      </c>
      <c r="E74" s="64"/>
      <c r="F74" s="64"/>
      <c r="G74" s="18">
        <f>AVERAGE(E268:E277)</f>
        <v>0</v>
      </c>
      <c r="H74" s="18">
        <f t="shared" ref="H74:AK74" si="43">AVERAGE(F268:F277)</f>
        <v>33.333333333333329</v>
      </c>
      <c r="I74" s="18">
        <f t="shared" si="43"/>
        <v>356.94895382395384</v>
      </c>
      <c r="J74" s="18">
        <f t="shared" si="43"/>
        <v>23.313492063492067</v>
      </c>
      <c r="K74" s="18">
        <f t="shared" si="43"/>
        <v>0</v>
      </c>
      <c r="L74" s="18">
        <f t="shared" si="43"/>
        <v>3.125</v>
      </c>
      <c r="M74" s="18">
        <f t="shared" si="43"/>
        <v>1.0416666666666665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207.03139041397944</v>
      </c>
      <c r="AO74">
        <v>14.934743768828202</v>
      </c>
      <c r="AP74">
        <v>115.01211855613602</v>
      </c>
      <c r="AQ74">
        <v>89.687660479003114</v>
      </c>
      <c r="AR74">
        <v>13.673596081203533</v>
      </c>
      <c r="AS74">
        <v>126.20999090096164</v>
      </c>
      <c r="AT74">
        <v>5.8307924955465866</v>
      </c>
      <c r="AU74">
        <v>-5.4025835296037972</v>
      </c>
      <c r="AV74"/>
      <c r="AW74"/>
      <c r="FY74" s="210">
        <v>69</v>
      </c>
      <c r="FZ74">
        <v>4.0355558243831089</v>
      </c>
      <c r="GA74">
        <v>30.142292528317796</v>
      </c>
      <c r="GB74">
        <v>25.420508626011998</v>
      </c>
      <c r="GC74">
        <v>10.452262999268923</v>
      </c>
      <c r="GD74">
        <v>4.5981342972810619</v>
      </c>
      <c r="GE74">
        <v>5.8772632518694756</v>
      </c>
      <c r="GF74">
        <v>5.8862609735345233</v>
      </c>
      <c r="GG74">
        <v>4.0744700017814655</v>
      </c>
      <c r="GH74">
        <v>4.1371532879025121</v>
      </c>
      <c r="GI74">
        <v>11.379549466195206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634.84270019196481</v>
      </c>
      <c r="E75" s="64"/>
      <c r="F75" s="64"/>
      <c r="G75" s="18">
        <f>AVERAGE(E278:E287)</f>
        <v>88.775623885918009</v>
      </c>
      <c r="H75" s="18">
        <f t="shared" ref="H75:AK75" si="44">AVERAGE(F278:F287)</f>
        <v>201.99035033593859</v>
      </c>
      <c r="I75" s="18">
        <f t="shared" si="44"/>
        <v>326.46308960647195</v>
      </c>
      <c r="J75" s="18">
        <f t="shared" si="44"/>
        <v>3.125</v>
      </c>
      <c r="K75" s="18">
        <f t="shared" si="44"/>
        <v>0</v>
      </c>
      <c r="L75" s="18">
        <f t="shared" si="44"/>
        <v>1.0416666666666665</v>
      </c>
      <c r="M75" s="18">
        <f t="shared" si="44"/>
        <v>12.405303030303028</v>
      </c>
      <c r="N75" s="18">
        <f t="shared" si="44"/>
        <v>1.0416666666666665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186.63555273750453</v>
      </c>
      <c r="AO75">
        <v>15.411365901348557</v>
      </c>
      <c r="AP75">
        <v>111.20075778101295</v>
      </c>
      <c r="AQ75">
        <v>88.356421628895959</v>
      </c>
      <c r="AR75">
        <v>14.194273784063512</v>
      </c>
      <c r="AS75">
        <v>133.94185582938684</v>
      </c>
      <c r="AT75" t="e">
        <v>#DIV/0!</v>
      </c>
      <c r="AU75" t="e">
        <v>#DIV/0!</v>
      </c>
      <c r="AV75"/>
      <c r="AW75"/>
      <c r="FY75" s="210">
        <v>70</v>
      </c>
      <c r="FZ75">
        <v>4.1583766109078821</v>
      </c>
      <c r="GA75">
        <v>24.951888254305185</v>
      </c>
      <c r="GB75">
        <v>32.310993254750016</v>
      </c>
      <c r="GC75">
        <v>15.665383727089786</v>
      </c>
      <c r="GD75">
        <v>3.8230313968228242</v>
      </c>
      <c r="GE75">
        <v>2.7902779815377858</v>
      </c>
      <c r="GF75">
        <v>3.2175913341994358</v>
      </c>
      <c r="GG75">
        <v>3.7137080200422385</v>
      </c>
      <c r="GH75">
        <v>4.3976565997935122</v>
      </c>
      <c r="GI75">
        <v>12.16424482398609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24.088541666666664</v>
      </c>
      <c r="E76" s="64"/>
      <c r="F76" s="64"/>
      <c r="G76" s="18">
        <f>AVERAGE(E288:E297)</f>
        <v>0</v>
      </c>
      <c r="H76" s="18">
        <f t="shared" ref="H76:AK76" si="45">AVERAGE(F288:F297)</f>
        <v>16.276041666666668</v>
      </c>
      <c r="I76" s="18">
        <f t="shared" si="45"/>
        <v>0</v>
      </c>
      <c r="J76" s="18">
        <f t="shared" si="45"/>
        <v>0</v>
      </c>
      <c r="K76" s="18">
        <f t="shared" si="45"/>
        <v>0</v>
      </c>
      <c r="L76" s="18">
        <f t="shared" si="45"/>
        <v>1.3020833333333333</v>
      </c>
      <c r="M76" s="18">
        <f t="shared" si="45"/>
        <v>6.5104166666666661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166.93907475130271</v>
      </c>
      <c r="AO76">
        <v>15.481162746880731</v>
      </c>
      <c r="AP76">
        <v>124.11957824474727</v>
      </c>
      <c r="AQ76">
        <v>95.702467704996764</v>
      </c>
      <c r="AR76">
        <v>14.337060862203771</v>
      </c>
      <c r="AS76">
        <v>144.58654406981708</v>
      </c>
      <c r="AT76">
        <v>6.1555963386912609</v>
      </c>
      <c r="AU76">
        <v>-9.9494717000108253</v>
      </c>
      <c r="AV76"/>
      <c r="AW76"/>
      <c r="FY76" s="210">
        <v>71</v>
      </c>
      <c r="FZ76">
        <v>3.879022921170403</v>
      </c>
      <c r="GA76">
        <v>28.413598028128487</v>
      </c>
      <c r="GB76">
        <v>27.975665821384979</v>
      </c>
      <c r="GC76">
        <v>10.706647234516883</v>
      </c>
      <c r="GD76">
        <v>2.1537270208717447</v>
      </c>
      <c r="GE76">
        <v>3.0404575524315067</v>
      </c>
      <c r="GF76">
        <v>3.5603180636344836</v>
      </c>
      <c r="GG76">
        <v>1.6441260247105225</v>
      </c>
      <c r="GH76">
        <v>2.5188439423783215</v>
      </c>
      <c r="GI76">
        <v>9.8894530211747202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69.223484848484858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23.042929292929294</v>
      </c>
      <c r="J77" s="18">
        <f t="shared" si="46"/>
        <v>45.138888888888893</v>
      </c>
      <c r="K77" s="18">
        <f t="shared" si="46"/>
        <v>0</v>
      </c>
      <c r="L77" s="18">
        <f t="shared" si="46"/>
        <v>0</v>
      </c>
      <c r="M77" s="18">
        <f t="shared" si="46"/>
        <v>1.0416666666666665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172.4140516853235</v>
      </c>
      <c r="AO77">
        <v>12.194584033529484</v>
      </c>
      <c r="AP77">
        <v>95.361615564389425</v>
      </c>
      <c r="AQ77">
        <v>75.267820121387984</v>
      </c>
      <c r="AR77">
        <v>11.395602257982741</v>
      </c>
      <c r="AS77">
        <v>116.89624149509645</v>
      </c>
      <c r="AT77" t="e">
        <v>#DIV/0!</v>
      </c>
      <c r="AU77" t="e">
        <v>#DIV/0!</v>
      </c>
      <c r="AV77"/>
      <c r="AW77"/>
      <c r="FY77" s="210">
        <v>72</v>
      </c>
      <c r="FZ77">
        <v>3.7839728314325338</v>
      </c>
      <c r="GA77">
        <v>18.095554883510445</v>
      </c>
      <c r="GB77">
        <v>21.933554847708528</v>
      </c>
      <c r="GC77">
        <v>10.626205458311736</v>
      </c>
      <c r="GD77">
        <v>4.2293881897718428</v>
      </c>
      <c r="GE77">
        <v>5.6896286343883222</v>
      </c>
      <c r="GF77">
        <v>4.7923803360722399</v>
      </c>
      <c r="GG77">
        <v>3.3621363366780468</v>
      </c>
      <c r="GH77">
        <v>1.161037908745131</v>
      </c>
      <c r="GI77">
        <v>9.5773045324737929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24.537037037037038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18.287037037037038</v>
      </c>
      <c r="J78" s="18">
        <f t="shared" si="47"/>
        <v>0</v>
      </c>
      <c r="K78" s="18">
        <f t="shared" si="47"/>
        <v>0</v>
      </c>
      <c r="L78" s="18">
        <f t="shared" si="47"/>
        <v>0</v>
      </c>
      <c r="M78" s="18">
        <f t="shared" si="47"/>
        <v>6.25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209.8823951979883</v>
      </c>
      <c r="AO78">
        <v>13.635826722158967</v>
      </c>
      <c r="AP78">
        <v>109.66308978681668</v>
      </c>
      <c r="AQ78">
        <v>86.795358462591139</v>
      </c>
      <c r="AR78">
        <v>12.592292420731662</v>
      </c>
      <c r="AS78">
        <v>137.11153507667794</v>
      </c>
      <c r="AT78">
        <v>5.8696931194591366</v>
      </c>
      <c r="AU78">
        <v>-20.099637007217087</v>
      </c>
      <c r="AV78"/>
      <c r="AW78"/>
      <c r="FY78" s="210">
        <v>73</v>
      </c>
      <c r="FZ78">
        <v>1.6420416194719387</v>
      </c>
      <c r="GA78">
        <v>21.179688151479684</v>
      </c>
      <c r="GB78">
        <v>22.438350385166373</v>
      </c>
      <c r="GC78">
        <v>10.285273065924475</v>
      </c>
      <c r="GD78">
        <v>6.076764449136979</v>
      </c>
      <c r="GE78">
        <v>9.2102118251782858</v>
      </c>
      <c r="GF78">
        <v>5.475734592094418</v>
      </c>
      <c r="GG78">
        <v>2.9366803660568532</v>
      </c>
      <c r="GH78">
        <v>3.5481629960709515</v>
      </c>
      <c r="GI78">
        <v>11.001620939061521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17.727152965974103</v>
      </c>
      <c r="E79" s="64"/>
      <c r="F79" s="64"/>
      <c r="G79" s="18">
        <f>AVERAGE(E318:E327)</f>
        <v>0</v>
      </c>
      <c r="H79" s="18">
        <f t="shared" ref="H79:AK79" si="48">AVERAGE(F318:F327)</f>
        <v>8.8922764227642279</v>
      </c>
      <c r="I79" s="18">
        <f t="shared" si="48"/>
        <v>0</v>
      </c>
      <c r="J79" s="18">
        <f t="shared" si="48"/>
        <v>6.7515432098765427</v>
      </c>
      <c r="K79" s="18">
        <f t="shared" si="48"/>
        <v>0</v>
      </c>
      <c r="L79" s="18">
        <f t="shared" si="48"/>
        <v>0</v>
      </c>
      <c r="M79" s="18">
        <f t="shared" si="48"/>
        <v>2.083333333333333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235.64901630413777</v>
      </c>
      <c r="AO79">
        <v>18.830947601478595</v>
      </c>
      <c r="AP79">
        <v>151.95464582841379</v>
      </c>
      <c r="AQ79">
        <v>121.53001434178752</v>
      </c>
      <c r="AR79">
        <v>17.426272288862251</v>
      </c>
      <c r="AS79">
        <v>183.2672479827753</v>
      </c>
      <c r="AT79">
        <v>8.3356349531425717</v>
      </c>
      <c r="AU79">
        <v>-22.368641893608388</v>
      </c>
      <c r="AV79"/>
      <c r="AW79"/>
      <c r="FY79" s="210">
        <v>74</v>
      </c>
      <c r="FZ79">
        <v>4.3693205598841498</v>
      </c>
      <c r="GA79">
        <v>32.99267523965792</v>
      </c>
      <c r="GB79">
        <v>29.225332181394005</v>
      </c>
      <c r="GC79">
        <v>11.105151216393816</v>
      </c>
      <c r="GD79">
        <v>4.7638417978292527</v>
      </c>
      <c r="GE79">
        <v>7.3382695338222952</v>
      </c>
      <c r="GF79">
        <v>4.9483898302268585</v>
      </c>
      <c r="GG79">
        <v>2.2913033741316107</v>
      </c>
      <c r="GH79">
        <v>2.5188439423783215</v>
      </c>
      <c r="GI79">
        <v>12.071128466629268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232.56449175329439</v>
      </c>
      <c r="AO80">
        <v>16.907542548468601</v>
      </c>
      <c r="AP80">
        <v>129.13179864131337</v>
      </c>
      <c r="AQ80">
        <v>101.42251695988784</v>
      </c>
      <c r="AR80">
        <v>15.364028839865147</v>
      </c>
      <c r="AS80">
        <v>146.36595556446306</v>
      </c>
      <c r="AT80">
        <v>6.5522082753197539</v>
      </c>
      <c r="AU80">
        <v>-11.954862550212694</v>
      </c>
      <c r="AV80"/>
      <c r="AW80"/>
      <c r="FY80" s="210">
        <v>75</v>
      </c>
      <c r="FZ80">
        <v>6.6961787847357241</v>
      </c>
      <c r="GA80">
        <v>23.28251262848844</v>
      </c>
      <c r="GB80">
        <v>15.081678706301632</v>
      </c>
      <c r="GC80">
        <v>6.2409839097773805</v>
      </c>
      <c r="GD80">
        <v>3.6115425547792146</v>
      </c>
      <c r="GE80">
        <v>6.9102375530339977</v>
      </c>
      <c r="GF80">
        <v>6.8829784599598209</v>
      </c>
      <c r="GG80">
        <v>3.8073794517736808</v>
      </c>
      <c r="GH80">
        <v>3.3580205622268897</v>
      </c>
      <c r="GI80">
        <v>8.6864697788724961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194.7225718803065</v>
      </c>
      <c r="AO81">
        <v>12.160759962266154</v>
      </c>
      <c r="AP81">
        <v>89.995953561564406</v>
      </c>
      <c r="AQ81">
        <v>73.345036241249346</v>
      </c>
      <c r="AR81">
        <v>11.250779975217926</v>
      </c>
      <c r="AS81">
        <v>113.7146434652588</v>
      </c>
      <c r="AT81" t="e">
        <v>#DIV/0!</v>
      </c>
      <c r="AU81" t="e">
        <v>#DIV/0!</v>
      </c>
      <c r="AV81"/>
      <c r="AW81"/>
      <c r="FY81" s="210">
        <v>76</v>
      </c>
      <c r="FZ81">
        <v>1.2878267027850463</v>
      </c>
      <c r="GA81">
        <v>18.140518090527209</v>
      </c>
      <c r="GB81">
        <v>15.170639608004695</v>
      </c>
      <c r="GC81">
        <v>6.4259700393927615</v>
      </c>
      <c r="GD81">
        <v>3.7943034191707907</v>
      </c>
      <c r="GE81">
        <v>4.6586798078338516</v>
      </c>
      <c r="GF81">
        <v>5.2178300310870291</v>
      </c>
      <c r="GG81">
        <v>6.6485880286032462</v>
      </c>
      <c r="GH81">
        <v>6.2624609805047147</v>
      </c>
      <c r="GI81">
        <v>8.1095574206597725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177.94143914709585</v>
      </c>
      <c r="AO82">
        <v>16.794029179132025</v>
      </c>
      <c r="AP82">
        <v>134.02320269964321</v>
      </c>
      <c r="AQ82">
        <v>104.75079670324402</v>
      </c>
      <c r="AR82">
        <v>15.547469015855894</v>
      </c>
      <c r="AS82">
        <v>154.57114536895762</v>
      </c>
      <c r="AT82" t="e">
        <v>#DIV/0!</v>
      </c>
      <c r="AU82" t="e">
        <v>#DIV/0!</v>
      </c>
      <c r="AV82"/>
      <c r="AW82"/>
      <c r="FY82" s="210">
        <v>77</v>
      </c>
      <c r="FZ82">
        <v>4.5250883411488809</v>
      </c>
      <c r="GA82">
        <v>29.689654082265214</v>
      </c>
      <c r="GB82">
        <v>23.186102656673302</v>
      </c>
      <c r="GC82">
        <v>8.3007818732464145</v>
      </c>
      <c r="GD82">
        <v>4.1452056479170842</v>
      </c>
      <c r="GE82">
        <v>8.7282509860508704</v>
      </c>
      <c r="GF82">
        <v>7.7647992695639818</v>
      </c>
      <c r="GG82">
        <v>3.8417579671106914</v>
      </c>
      <c r="GH82">
        <v>6.9201918350018294</v>
      </c>
      <c r="GI82">
        <v>11.425752982399635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151.31175362592745</v>
      </c>
      <c r="AO83">
        <v>13.963535249645123</v>
      </c>
      <c r="AP83">
        <v>110.38236328552929</v>
      </c>
      <c r="AQ83">
        <v>85.19397435054718</v>
      </c>
      <c r="AR83">
        <v>12.815452854035492</v>
      </c>
      <c r="AS83">
        <v>118.31242334390008</v>
      </c>
      <c r="AT83" t="e">
        <v>#DIV/0!</v>
      </c>
      <c r="AU83" t="e">
        <v>#DIV/0!</v>
      </c>
      <c r="AV83"/>
      <c r="AW83"/>
      <c r="FY83" s="210">
        <v>78</v>
      </c>
      <c r="FZ83">
        <v>1.4860156511781073</v>
      </c>
      <c r="GA83">
        <v>29.329522016813954</v>
      </c>
      <c r="GB83">
        <v>22.868498946603388</v>
      </c>
      <c r="GC83">
        <v>6.4664664458372165</v>
      </c>
      <c r="GD83">
        <v>3.2123335442281764</v>
      </c>
      <c r="GE83">
        <v>7.3173071303200672</v>
      </c>
      <c r="GF83">
        <v>6.0360999763844774</v>
      </c>
      <c r="GG83">
        <v>2.6066961846629466</v>
      </c>
      <c r="GH83">
        <v>4.6478429278105189</v>
      </c>
      <c r="GI83">
        <v>9.6431883581771842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218.7050450879226</v>
      </c>
      <c r="AO84">
        <v>16.688726375876023</v>
      </c>
      <c r="AP84">
        <v>138.51634610233893</v>
      </c>
      <c r="AQ84">
        <v>109.0668736236637</v>
      </c>
      <c r="AR84">
        <v>15.037237360227286</v>
      </c>
      <c r="AS84">
        <v>154.22959422348757</v>
      </c>
      <c r="AT84">
        <v>7.6102857694276267</v>
      </c>
      <c r="AU84">
        <v>-16.451745373487473</v>
      </c>
      <c r="AV84"/>
      <c r="AW84"/>
      <c r="AX84" s="157" t="s">
        <v>111</v>
      </c>
      <c r="CJ84" s="157" t="s">
        <v>112</v>
      </c>
      <c r="FY84" s="210">
        <v>79</v>
      </c>
      <c r="FZ84">
        <v>1.5045703626057403</v>
      </c>
      <c r="GA84">
        <v>16.570681235556588</v>
      </c>
      <c r="GB84">
        <v>21.410114007857906</v>
      </c>
      <c r="GC84">
        <v>10.828898420486786</v>
      </c>
      <c r="GD84">
        <v>4.5273909498634923</v>
      </c>
      <c r="GE84">
        <v>4.4460665027875841</v>
      </c>
      <c r="GF84">
        <v>2.5745029843296336</v>
      </c>
      <c r="GG84">
        <v>3.0321521552841406</v>
      </c>
      <c r="GH84">
        <v>2.322075817490262</v>
      </c>
      <c r="GI84">
        <v>9.016342772939451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213.18638879854149</v>
      </c>
      <c r="AO85">
        <v>17.101937515962543</v>
      </c>
      <c r="AP85">
        <v>135.02528386781535</v>
      </c>
      <c r="AQ85">
        <v>106.00345125654606</v>
      </c>
      <c r="AR85">
        <v>15.800452447355195</v>
      </c>
      <c r="AS85">
        <v>158.53096536277101</v>
      </c>
      <c r="AT85">
        <v>7.0240695161265565</v>
      </c>
      <c r="AU85">
        <v>-20.899212691541369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2.1906545450354526</v>
      </c>
      <c r="GA85">
        <v>21.888223134843649</v>
      </c>
      <c r="GB85">
        <v>19.180334790642796</v>
      </c>
      <c r="GC85">
        <v>7.2233333801016419</v>
      </c>
      <c r="GD85">
        <v>3.163690546533497</v>
      </c>
      <c r="GE85">
        <v>7.8521847630260613</v>
      </c>
      <c r="GF85">
        <v>9.4657511384420339</v>
      </c>
      <c r="GG85">
        <v>2.7475371450981236</v>
      </c>
      <c r="GH85">
        <v>2.8407052312748844</v>
      </c>
      <c r="GI85">
        <v>9.1677930255371205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190.77902302166655</v>
      </c>
      <c r="AO86">
        <v>18.217209024120876</v>
      </c>
      <c r="AP86">
        <v>139.34884238688156</v>
      </c>
      <c r="AQ86">
        <v>107.19315200343476</v>
      </c>
      <c r="AR86">
        <v>16.995426173362308</v>
      </c>
      <c r="AS86">
        <v>174.63677538286802</v>
      </c>
      <c r="AT86">
        <v>8.0275757780723183</v>
      </c>
      <c r="AU86">
        <v>-25.518790533714455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1.2225623889330943</v>
      </c>
      <c r="GA86">
        <v>16.92454129300495</v>
      </c>
      <c r="GB86">
        <v>12.847049609663717</v>
      </c>
      <c r="GC86">
        <v>4.9122109123788009</v>
      </c>
      <c r="GD86">
        <v>2.8624978435263038</v>
      </c>
      <c r="GE86">
        <v>4.9006472443831788</v>
      </c>
      <c r="GF86">
        <v>5.3589162116669629</v>
      </c>
      <c r="GG86">
        <v>1.1034111203876014</v>
      </c>
      <c r="GH86">
        <v>0</v>
      </c>
      <c r="GI86">
        <v>6.0490355869523711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150.21613895715194</v>
      </c>
      <c r="AO87">
        <v>14.962678458363067</v>
      </c>
      <c r="AP87">
        <v>125.55549947704188</v>
      </c>
      <c r="AQ87">
        <v>93.781859630402039</v>
      </c>
      <c r="AR87">
        <v>13.773798559359179</v>
      </c>
      <c r="AS87">
        <v>131.73666333074152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2.0572229755754692</v>
      </c>
      <c r="GA87">
        <v>19.703244676656965</v>
      </c>
      <c r="GB87">
        <v>25.612837171148669</v>
      </c>
      <c r="GC87">
        <v>11.421537152661365</v>
      </c>
      <c r="GD87">
        <v>2.6469355615061416</v>
      </c>
      <c r="GE87">
        <v>2.2161992335305127</v>
      </c>
      <c r="GF87">
        <v>3.6121196096396426</v>
      </c>
      <c r="GG87">
        <v>5.0370401617338896</v>
      </c>
      <c r="GH87">
        <v>4.8409197598685845</v>
      </c>
      <c r="GI87">
        <v>9.6973638836693521</v>
      </c>
      <c r="GJ87"/>
      <c r="GK87"/>
      <c r="GL87"/>
      <c r="GM87"/>
    </row>
    <row r="88" spans="1:195" s="7" customFormat="1">
      <c r="A88" s="128"/>
      <c r="B88" s="76">
        <f ca="1">IF(C88="", "", RAND())</f>
        <v>7.1259231141865165E-2</v>
      </c>
      <c r="C88">
        <v>10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185.31494570713636</v>
      </c>
      <c r="AO88">
        <v>14.482658396086862</v>
      </c>
      <c r="AP88">
        <v>104.19711665615918</v>
      </c>
      <c r="AQ88">
        <v>83.251163959092622</v>
      </c>
      <c r="AR88">
        <v>13.37659426315753</v>
      </c>
      <c r="AS88">
        <v>133.69363991388167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0.51204228746566094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0.29409824588435129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>
        <v>1</v>
      </c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0.14825281295453174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20.833333333333332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20.833333333333332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0.55346430818419667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0.55346430818419667</v>
      </c>
      <c r="FV88" s="149"/>
      <c r="FY88" s="210">
        <v>83</v>
      </c>
      <c r="FZ88">
        <v>1.1157711684497682</v>
      </c>
      <c r="GA88">
        <v>16.995102561004977</v>
      </c>
      <c r="GB88">
        <v>20.602361554545833</v>
      </c>
      <c r="GC88">
        <v>10.180492688740379</v>
      </c>
      <c r="GD88">
        <v>4.8786817983198292</v>
      </c>
      <c r="GE88">
        <v>6.7784469681121351</v>
      </c>
      <c r="GF88">
        <v>5.0502848970796279</v>
      </c>
      <c r="GG88">
        <v>2.8448092918212566</v>
      </c>
      <c r="GH88">
        <v>2.715612067266381</v>
      </c>
      <c r="GI88">
        <v>9.5086522135732157</v>
      </c>
      <c r="GJ88"/>
      <c r="GK88"/>
      <c r="GL88"/>
      <c r="GM88"/>
    </row>
    <row r="89" spans="1:195" s="7" customFormat="1">
      <c r="A89" s="115"/>
      <c r="B89" s="76">
        <f ca="1">IF(C89="", "", RAND())</f>
        <v>0.47807603124938813</v>
      </c>
      <c r="C89">
        <v>4</v>
      </c>
      <c r="D89">
        <v>39646</v>
      </c>
      <c r="E89">
        <v>0</v>
      </c>
      <c r="F89">
        <v>0</v>
      </c>
      <c r="G89">
        <v>31.25</v>
      </c>
      <c r="H89">
        <v>10.416666666666666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229.66312581520296</v>
      </c>
      <c r="AO89">
        <v>16.486370701521512</v>
      </c>
      <c r="AP89">
        <v>115.05495779031607</v>
      </c>
      <c r="AQ89">
        <v>93.794528389641471</v>
      </c>
      <c r="AR89">
        <v>15.278761691711159</v>
      </c>
      <c r="AS89">
        <v>139.60314573313605</v>
      </c>
      <c r="AT89">
        <v>7.2914259974033113</v>
      </c>
      <c r="AU89">
        <v>-62.799273270454535</v>
      </c>
      <c r="AV89"/>
      <c r="AW89"/>
      <c r="AX89" s="150"/>
      <c r="AY89" s="76">
        <f t="shared" ref="AY89:AY147" ca="1" si="86">IF(AZ89="", "", RAND())</f>
        <v>0.65651419542127898</v>
      </c>
      <c r="AZ89">
        <v>2</v>
      </c>
      <c r="BA89" s="129">
        <f t="shared" ref="BA89:BA97" si="87">IF(AZ89="", "",$C$4)</f>
        <v>39646</v>
      </c>
      <c r="BB89">
        <v>0</v>
      </c>
      <c r="BC89"/>
      <c r="BD89"/>
      <c r="BE89">
        <v>1</v>
      </c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47" ca="1" si="88">IF(AZ89="", "", RAND())</f>
        <v>0.42133566936840872</v>
      </c>
      <c r="CL89" s="179">
        <f t="shared" ref="CL89:CL147" si="89">IF(AZ89="", "", AZ89)</f>
        <v>2</v>
      </c>
      <c r="CM89" s="180">
        <f t="shared" ref="CM89:CM147" si="90">IF(AZ89="", "", BA89)</f>
        <v>39646</v>
      </c>
      <c r="CN89">
        <v>0</v>
      </c>
      <c r="CO89"/>
      <c r="CP89"/>
      <c r="CQ89">
        <v>1</v>
      </c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7.7316062215240677E-2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47" si="94">IF($AZ89="", "", ((BC89*$CW89)+(CO89*$CX89))/$CZ89)</f>
        <v>0</v>
      </c>
      <c r="DH89" s="161">
        <f t="shared" ref="DH89:DH147" si="95">IF($AZ89="", "", ((BD89*$CW89)+(CP89*$CX89))/$CZ89)</f>
        <v>0</v>
      </c>
      <c r="DI89" s="161">
        <f t="shared" ref="DI89:DI147" si="96">IF($AZ89="", "", ((BE89*$CW89)+(CQ89*$CX89))/$CZ89)</f>
        <v>31.25</v>
      </c>
      <c r="DJ89" s="161">
        <f t="shared" ref="DJ89:DJ147" si="97">IF($AZ89="", "", ((BF89*$CW89)+(CR89*$CX89))/$CZ89)</f>
        <v>0</v>
      </c>
      <c r="DK89" s="161">
        <f t="shared" ref="DK89:DK147" si="98">IF($AZ89="", "", ((BG89*$CW89)+(CS89*$CX89))/$CZ89)</f>
        <v>0</v>
      </c>
      <c r="DL89" s="161">
        <f t="shared" ref="DL89:DL147" si="99">IF($AZ89="", "", ((BH89*$CW89)+(CT89*$CX89))/$CZ89)</f>
        <v>0</v>
      </c>
      <c r="DM89" s="161">
        <f t="shared" ref="DM89:DM147" si="100">IF($AZ89="", "", ((BI89*$CW89)+(CU89*$CX89))/$CZ89)</f>
        <v>0</v>
      </c>
      <c r="DN89" s="161">
        <f t="shared" ref="DN89:DN147" si="101">IF($AZ89="", "", (BJ89*$CW89)/$CZ89)</f>
        <v>0</v>
      </c>
      <c r="DO89" s="161">
        <f t="shared" ref="DO89:DO147" si="102">IF($AZ89="", "", (BK89*$CW89)/$CZ89)</f>
        <v>0</v>
      </c>
      <c r="DP89" s="161">
        <f t="shared" ref="DP89:DP147" si="103">IF($AZ89="", "", (BL89*$CW89)/$CZ89)</f>
        <v>0</v>
      </c>
      <c r="DQ89" s="161">
        <f t="shared" ref="DQ89:DQ147" si="104">IF($AZ89="", "", (BM89*$CW89)/$CZ89)</f>
        <v>0</v>
      </c>
      <c r="DR89" s="161">
        <f t="shared" ref="DR89:DR147" si="105">IF($AZ89="", "", (BN89*$CW89)/$CZ89)</f>
        <v>0</v>
      </c>
      <c r="DS89" s="161">
        <f t="shared" ref="DS89:DS147" si="106">IF($AZ89="", "", (BO89*$CW89)/$CZ89)</f>
        <v>0</v>
      </c>
      <c r="DT89" s="161">
        <f t="shared" ref="DT89:DT147" si="107">IF($AZ89="", "", (BP89*$CW89)/$CZ89)</f>
        <v>0</v>
      </c>
      <c r="DU89" s="161">
        <f t="shared" ref="DU89:DU147" si="108">IF($AZ89="", "", (BQ89*$CW89)/$CZ89)</f>
        <v>0</v>
      </c>
      <c r="DV89" s="161">
        <f t="shared" ref="DV89:DV147" si="109">IF($AZ89="", "", (BR89*$CW89)/$CZ89)</f>
        <v>0</v>
      </c>
      <c r="DW89" s="161">
        <f t="shared" ref="DW89:DW147" si="110">IF($AZ89="", "", (BS89*$CW89)/$CZ89)</f>
        <v>0</v>
      </c>
      <c r="DX89" s="161">
        <f t="shared" ref="DX89:DX147" si="111">IF($AZ89="", "", (BT89*$CW89)/$CZ89)</f>
        <v>0</v>
      </c>
      <c r="DY89" s="161">
        <f t="shared" ref="DY89:DY147" si="112">IF($AZ89="", "", (BU89*$CW89)/$CZ89)</f>
        <v>0</v>
      </c>
      <c r="DZ89" s="161">
        <f t="shared" ref="DZ89:DZ147" si="113">IF($AZ89="", "", (BV89*$CW89)/$CZ89)</f>
        <v>0</v>
      </c>
      <c r="EA89" s="161">
        <f t="shared" ref="EA89:EA147" si="114">IF($AZ89="", "", (BW89*$CW89)/$CZ89)</f>
        <v>0</v>
      </c>
      <c r="EB89" s="161">
        <f t="shared" ref="EB89:EB147" si="115">IF($AZ89="", "", (BX89*$CW89)/$CZ89)</f>
        <v>0</v>
      </c>
      <c r="EC89" s="161">
        <f t="shared" ref="EC89:EC147" si="116">IF($AZ89="", "", (BY89*$CW89)/$CZ89)</f>
        <v>0</v>
      </c>
      <c r="ED89" s="161">
        <f t="shared" ref="ED89:ED147" si="117">IF($AZ89="", "", (BZ89*$CW89)/$CZ89)</f>
        <v>0</v>
      </c>
      <c r="EE89" s="161">
        <f t="shared" ref="EE89:EE147" si="118">IF($AZ89="", "", (CA89*$CW89)/$CZ89)</f>
        <v>0</v>
      </c>
      <c r="EF89" s="161">
        <f t="shared" ref="EF89:EF147" si="119">IF($AZ89="", "", (CB89*$CW89)/$CZ89)</f>
        <v>0</v>
      </c>
      <c r="EG89" s="161">
        <f t="shared" ref="EG89:EG147" si="120">IF($AZ89="", "", (CC89*$CW89)/$CZ89)</f>
        <v>0</v>
      </c>
      <c r="EH89" s="161">
        <f t="shared" ref="EH89:EH147" si="121">IF($AZ89="", "", (CD89*$CW89)/$CZ89)</f>
        <v>0</v>
      </c>
      <c r="EI89" s="161">
        <f t="shared" ref="EI89:EI147" si="122">IF($AZ89="", "", (CE89*$CW89)/$CZ89)</f>
        <v>0</v>
      </c>
      <c r="EJ89" s="161">
        <f t="shared" ref="EJ89:EJ147" si="123">IF($AZ89="", "", (CF89*$CW89)/$CZ89)</f>
        <v>0</v>
      </c>
      <c r="EK89" s="147">
        <f t="shared" si="53"/>
        <v>31.25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2.710286315525873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2.710286315525873</v>
      </c>
      <c r="FV89" s="149"/>
      <c r="FY89" s="210">
        <v>84</v>
      </c>
      <c r="FZ89">
        <v>7.4476437589898854</v>
      </c>
      <c r="GA89">
        <v>37.232615474582246</v>
      </c>
      <c r="GB89">
        <v>34.530274045962528</v>
      </c>
      <c r="GC89">
        <v>14.369067726312531</v>
      </c>
      <c r="GD89">
        <v>5.4059212020414193</v>
      </c>
      <c r="GE89">
        <v>5.8062169529703329</v>
      </c>
      <c r="GF89">
        <v>2.0311601164621762</v>
      </c>
      <c r="GG89">
        <v>3.0665306706211508</v>
      </c>
      <c r="GH89">
        <v>3.8152919990059497</v>
      </c>
      <c r="GI89">
        <v>13.894829795081348</v>
      </c>
      <c r="GJ89"/>
      <c r="GK89"/>
      <c r="GL89"/>
      <c r="GM89"/>
    </row>
    <row r="90" spans="1:195" s="7" customFormat="1">
      <c r="A90" s="115"/>
      <c r="B90" s="76">
        <f ca="1">IF(C90="", "", RAND())</f>
        <v>0.79224275290802648</v>
      </c>
      <c r="C90">
        <v>8</v>
      </c>
      <c r="D90">
        <v>39646</v>
      </c>
      <c r="E90">
        <v>0</v>
      </c>
      <c r="F90">
        <v>0</v>
      </c>
      <c r="G90">
        <v>41.666666666666664</v>
      </c>
      <c r="H90">
        <v>10.416666666666666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197.08964928948265</v>
      </c>
      <c r="AO90">
        <v>18.215415563243443</v>
      </c>
      <c r="AP90">
        <v>143.04148763685907</v>
      </c>
      <c r="AQ90">
        <v>111.62425614234752</v>
      </c>
      <c r="AR90">
        <v>16.793451202165009</v>
      </c>
      <c r="AS90">
        <v>158.34600877770109</v>
      </c>
      <c r="AT90">
        <v>7.0737574069995652</v>
      </c>
      <c r="AU90">
        <v>-22.767951307489636</v>
      </c>
      <c r="AV90"/>
      <c r="AW90"/>
      <c r="AX90" s="150"/>
      <c r="AY90" s="76">
        <f t="shared" ca="1" si="86"/>
        <v>0.79052609334860335</v>
      </c>
      <c r="AZ90">
        <v>3</v>
      </c>
      <c r="BA90" s="129">
        <f t="shared" si="87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0.53708146233929366</v>
      </c>
      <c r="CL90" s="179">
        <f t="shared" si="89"/>
        <v>3</v>
      </c>
      <c r="CM90" s="180">
        <f t="shared" si="90"/>
        <v>39646</v>
      </c>
      <c r="CN90">
        <v>0</v>
      </c>
      <c r="CO90"/>
      <c r="CP90"/>
      <c r="CQ90">
        <v>1</v>
      </c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0.76028590432654197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10.416666666666666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10.416666666666666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0.90342877184195758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0.90342877184195758</v>
      </c>
      <c r="FV90" s="149"/>
      <c r="FY90" s="210">
        <v>85</v>
      </c>
      <c r="FZ90">
        <v>6.8960050158579058</v>
      </c>
      <c r="GA90">
        <v>38.107129393361468</v>
      </c>
      <c r="GB90">
        <v>32.310357486222607</v>
      </c>
      <c r="GC90">
        <v>11.245255829312734</v>
      </c>
      <c r="GD90">
        <v>2.1948495603236875</v>
      </c>
      <c r="GE90">
        <v>2.9275708189967982</v>
      </c>
      <c r="GF90">
        <v>3.5453947500597991</v>
      </c>
      <c r="GG90">
        <v>1.3269328566833409</v>
      </c>
      <c r="GH90">
        <v>2.5225352352083168</v>
      </c>
      <c r="GI90">
        <v>11.420717952535812</v>
      </c>
      <c r="GJ90"/>
      <c r="GK90"/>
      <c r="GL90"/>
      <c r="GM90"/>
    </row>
    <row r="91" spans="1:195" s="7" customFormat="1">
      <c r="A91" s="77"/>
      <c r="B91" s="76">
        <f ca="1">IF(C91="", "", RAND())</f>
        <v>0.22019454192872612</v>
      </c>
      <c r="C91">
        <v>6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200.61299436837436</v>
      </c>
      <c r="AO91">
        <v>13.086686587543351</v>
      </c>
      <c r="AP91">
        <v>103.08488106101682</v>
      </c>
      <c r="AQ91">
        <v>84.557982389949274</v>
      </c>
      <c r="AR91">
        <v>11.888536210704965</v>
      </c>
      <c r="AS91">
        <v>125.53750941676832</v>
      </c>
      <c r="AT91" t="e">
        <v>#DIV/0!</v>
      </c>
      <c r="AU91" t="e">
        <v>#DIV/0!</v>
      </c>
      <c r="AV91"/>
      <c r="AW91"/>
      <c r="AX91" s="151"/>
      <c r="AY91" s="76">
        <f t="shared" ca="1" si="86"/>
        <v>0.93067140940028414</v>
      </c>
      <c r="AZ91">
        <v>4</v>
      </c>
      <c r="BA91" s="129">
        <f t="shared" si="87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0.43544642185436633</v>
      </c>
      <c r="CL91" s="179">
        <f t="shared" si="89"/>
        <v>4</v>
      </c>
      <c r="CM91" s="180">
        <f t="shared" si="90"/>
        <v>39646</v>
      </c>
      <c r="CN91">
        <v>0</v>
      </c>
      <c r="CO91"/>
      <c r="CP91">
        <v>3</v>
      </c>
      <c r="CQ91">
        <v>1</v>
      </c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0.28745825649356083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31.25</v>
      </c>
      <c r="DI91" s="161">
        <f t="shared" si="96"/>
        <v>10.416666666666666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41.666666666666664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0.83019646227629507</v>
      </c>
      <c r="ES91" s="139">
        <f t="shared" si="57"/>
        <v>0.90342877184195758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1.7336252341182528</v>
      </c>
      <c r="FV91" s="149"/>
      <c r="FY91" s="210">
        <v>86</v>
      </c>
      <c r="FZ91">
        <v>3.9740730109082723</v>
      </c>
      <c r="GA91">
        <v>26.793920879470672</v>
      </c>
      <c r="GB91">
        <v>28.251846263033951</v>
      </c>
      <c r="GC91">
        <v>10.285502081898915</v>
      </c>
      <c r="GD91">
        <v>2.2352452796615001</v>
      </c>
      <c r="GE91">
        <v>3.0400768488174403</v>
      </c>
      <c r="GF91">
        <v>2.0322349088873888</v>
      </c>
      <c r="GG91">
        <v>2.8448092918212566</v>
      </c>
      <c r="GH91">
        <v>2.9761153791573811</v>
      </c>
      <c r="GI91">
        <v>9.7589204438305988</v>
      </c>
      <c r="GJ91"/>
      <c r="GK91"/>
      <c r="GL91"/>
      <c r="GM91"/>
    </row>
    <row r="92" spans="1:195" s="7" customFormat="1">
      <c r="A92" s="77"/>
      <c r="B92" s="76">
        <f ca="1">IF(C92="", "", RAND())</f>
        <v>0.99487984274507935</v>
      </c>
      <c r="C92">
        <v>3</v>
      </c>
      <c r="D92">
        <v>39646</v>
      </c>
      <c r="E92">
        <v>0</v>
      </c>
      <c r="F92">
        <v>0</v>
      </c>
      <c r="G92">
        <v>0</v>
      </c>
      <c r="H92">
        <v>10.416666666666666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185.69580620651169</v>
      </c>
      <c r="AO92">
        <v>12.06385249155087</v>
      </c>
      <c r="AP92">
        <v>93.824021091543955</v>
      </c>
      <c r="AQ92">
        <v>75.7163741285691</v>
      </c>
      <c r="AR92">
        <v>11.19403519331488</v>
      </c>
      <c r="AS92">
        <v>126.88025196529303</v>
      </c>
      <c r="AT92">
        <v>5.5185245355852288</v>
      </c>
      <c r="AU92">
        <v>4.5719149560601346</v>
      </c>
      <c r="AV92"/>
      <c r="AW92"/>
      <c r="AX92" s="151"/>
      <c r="AY92" s="76">
        <f t="shared" ca="1" si="86"/>
        <v>0.73794787988068578</v>
      </c>
      <c r="AZ92">
        <v>5</v>
      </c>
      <c r="BA92" s="129">
        <f t="shared" si="87"/>
        <v>39646</v>
      </c>
      <c r="BB92" s="215">
        <v>0</v>
      </c>
      <c r="BC92" s="215"/>
      <c r="BD92" s="215"/>
      <c r="BE92" s="215"/>
      <c r="BF92" s="215"/>
      <c r="BG92" s="215"/>
      <c r="BH92" s="215"/>
      <c r="BI92" s="215"/>
      <c r="BJ92" s="215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5.8981200367780318E-3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0.68932117502680512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0">
        <v>87</v>
      </c>
      <c r="FZ92">
        <v>6.5311887553751262</v>
      </c>
      <c r="GA92">
        <v>30.381258534355187</v>
      </c>
      <c r="GB92">
        <v>27.446905332647088</v>
      </c>
      <c r="GC92">
        <v>11.135959949700702</v>
      </c>
      <c r="GD92">
        <v>3.0146005966280507</v>
      </c>
      <c r="GE92">
        <v>6.6783765649448519</v>
      </c>
      <c r="GF92">
        <v>8.4121364071321274</v>
      </c>
      <c r="GG92">
        <v>2.3849748058630524</v>
      </c>
      <c r="GH92">
        <v>3.2263017071743878</v>
      </c>
      <c r="GI92">
        <v>11.6792667235688</v>
      </c>
      <c r="GJ92"/>
      <c r="GK92"/>
      <c r="GL92"/>
      <c r="GM92"/>
    </row>
    <row r="93" spans="1:195" s="7" customFormat="1">
      <c r="A93" s="77"/>
      <c r="B93" s="76">
        <f ca="1">IF(C93="", "", RAND())</f>
        <v>0.30483002451244223</v>
      </c>
      <c r="C93">
        <v>7</v>
      </c>
      <c r="D93">
        <v>39646</v>
      </c>
      <c r="E93">
        <v>0</v>
      </c>
      <c r="F93">
        <v>0</v>
      </c>
      <c r="G93">
        <v>20.833333333333332</v>
      </c>
      <c r="H93">
        <v>62.5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218.27459483441589</v>
      </c>
      <c r="AO93">
        <v>16.918664894860758</v>
      </c>
      <c r="AP93">
        <v>136.84742742893977</v>
      </c>
      <c r="AQ93">
        <v>108.52758564137788</v>
      </c>
      <c r="AR93">
        <v>15.668077439888338</v>
      </c>
      <c r="AS93">
        <v>144.60005068915595</v>
      </c>
      <c r="AT93">
        <v>6.6629405833146933</v>
      </c>
      <c r="AU93">
        <v>-14.974231579120673</v>
      </c>
      <c r="AV93"/>
      <c r="AW93"/>
      <c r="AX93" s="151"/>
      <c r="AY93" s="76">
        <f t="shared" ca="1" si="86"/>
        <v>0.99691421891231258</v>
      </c>
      <c r="AZ93">
        <v>6</v>
      </c>
      <c r="BA93" s="129">
        <f t="shared" si="87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0.7098942660527483</v>
      </c>
      <c r="CL93" s="179">
        <f t="shared" si="89"/>
        <v>6</v>
      </c>
      <c r="CM93" s="180">
        <f t="shared" si="90"/>
        <v>39646</v>
      </c>
      <c r="CN93" s="218">
        <v>0</v>
      </c>
      <c r="CO93" s="218"/>
      <c r="CP93" s="218"/>
      <c r="CQ93" s="218"/>
      <c r="CR93" s="218"/>
      <c r="CS93" s="218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0.21235620148753642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0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</v>
      </c>
      <c r="FV93" s="149"/>
      <c r="FY93" s="210">
        <v>88</v>
      </c>
      <c r="FZ93">
        <v>6.7269752990910927</v>
      </c>
      <c r="GA93">
        <v>33.865205121818803</v>
      </c>
      <c r="GB93">
        <v>28.126147740524747</v>
      </c>
      <c r="GC93">
        <v>10.751173720784193</v>
      </c>
      <c r="GD93">
        <v>3.4364114090488935</v>
      </c>
      <c r="GE93">
        <v>3.7279544783410588</v>
      </c>
      <c r="GF93">
        <v>3.6281177156395401</v>
      </c>
      <c r="GG93">
        <v>2.5258157662982295</v>
      </c>
      <c r="GH93">
        <v>1.3578060336331905</v>
      </c>
      <c r="GI93">
        <v>10.87614201120382</v>
      </c>
      <c r="GJ93"/>
      <c r="GK93"/>
      <c r="GL93"/>
      <c r="GM93"/>
    </row>
    <row r="94" spans="1:195" s="7" customFormat="1">
      <c r="A94" s="77"/>
      <c r="B94" s="76">
        <f ca="1">IF(C94="", "", RAND())</f>
        <v>0.76148344027191506</v>
      </c>
      <c r="C94">
        <v>2</v>
      </c>
      <c r="D94">
        <v>39646</v>
      </c>
      <c r="E94">
        <v>0</v>
      </c>
      <c r="F94">
        <v>0</v>
      </c>
      <c r="G94">
        <v>0</v>
      </c>
      <c r="H94">
        <v>31.25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207.19812607271336</v>
      </c>
      <c r="AO94">
        <v>14.3798546421098</v>
      </c>
      <c r="AP94">
        <v>121.45034588450834</v>
      </c>
      <c r="AQ94">
        <v>93.61397118201603</v>
      </c>
      <c r="AR94">
        <v>13.218938459063509</v>
      </c>
      <c r="AS94">
        <v>124.90361155271958</v>
      </c>
      <c r="AT94" t="e">
        <v>#DIV/0!</v>
      </c>
      <c r="AU94" t="e">
        <v>#DIV/0!</v>
      </c>
      <c r="AV94"/>
      <c r="AW94"/>
      <c r="AX94" s="151"/>
      <c r="AY94" s="76">
        <f t="shared" ca="1" si="86"/>
        <v>0.825008330668628</v>
      </c>
      <c r="AZ94">
        <v>7</v>
      </c>
      <c r="BA94" s="129">
        <f t="shared" si="87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0.50414808067775052</v>
      </c>
      <c r="CL94" s="179">
        <f t="shared" si="89"/>
        <v>7</v>
      </c>
      <c r="CM94" s="180">
        <f t="shared" si="90"/>
        <v>39646</v>
      </c>
      <c r="CN94">
        <v>0</v>
      </c>
      <c r="CO94"/>
      <c r="CP94">
        <v>1</v>
      </c>
      <c r="CQ94">
        <v>3</v>
      </c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0.23701113038059329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20.833333333333332</v>
      </c>
      <c r="DI94" s="161">
        <f t="shared" si="96"/>
        <v>62.5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83.333333333333329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0.55346430818419667</v>
      </c>
      <c r="ES94" s="139">
        <f t="shared" si="57"/>
        <v>5.4205726310517459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5.9740369392359423</v>
      </c>
      <c r="FV94" s="149"/>
      <c r="FY94" s="210">
        <v>89</v>
      </c>
      <c r="FZ94">
        <v>2.0545655602720041</v>
      </c>
      <c r="GA94">
        <v>20.840287636125211</v>
      </c>
      <c r="GB94">
        <v>18.522868834806495</v>
      </c>
      <c r="GC94">
        <v>7.8312985131869279</v>
      </c>
      <c r="GD94">
        <v>3.7018300566338174</v>
      </c>
      <c r="GE94">
        <v>4.5202788296891381</v>
      </c>
      <c r="GF94">
        <v>5.0193634775050455</v>
      </c>
      <c r="GG94">
        <v>2.5258157662982295</v>
      </c>
      <c r="GH94">
        <v>1.9401706344207539</v>
      </c>
      <c r="GI94">
        <v>8.2980758472589216</v>
      </c>
      <c r="GJ94"/>
      <c r="GK94"/>
      <c r="GL94"/>
      <c r="GM94"/>
    </row>
    <row r="95" spans="1:195" s="7" customFormat="1">
      <c r="A95" s="77"/>
      <c r="B95" s="76">
        <f ca="1">IF(C95="", "", RAND())</f>
        <v>0.25982275548657308</v>
      </c>
      <c r="C95">
        <v>5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184.73929775970217</v>
      </c>
      <c r="AO95">
        <v>13.539869552391954</v>
      </c>
      <c r="AP95">
        <v>94.662444738495282</v>
      </c>
      <c r="AQ95">
        <v>76.232795209201598</v>
      </c>
      <c r="AR95">
        <v>12.570792645453995</v>
      </c>
      <c r="AS95">
        <v>131.44977388215463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0.8091182583091443</v>
      </c>
      <c r="AZ95">
        <v>8</v>
      </c>
      <c r="BA95" s="129">
        <f t="shared" si="87"/>
        <v>39646</v>
      </c>
      <c r="BB95">
        <v>0</v>
      </c>
      <c r="BC95"/>
      <c r="BD95"/>
      <c r="BE95">
        <v>1</v>
      </c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0.78947900112171077</v>
      </c>
      <c r="CL95" s="179">
        <f t="shared" si="89"/>
        <v>8</v>
      </c>
      <c r="CM95" s="180">
        <f t="shared" si="90"/>
        <v>39646</v>
      </c>
      <c r="CN95">
        <v>0</v>
      </c>
      <c r="CO95"/>
      <c r="CP95">
        <v>2</v>
      </c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0.57896342975988224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41.666666666666664</v>
      </c>
      <c r="DI95" s="161">
        <f t="shared" si="96"/>
        <v>10.416666666666666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52.083333333333329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1.1069286163683933</v>
      </c>
      <c r="ES95" s="139">
        <f t="shared" si="57"/>
        <v>0.90342877184195758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2.0103573882103509</v>
      </c>
      <c r="FV95" s="149"/>
      <c r="FY95" s="210">
        <v>90</v>
      </c>
      <c r="FZ95">
        <v>2.0730037937271408</v>
      </c>
      <c r="GA95">
        <v>29.463946359996243</v>
      </c>
      <c r="GB95">
        <v>27.379905427071765</v>
      </c>
      <c r="GC95">
        <v>9.9412880531239018</v>
      </c>
      <c r="GD95">
        <v>4.1021535891417047</v>
      </c>
      <c r="GE95">
        <v>4.4649369995208605</v>
      </c>
      <c r="GF95">
        <v>2.3408662234747233</v>
      </c>
      <c r="GG95">
        <v>3.5227644415876638</v>
      </c>
      <c r="GH95">
        <v>3.8152919990059497</v>
      </c>
      <c r="GI95">
        <v>10.563000524781739</v>
      </c>
      <c r="GJ95"/>
      <c r="GK95"/>
      <c r="GL95"/>
      <c r="GM95"/>
    </row>
    <row r="96" spans="1:195" s="7" customFormat="1">
      <c r="A96" s="77"/>
      <c r="B96" s="76">
        <f ca="1">IF(C96="", "", RAND())</f>
        <v>0.74310086388731067</v>
      </c>
      <c r="C96">
        <v>1</v>
      </c>
      <c r="D96">
        <v>39646</v>
      </c>
      <c r="E96">
        <v>0</v>
      </c>
      <c r="F96">
        <v>0</v>
      </c>
      <c r="G96">
        <v>20.833333333333332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186.68517995420626</v>
      </c>
      <c r="AO96">
        <v>13.738433116764295</v>
      </c>
      <c r="AP96">
        <v>109.53388856033591</v>
      </c>
      <c r="AQ96">
        <v>85.720207700535255</v>
      </c>
      <c r="AR96">
        <v>12.456748678692707</v>
      </c>
      <c r="AS96">
        <v>120.42279002966674</v>
      </c>
      <c r="AT96">
        <v>6.6072481307735487</v>
      </c>
      <c r="AU96">
        <v>-21.123975456213536</v>
      </c>
      <c r="AV96"/>
      <c r="AW96"/>
      <c r="AX96" s="151"/>
      <c r="AY96" s="76">
        <f t="shared" ca="1" si="86"/>
        <v>0.89510358353011843</v>
      </c>
      <c r="AZ96">
        <v>9</v>
      </c>
      <c r="BA96" s="129">
        <f t="shared" si="87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0.51508576067544221</v>
      </c>
      <c r="CL96" s="179">
        <f t="shared" si="89"/>
        <v>9</v>
      </c>
      <c r="CM96" s="180">
        <f t="shared" si="90"/>
        <v>39646</v>
      </c>
      <c r="CN96">
        <v>0</v>
      </c>
      <c r="CO96"/>
      <c r="CP96">
        <v>1</v>
      </c>
      <c r="CQ96">
        <v>2</v>
      </c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0.14321013373411295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10.416666666666666</v>
      </c>
      <c r="DI96" s="161">
        <f t="shared" si="96"/>
        <v>20.833333333333332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31.25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0.27673215409209834</v>
      </c>
      <c r="ES96" s="139">
        <f t="shared" si="57"/>
        <v>1.8068575436839152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2.0835896977760133</v>
      </c>
      <c r="FV96" s="149"/>
      <c r="FY96" s="210">
        <v>91</v>
      </c>
      <c r="FZ96">
        <v>9.4286308917326949</v>
      </c>
      <c r="GA96">
        <v>25.155309933331793</v>
      </c>
      <c r="GB96">
        <v>26.557221323915613</v>
      </c>
      <c r="GC96">
        <v>13.027085482299007</v>
      </c>
      <c r="GD96">
        <v>3.0845312305919821</v>
      </c>
      <c r="GE96">
        <v>3.079938944698132</v>
      </c>
      <c r="GF96">
        <v>2.2549692626218509</v>
      </c>
      <c r="GG96">
        <v>1.4206042884147827</v>
      </c>
      <c r="GH96">
        <v>2.0652637984292568</v>
      </c>
      <c r="GI96">
        <v>10.5654697523696</v>
      </c>
      <c r="GJ96"/>
      <c r="GK96"/>
      <c r="GL96"/>
      <c r="GM96"/>
    </row>
    <row r="97" spans="1:195" s="7" customFormat="1">
      <c r="A97" s="77"/>
      <c r="B97" s="76">
        <f ca="1">IF(C97="", "", RAND())</f>
        <v>0.45258439655033511</v>
      </c>
      <c r="C97">
        <v>9</v>
      </c>
      <c r="D97">
        <v>39646</v>
      </c>
      <c r="E97">
        <v>0</v>
      </c>
      <c r="F97">
        <v>0</v>
      </c>
      <c r="G97">
        <v>10.416666666666666</v>
      </c>
      <c r="H97">
        <v>20.833333333333332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144.06503969718358</v>
      </c>
      <c r="AO97">
        <v>9.1222951644552879</v>
      </c>
      <c r="AP97">
        <v>70.455193630415266</v>
      </c>
      <c r="AQ97">
        <v>56.180872210896986</v>
      </c>
      <c r="AR97">
        <v>8.2666959342755426</v>
      </c>
      <c r="AS97">
        <v>80.487176269670627</v>
      </c>
      <c r="AT97" t="e">
        <v>#DIV/0!</v>
      </c>
      <c r="AU97" t="e">
        <v>#DIV/0!</v>
      </c>
      <c r="AV97"/>
      <c r="AW97"/>
      <c r="AX97" s="151"/>
      <c r="AY97" s="76">
        <f t="shared" ca="1" si="86"/>
        <v>0.42513090576152912</v>
      </c>
      <c r="AZ97">
        <v>10</v>
      </c>
      <c r="BA97" s="129">
        <f t="shared" si="87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9.2203316515735878E-2</v>
      </c>
      <c r="CL97" s="179">
        <f t="shared" si="89"/>
        <v>10</v>
      </c>
      <c r="CM97" s="180">
        <f t="shared" si="90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0.20961644650924716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</v>
      </c>
      <c r="FV97" s="149"/>
      <c r="FY97" s="210">
        <v>92</v>
      </c>
      <c r="FZ97">
        <v>2.39565707411069</v>
      </c>
      <c r="GA97">
        <v>25.058857788745076</v>
      </c>
      <c r="GB97">
        <v>28.791547323912088</v>
      </c>
      <c r="GC97">
        <v>11.490672406463339</v>
      </c>
      <c r="GD97">
        <v>2.859292927444173</v>
      </c>
      <c r="GE97">
        <v>3.2733033331937706</v>
      </c>
      <c r="GF97">
        <v>4.7923803360722399</v>
      </c>
      <c r="GG97">
        <v>3.268464904946605</v>
      </c>
      <c r="GH97">
        <v>1.0359447447366277</v>
      </c>
      <c r="GI97">
        <v>10.254900198105005</v>
      </c>
      <c r="GJ97"/>
      <c r="GK97"/>
      <c r="GL97"/>
      <c r="GM97"/>
    </row>
    <row r="98" spans="1:195" s="7" customFormat="1">
      <c r="A98" s="128"/>
      <c r="B98" s="76">
        <f ca="1">IF(C98="", "", RAND())</f>
        <v>0.48612678396224251</v>
      </c>
      <c r="C98">
        <v>4</v>
      </c>
      <c r="D98">
        <v>39673</v>
      </c>
      <c r="E98">
        <v>0</v>
      </c>
      <c r="F98">
        <v>0</v>
      </c>
      <c r="G98">
        <v>73.958333333333329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104.04228113694315</v>
      </c>
      <c r="AO98">
        <v>14.578551596801024</v>
      </c>
      <c r="AP98">
        <v>114.97443261265035</v>
      </c>
      <c r="AQ98">
        <v>86.845420185990591</v>
      </c>
      <c r="AR98">
        <v>13.588020089560613</v>
      </c>
      <c r="AS98">
        <v>113.67106872534185</v>
      </c>
      <c r="AT98">
        <v>6.6187742964912788</v>
      </c>
      <c r="AU98">
        <v>-43.533177023031605</v>
      </c>
      <c r="AV98"/>
      <c r="AW98"/>
      <c r="AX98" s="128"/>
      <c r="AY98" s="76">
        <f t="shared" ca="1" si="86"/>
        <v>7.5580867836597676E-3</v>
      </c>
      <c r="AZ98">
        <v>1</v>
      </c>
      <c r="BA98" s="129">
        <f>IF(AZ98="", "",$C$5)</f>
        <v>39673</v>
      </c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0.37280653365862104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0.27974855767086582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0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0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0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0</v>
      </c>
      <c r="FV98" s="149"/>
      <c r="FY98" s="210">
        <v>93</v>
      </c>
      <c r="FZ98">
        <v>0.77267083824866356</v>
      </c>
      <c r="GA98">
        <v>19.415529707525483</v>
      </c>
      <c r="GB98">
        <v>21.210160706067136</v>
      </c>
      <c r="GC98">
        <v>9.2703496464740436</v>
      </c>
      <c r="GD98">
        <v>3.2832745624782409</v>
      </c>
      <c r="GE98">
        <v>3.7659396576107582</v>
      </c>
      <c r="GF98">
        <v>4.9185432030774878</v>
      </c>
      <c r="GG98">
        <v>5.0388405192297334</v>
      </c>
      <c r="GH98">
        <v>4.7158265958600811</v>
      </c>
      <c r="GI98">
        <v>8.9798471060446019</v>
      </c>
      <c r="GJ98"/>
      <c r="GK98"/>
      <c r="GL98"/>
      <c r="GM98"/>
    </row>
    <row r="99" spans="1:195" s="7" customFormat="1">
      <c r="A99" s="1"/>
      <c r="B99" s="76">
        <f ca="1">IF(C99="", "", RAND())</f>
        <v>0.21682935577074325</v>
      </c>
      <c r="C99">
        <v>9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200.75179513451849</v>
      </c>
      <c r="AO99">
        <v>14.269805757357833</v>
      </c>
      <c r="AP99">
        <v>99.551243275793169</v>
      </c>
      <c r="AQ99">
        <v>80.670215208913405</v>
      </c>
      <c r="AR99">
        <v>13.157082377528088</v>
      </c>
      <c r="AS99">
        <v>137.06760529154826</v>
      </c>
      <c r="AT99">
        <v>5.6117159735898712</v>
      </c>
      <c r="AU99">
        <v>-18.102570258180272</v>
      </c>
      <c r="AV99"/>
      <c r="AW99"/>
      <c r="AX99" s="146"/>
      <c r="AY99" s="76">
        <f t="shared" ca="1" si="86"/>
        <v>0.81660958849580911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0.93087679451328409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0.38094313991399531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0">
        <v>94</v>
      </c>
      <c r="FZ99">
        <v>7.2923829126440278</v>
      </c>
      <c r="GA99">
        <v>34.172899910248994</v>
      </c>
      <c r="GB99">
        <v>24.598117188137071</v>
      </c>
      <c r="GC99">
        <v>7.8902662285950882</v>
      </c>
      <c r="GD99">
        <v>2.7085206782670781</v>
      </c>
      <c r="GE99">
        <v>6.1712334826462882</v>
      </c>
      <c r="GF99">
        <v>7.4252465354020654</v>
      </c>
      <c r="GG99">
        <v>3.8073794517736808</v>
      </c>
      <c r="GH99">
        <v>3.6798818511234526</v>
      </c>
      <c r="GI99">
        <v>10.768613226587812</v>
      </c>
      <c r="GJ99"/>
      <c r="GK99"/>
      <c r="GL99"/>
      <c r="GM99"/>
    </row>
    <row r="100" spans="1:195" s="7" customFormat="1">
      <c r="A100" s="1"/>
      <c r="B100" s="76">
        <f ca="1">IF(C100="", "", RAND())</f>
        <v>0.18308437092474295</v>
      </c>
      <c r="C100">
        <v>3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20.833333333333332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201.33227226978272</v>
      </c>
      <c r="AO100">
        <v>21.004133934148516</v>
      </c>
      <c r="AP100">
        <v>163.62384021903904</v>
      </c>
      <c r="AQ100">
        <v>127.59955174202956</v>
      </c>
      <c r="AR100">
        <v>19.554333550525222</v>
      </c>
      <c r="AS100">
        <v>174.97273421651963</v>
      </c>
      <c r="AT100">
        <v>8.4616774297232382</v>
      </c>
      <c r="AU100">
        <v>163.21468243871706</v>
      </c>
      <c r="AV100"/>
      <c r="AW100"/>
      <c r="AX100" s="146"/>
      <c r="AY100" s="76">
        <f t="shared" ca="1" si="86"/>
        <v>0.94353095171074663</v>
      </c>
      <c r="AZ100">
        <v>3</v>
      </c>
      <c r="BA100" s="129">
        <f t="shared" si="125"/>
        <v>39673</v>
      </c>
      <c r="BB100">
        <v>0</v>
      </c>
      <c r="BC100"/>
      <c r="BD100"/>
      <c r="BE100"/>
      <c r="BF100">
        <v>2</v>
      </c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0.19618518962705966</v>
      </c>
      <c r="CL100" s="179">
        <f t="shared" si="89"/>
        <v>3</v>
      </c>
      <c r="CM100" s="180">
        <f t="shared" si="90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0.3693396334089929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20.833333333333332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20.833333333333332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4.1830701396366861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4.1830701396366861</v>
      </c>
      <c r="FV100" s="149"/>
      <c r="FY100" s="210">
        <v>95</v>
      </c>
      <c r="FZ100">
        <v>6.937409181780188</v>
      </c>
      <c r="GA100">
        <v>30.319894001237991</v>
      </c>
      <c r="GB100">
        <v>26.354532781922245</v>
      </c>
      <c r="GC100">
        <v>10.443152219424341</v>
      </c>
      <c r="GD100">
        <v>3.0708327229289747</v>
      </c>
      <c r="GE100">
        <v>3.0304570184622892</v>
      </c>
      <c r="GF100">
        <v>3.2026680206247509</v>
      </c>
      <c r="GG100">
        <v>4.1717421485045971</v>
      </c>
      <c r="GH100">
        <v>5.4372926373601356</v>
      </c>
      <c r="GI100">
        <v>10.840780317674039</v>
      </c>
      <c r="GJ100"/>
      <c r="GK100"/>
      <c r="GL100"/>
      <c r="GM100"/>
    </row>
    <row r="101" spans="1:195" s="7" customFormat="1">
      <c r="A101" s="1"/>
      <c r="B101" s="76">
        <f ca="1">IF(C101="", "", RAND())</f>
        <v>0.30438094972890495</v>
      </c>
      <c r="C101">
        <v>1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184.28612050617446</v>
      </c>
      <c r="AO101">
        <v>17.092054848348084</v>
      </c>
      <c r="AP101">
        <v>150.19088131217561</v>
      </c>
      <c r="AQ101">
        <v>112.49674889856249</v>
      </c>
      <c r="AR101">
        <v>15.919642381666556</v>
      </c>
      <c r="AS101">
        <v>146.54100313926918</v>
      </c>
      <c r="AT101">
        <v>6.9989136975308215</v>
      </c>
      <c r="AU101">
        <v>-18.301148228209012</v>
      </c>
      <c r="AV101"/>
      <c r="AW101"/>
      <c r="AX101" s="146"/>
      <c r="AY101" s="76">
        <f t="shared" ca="1" si="86"/>
        <v>0.20020062401996963</v>
      </c>
      <c r="AZ101">
        <v>4</v>
      </c>
      <c r="BA101" s="129">
        <f t="shared" si="125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0.69805775543842952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>
        <v>1</v>
      </c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0.96230680222629417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73.958333333333329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73.958333333333329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1.9647982940538984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1.9647982940538984</v>
      </c>
      <c r="FV101" s="149"/>
      <c r="FY101" s="210">
        <v>96</v>
      </c>
      <c r="FZ101">
        <v>6.158932324916071</v>
      </c>
      <c r="GA101">
        <v>30.248822847686515</v>
      </c>
      <c r="GB101">
        <v>21.978116611875837</v>
      </c>
      <c r="GC101">
        <v>8.0245767283511746</v>
      </c>
      <c r="GD101">
        <v>3.639794035579718</v>
      </c>
      <c r="GE101">
        <v>5.6512866204582002</v>
      </c>
      <c r="GF101">
        <v>4.9334665166521727</v>
      </c>
      <c r="GG101">
        <v>2.843008934325411</v>
      </c>
      <c r="GH101">
        <v>3.4230698320624482</v>
      </c>
      <c r="GI101">
        <v>9.9815258541807665</v>
      </c>
      <c r="GJ101"/>
      <c r="GK101"/>
      <c r="GL101"/>
      <c r="GM101"/>
    </row>
    <row r="102" spans="1:195" s="7" customFormat="1">
      <c r="A102" s="1"/>
      <c r="B102" s="76">
        <f ca="1">IF(C102="", "", RAND())</f>
        <v>7.8709385550804978E-2</v>
      </c>
      <c r="C102">
        <v>7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167.37547052844963</v>
      </c>
      <c r="AO102">
        <v>14.632683065669454</v>
      </c>
      <c r="AP102">
        <v>122.34856237092797</v>
      </c>
      <c r="AQ102">
        <v>92.19274438748738</v>
      </c>
      <c r="AR102">
        <v>13.682727279106903</v>
      </c>
      <c r="AS102">
        <v>134.63394207896121</v>
      </c>
      <c r="AT102">
        <v>5.9345296334129136</v>
      </c>
      <c r="AU102">
        <v>-18.480010155947781</v>
      </c>
      <c r="AV102"/>
      <c r="AW102"/>
      <c r="AX102" s="146"/>
      <c r="AY102" s="76">
        <f t="shared" ca="1" si="86"/>
        <v>0.51379777188431408</v>
      </c>
      <c r="AZ102">
        <v>5</v>
      </c>
      <c r="BA102" s="129">
        <f t="shared" si="125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0.67662366529447016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0.5529754627599015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0">
        <v>97</v>
      </c>
      <c r="FZ102">
        <v>6.6145039771041345</v>
      </c>
      <c r="GA102">
        <v>28.339440733163634</v>
      </c>
      <c r="GB102">
        <v>19.746695457148103</v>
      </c>
      <c r="GC102">
        <v>7.7460613938324592</v>
      </c>
      <c r="GD102">
        <v>2.7244638518265205</v>
      </c>
      <c r="GE102">
        <v>3.4888142582135488</v>
      </c>
      <c r="GF102">
        <v>5.6624518273748476</v>
      </c>
      <c r="GG102">
        <v>2.5258157662982295</v>
      </c>
      <c r="GH102">
        <v>1.9401706344207539</v>
      </c>
      <c r="GI102">
        <v>8.8456162343497695</v>
      </c>
      <c r="GJ102"/>
      <c r="GK102"/>
      <c r="GL102"/>
      <c r="GM102"/>
    </row>
    <row r="103" spans="1:195" s="7" customFormat="1">
      <c r="A103" s="1"/>
      <c r="B103" s="76">
        <f ca="1">IF(C103="", "", RAND())</f>
        <v>0.29976973275893171</v>
      </c>
      <c r="C103">
        <v>10</v>
      </c>
      <c r="D103">
        <v>39673</v>
      </c>
      <c r="E103">
        <v>0</v>
      </c>
      <c r="F103">
        <v>0</v>
      </c>
      <c r="G103">
        <v>0</v>
      </c>
      <c r="H103">
        <v>297.61904761904765</v>
      </c>
      <c r="I103">
        <v>148.80952380952382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218.70471573225694</v>
      </c>
      <c r="AO103">
        <v>17.584364619059681</v>
      </c>
      <c r="AP103">
        <v>143.53184195587801</v>
      </c>
      <c r="AQ103">
        <v>110.89096937738938</v>
      </c>
      <c r="AR103">
        <v>16.047975643904891</v>
      </c>
      <c r="AS103">
        <v>145.05809142003713</v>
      </c>
      <c r="AT103">
        <v>7.2164516203796678</v>
      </c>
      <c r="AU103">
        <v>-10.054391441293852</v>
      </c>
      <c r="AV103"/>
      <c r="AW103"/>
      <c r="AX103" s="146"/>
      <c r="AY103" s="76">
        <f ca="1">IF(AZ103="", "", RAND())</f>
        <v>0.31635881376033259</v>
      </c>
      <c r="AZ103">
        <v>6</v>
      </c>
      <c r="BA103" s="129">
        <f t="shared" si="125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0.75927576747118675</v>
      </c>
      <c r="CL103" s="179">
        <f t="shared" si="89"/>
        <v>6</v>
      </c>
      <c r="CM103" s="180">
        <f t="shared" si="90"/>
        <v>39673</v>
      </c>
      <c r="CN103">
        <v>0</v>
      </c>
      <c r="CO103"/>
      <c r="CP103"/>
      <c r="CQ103">
        <v>1</v>
      </c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2.3457117023980789E-2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10.416666666666666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10.416666666666666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0.90342877184195758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0.90342877184195758</v>
      </c>
      <c r="FV103" s="149"/>
      <c r="FY103" s="210">
        <v>98</v>
      </c>
      <c r="FZ103">
        <v>7.1584444082651704</v>
      </c>
      <c r="GA103">
        <v>28.713215405044863</v>
      </c>
      <c r="GB103">
        <v>22.104974563816452</v>
      </c>
      <c r="GC103">
        <v>9.4603225506708561</v>
      </c>
      <c r="GD103">
        <v>4.6742627898454137</v>
      </c>
      <c r="GE103">
        <v>6.5997686447586261</v>
      </c>
      <c r="GF103">
        <v>3.6611383380620408</v>
      </c>
      <c r="GG103">
        <v>0</v>
      </c>
      <c r="GH103">
        <v>1.808451779368252</v>
      </c>
      <c r="GI103">
        <v>10.258384124137086</v>
      </c>
      <c r="GJ103"/>
      <c r="GK103"/>
      <c r="GL103"/>
      <c r="GM103"/>
    </row>
    <row r="104" spans="1:195" s="7" customFormat="1">
      <c r="A104" s="1"/>
      <c r="B104" s="76">
        <f ca="1">IF(C104="", "", RAND())</f>
        <v>7.880783418429349E-3</v>
      </c>
      <c r="C104">
        <v>6</v>
      </c>
      <c r="D104">
        <v>39673</v>
      </c>
      <c r="E104">
        <v>0</v>
      </c>
      <c r="F104">
        <v>0</v>
      </c>
      <c r="G104">
        <v>0</v>
      </c>
      <c r="H104">
        <v>10.416666666666666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189.69103244648869</v>
      </c>
      <c r="AO104">
        <v>16.359667778410003</v>
      </c>
      <c r="AP104">
        <v>135.80296917408307</v>
      </c>
      <c r="AQ104">
        <v>105.02174929638356</v>
      </c>
      <c r="AR104">
        <v>15.17444113081908</v>
      </c>
      <c r="AS104">
        <v>154.17244109967945</v>
      </c>
      <c r="AT104">
        <v>7.0578581157135067</v>
      </c>
      <c r="AU104">
        <v>-23.436955680264166</v>
      </c>
      <c r="AV104"/>
      <c r="AW104"/>
      <c r="AX104" s="146"/>
      <c r="AY104" s="76">
        <f ca="1">IF(AZ104="", "", RAND())</f>
        <v>0.96143147476224855</v>
      </c>
      <c r="AZ104">
        <v>7</v>
      </c>
      <c r="BA104" s="129">
        <f t="shared" si="125"/>
        <v>39673</v>
      </c>
      <c r="BB104" s="225">
        <v>0</v>
      </c>
      <c r="BC104" s="225"/>
      <c r="BD104" s="225"/>
      <c r="BE104" s="225"/>
      <c r="BF104" s="225"/>
      <c r="BG104" s="225"/>
      <c r="BH104" s="225"/>
      <c r="BI104" s="225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4.3310960499000295E-2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0.15603334409336433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0">
        <v>99</v>
      </c>
      <c r="FZ104">
        <v>6.6131154422647889</v>
      </c>
      <c r="GA104">
        <v>30.597762481464507</v>
      </c>
      <c r="GB104">
        <v>20.50476723024034</v>
      </c>
      <c r="GC104">
        <v>7.1159871768901199</v>
      </c>
      <c r="GD104">
        <v>2.7764362033085352</v>
      </c>
      <c r="GE104">
        <v>5.738747055219358</v>
      </c>
      <c r="GF104">
        <v>7.3084281549746102</v>
      </c>
      <c r="GG104">
        <v>2.0677816378358704</v>
      </c>
      <c r="GH104">
        <v>1.7434025095326939</v>
      </c>
      <c r="GI104">
        <v>9.3426695116422103</v>
      </c>
      <c r="GJ104"/>
      <c r="GK104"/>
      <c r="GL104"/>
      <c r="GM104"/>
    </row>
    <row r="105" spans="1:195" s="7" customFormat="1">
      <c r="A105" s="1"/>
      <c r="B105" s="76">
        <f ca="1">IF(C105="", "", RAND())</f>
        <v>0.22469786195824781</v>
      </c>
      <c r="C105">
        <v>5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177.98537796043345</v>
      </c>
      <c r="AO105">
        <v>12.281066434592361</v>
      </c>
      <c r="AP105">
        <v>94.492342713117765</v>
      </c>
      <c r="AQ105">
        <v>75.254555156196545</v>
      </c>
      <c r="AR105">
        <v>11.430566913596191</v>
      </c>
      <c r="AS105">
        <v>125.88036067978655</v>
      </c>
      <c r="AT105">
        <v>5.4838181608294283</v>
      </c>
      <c r="AU105">
        <v>-9.5301106607028316</v>
      </c>
      <c r="AV105"/>
      <c r="AW105"/>
      <c r="AX105" s="146"/>
      <c r="AY105" s="76">
        <f ca="1">IF(AZ105="", "", RAND())</f>
        <v>0.91067587660980731</v>
      </c>
      <c r="AZ105">
        <v>8</v>
      </c>
      <c r="BA105" s="129">
        <f t="shared" si="125"/>
        <v>39673</v>
      </c>
      <c r="BB105" s="226">
        <v>0</v>
      </c>
      <c r="BC105" s="226"/>
      <c r="BD105" s="226"/>
      <c r="BE105" s="226"/>
      <c r="BF105" s="226"/>
      <c r="BG105" s="226"/>
      <c r="BH105" s="226"/>
      <c r="BI105" s="226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0.82109422777296159</v>
      </c>
      <c r="CL105" s="179">
        <f t="shared" si="89"/>
        <v>8</v>
      </c>
      <c r="CM105" s="180">
        <f t="shared" si="90"/>
        <v>39673</v>
      </c>
      <c r="CN105" s="222">
        <v>0</v>
      </c>
      <c r="CO105" s="222"/>
      <c r="CP105" s="222"/>
      <c r="CQ105" s="222"/>
      <c r="CR105" s="222">
        <v>1</v>
      </c>
      <c r="CS105" s="222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0.61512709173236502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0</v>
      </c>
      <c r="DJ105" s="161">
        <f t="shared" si="97"/>
        <v>20.833333333333332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20.833333333333332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0</v>
      </c>
      <c r="ET105" s="139">
        <f t="shared" si="58"/>
        <v>4.1830701396366861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4.1830701396366861</v>
      </c>
      <c r="FV105" s="149"/>
      <c r="FY105" s="210">
        <v>100</v>
      </c>
      <c r="FZ105">
        <v>9.4408758260287264</v>
      </c>
      <c r="GA105">
        <v>34.569841920164016</v>
      </c>
      <c r="GB105">
        <v>26.671386872914557</v>
      </c>
      <c r="GC105">
        <v>10.141478424785419</v>
      </c>
      <c r="GD105">
        <v>4.1739950837750177</v>
      </c>
      <c r="GE105">
        <v>6.6007200397543428</v>
      </c>
      <c r="GF105">
        <v>6.6261486913776446</v>
      </c>
      <c r="GG105">
        <v>3.9156422543676928</v>
      </c>
      <c r="GH105">
        <v>1.6796673225297538</v>
      </c>
      <c r="GI105">
        <v>11.955997059661186</v>
      </c>
      <c r="GJ105"/>
      <c r="GK105"/>
      <c r="GL105"/>
      <c r="GM105"/>
    </row>
    <row r="106" spans="1:195" s="7" customFormat="1">
      <c r="A106" s="1"/>
      <c r="B106" s="76">
        <f ca="1">IF(C106="", "", RAND())</f>
        <v>0.20188814394561416</v>
      </c>
      <c r="C106">
        <v>8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20.833333333333332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173.59144083510211</v>
      </c>
      <c r="AO106">
        <v>15.809482594542501</v>
      </c>
      <c r="AP106">
        <v>126.97867749811422</v>
      </c>
      <c r="AQ106">
        <v>97.667157411431688</v>
      </c>
      <c r="AR106">
        <v>14.797869130304949</v>
      </c>
      <c r="AS106">
        <v>143.48232459096334</v>
      </c>
      <c r="AT106">
        <v>6.4791271361080627</v>
      </c>
      <c r="AU106">
        <v>-19.19717931989889</v>
      </c>
      <c r="AV106"/>
      <c r="AW106"/>
      <c r="AX106" s="146"/>
      <c r="AY106" s="76">
        <f t="shared" ca="1" si="86"/>
        <v>0.86198087445205873</v>
      </c>
      <c r="AZ106">
        <v>9</v>
      </c>
      <c r="BA106" s="129">
        <f t="shared" si="125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0.92308782206882833</v>
      </c>
      <c r="CL106" s="179">
        <f t="shared" si="89"/>
        <v>9</v>
      </c>
      <c r="CM106" s="180">
        <f t="shared" si="90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0.11382827207078705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0</v>
      </c>
      <c r="DJ106" s="161">
        <f t="shared" si="97"/>
        <v>0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0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0</v>
      </c>
      <c r="ET106" s="139">
        <f t="shared" si="58"/>
        <v>0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0</v>
      </c>
      <c r="FV106" s="149"/>
      <c r="FY106" s="210">
        <v>101</v>
      </c>
      <c r="FZ106">
        <v>4.0238178250059509</v>
      </c>
      <c r="GA106">
        <v>22.949590716224158</v>
      </c>
      <c r="GB106">
        <v>20.282115646235166</v>
      </c>
      <c r="GC106">
        <v>8.3961711284254505</v>
      </c>
      <c r="GD106">
        <v>3.5279199149124851</v>
      </c>
      <c r="GE106">
        <v>5.0308746893909895</v>
      </c>
      <c r="GF106">
        <v>5.2487514506616115</v>
      </c>
      <c r="GG106">
        <v>3.5856580729737866</v>
      </c>
      <c r="GH106">
        <v>3.9440764558444483</v>
      </c>
      <c r="GI106">
        <v>9.2783002486407966</v>
      </c>
      <c r="GJ106"/>
      <c r="GK106"/>
      <c r="GL106"/>
      <c r="GM106"/>
    </row>
    <row r="107" spans="1:195" s="7" customFormat="1">
      <c r="A107" s="1"/>
      <c r="B107" s="76">
        <f ca="1">IF(C107="", "", RAND())</f>
        <v>0.19390328474283969</v>
      </c>
      <c r="C107">
        <v>2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159.97048447419888</v>
      </c>
      <c r="AO107">
        <v>15.857096548168021</v>
      </c>
      <c r="AP107">
        <v>123.22321251483483</v>
      </c>
      <c r="AQ107">
        <v>96.639024908404707</v>
      </c>
      <c r="AR107">
        <v>14.774160655250077</v>
      </c>
      <c r="AS107">
        <v>154.31355712641542</v>
      </c>
      <c r="AT107">
        <v>7.0458539195722558</v>
      </c>
      <c r="AU107">
        <v>-23.187049447419007</v>
      </c>
      <c r="AV107"/>
      <c r="AW107"/>
      <c r="AX107" s="146"/>
      <c r="AY107" s="76">
        <f t="shared" ca="1" si="86"/>
        <v>0.41038945334432708</v>
      </c>
      <c r="AZ107">
        <v>10</v>
      </c>
      <c r="BA107" s="129">
        <f t="shared" si="125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0.422282335673553</v>
      </c>
      <c r="CL107" s="179">
        <f t="shared" si="89"/>
        <v>10</v>
      </c>
      <c r="CM107" s="180">
        <f t="shared" si="90"/>
        <v>39673</v>
      </c>
      <c r="CN107">
        <v>0</v>
      </c>
      <c r="CO107"/>
      <c r="CP107"/>
      <c r="CQ107">
        <v>2</v>
      </c>
      <c r="CR107">
        <v>1</v>
      </c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0.72577739829114596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297.61904761904765</v>
      </c>
      <c r="DJ107" s="161">
        <f t="shared" si="97"/>
        <v>148.80952380952382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446.42857142857144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25.812250624055935</v>
      </c>
      <c r="ET107" s="139">
        <f t="shared" si="58"/>
        <v>29.879072425976332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55.691323050032267</v>
      </c>
      <c r="FV107" s="149"/>
      <c r="FY107" s="210">
        <v>102</v>
      </c>
      <c r="FZ107">
        <v>1.8856743761590655</v>
      </c>
      <c r="GA107">
        <v>19.909895709248033</v>
      </c>
      <c r="GB107">
        <v>20.637241673141496</v>
      </c>
      <c r="GC107">
        <v>7.8772909973335619</v>
      </c>
      <c r="GD107">
        <v>1.8585173359739529</v>
      </c>
      <c r="GE107">
        <v>3.8979284955506457</v>
      </c>
      <c r="GF107">
        <v>7.379401802252799</v>
      </c>
      <c r="GG107">
        <v>3.9464200547130126</v>
      </c>
      <c r="GH107">
        <v>2.7793472542693221</v>
      </c>
      <c r="GI107">
        <v>8.3286545826280509</v>
      </c>
      <c r="GJ107"/>
      <c r="GK107"/>
      <c r="GL107"/>
      <c r="GM107"/>
    </row>
    <row r="108" spans="1:195" s="7" customFormat="1">
      <c r="A108" s="128"/>
      <c r="B108" s="76">
        <f ca="1">IF(C108="", "", RAND())</f>
        <v>0.30180751560912444</v>
      </c>
      <c r="C108">
        <v>6</v>
      </c>
      <c r="D108">
        <v>39714</v>
      </c>
      <c r="E108">
        <v>0</v>
      </c>
      <c r="F108">
        <v>0</v>
      </c>
      <c r="G108">
        <v>0</v>
      </c>
      <c r="H108">
        <v>20.833333333333332</v>
      </c>
      <c r="I108">
        <v>10.416666666666666</v>
      </c>
      <c r="J108">
        <v>52.083333333333336</v>
      </c>
      <c r="K108">
        <v>20.833333333333332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160.64918904330764</v>
      </c>
      <c r="AO108">
        <v>15.433431982446299</v>
      </c>
      <c r="AP108">
        <v>123.84557514121138</v>
      </c>
      <c r="AQ108">
        <v>93.221021037729628</v>
      </c>
      <c r="AR108">
        <v>14.333659211466792</v>
      </c>
      <c r="AS108">
        <v>151.18716009009864</v>
      </c>
      <c r="AT108" t="e">
        <v>#DIV/0!</v>
      </c>
      <c r="AU108" t="e">
        <v>#DIV/0!</v>
      </c>
      <c r="AV108"/>
      <c r="AW108"/>
      <c r="AX108" s="128"/>
      <c r="AY108" s="76">
        <f t="shared" ca="1" si="86"/>
        <v>0.58743161716204639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>
        <v>1</v>
      </c>
      <c r="BG108">
        <v>2</v>
      </c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0.92890190346612256</v>
      </c>
      <c r="CL108" s="179">
        <f t="shared" si="89"/>
        <v>1</v>
      </c>
      <c r="CM108" s="180">
        <f t="shared" si="90"/>
        <v>39714</v>
      </c>
      <c r="CN108">
        <v>0</v>
      </c>
      <c r="CO108"/>
      <c r="CP108">
        <v>4</v>
      </c>
      <c r="CQ108">
        <v>1</v>
      </c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0.82125247579483052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260.41666666666669</v>
      </c>
      <c r="DI108" s="161">
        <f t="shared" si="96"/>
        <v>65.104166666666671</v>
      </c>
      <c r="DJ108" s="161">
        <f t="shared" si="97"/>
        <v>10.416666666666666</v>
      </c>
      <c r="DK108" s="161">
        <f t="shared" si="98"/>
        <v>20.833333333333332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356.77083333333337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6.9183038523024596</v>
      </c>
      <c r="ES108" s="139">
        <f t="shared" si="57"/>
        <v>5.6464298240122357</v>
      </c>
      <c r="ET108" s="139">
        <f t="shared" si="58"/>
        <v>2.091535069818343</v>
      </c>
      <c r="EU108" s="139">
        <f t="shared" si="59"/>
        <v>8.0219243969336791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22.678193143066718</v>
      </c>
      <c r="FV108" s="149"/>
      <c r="FY108" s="210">
        <v>103</v>
      </c>
      <c r="FZ108">
        <v>9.5477993164293302</v>
      </c>
      <c r="GA108">
        <v>28.702875424397224</v>
      </c>
      <c r="GB108">
        <v>14.107227017880986</v>
      </c>
      <c r="GC108">
        <v>5.6185008930516043</v>
      </c>
      <c r="GD108">
        <v>3.3195848603920597</v>
      </c>
      <c r="GE108">
        <v>5.6626883869181555</v>
      </c>
      <c r="GF108">
        <v>7.9365931912697274</v>
      </c>
      <c r="GG108">
        <v>3.4883859262506536</v>
      </c>
      <c r="GH108">
        <v>2.9657983952833877</v>
      </c>
      <c r="GI108">
        <v>8.8038811117142739</v>
      </c>
      <c r="GJ108"/>
      <c r="GK108"/>
      <c r="GL108"/>
      <c r="GM108"/>
    </row>
    <row r="109" spans="1:195" s="7" customFormat="1">
      <c r="A109" s="1"/>
      <c r="B109" s="76">
        <f ca="1">IF(C109="", "", RAND())</f>
        <v>0.31428356837043125</v>
      </c>
      <c r="C109">
        <v>2</v>
      </c>
      <c r="D109">
        <v>39714</v>
      </c>
      <c r="E109">
        <v>0</v>
      </c>
      <c r="F109">
        <v>0</v>
      </c>
      <c r="G109">
        <v>0</v>
      </c>
      <c r="H109">
        <v>20.833333333333332</v>
      </c>
      <c r="I109">
        <v>52.083333333333336</v>
      </c>
      <c r="J109">
        <v>83.333333333333329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173.19203630197995</v>
      </c>
      <c r="AO109">
        <v>13.519720976174835</v>
      </c>
      <c r="AP109">
        <v>105.35700750340506</v>
      </c>
      <c r="AQ109">
        <v>81.370982542616233</v>
      </c>
      <c r="AR109">
        <v>12.478126163233146</v>
      </c>
      <c r="AS109">
        <v>137.56409572257866</v>
      </c>
      <c r="AT109">
        <v>5.6469434442888771</v>
      </c>
      <c r="AU109">
        <v>-16.505558773613881</v>
      </c>
      <c r="AV109"/>
      <c r="AW109"/>
      <c r="AX109" s="146"/>
      <c r="AY109" s="76">
        <f t="shared" ca="1" si="86"/>
        <v>0.59093250874352621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/>
      <c r="BE109">
        <v>2</v>
      </c>
      <c r="BF109">
        <v>5</v>
      </c>
      <c r="BG109">
        <v>8</v>
      </c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0.51520757447186094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0.94381876212968074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20.833333333333332</v>
      </c>
      <c r="DJ109" s="161">
        <f t="shared" si="97"/>
        <v>52.083333333333336</v>
      </c>
      <c r="DK109" s="161">
        <f t="shared" si="98"/>
        <v>83.333333333333329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156.25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1.8068575436839152</v>
      </c>
      <c r="ET109" s="139">
        <f t="shared" si="58"/>
        <v>10.457675349091716</v>
      </c>
      <c r="EU109" s="139">
        <f t="shared" si="59"/>
        <v>32.087697587734716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44.352230480510343</v>
      </c>
      <c r="FV109" s="149"/>
      <c r="FY109" s="210">
        <v>104</v>
      </c>
      <c r="FZ109">
        <v>4.5024908109467363</v>
      </c>
      <c r="GA109">
        <v>26.210952443858353</v>
      </c>
      <c r="GB109">
        <v>19.327526946804142</v>
      </c>
      <c r="GC109">
        <v>6.7531916043376796</v>
      </c>
      <c r="GD109">
        <v>3.2341498471965489</v>
      </c>
      <c r="GE109">
        <v>5.4408599771173662</v>
      </c>
      <c r="GF109">
        <v>4.0017658646491707</v>
      </c>
      <c r="GG109">
        <v>0.77522729648954036</v>
      </c>
      <c r="GH109">
        <v>2.5225352352083168</v>
      </c>
      <c r="GI109">
        <v>8.4878151303415255</v>
      </c>
      <c r="GJ109"/>
      <c r="GK109"/>
      <c r="GL109"/>
      <c r="GM109"/>
    </row>
    <row r="110" spans="1:195" s="7" customFormat="1">
      <c r="A110" s="1"/>
      <c r="B110" s="76">
        <f ca="1">IF(C110="", "", RAND())</f>
        <v>0.63465128134719251</v>
      </c>
      <c r="C110">
        <v>4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10.416666666666666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198.65273669399704</v>
      </c>
      <c r="AO110">
        <v>16.172906366555569</v>
      </c>
      <c r="AP110">
        <v>140.30246546786756</v>
      </c>
      <c r="AQ110">
        <v>108.51454146542558</v>
      </c>
      <c r="AR110">
        <v>14.825362423501826</v>
      </c>
      <c r="AS110">
        <v>144.24736092863415</v>
      </c>
      <c r="AT110">
        <v>6.8077066722844437</v>
      </c>
      <c r="AU110">
        <v>-10.312057261941398</v>
      </c>
      <c r="AV110"/>
      <c r="AW110"/>
      <c r="AX110" s="146"/>
      <c r="AY110" s="76">
        <f t="shared" ca="1" si="86"/>
        <v>0.7960668420361845</v>
      </c>
      <c r="AZ110">
        <v>3</v>
      </c>
      <c r="BA110" s="129">
        <f t="shared" si="127"/>
        <v>39714</v>
      </c>
      <c r="BB110">
        <v>0</v>
      </c>
      <c r="BC110"/>
      <c r="BD110"/>
      <c r="BE110">
        <v>1</v>
      </c>
      <c r="BF110">
        <v>4</v>
      </c>
      <c r="BG110">
        <v>7</v>
      </c>
      <c r="BH110">
        <v>1</v>
      </c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0.51510407134433844</v>
      </c>
      <c r="CL110" s="179">
        <f t="shared" si="89"/>
        <v>3</v>
      </c>
      <c r="CM110" s="180">
        <f t="shared" si="90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0.33754938047656458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10.416666666666666</v>
      </c>
      <c r="DJ110" s="161">
        <f t="shared" si="97"/>
        <v>41.666666666666664</v>
      </c>
      <c r="DK110" s="161">
        <f t="shared" si="98"/>
        <v>72.916666666666671</v>
      </c>
      <c r="DL110" s="161">
        <f t="shared" si="99"/>
        <v>10.416666666666666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135.41666666666666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0.90342877184195758</v>
      </c>
      <c r="ET110" s="139">
        <f t="shared" si="58"/>
        <v>8.3661402792733721</v>
      </c>
      <c r="EU110" s="139">
        <f t="shared" si="59"/>
        <v>28.076735389267881</v>
      </c>
      <c r="EV110" s="139">
        <f t="shared" si="60"/>
        <v>6.828093271595435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44.174397711978642</v>
      </c>
      <c r="FV110" s="149"/>
      <c r="FY110" s="210">
        <v>105</v>
      </c>
      <c r="FZ110">
        <v>1.6651460845929584</v>
      </c>
      <c r="GA110">
        <v>10.634280097780831</v>
      </c>
      <c r="GB110">
        <v>13.60431947454008</v>
      </c>
      <c r="GC110">
        <v>7.8458650823542211</v>
      </c>
      <c r="GD110">
        <v>4.3208018523716305</v>
      </c>
      <c r="GE110">
        <v>6.8252378530769846</v>
      </c>
      <c r="GF110">
        <v>6.868055146385136</v>
      </c>
      <c r="GG110">
        <v>2.6212875555255168</v>
      </c>
      <c r="GH110">
        <v>1.0359447447366277</v>
      </c>
      <c r="GI110">
        <v>7.5739934893482284</v>
      </c>
      <c r="GJ110"/>
      <c r="GK110"/>
      <c r="GL110"/>
      <c r="GM110"/>
    </row>
    <row r="111" spans="1:195" s="7" customFormat="1">
      <c r="A111" s="1"/>
      <c r="B111" s="76">
        <f ca="1">IF(C111="", "", RAND())</f>
        <v>0.93640189737549218</v>
      </c>
      <c r="C111">
        <v>9</v>
      </c>
      <c r="D111">
        <v>39714</v>
      </c>
      <c r="E111">
        <v>0</v>
      </c>
      <c r="F111">
        <v>0</v>
      </c>
      <c r="G111">
        <v>0</v>
      </c>
      <c r="H111">
        <v>10.416666666666666</v>
      </c>
      <c r="I111">
        <v>10.416666666666666</v>
      </c>
      <c r="J111">
        <v>0</v>
      </c>
      <c r="K111">
        <v>83.333333333333329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161.5082200267006</v>
      </c>
      <c r="AO111">
        <v>16.117102974269429</v>
      </c>
      <c r="AP111">
        <v>135.0392992364709</v>
      </c>
      <c r="AQ111">
        <v>103.80876104991953</v>
      </c>
      <c r="AR111">
        <v>15.205925331181348</v>
      </c>
      <c r="AS111">
        <v>141.83505321541853</v>
      </c>
      <c r="AT111">
        <v>7.5537995445722226</v>
      </c>
      <c r="AU111">
        <v>-33.46605482598342</v>
      </c>
      <c r="AV111"/>
      <c r="AW111"/>
      <c r="AX111" s="146"/>
      <c r="AY111" s="76">
        <f t="shared" ca="1" si="86"/>
        <v>0.8161732009326752</v>
      </c>
      <c r="AZ111">
        <v>4</v>
      </c>
      <c r="BA111" s="129">
        <f t="shared" si="127"/>
        <v>39714</v>
      </c>
      <c r="BB111">
        <v>0</v>
      </c>
      <c r="BC111"/>
      <c r="BD111"/>
      <c r="BE111"/>
      <c r="BF111"/>
      <c r="BG111">
        <v>1</v>
      </c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0.69936444996513747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0.71180751333234404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10.416666666666666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10.416666666666666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4.0109621984668395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4.0109621984668395</v>
      </c>
      <c r="FV111" s="149"/>
      <c r="FY111" s="210">
        <v>106</v>
      </c>
      <c r="FZ111">
        <v>1.5789215232679816</v>
      </c>
      <c r="GA111">
        <v>22.204325431046023</v>
      </c>
      <c r="GB111">
        <v>22.80572344317256</v>
      </c>
      <c r="GC111">
        <v>9.3439333674094467</v>
      </c>
      <c r="GD111">
        <v>3.2572633619256006</v>
      </c>
      <c r="GE111">
        <v>4.1749920063349286</v>
      </c>
      <c r="GF111">
        <v>3.6462150244873559</v>
      </c>
      <c r="GG111">
        <v>1.4206042884147827</v>
      </c>
      <c r="GH111">
        <v>1.7434025095326939</v>
      </c>
      <c r="GI111">
        <v>8.7798387692650444</v>
      </c>
      <c r="GJ111"/>
      <c r="GK111"/>
      <c r="GL111"/>
      <c r="GM111"/>
    </row>
    <row r="112" spans="1:195" s="7" customFormat="1">
      <c r="A112" s="1"/>
      <c r="B112" s="76">
        <f ca="1">IF(C112="", "", RAND())</f>
        <v>0.5036786820119401</v>
      </c>
      <c r="C112">
        <v>7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168.31656583237972</v>
      </c>
      <c r="AO112">
        <v>14.935813299565746</v>
      </c>
      <c r="AP112">
        <v>122.84043113532772</v>
      </c>
      <c r="AQ112">
        <v>96.882600306088307</v>
      </c>
      <c r="AR112">
        <v>13.834069348201906</v>
      </c>
      <c r="AS112">
        <v>134.10167275324741</v>
      </c>
      <c r="AT112">
        <v>6.3525983002667124</v>
      </c>
      <c r="AU112">
        <v>-15.910011112303165</v>
      </c>
      <c r="AV112"/>
      <c r="AW112"/>
      <c r="AX112" s="146"/>
      <c r="AY112" s="76">
        <f t="shared" ca="1" si="86"/>
        <v>0.33762780835604644</v>
      </c>
      <c r="AZ112">
        <v>5</v>
      </c>
      <c r="BA112" s="129">
        <f t="shared" si="127"/>
        <v>39714</v>
      </c>
      <c r="BB112">
        <v>0</v>
      </c>
      <c r="BC112"/>
      <c r="BD112"/>
      <c r="BE112">
        <v>1</v>
      </c>
      <c r="BF112">
        <v>3</v>
      </c>
      <c r="BG112">
        <v>1</v>
      </c>
      <c r="BH112">
        <v>2</v>
      </c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0.46325772621289385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0.53590660292100623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10.416666666666666</v>
      </c>
      <c r="DJ112" s="161">
        <f t="shared" si="97"/>
        <v>31.25</v>
      </c>
      <c r="DK112" s="161">
        <f t="shared" si="98"/>
        <v>10.416666666666666</v>
      </c>
      <c r="DL112" s="161">
        <f t="shared" si="99"/>
        <v>20.833333333333332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72.916666666666657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0.90342877184195758</v>
      </c>
      <c r="ET112" s="139">
        <f t="shared" si="58"/>
        <v>6.2746052094550286</v>
      </c>
      <c r="EU112" s="139">
        <f t="shared" si="59"/>
        <v>4.0109621984668395</v>
      </c>
      <c r="EV112" s="139">
        <f t="shared" si="60"/>
        <v>13.65618654319087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24.845182722954696</v>
      </c>
      <c r="FV112" s="149"/>
      <c r="FY112" s="210">
        <v>107</v>
      </c>
      <c r="FZ112">
        <v>3.3791409398668173</v>
      </c>
      <c r="GA112">
        <v>22.067124263699789</v>
      </c>
      <c r="GB112">
        <v>25.166550041296968</v>
      </c>
      <c r="GC112">
        <v>11.994946574980885</v>
      </c>
      <c r="GD112">
        <v>5.5950423255632193</v>
      </c>
      <c r="GE112">
        <v>7.5525332278500219</v>
      </c>
      <c r="GF112">
        <v>4.3762751276352434</v>
      </c>
      <c r="GG112">
        <v>2.5258157662982295</v>
      </c>
      <c r="GH112">
        <v>1.0359447447366277</v>
      </c>
      <c r="GI112">
        <v>11.022505867438076</v>
      </c>
      <c r="GJ112"/>
      <c r="GK112"/>
      <c r="GL112"/>
      <c r="GM112"/>
    </row>
    <row r="113" spans="1:195" s="7" customFormat="1">
      <c r="A113" s="1"/>
      <c r="B113" s="76">
        <f ca="1">IF(C113="", "", RAND())</f>
        <v>0.70122292997620939</v>
      </c>
      <c r="C113">
        <v>1</v>
      </c>
      <c r="D113">
        <v>39714</v>
      </c>
      <c r="E113">
        <v>0</v>
      </c>
      <c r="F113">
        <v>0</v>
      </c>
      <c r="G113">
        <v>260.41666666666669</v>
      </c>
      <c r="H113">
        <v>65.104166666666671</v>
      </c>
      <c r="I113">
        <v>10.416666666666666</v>
      </c>
      <c r="J113">
        <v>20.833333333333332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161.71606243625106</v>
      </c>
      <c r="AO113">
        <v>13.213520612170408</v>
      </c>
      <c r="AP113">
        <v>111.90224937095019</v>
      </c>
      <c r="AQ113">
        <v>87.634034133732001</v>
      </c>
      <c r="AR113">
        <v>12.20016306583188</v>
      </c>
      <c r="AS113">
        <v>111.94504548702619</v>
      </c>
      <c r="AT113">
        <v>6.127046011985871</v>
      </c>
      <c r="AU113">
        <v>-24.139885238119287</v>
      </c>
      <c r="AV113"/>
      <c r="AW113"/>
      <c r="AX113" s="146"/>
      <c r="AY113" s="76">
        <f t="shared" ca="1" si="86"/>
        <v>0.24253300494144803</v>
      </c>
      <c r="AZ113">
        <v>6</v>
      </c>
      <c r="BA113" s="129">
        <f t="shared" si="127"/>
        <v>39714</v>
      </c>
      <c r="BB113">
        <v>0</v>
      </c>
      <c r="BC113"/>
      <c r="BD113"/>
      <c r="BE113">
        <v>2</v>
      </c>
      <c r="BF113">
        <v>1</v>
      </c>
      <c r="BG113">
        <v>5</v>
      </c>
      <c r="BH113">
        <v>2</v>
      </c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0.98010273904155998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0.83967579431095896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20.833333333333332</v>
      </c>
      <c r="DJ113" s="161">
        <f t="shared" si="97"/>
        <v>10.416666666666666</v>
      </c>
      <c r="DK113" s="161">
        <f t="shared" si="98"/>
        <v>52.083333333333336</v>
      </c>
      <c r="DL113" s="161">
        <f t="shared" si="99"/>
        <v>20.833333333333332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104.16666666666667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1.8068575436839152</v>
      </c>
      <c r="ET113" s="139">
        <f t="shared" si="58"/>
        <v>2.091535069818343</v>
      </c>
      <c r="EU113" s="139">
        <f t="shared" si="59"/>
        <v>20.0548109923342</v>
      </c>
      <c r="EV113" s="139">
        <f t="shared" si="60"/>
        <v>13.65618654319087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37.609390149027327</v>
      </c>
      <c r="FV113" s="149"/>
      <c r="FY113" s="210">
        <v>108</v>
      </c>
      <c r="FZ113">
        <v>3.9143723205874563</v>
      </c>
      <c r="GA113">
        <v>16.211181272657576</v>
      </c>
      <c r="GB113">
        <v>18.469478906225795</v>
      </c>
      <c r="GC113">
        <v>10.918667828298208</v>
      </c>
      <c r="GD113">
        <v>4.7579595984165115</v>
      </c>
      <c r="GE113">
        <v>6.2735488679543199</v>
      </c>
      <c r="GF113">
        <v>7.394325115827483</v>
      </c>
      <c r="GG113">
        <v>4.2636132227401937</v>
      </c>
      <c r="GH113">
        <v>4.8446110526985784</v>
      </c>
      <c r="GI113">
        <v>10.117062949729881</v>
      </c>
      <c r="GJ113"/>
      <c r="GK113"/>
      <c r="GL113"/>
      <c r="GM113"/>
    </row>
    <row r="114" spans="1:195" s="7" customFormat="1">
      <c r="A114" s="1"/>
      <c r="B114" s="76">
        <f ca="1">IF(C114="", "", RAND())</f>
        <v>0.42518448401072018</v>
      </c>
      <c r="C114">
        <v>8</v>
      </c>
      <c r="D114">
        <v>39714</v>
      </c>
      <c r="E114">
        <v>0</v>
      </c>
      <c r="F114">
        <v>0</v>
      </c>
      <c r="G114">
        <v>10.416666666666666</v>
      </c>
      <c r="H114">
        <v>0</v>
      </c>
      <c r="I114">
        <v>31.25</v>
      </c>
      <c r="J114">
        <v>104.16666666666667</v>
      </c>
      <c r="K114">
        <v>10.416666666666666</v>
      </c>
      <c r="L114">
        <v>31.25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202.06479971531118</v>
      </c>
      <c r="AO114">
        <v>15.180961387674632</v>
      </c>
      <c r="AP114">
        <v>116.55668477062028</v>
      </c>
      <c r="AQ114">
        <v>94.438962603968761</v>
      </c>
      <c r="AR114">
        <v>14.177748708270038</v>
      </c>
      <c r="AS114">
        <v>140.53421799139653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0.38966953830219264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0.38993325894979058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0.69206251426467835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0">
        <v>109</v>
      </c>
      <c r="FZ114">
        <v>1.4198697374056848</v>
      </c>
      <c r="GA114">
        <v>26.847454057472028</v>
      </c>
      <c r="GB114">
        <v>19.770285748040298</v>
      </c>
      <c r="GC114">
        <v>6.7859109208610899</v>
      </c>
      <c r="GD114">
        <v>2.9823307390353366</v>
      </c>
      <c r="GE114">
        <v>4.424400632279534</v>
      </c>
      <c r="GF114">
        <v>6.0371747688096917</v>
      </c>
      <c r="GG114">
        <v>1.4224046459106283</v>
      </c>
      <c r="GH114">
        <v>2.8443965241048801</v>
      </c>
      <c r="GI114">
        <v>8.459153896096721</v>
      </c>
      <c r="GJ114"/>
      <c r="GK114"/>
      <c r="GL114"/>
      <c r="GM114"/>
    </row>
    <row r="115" spans="1:195" s="7" customFormat="1">
      <c r="A115" s="1"/>
      <c r="B115" s="76">
        <f ca="1">IF(C115="", "", RAND())</f>
        <v>0.43181822616226739</v>
      </c>
      <c r="C115">
        <v>10</v>
      </c>
      <c r="D115">
        <v>39714</v>
      </c>
      <c r="E115">
        <v>0</v>
      </c>
      <c r="F115">
        <v>178.57142857142856</v>
      </c>
      <c r="G115">
        <v>892.85714285714278</v>
      </c>
      <c r="H115">
        <v>93.75</v>
      </c>
      <c r="I115">
        <v>31.25</v>
      </c>
      <c r="J115">
        <v>31.25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180.90201285733701</v>
      </c>
      <c r="AO115">
        <v>13.988425617053775</v>
      </c>
      <c r="AP115">
        <v>119.55292289785494</v>
      </c>
      <c r="AQ115">
        <v>93.809097403373045</v>
      </c>
      <c r="AR115">
        <v>12.770782353645277</v>
      </c>
      <c r="AS115">
        <v>121.28949628476103</v>
      </c>
      <c r="AT115">
        <v>6.8962316295397015</v>
      </c>
      <c r="AU115">
        <v>-15.111067329128442</v>
      </c>
      <c r="AV115"/>
      <c r="AW115"/>
      <c r="AX115" s="146"/>
      <c r="AY115" s="76">
        <f t="shared" ca="1" si="86"/>
        <v>0.78921581813435115</v>
      </c>
      <c r="AZ115">
        <v>8</v>
      </c>
      <c r="BA115" s="129">
        <f t="shared" si="127"/>
        <v>39714</v>
      </c>
      <c r="BB115">
        <v>0</v>
      </c>
      <c r="BC115"/>
      <c r="BD115">
        <v>1</v>
      </c>
      <c r="BE115"/>
      <c r="BF115">
        <v>3</v>
      </c>
      <c r="BG115">
        <v>10</v>
      </c>
      <c r="BH115">
        <v>1</v>
      </c>
      <c r="BI115">
        <v>3</v>
      </c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0.31601809663574909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0.18915494159440893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10.416666666666666</v>
      </c>
      <c r="DI115" s="161">
        <f t="shared" si="96"/>
        <v>0</v>
      </c>
      <c r="DJ115" s="161">
        <f t="shared" si="97"/>
        <v>31.25</v>
      </c>
      <c r="DK115" s="161">
        <f t="shared" si="98"/>
        <v>104.16666666666667</v>
      </c>
      <c r="DL115" s="161">
        <f t="shared" si="99"/>
        <v>10.416666666666666</v>
      </c>
      <c r="DM115" s="161">
        <f t="shared" si="100"/>
        <v>31.25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187.5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0.27673215409209834</v>
      </c>
      <c r="ES115" s="139">
        <f t="shared" si="57"/>
        <v>0</v>
      </c>
      <c r="ET115" s="139">
        <f t="shared" si="58"/>
        <v>6.2746052094550286</v>
      </c>
      <c r="EU115" s="139">
        <f t="shared" si="59"/>
        <v>40.109621984668401</v>
      </c>
      <c r="EV115" s="139">
        <f t="shared" si="60"/>
        <v>6.828093271595435</v>
      </c>
      <c r="EW115" s="139">
        <f t="shared" si="61"/>
        <v>32.119696413721876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85.608749033532831</v>
      </c>
      <c r="FV115" s="149"/>
      <c r="FY115" s="210">
        <v>110</v>
      </c>
      <c r="FZ115">
        <v>4.100316334684484</v>
      </c>
      <c r="GA115">
        <v>26.065485768215844</v>
      </c>
      <c r="GB115">
        <v>29.566873668351349</v>
      </c>
      <c r="GC115">
        <v>13.176757168313095</v>
      </c>
      <c r="GD115">
        <v>4.5030629078968305</v>
      </c>
      <c r="GE115">
        <v>9.2376874284416157</v>
      </c>
      <c r="GF115">
        <v>9.6833897932970459</v>
      </c>
      <c r="GG115">
        <v>2.0677816378358704</v>
      </c>
      <c r="GH115">
        <v>1.4828991976416939</v>
      </c>
      <c r="GI115">
        <v>12.705201610948627</v>
      </c>
      <c r="GJ115"/>
      <c r="GK115"/>
      <c r="GL115"/>
      <c r="GM115"/>
    </row>
    <row r="116" spans="1:195" s="7" customFormat="1">
      <c r="A116" s="1"/>
      <c r="B116" s="76">
        <f ca="1">IF(C116="", "", RAND())</f>
        <v>0.39584524656365017</v>
      </c>
      <c r="C116">
        <v>3</v>
      </c>
      <c r="D116">
        <v>39714</v>
      </c>
      <c r="E116">
        <v>0</v>
      </c>
      <c r="F116">
        <v>0</v>
      </c>
      <c r="G116">
        <v>0</v>
      </c>
      <c r="H116">
        <v>10.416666666666666</v>
      </c>
      <c r="I116">
        <v>41.666666666666664</v>
      </c>
      <c r="J116">
        <v>72.916666666666671</v>
      </c>
      <c r="K116">
        <v>10.416666666666666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251.40128063166884</v>
      </c>
      <c r="AO116">
        <v>17.937247035273412</v>
      </c>
      <c r="AP116">
        <v>145.98071802521622</v>
      </c>
      <c r="AQ116">
        <v>115.77575349535834</v>
      </c>
      <c r="AR116">
        <v>16.610894075044325</v>
      </c>
      <c r="AS116">
        <v>162.83181919362019</v>
      </c>
      <c r="AT116">
        <v>7.4680539828592165</v>
      </c>
      <c r="AU116">
        <v>-19.92171055309359</v>
      </c>
      <c r="AV116"/>
      <c r="AW116"/>
      <c r="AX116" s="146"/>
      <c r="AY116" s="76">
        <f t="shared" ca="1" si="86"/>
        <v>0.89434316307914674</v>
      </c>
      <c r="AZ116">
        <v>9</v>
      </c>
      <c r="BA116" s="129">
        <f t="shared" si="127"/>
        <v>39714</v>
      </c>
      <c r="BB116">
        <v>0</v>
      </c>
      <c r="BC116"/>
      <c r="BD116"/>
      <c r="BE116">
        <v>1</v>
      </c>
      <c r="BF116">
        <v>1</v>
      </c>
      <c r="BG116"/>
      <c r="BH116">
        <v>8</v>
      </c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0.50435719846450855</v>
      </c>
      <c r="CL116" s="179">
        <f t="shared" si="89"/>
        <v>9</v>
      </c>
      <c r="CM116" s="180">
        <f t="shared" si="90"/>
        <v>39714</v>
      </c>
      <c r="CN116" s="219"/>
      <c r="CO116" s="219"/>
      <c r="CP116" s="219"/>
      <c r="CQ116" s="219"/>
      <c r="CR116" s="219"/>
      <c r="CS116" s="219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0.97313077771201151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10.416666666666666</v>
      </c>
      <c r="DJ116" s="161">
        <f t="shared" si="97"/>
        <v>10.416666666666666</v>
      </c>
      <c r="DK116" s="161">
        <f t="shared" si="98"/>
        <v>0</v>
      </c>
      <c r="DL116" s="161">
        <f t="shared" si="99"/>
        <v>83.333333333333329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104.16666666666666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0.90342877184195758</v>
      </c>
      <c r="ET116" s="139">
        <f t="shared" si="58"/>
        <v>2.091535069818343</v>
      </c>
      <c r="EU116" s="139">
        <f t="shared" si="59"/>
        <v>0</v>
      </c>
      <c r="EV116" s="139">
        <f t="shared" si="60"/>
        <v>54.62474617276348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57.619710014423781</v>
      </c>
      <c r="FV116" s="149"/>
      <c r="FY116" s="210">
        <v>111</v>
      </c>
      <c r="FZ116">
        <v>0.8213986511402942</v>
      </c>
      <c r="GA116">
        <v>20.317241575980301</v>
      </c>
      <c r="GB116">
        <v>20.267252784569159</v>
      </c>
      <c r="GC116">
        <v>9.0033293391479567</v>
      </c>
      <c r="GD116">
        <v>4.2323325455351384</v>
      </c>
      <c r="GE116">
        <v>3.1485105465326644</v>
      </c>
      <c r="GF116">
        <v>1.2563300725902344</v>
      </c>
      <c r="GG116">
        <v>1.8786384168771417</v>
      </c>
      <c r="GH116">
        <v>2.0015286114263167</v>
      </c>
      <c r="GI116">
        <v>8.1463007039741466</v>
      </c>
      <c r="GJ116"/>
      <c r="GK116"/>
      <c r="GL116"/>
      <c r="GM116"/>
    </row>
    <row r="117" spans="1:195" s="7" customFormat="1">
      <c r="A117" s="1"/>
      <c r="B117" s="76">
        <f ca="1">IF(C117="", "", RAND())</f>
        <v>0.3673811191160905</v>
      </c>
      <c r="C117">
        <v>5</v>
      </c>
      <c r="D117">
        <v>39714</v>
      </c>
      <c r="E117">
        <v>0</v>
      </c>
      <c r="F117">
        <v>0</v>
      </c>
      <c r="G117">
        <v>0</v>
      </c>
      <c r="H117">
        <v>10.416666666666666</v>
      </c>
      <c r="I117">
        <v>31.25</v>
      </c>
      <c r="J117">
        <v>10.416666666666666</v>
      </c>
      <c r="K117">
        <v>20.833333333333332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187.90870973518349</v>
      </c>
      <c r="AO117">
        <v>13.747487503638563</v>
      </c>
      <c r="AP117">
        <v>108.93764775803686</v>
      </c>
      <c r="AQ117">
        <v>86.267276148314835</v>
      </c>
      <c r="AR117">
        <v>12.835704821432671</v>
      </c>
      <c r="AS117">
        <v>131.39484230894428</v>
      </c>
      <c r="AT117">
        <v>6.5675049016971316</v>
      </c>
      <c r="AU117">
        <v>-40.373819165279073</v>
      </c>
      <c r="AV117"/>
      <c r="AW117"/>
      <c r="AX117" s="146"/>
      <c r="AY117" s="76">
        <f t="shared" ca="1" si="86"/>
        <v>0.47194963053124717</v>
      </c>
      <c r="AZ117">
        <v>10</v>
      </c>
      <c r="BA117" s="129">
        <f t="shared" si="127"/>
        <v>39714</v>
      </c>
      <c r="BB117">
        <v>0</v>
      </c>
      <c r="BC117"/>
      <c r="BD117"/>
      <c r="BE117">
        <v>9</v>
      </c>
      <c r="BF117">
        <v>3</v>
      </c>
      <c r="BG117">
        <v>3</v>
      </c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0.60116229978661972</v>
      </c>
      <c r="CL117" s="179">
        <f t="shared" si="89"/>
        <v>10</v>
      </c>
      <c r="CM117" s="180">
        <f t="shared" si="90"/>
        <v>39714</v>
      </c>
      <c r="CN117">
        <v>0</v>
      </c>
      <c r="CO117">
        <v>2</v>
      </c>
      <c r="CP117">
        <v>10</v>
      </c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0.69498725982297849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178.57142857142856</v>
      </c>
      <c r="DH117" s="161">
        <f t="shared" si="95"/>
        <v>892.85714285714278</v>
      </c>
      <c r="DI117" s="161">
        <f t="shared" si="96"/>
        <v>93.75</v>
      </c>
      <c r="DJ117" s="161">
        <f t="shared" si="97"/>
        <v>31.25</v>
      </c>
      <c r="DK117" s="161">
        <f t="shared" si="98"/>
        <v>31.25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1227.6785714285713</v>
      </c>
      <c r="EL117" s="149"/>
      <c r="EN117" s="146"/>
      <c r="EO117" s="146"/>
      <c r="EP117" s="139">
        <f t="shared" si="54"/>
        <v>0</v>
      </c>
      <c r="EQ117" s="139">
        <f t="shared" si="55"/>
        <v>0.62767857142857142</v>
      </c>
      <c r="ER117" s="139">
        <f t="shared" si="56"/>
        <v>23.719898922179858</v>
      </c>
      <c r="ES117" s="139">
        <f t="shared" si="57"/>
        <v>8.130858946577618</v>
      </c>
      <c r="ET117" s="139">
        <f t="shared" si="58"/>
        <v>6.2746052094550286</v>
      </c>
      <c r="EU117" s="139">
        <f t="shared" si="59"/>
        <v>12.03288659540052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50.785928245041596</v>
      </c>
      <c r="FV117" s="149"/>
      <c r="FY117" s="210">
        <v>112</v>
      </c>
      <c r="FZ117">
        <v>1.5208581156762861</v>
      </c>
      <c r="GA117">
        <v>13.323150185990418</v>
      </c>
      <c r="GB117">
        <v>10.516035904065177</v>
      </c>
      <c r="GC117">
        <v>4.4805693061121614</v>
      </c>
      <c r="GD117">
        <v>2.5081783278026708</v>
      </c>
      <c r="GE117">
        <v>3.9139770360283235</v>
      </c>
      <c r="GF117">
        <v>4.289303374357158</v>
      </c>
      <c r="GG117">
        <v>4.6151849061043873</v>
      </c>
      <c r="GH117">
        <v>6.0122746524877089</v>
      </c>
      <c r="GI117">
        <v>6.0623139828493517</v>
      </c>
      <c r="GJ117"/>
      <c r="GK117"/>
      <c r="GL117"/>
      <c r="GM117"/>
    </row>
    <row r="118" spans="1:195" s="7" customFormat="1">
      <c r="A118" s="128"/>
      <c r="B118" s="76">
        <f ca="1">IF(C118="", "", RAND())</f>
        <v>0.29747901011105449</v>
      </c>
      <c r="C118">
        <v>1</v>
      </c>
      <c r="D118">
        <v>39747</v>
      </c>
      <c r="E118">
        <v>0</v>
      </c>
      <c r="F118">
        <v>173.61111111111111</v>
      </c>
      <c r="G118">
        <v>347.22222222222223</v>
      </c>
      <c r="H118">
        <v>0</v>
      </c>
      <c r="I118">
        <v>0</v>
      </c>
      <c r="J118">
        <v>20.833333333333332</v>
      </c>
      <c r="K118">
        <v>20.833333333333332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155.18696187947199</v>
      </c>
      <c r="AO118">
        <v>12.455500092489128</v>
      </c>
      <c r="AP118">
        <v>104.06833764434086</v>
      </c>
      <c r="AQ118">
        <v>78.500372281269932</v>
      </c>
      <c r="AR118">
        <v>11.461428998185106</v>
      </c>
      <c r="AS118">
        <v>105.68677046968597</v>
      </c>
      <c r="AT118">
        <v>6.2809848645395379</v>
      </c>
      <c r="AU118">
        <v>-64.69627268425765</v>
      </c>
      <c r="AV118"/>
      <c r="AW118"/>
      <c r="AX118" s="128"/>
      <c r="AY118" s="76">
        <f t="shared" ca="1" si="86"/>
        <v>0.75957105847110462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>
        <v>2</v>
      </c>
      <c r="BH118">
        <v>2</v>
      </c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0.74862141174624153</v>
      </c>
      <c r="CL118" s="179">
        <f t="shared" si="89"/>
        <v>1</v>
      </c>
      <c r="CM118" s="180">
        <f t="shared" si="90"/>
        <v>39747</v>
      </c>
      <c r="CN118">
        <v>0</v>
      </c>
      <c r="CO118">
        <v>2</v>
      </c>
      <c r="CP118">
        <v>4</v>
      </c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1.2737917563698353E-2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173.61111111111111</v>
      </c>
      <c r="DH118" s="161">
        <f t="shared" si="95"/>
        <v>347.22222222222223</v>
      </c>
      <c r="DI118" s="161">
        <f t="shared" si="96"/>
        <v>0</v>
      </c>
      <c r="DJ118" s="161">
        <f t="shared" si="97"/>
        <v>0</v>
      </c>
      <c r="DK118" s="161">
        <f t="shared" si="98"/>
        <v>20.833333333333332</v>
      </c>
      <c r="DL118" s="161">
        <f t="shared" si="99"/>
        <v>20.833333333333332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562.50000000000011</v>
      </c>
      <c r="EL118" s="149"/>
      <c r="EN118" s="146"/>
      <c r="EO118" s="146"/>
      <c r="EP118" s="139">
        <f t="shared" si="54"/>
        <v>0</v>
      </c>
      <c r="EQ118" s="139">
        <f t="shared" si="55"/>
        <v>0.61024305555555558</v>
      </c>
      <c r="ER118" s="139">
        <f t="shared" si="56"/>
        <v>9.2244051364032789</v>
      </c>
      <c r="ES118" s="139">
        <f t="shared" si="57"/>
        <v>0</v>
      </c>
      <c r="ET118" s="139">
        <f t="shared" si="58"/>
        <v>0</v>
      </c>
      <c r="EU118" s="139">
        <f t="shared" si="59"/>
        <v>8.0219243969336791</v>
      </c>
      <c r="EV118" s="139">
        <f t="shared" si="60"/>
        <v>13.65618654319087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31.512759132083382</v>
      </c>
      <c r="FV118" s="149"/>
      <c r="FY118" s="210">
        <v>113</v>
      </c>
      <c r="FZ118">
        <v>0.93386997312725317</v>
      </c>
      <c r="GA118">
        <v>24.214532472757433</v>
      </c>
      <c r="GB118">
        <v>28.795875409646861</v>
      </c>
      <c r="GC118">
        <v>13.064198992957509</v>
      </c>
      <c r="GD118">
        <v>3.3486368982815051</v>
      </c>
      <c r="GE118">
        <v>0.54909016506903474</v>
      </c>
      <c r="GF118">
        <v>2.1181318697402616</v>
      </c>
      <c r="GG118">
        <v>4.9469694449941377</v>
      </c>
      <c r="GH118">
        <v>4.7875015567396373</v>
      </c>
      <c r="GI118">
        <v>10.404473199900222</v>
      </c>
      <c r="GJ118"/>
      <c r="GK118"/>
      <c r="GL118"/>
      <c r="GM118"/>
    </row>
    <row r="119" spans="1:195" s="7" customFormat="1">
      <c r="A119" s="1"/>
      <c r="B119" s="76">
        <f ca="1">IF(C119="", "", RAND())</f>
        <v>0.7409720091753238</v>
      </c>
      <c r="C119">
        <v>7</v>
      </c>
      <c r="D119">
        <v>39747</v>
      </c>
      <c r="E119">
        <v>0</v>
      </c>
      <c r="F119">
        <v>148.80952380952382</v>
      </c>
      <c r="G119">
        <v>0</v>
      </c>
      <c r="H119">
        <v>0</v>
      </c>
      <c r="I119">
        <v>74.404761904761912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213.61929035033859</v>
      </c>
      <c r="AO119">
        <v>13.087624160807058</v>
      </c>
      <c r="AP119">
        <v>110.35826246349467</v>
      </c>
      <c r="AQ119">
        <v>90.153334523587404</v>
      </c>
      <c r="AR119">
        <v>11.991569855075015</v>
      </c>
      <c r="AS119">
        <v>136.51073728674513</v>
      </c>
      <c r="AT119">
        <v>6.1473188604301923</v>
      </c>
      <c r="AU119">
        <v>-2.9443147841951482</v>
      </c>
      <c r="AV119"/>
      <c r="AW119"/>
      <c r="AX119" s="146"/>
      <c r="AY119" s="76">
        <f t="shared" ca="1" si="86"/>
        <v>0.34304858688022399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/>
      <c r="BF119"/>
      <c r="BG119"/>
      <c r="BH119">
        <v>8</v>
      </c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0.6730042512706591</v>
      </c>
      <c r="CL119" s="179">
        <f t="shared" si="89"/>
        <v>2</v>
      </c>
      <c r="CM119" s="180">
        <f t="shared" si="90"/>
        <v>39747</v>
      </c>
      <c r="CN119">
        <v>0</v>
      </c>
      <c r="CO119"/>
      <c r="CP119">
        <v>4</v>
      </c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0.44727622148793356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364.58333333333331</v>
      </c>
      <c r="DI119" s="161">
        <f t="shared" si="96"/>
        <v>0</v>
      </c>
      <c r="DJ119" s="161">
        <f t="shared" si="97"/>
        <v>0</v>
      </c>
      <c r="DK119" s="161">
        <f t="shared" si="98"/>
        <v>0</v>
      </c>
      <c r="DL119" s="161">
        <f t="shared" si="99"/>
        <v>208.33333333333334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572.91666666666663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9.6856253932234431</v>
      </c>
      <c r="ES119" s="139">
        <f t="shared" si="57"/>
        <v>0</v>
      </c>
      <c r="ET119" s="139">
        <f t="shared" si="58"/>
        <v>0</v>
      </c>
      <c r="EU119" s="139">
        <f t="shared" si="59"/>
        <v>0</v>
      </c>
      <c r="EV119" s="139">
        <f t="shared" si="60"/>
        <v>136.5618654319087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146.24749082513213</v>
      </c>
      <c r="FV119" s="149"/>
      <c r="FY119" s="210">
        <v>114</v>
      </c>
      <c r="FZ119">
        <v>1.3899485602341912</v>
      </c>
      <c r="GA119">
        <v>19.384865098076855</v>
      </c>
      <c r="GB119">
        <v>24.853439629066088</v>
      </c>
      <c r="GC119">
        <v>10.802681810356813</v>
      </c>
      <c r="GD119">
        <v>3.8184695919150164</v>
      </c>
      <c r="GE119">
        <v>9.8356732865289409</v>
      </c>
      <c r="GF119">
        <v>10.756176625879982</v>
      </c>
      <c r="GG119">
        <v>5.4479047614925129</v>
      </c>
      <c r="GH119">
        <v>6.7094154334097809</v>
      </c>
      <c r="GI119">
        <v>11.760721560059183</v>
      </c>
      <c r="GJ119"/>
      <c r="GK119"/>
      <c r="GL119"/>
      <c r="GM119"/>
    </row>
    <row r="120" spans="1:195" s="7" customFormat="1">
      <c r="A120" s="1"/>
      <c r="B120" s="76">
        <f ca="1">IF(C120="", "", RAND())</f>
        <v>0.13437000045028569</v>
      </c>
      <c r="C120">
        <v>3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210.15798405928803</v>
      </c>
      <c r="AO120">
        <v>12.527387057333172</v>
      </c>
      <c r="AP120">
        <v>102.20082214054277</v>
      </c>
      <c r="AQ120">
        <v>81.256515156949391</v>
      </c>
      <c r="AR120">
        <v>11.645665004582035</v>
      </c>
      <c r="AS120">
        <v>131.78762114347282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0.97021067599041411</v>
      </c>
      <c r="AZ120">
        <v>3</v>
      </c>
      <c r="BA120" s="129">
        <f t="shared" si="129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0.10230136205196327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0.18384895525852629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47" si="130">IF(DF120="", "", SUM(DF120:EJ120))</f>
        <v>0</v>
      </c>
      <c r="EL120" s="149"/>
      <c r="EN120" s="146"/>
      <c r="EO120" s="146"/>
      <c r="EP120" s="139">
        <f t="shared" ref="EP120:EP147" si="131">IF(DF120="", "", DF120*G$36)</f>
        <v>0</v>
      </c>
      <c r="EQ120" s="139">
        <f t="shared" ref="EQ120:EQ147" si="132">IF(DG120="", "", DG120*H$36)</f>
        <v>0</v>
      </c>
      <c r="ER120" s="139">
        <f t="shared" ref="ER120:ER147" si="133">IF(DH120="", "", DH120*I$36)</f>
        <v>0</v>
      </c>
      <c r="ES120" s="139">
        <f t="shared" ref="ES120:ES147" si="134">IF(DI120="", "", DI120*J$36)</f>
        <v>0</v>
      </c>
      <c r="ET120" s="139">
        <f t="shared" ref="ET120:ET147" si="135">IF(DJ120="", "", DJ120*K$36)</f>
        <v>0</v>
      </c>
      <c r="EU120" s="139">
        <f t="shared" ref="EU120:EU147" si="136">IF(DK120="", "", DK120*L$36)</f>
        <v>0</v>
      </c>
      <c r="EV120" s="139">
        <f t="shared" ref="EV120:EV147" si="137">IF(DL120="", "", DL120*M$36)</f>
        <v>0</v>
      </c>
      <c r="EW120" s="139">
        <f t="shared" ref="EW120:EW147" si="138">IF(DM120="", "", DM120*N$36)</f>
        <v>0</v>
      </c>
      <c r="EX120" s="139">
        <f t="shared" ref="EX120:EX147" si="139">IF(DN120="", "", DN120*O$36)</f>
        <v>0</v>
      </c>
      <c r="EY120" s="139">
        <f t="shared" ref="EY120:EY147" si="140">IF(DO120="", "", DO120*P$36)</f>
        <v>0</v>
      </c>
      <c r="EZ120" s="139">
        <f t="shared" ref="EZ120:EZ147" si="141">IF(DP120="", "", DP120*Q$36)</f>
        <v>0</v>
      </c>
      <c r="FA120" s="139">
        <f t="shared" ref="FA120:FA147" si="142">IF(DQ120="", "", DQ120*R$36)</f>
        <v>0</v>
      </c>
      <c r="FB120" s="139">
        <f t="shared" ref="FB120:FB147" si="143">IF(DR120="", "", DR120*S$36)</f>
        <v>0</v>
      </c>
      <c r="FC120" s="139">
        <f t="shared" ref="FC120:FC147" si="144">IF(DS120="", "", DS120*T$36)</f>
        <v>0</v>
      </c>
      <c r="FD120" s="139">
        <f t="shared" ref="FD120:FD147" si="145">IF(DT120="", "", DT120*U$36)</f>
        <v>0</v>
      </c>
      <c r="FE120" s="139">
        <f t="shared" ref="FE120:FE147" si="146">IF(DU120="", "", DU120*V$36)</f>
        <v>0</v>
      </c>
      <c r="FF120" s="139">
        <f t="shared" ref="FF120:FF147" si="147">IF(DV120="", "", DV120*W$36)</f>
        <v>0</v>
      </c>
      <c r="FG120" s="139">
        <f t="shared" ref="FG120:FG147" si="148">IF(DW120="", "", DW120*X$36)</f>
        <v>0</v>
      </c>
      <c r="FH120" s="139">
        <f t="shared" ref="FH120:FH147" si="149">IF(DX120="", "", DX120*Y$36)</f>
        <v>0</v>
      </c>
      <c r="FI120" s="139">
        <f t="shared" ref="FI120:FI147" si="150">IF(DY120="", "", DY120*Z$36)</f>
        <v>0</v>
      </c>
      <c r="FJ120" s="139">
        <f t="shared" ref="FJ120:FJ147" si="151">IF(DZ120="", "", DZ120*AA$36)</f>
        <v>0</v>
      </c>
      <c r="FK120" s="139">
        <f t="shared" ref="FK120:FK147" si="152">IF(EA120="", "", EA120*AB$36)</f>
        <v>0</v>
      </c>
      <c r="FL120" s="139">
        <f t="shared" ref="FL120:FL147" si="153">IF(EB120="", "", EB120*AC$36)</f>
        <v>0</v>
      </c>
      <c r="FM120" s="139">
        <f t="shared" ref="FM120:FM147" si="154">IF(EC120="", "", EC120*AD$36)</f>
        <v>0</v>
      </c>
      <c r="FN120" s="139">
        <f t="shared" ref="FN120:FN147" si="155">IF(ED120="", "", ED120*AE$36)</f>
        <v>0</v>
      </c>
      <c r="FO120" s="139">
        <f t="shared" ref="FO120:FO147" si="156">IF(EE120="", "", EE120*AF$36)</f>
        <v>0</v>
      </c>
      <c r="FP120" s="139">
        <f t="shared" ref="FP120:FP147" si="157">IF(EF120="", "", EF120*AG$36)</f>
        <v>0</v>
      </c>
      <c r="FQ120" s="139">
        <f t="shared" ref="FQ120:FQ147" si="158">IF(EG120="", "", EG120*AH$36)</f>
        <v>0</v>
      </c>
      <c r="FR120" s="139">
        <f t="shared" ref="FR120:FR147" si="159">IF(EH120="", "", EH120*AI$36)</f>
        <v>0</v>
      </c>
      <c r="FS120" s="139">
        <f t="shared" ref="FS120:FS147" si="160">IF(EI120="", "", EI120*AJ$36)</f>
        <v>0</v>
      </c>
      <c r="FT120" s="139">
        <f t="shared" ref="FT120:FT147" si="161">IF(EJ120="", "", EJ120*AK$36)</f>
        <v>0</v>
      </c>
      <c r="FU120" s="148">
        <f t="shared" ref="FU120:FU147" si="162">IF(EP120="","",SUM(EP120:FT120))</f>
        <v>0</v>
      </c>
      <c r="FV120" s="149"/>
      <c r="FY120" s="210">
        <v>115</v>
      </c>
      <c r="FZ120">
        <v>1.727252310959166</v>
      </c>
      <c r="GA120">
        <v>18.573412193655781</v>
      </c>
      <c r="GB120">
        <v>20.264606672264009</v>
      </c>
      <c r="GC120">
        <v>10.346807930669625</v>
      </c>
      <c r="GD120">
        <v>4.2663154716668634</v>
      </c>
      <c r="GE120">
        <v>5.8680523713061064</v>
      </c>
      <c r="GF120">
        <v>8.0534115716971826</v>
      </c>
      <c r="GG120">
        <v>2.7149589872569586</v>
      </c>
      <c r="GH120">
        <v>2.3257671103202568</v>
      </c>
      <c r="GI120">
        <v>9.6609669612276132</v>
      </c>
      <c r="GJ120"/>
      <c r="GK120"/>
      <c r="GL120"/>
      <c r="GM120"/>
    </row>
    <row r="121" spans="1:195" s="7" customFormat="1">
      <c r="A121" s="1"/>
      <c r="B121" s="76">
        <f ca="1">IF(C121="", "", RAND())</f>
        <v>0.5818878350387866</v>
      </c>
      <c r="C121">
        <v>10</v>
      </c>
      <c r="D121">
        <v>39747</v>
      </c>
      <c r="E121">
        <v>0</v>
      </c>
      <c r="F121">
        <v>195.3125</v>
      </c>
      <c r="G121">
        <v>195.3125</v>
      </c>
      <c r="H121">
        <v>65.104166666666671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217.74724128166227</v>
      </c>
      <c r="AO121">
        <v>11.307818288421819</v>
      </c>
      <c r="AP121">
        <v>74.783602594565764</v>
      </c>
      <c r="AQ121">
        <v>62.994931380712217</v>
      </c>
      <c r="AR121">
        <v>10.331881505604018</v>
      </c>
      <c r="AS121">
        <v>117.15980272463869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0.33401885256186858</v>
      </c>
      <c r="AZ121">
        <v>4</v>
      </c>
      <c r="BA121" s="129">
        <f t="shared" si="129"/>
        <v>39747</v>
      </c>
      <c r="BB121">
        <v>0</v>
      </c>
      <c r="BC121"/>
      <c r="BD121"/>
      <c r="BE121"/>
      <c r="BF121"/>
      <c r="BG121">
        <v>1</v>
      </c>
      <c r="BH121">
        <v>1</v>
      </c>
      <c r="BI121">
        <v>3</v>
      </c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0.13410689280656563</v>
      </c>
      <c r="CL121" s="179">
        <f t="shared" si="89"/>
        <v>4</v>
      </c>
      <c r="CM121" s="180">
        <f t="shared" si="90"/>
        <v>39747</v>
      </c>
      <c r="CN121">
        <v>0</v>
      </c>
      <c r="CO121">
        <v>3</v>
      </c>
      <c r="CP121">
        <v>1</v>
      </c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0.27531369004404027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188.57758620689654</v>
      </c>
      <c r="DH121" s="161">
        <f t="shared" si="95"/>
        <v>62.859195402298845</v>
      </c>
      <c r="DI121" s="161">
        <f t="shared" si="96"/>
        <v>0</v>
      </c>
      <c r="DJ121" s="161">
        <f t="shared" si="97"/>
        <v>0</v>
      </c>
      <c r="DK121" s="161">
        <f t="shared" si="98"/>
        <v>28.409090909090907</v>
      </c>
      <c r="DL121" s="161">
        <f t="shared" si="99"/>
        <v>28.409090909090907</v>
      </c>
      <c r="DM121" s="161">
        <f t="shared" si="100"/>
        <v>85.22727272727272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393.48223615464997</v>
      </c>
      <c r="EL121" s="149"/>
      <c r="EN121" s="146"/>
      <c r="EO121" s="146"/>
      <c r="EP121" s="139">
        <f t="shared" si="131"/>
        <v>0</v>
      </c>
      <c r="EQ121" s="139">
        <f t="shared" si="132"/>
        <v>0.66285021551724144</v>
      </c>
      <c r="ER121" s="139">
        <f t="shared" si="133"/>
        <v>1.6699354126247314</v>
      </c>
      <c r="ES121" s="139">
        <f t="shared" si="134"/>
        <v>0</v>
      </c>
      <c r="ET121" s="139">
        <f t="shared" si="135"/>
        <v>0</v>
      </c>
      <c r="EU121" s="139">
        <f t="shared" si="136"/>
        <v>10.938987814000471</v>
      </c>
      <c r="EV121" s="139">
        <f t="shared" si="137"/>
        <v>18.62207255889664</v>
      </c>
      <c r="EW121" s="139">
        <f t="shared" si="138"/>
        <v>87.599172037423287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119.49301803846237</v>
      </c>
      <c r="FV121" s="149"/>
      <c r="FY121" s="210">
        <v>116</v>
      </c>
      <c r="FZ121">
        <v>4.479272999221517</v>
      </c>
      <c r="GA121">
        <v>24.57769435140742</v>
      </c>
      <c r="GB121">
        <v>21.441211808863933</v>
      </c>
      <c r="GC121">
        <v>9.4405439107122131</v>
      </c>
      <c r="GD121">
        <v>3.6347556649262494</v>
      </c>
      <c r="GE121">
        <v>3.4028231795930113</v>
      </c>
      <c r="GF121">
        <v>4.3762751276352434</v>
      </c>
      <c r="GG121">
        <v>3.3947144945192114</v>
      </c>
      <c r="GH121">
        <v>2.1969826534817587</v>
      </c>
      <c r="GI121">
        <v>9.263055980947934</v>
      </c>
      <c r="GJ121"/>
      <c r="GK121"/>
      <c r="GL121"/>
      <c r="GM121"/>
    </row>
    <row r="122" spans="1:195" s="7" customFormat="1">
      <c r="A122" s="1"/>
      <c r="B122" s="76">
        <f ca="1">IF(C122="", "", RAND())</f>
        <v>0.36133166020318397</v>
      </c>
      <c r="C122">
        <v>8</v>
      </c>
      <c r="D122">
        <v>39747</v>
      </c>
      <c r="E122">
        <v>0</v>
      </c>
      <c r="F122">
        <v>0</v>
      </c>
      <c r="G122">
        <v>420.67307692307696</v>
      </c>
      <c r="H122">
        <v>0</v>
      </c>
      <c r="I122">
        <v>10.416666666666666</v>
      </c>
      <c r="J122">
        <v>10.416666666666666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184.1032216239694</v>
      </c>
      <c r="AO122">
        <v>13.1725995847713</v>
      </c>
      <c r="AP122">
        <v>102.21159312623269</v>
      </c>
      <c r="AQ122">
        <v>78.95521972485642</v>
      </c>
      <c r="AR122">
        <v>12.175207567188609</v>
      </c>
      <c r="AS122">
        <v>137.15850617855969</v>
      </c>
      <c r="AT122">
        <v>5.288220466416055</v>
      </c>
      <c r="AU122">
        <v>-4.2628148062697955</v>
      </c>
      <c r="AV122"/>
      <c r="AW122"/>
      <c r="AX122" s="146"/>
      <c r="AY122" s="76">
        <f t="shared" ca="1" si="86"/>
        <v>0.60070974378667774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0.79733383742496233</v>
      </c>
      <c r="CL122" s="179">
        <f t="shared" si="89"/>
        <v>5</v>
      </c>
      <c r="CM122" s="180">
        <f t="shared" si="90"/>
        <v>39747</v>
      </c>
      <c r="CN122">
        <v>0</v>
      </c>
      <c r="CO122">
        <v>1</v>
      </c>
      <c r="CP122">
        <v>3</v>
      </c>
      <c r="CQ122">
        <v>1</v>
      </c>
      <c r="CR122">
        <v>1</v>
      </c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1.4587239842771549E-2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110.47979797979797</v>
      </c>
      <c r="DH122" s="161">
        <f t="shared" si="95"/>
        <v>331.43939393939394</v>
      </c>
      <c r="DI122" s="161">
        <f t="shared" si="96"/>
        <v>110.47979797979797</v>
      </c>
      <c r="DJ122" s="161">
        <f t="shared" si="97"/>
        <v>110.47979797979797</v>
      </c>
      <c r="DK122" s="161">
        <f t="shared" si="98"/>
        <v>0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662.87878787878776</v>
      </c>
      <c r="EL122" s="149"/>
      <c r="EN122" s="146"/>
      <c r="EO122" s="146"/>
      <c r="EP122" s="139">
        <f t="shared" si="131"/>
        <v>0</v>
      </c>
      <c r="EQ122" s="139">
        <f t="shared" si="132"/>
        <v>0.38833648989898989</v>
      </c>
      <c r="ER122" s="139">
        <f t="shared" si="133"/>
        <v>8.8051139938394929</v>
      </c>
      <c r="ES122" s="139">
        <f t="shared" si="134"/>
        <v>9.5818203074147004</v>
      </c>
      <c r="ET122" s="139">
        <f t="shared" si="135"/>
        <v>22.182947710194544</v>
      </c>
      <c r="EU122" s="139">
        <f t="shared" si="136"/>
        <v>0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40.95821850134773</v>
      </c>
      <c r="FV122" s="149"/>
      <c r="FY122" s="210">
        <v>117</v>
      </c>
      <c r="FZ122">
        <v>3.9307765516304993</v>
      </c>
      <c r="GA122">
        <v>23.529223171075749</v>
      </c>
      <c r="GB122">
        <v>20.548977643384291</v>
      </c>
      <c r="GC122">
        <v>10.329330398286334</v>
      </c>
      <c r="GD122">
        <v>4.2902056461774061</v>
      </c>
      <c r="GE122">
        <v>6.5181576245866371</v>
      </c>
      <c r="GF122">
        <v>9.6684664797223618</v>
      </c>
      <c r="GG122">
        <v>3.3947144945192114</v>
      </c>
      <c r="GH122">
        <v>3.3617118550568845</v>
      </c>
      <c r="GI122">
        <v>10.523434862493618</v>
      </c>
      <c r="GJ122"/>
      <c r="GK122"/>
      <c r="GL122"/>
      <c r="GM122"/>
    </row>
    <row r="123" spans="1:195" s="7" customFormat="1">
      <c r="A123" s="1"/>
      <c r="B123" s="76">
        <f ca="1">IF(C123="", "", RAND())</f>
        <v>9.6928279899180403E-2</v>
      </c>
      <c r="C123">
        <v>2</v>
      </c>
      <c r="D123">
        <v>39747</v>
      </c>
      <c r="E123">
        <v>0</v>
      </c>
      <c r="F123">
        <v>0</v>
      </c>
      <c r="G123">
        <v>364.58333333333331</v>
      </c>
      <c r="H123">
        <v>0</v>
      </c>
      <c r="I123">
        <v>0</v>
      </c>
      <c r="J123">
        <v>0</v>
      </c>
      <c r="K123">
        <v>208.33333333333334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215.35804366822381</v>
      </c>
      <c r="AO123">
        <v>16.673587134477167</v>
      </c>
      <c r="AP123">
        <v>116.85463736783824</v>
      </c>
      <c r="AQ123">
        <v>94.71587887936586</v>
      </c>
      <c r="AR123">
        <v>15.360227992154744</v>
      </c>
      <c r="AS123">
        <v>145.82721952373817</v>
      </c>
      <c r="AT123" t="e">
        <v>#DIV/0!</v>
      </c>
      <c r="AU123" t="e">
        <v>#DIV/0!</v>
      </c>
      <c r="AV123"/>
      <c r="AW123"/>
      <c r="AX123" s="146"/>
      <c r="AY123" s="76">
        <f t="shared" ca="1" si="86"/>
        <v>0.82308843978351831</v>
      </c>
      <c r="AZ123">
        <v>6</v>
      </c>
      <c r="BA123" s="129">
        <f t="shared" si="129"/>
        <v>39747</v>
      </c>
      <c r="BB123">
        <v>0</v>
      </c>
      <c r="BC123"/>
      <c r="BD123"/>
      <c r="BE123"/>
      <c r="BF123"/>
      <c r="BG123"/>
      <c r="BH123">
        <v>1</v>
      </c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0.84222864325644942</v>
      </c>
      <c r="CL123" s="179">
        <f t="shared" si="89"/>
        <v>6</v>
      </c>
      <c r="CM123" s="180">
        <f t="shared" si="90"/>
        <v>39747</v>
      </c>
      <c r="CN123" s="217">
        <v>0</v>
      </c>
      <c r="CO123" s="217">
        <v>1</v>
      </c>
      <c r="CP123" s="217">
        <v>1</v>
      </c>
      <c r="CQ123" s="217"/>
      <c r="CR123" s="217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0.21141743293145776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65.104166666666671</v>
      </c>
      <c r="DH123" s="161">
        <f t="shared" si="95"/>
        <v>65.104166666666671</v>
      </c>
      <c r="DI123" s="161">
        <f t="shared" si="96"/>
        <v>0</v>
      </c>
      <c r="DJ123" s="161">
        <f t="shared" si="97"/>
        <v>0</v>
      </c>
      <c r="DK123" s="161">
        <f t="shared" si="98"/>
        <v>0</v>
      </c>
      <c r="DL123" s="161">
        <f t="shared" si="99"/>
        <v>10.416666666666666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140.625</v>
      </c>
      <c r="EL123" s="149"/>
      <c r="EN123" s="146"/>
      <c r="EO123" s="146"/>
      <c r="EP123" s="139">
        <f t="shared" si="131"/>
        <v>0</v>
      </c>
      <c r="EQ123" s="139">
        <f t="shared" si="132"/>
        <v>0.22884114583333337</v>
      </c>
      <c r="ER123" s="139">
        <f t="shared" si="133"/>
        <v>1.7295759630756149</v>
      </c>
      <c r="ES123" s="139">
        <f t="shared" si="134"/>
        <v>0</v>
      </c>
      <c r="ET123" s="139">
        <f t="shared" si="135"/>
        <v>0</v>
      </c>
      <c r="EU123" s="139">
        <f t="shared" si="136"/>
        <v>0</v>
      </c>
      <c r="EV123" s="139">
        <f t="shared" si="137"/>
        <v>6.828093271595435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8.7865103805043834</v>
      </c>
      <c r="FV123" s="149"/>
      <c r="FY123" s="210">
        <v>118</v>
      </c>
      <c r="FZ123">
        <v>4.0962735159099717</v>
      </c>
      <c r="GA123">
        <v>20.564377926774675</v>
      </c>
      <c r="GB123">
        <v>25.381580876469382</v>
      </c>
      <c r="GC123">
        <v>11.67747968283704</v>
      </c>
      <c r="GD123">
        <v>2.7216899503354779</v>
      </c>
      <c r="GE123">
        <v>5.8425432107467952</v>
      </c>
      <c r="GF123">
        <v>7.206533088121839</v>
      </c>
      <c r="GG123">
        <v>3.8399576096148458</v>
      </c>
      <c r="GH123">
        <v>4.3939653069635174</v>
      </c>
      <c r="GI123">
        <v>10.574884923132272</v>
      </c>
      <c r="GJ123"/>
      <c r="GK123"/>
      <c r="GL123"/>
      <c r="GM123"/>
    </row>
    <row r="124" spans="1:195" s="7" customFormat="1">
      <c r="A124" s="1"/>
      <c r="B124" s="76">
        <f ca="1">IF(C124="", "", RAND())</f>
        <v>0.53158828252107959</v>
      </c>
      <c r="C124">
        <v>9</v>
      </c>
      <c r="D124">
        <v>39747</v>
      </c>
      <c r="E124">
        <v>0</v>
      </c>
      <c r="F124">
        <v>0</v>
      </c>
      <c r="G124">
        <v>0</v>
      </c>
      <c r="H124">
        <v>88.922764227642276</v>
      </c>
      <c r="I124">
        <v>0</v>
      </c>
      <c r="J124">
        <v>88.922764227642276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214.41921691392491</v>
      </c>
      <c r="AO124">
        <v>15.100256240790227</v>
      </c>
      <c r="AP124">
        <v>106.74700544289625</v>
      </c>
      <c r="AQ124">
        <v>87.164821135136009</v>
      </c>
      <c r="AR124">
        <v>13.936183041794068</v>
      </c>
      <c r="AS124">
        <v>142.86930620045274</v>
      </c>
      <c r="AT124">
        <v>6.9746324235042563</v>
      </c>
      <c r="AU124">
        <v>-41.337149526341122</v>
      </c>
      <c r="AV124"/>
      <c r="AW124"/>
      <c r="AX124" s="146"/>
      <c r="AY124" s="76">
        <f t="shared" ca="1" si="86"/>
        <v>6.223947164762933E-6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0.11060165399163435</v>
      </c>
      <c r="CL124" s="179">
        <f t="shared" si="89"/>
        <v>7</v>
      </c>
      <c r="CM124" s="180">
        <f t="shared" si="90"/>
        <v>39747</v>
      </c>
      <c r="CN124">
        <v>0</v>
      </c>
      <c r="CO124">
        <v>2</v>
      </c>
      <c r="CP124"/>
      <c r="CQ124"/>
      <c r="CR124">
        <v>1</v>
      </c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0.20841134626698521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148.80952380952382</v>
      </c>
      <c r="DH124" s="161">
        <f t="shared" si="95"/>
        <v>0</v>
      </c>
      <c r="DI124" s="161">
        <f t="shared" si="96"/>
        <v>0</v>
      </c>
      <c r="DJ124" s="161">
        <f t="shared" si="97"/>
        <v>74.404761904761912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223.21428571428572</v>
      </c>
      <c r="EL124" s="149"/>
      <c r="EN124" s="146"/>
      <c r="EO124" s="146"/>
      <c r="EP124" s="139">
        <f t="shared" si="131"/>
        <v>0</v>
      </c>
      <c r="EQ124" s="139">
        <f t="shared" si="132"/>
        <v>0.52306547619047628</v>
      </c>
      <c r="ER124" s="139">
        <f t="shared" si="133"/>
        <v>0</v>
      </c>
      <c r="ES124" s="139">
        <f t="shared" si="134"/>
        <v>0</v>
      </c>
      <c r="ET124" s="139">
        <f t="shared" si="135"/>
        <v>14.939536212988166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15.462601689178642</v>
      </c>
      <c r="FV124" s="149"/>
      <c r="FY124" s="210">
        <v>119</v>
      </c>
      <c r="FZ124">
        <v>1.4396933743318685</v>
      </c>
      <c r="GA124">
        <v>26.010269393470573</v>
      </c>
      <c r="GB124">
        <v>23.769938815379241</v>
      </c>
      <c r="GC124">
        <v>7.5958573949548276</v>
      </c>
      <c r="GD124">
        <v>3.059203514627681</v>
      </c>
      <c r="GE124">
        <v>3.8417843435676229</v>
      </c>
      <c r="GF124">
        <v>1.915416528459934</v>
      </c>
      <c r="GG124">
        <v>2.9366803660568532</v>
      </c>
      <c r="GH124">
        <v>2.322075817490262</v>
      </c>
      <c r="GI124">
        <v>8.6210414587841591</v>
      </c>
      <c r="GJ124"/>
      <c r="GK124"/>
      <c r="GL124"/>
      <c r="GM124"/>
    </row>
    <row r="125" spans="1:195" s="7" customFormat="1">
      <c r="A125" s="1"/>
      <c r="B125" s="76">
        <f ca="1">IF(C125="", "", RAND())</f>
        <v>7.1385343083858466E-2</v>
      </c>
      <c r="C125">
        <v>4</v>
      </c>
      <c r="D125">
        <v>39747</v>
      </c>
      <c r="E125">
        <v>0</v>
      </c>
      <c r="F125">
        <v>188.57758620689654</v>
      </c>
      <c r="G125">
        <v>62.859195402298845</v>
      </c>
      <c r="H125">
        <v>0</v>
      </c>
      <c r="I125">
        <v>0</v>
      </c>
      <c r="J125">
        <v>28.409090909090907</v>
      </c>
      <c r="K125">
        <v>28.409090909090907</v>
      </c>
      <c r="L125">
        <v>85.22727272727272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165.14335866485123</v>
      </c>
      <c r="AO125">
        <v>12.565504749534611</v>
      </c>
      <c r="AP125">
        <v>105.72586786774191</v>
      </c>
      <c r="AQ125">
        <v>80.993381670015893</v>
      </c>
      <c r="AR125">
        <v>11.616538782366336</v>
      </c>
      <c r="AS125">
        <v>111.83487469736068</v>
      </c>
      <c r="AT125">
        <v>5.1398215506095308</v>
      </c>
      <c r="AU125">
        <v>-21.297070873402724</v>
      </c>
      <c r="AV125"/>
      <c r="AW125"/>
      <c r="AX125" s="146"/>
      <c r="AY125" s="76">
        <f t="shared" ca="1" si="86"/>
        <v>0.82384433008587465</v>
      </c>
      <c r="AZ125">
        <v>8</v>
      </c>
      <c r="BA125" s="129">
        <f t="shared" si="129"/>
        <v>39747</v>
      </c>
      <c r="BB125">
        <v>0</v>
      </c>
      <c r="BC125"/>
      <c r="BD125"/>
      <c r="BE125"/>
      <c r="BF125">
        <v>1</v>
      </c>
      <c r="BG125">
        <v>1</v>
      </c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0.14013552073294822</v>
      </c>
      <c r="CL125" s="179">
        <f t="shared" si="89"/>
        <v>8</v>
      </c>
      <c r="CM125" s="180">
        <f t="shared" si="90"/>
        <v>39747</v>
      </c>
      <c r="CN125">
        <v>0</v>
      </c>
      <c r="CO125"/>
      <c r="CP125">
        <v>6</v>
      </c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0.15364976136201403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420.67307692307696</v>
      </c>
      <c r="DI125" s="161">
        <f t="shared" si="96"/>
        <v>0</v>
      </c>
      <c r="DJ125" s="161">
        <f t="shared" si="97"/>
        <v>10.416666666666666</v>
      </c>
      <c r="DK125" s="161">
        <f t="shared" si="98"/>
        <v>10.416666666666666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441.50641025641033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11.175721607565512</v>
      </c>
      <c r="ES125" s="139">
        <f t="shared" si="134"/>
        <v>0</v>
      </c>
      <c r="ET125" s="139">
        <f t="shared" si="135"/>
        <v>2.091535069818343</v>
      </c>
      <c r="EU125" s="139">
        <f t="shared" si="136"/>
        <v>4.0109621984668395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17.278218875850694</v>
      </c>
      <c r="FV125" s="149"/>
      <c r="FY125" s="210">
        <v>120</v>
      </c>
      <c r="FZ125">
        <v>6.6888551377663754</v>
      </c>
      <c r="GA125">
        <v>28.039617883513124</v>
      </c>
      <c r="GB125">
        <v>20.347230479158725</v>
      </c>
      <c r="GC125">
        <v>8.4054881683466398</v>
      </c>
      <c r="GD125">
        <v>3.8351979067527022</v>
      </c>
      <c r="GE125">
        <v>6.7845125297134059</v>
      </c>
      <c r="GF125">
        <v>8.0374134656972842</v>
      </c>
      <c r="GG125">
        <v>3.3947144945192114</v>
      </c>
      <c r="GH125">
        <v>3.4230698320624482</v>
      </c>
      <c r="GI125">
        <v>10.375265330999135</v>
      </c>
      <c r="GJ125"/>
      <c r="GK125"/>
      <c r="GL125"/>
      <c r="GM125"/>
    </row>
    <row r="126" spans="1:195" s="7" customFormat="1">
      <c r="A126" s="1"/>
      <c r="B126" s="76">
        <f ca="1">IF(C126="", "", RAND())</f>
        <v>0.55635943022895429</v>
      </c>
      <c r="C126">
        <v>6</v>
      </c>
      <c r="D126">
        <v>39747</v>
      </c>
      <c r="E126">
        <v>0</v>
      </c>
      <c r="F126">
        <v>65.104166666666671</v>
      </c>
      <c r="G126">
        <v>65.104166666666671</v>
      </c>
      <c r="H126">
        <v>0</v>
      </c>
      <c r="I126">
        <v>0</v>
      </c>
      <c r="J126">
        <v>0</v>
      </c>
      <c r="K126">
        <v>10.416666666666666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226.94467582874813</v>
      </c>
      <c r="AO126">
        <v>19.237569461102776</v>
      </c>
      <c r="AP126">
        <v>144.09718782875265</v>
      </c>
      <c r="AQ126">
        <v>112.58945551562647</v>
      </c>
      <c r="AR126">
        <v>17.500464985274395</v>
      </c>
      <c r="AS126">
        <v>171.42371247097731</v>
      </c>
      <c r="AT126">
        <v>7.8051718661299416</v>
      </c>
      <c r="AU126">
        <v>-25.239273894496637</v>
      </c>
      <c r="AV126"/>
      <c r="AW126"/>
      <c r="AX126" s="146"/>
      <c r="AY126" s="76">
        <f t="shared" ca="1" si="86"/>
        <v>0.93168119215737732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3.6604043956667276E-3</v>
      </c>
      <c r="CL126" s="179">
        <f t="shared" si="89"/>
        <v>9</v>
      </c>
      <c r="CM126" s="180">
        <f t="shared" si="90"/>
        <v>39747</v>
      </c>
      <c r="CN126">
        <v>0</v>
      </c>
      <c r="CO126"/>
      <c r="CP126"/>
      <c r="CQ126">
        <v>1</v>
      </c>
      <c r="CR126"/>
      <c r="CS126">
        <v>1</v>
      </c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0.42244543735445683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88.922764227642276</v>
      </c>
      <c r="DJ126" s="161">
        <f t="shared" si="97"/>
        <v>0</v>
      </c>
      <c r="DK126" s="161">
        <f t="shared" si="98"/>
        <v>88.922764227642276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177.84552845528455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7.7121968327971997</v>
      </c>
      <c r="ET126" s="139">
        <f t="shared" si="135"/>
        <v>0</v>
      </c>
      <c r="EU126" s="139">
        <f t="shared" si="136"/>
        <v>34.239921206424242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41.952118039221439</v>
      </c>
      <c r="FV126" s="149"/>
      <c r="FY126" s="210">
        <v>121</v>
      </c>
      <c r="FZ126">
        <v>6.1777420920045056</v>
      </c>
      <c r="GA126">
        <v>27.200714794119158</v>
      </c>
      <c r="GB126">
        <v>23.117583331261933</v>
      </c>
      <c r="GC126">
        <v>10.777893511391376</v>
      </c>
      <c r="GD126">
        <v>3.6042035495930107</v>
      </c>
      <c r="GE126">
        <v>4.2483613105785949</v>
      </c>
      <c r="GF126">
        <v>6.1230717296625627</v>
      </c>
      <c r="GG126">
        <v>2.843008934325411</v>
      </c>
      <c r="GH126">
        <v>3.1625665201714481</v>
      </c>
      <c r="GI126">
        <v>10.471078981575348</v>
      </c>
      <c r="GJ126"/>
      <c r="GK126"/>
      <c r="GL126"/>
      <c r="GM126"/>
    </row>
    <row r="127" spans="1:195" s="7" customFormat="1">
      <c r="A127" s="1"/>
      <c r="B127" s="76">
        <f ca="1">IF(C127="", "", RAND())</f>
        <v>9.0917789484346034E-3</v>
      </c>
      <c r="C127">
        <v>5</v>
      </c>
      <c r="D127">
        <v>39747</v>
      </c>
      <c r="E127">
        <v>0</v>
      </c>
      <c r="F127">
        <v>110.47979797979797</v>
      </c>
      <c r="G127">
        <v>331.43939393939394</v>
      </c>
      <c r="H127">
        <v>110.47979797979797</v>
      </c>
      <c r="I127">
        <v>110.47979797979797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167.90732831841828</v>
      </c>
      <c r="AO127">
        <v>12.102454308584353</v>
      </c>
      <c r="AP127">
        <v>89.695095585107779</v>
      </c>
      <c r="AQ127">
        <v>71.072863247773356</v>
      </c>
      <c r="AR127">
        <v>11.393095989544237</v>
      </c>
      <c r="AS127">
        <v>133.86323060338987</v>
      </c>
      <c r="AT127" t="e">
        <v>#DIV/0!</v>
      </c>
      <c r="AU127" t="e">
        <v>#DIV/0!</v>
      </c>
      <c r="AV127"/>
      <c r="AW127"/>
      <c r="AX127" s="146"/>
      <c r="AY127" s="76">
        <f t="shared" ca="1" si="86"/>
        <v>0.57432047406204223</v>
      </c>
      <c r="AZ127">
        <v>10</v>
      </c>
      <c r="BA127" s="129">
        <f t="shared" si="129"/>
        <v>39747</v>
      </c>
      <c r="BB127">
        <v>0</v>
      </c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0.24646809042094597</v>
      </c>
      <c r="CL127" s="179">
        <f t="shared" si="89"/>
        <v>10</v>
      </c>
      <c r="CM127" s="180">
        <f t="shared" si="90"/>
        <v>39747</v>
      </c>
      <c r="CN127">
        <v>0</v>
      </c>
      <c r="CO127">
        <v>3</v>
      </c>
      <c r="CP127">
        <v>3</v>
      </c>
      <c r="CQ127">
        <v>1</v>
      </c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5.3044163952397527E-2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195.3125</v>
      </c>
      <c r="DH127" s="161">
        <f t="shared" si="95"/>
        <v>195.3125</v>
      </c>
      <c r="DI127" s="161">
        <f t="shared" si="96"/>
        <v>65.104166666666671</v>
      </c>
      <c r="DJ127" s="161">
        <f t="shared" si="97"/>
        <v>0</v>
      </c>
      <c r="DK127" s="161">
        <f t="shared" si="98"/>
        <v>0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455.72916666666669</v>
      </c>
      <c r="EL127" s="149"/>
      <c r="EN127" s="146"/>
      <c r="EO127" s="146"/>
      <c r="EP127" s="139">
        <f t="shared" si="131"/>
        <v>0</v>
      </c>
      <c r="EQ127" s="139">
        <f t="shared" si="132"/>
        <v>0.68652343750000011</v>
      </c>
      <c r="ER127" s="139">
        <f t="shared" si="133"/>
        <v>5.1887278892268442</v>
      </c>
      <c r="ES127" s="139">
        <f t="shared" si="134"/>
        <v>5.6464298240122357</v>
      </c>
      <c r="ET127" s="139">
        <f t="shared" si="135"/>
        <v>0</v>
      </c>
      <c r="EU127" s="139">
        <f t="shared" si="136"/>
        <v>0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11.521681150739081</v>
      </c>
      <c r="FV127" s="149"/>
      <c r="FY127" s="210">
        <v>122</v>
      </c>
      <c r="FZ127">
        <v>4.5563949217914228</v>
      </c>
      <c r="GA127">
        <v>27.830127277405069</v>
      </c>
      <c r="GB127">
        <v>24.117881181550889</v>
      </c>
      <c r="GC127">
        <v>10.204639122742144</v>
      </c>
      <c r="GD127">
        <v>4.6336045041217009</v>
      </c>
      <c r="GE127">
        <v>5.9537409263920411</v>
      </c>
      <c r="GF127">
        <v>4.0876628255020435</v>
      </c>
      <c r="GG127">
        <v>0.55170556019380068</v>
      </c>
      <c r="GH127">
        <v>2.3294584031502521</v>
      </c>
      <c r="GI127">
        <v>10.565497651893377</v>
      </c>
      <c r="GJ127"/>
      <c r="GK127"/>
      <c r="GL127"/>
      <c r="GM127"/>
    </row>
    <row r="128" spans="1:195" s="7" customFormat="1">
      <c r="A128" s="128"/>
      <c r="B128" s="76">
        <f ca="1">IF(C128="", "", RAND())</f>
        <v>0.54177611847655593</v>
      </c>
      <c r="C128">
        <v>2</v>
      </c>
      <c r="D128">
        <v>39775</v>
      </c>
      <c r="E128">
        <v>0</v>
      </c>
      <c r="F128">
        <v>0</v>
      </c>
      <c r="G128">
        <v>113.63636363636363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142.0551690641534</v>
      </c>
      <c r="AO128">
        <v>8.9958927526268404</v>
      </c>
      <c r="AP128">
        <v>71.18803721247302</v>
      </c>
      <c r="AQ128">
        <v>57.241845791473651</v>
      </c>
      <c r="AR128">
        <v>8.2990569588283289</v>
      </c>
      <c r="AS128">
        <v>91.819627296365638</v>
      </c>
      <c r="AT128">
        <v>3.7934799616828463</v>
      </c>
      <c r="AU128">
        <v>3.5507156690439743</v>
      </c>
      <c r="AV128"/>
      <c r="AW128"/>
      <c r="AX128" s="128"/>
      <c r="AY128" s="76">
        <f t="shared" ca="1" si="86"/>
        <v>0.32812006557732398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>
        <v>1</v>
      </c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0.31569863425487577</v>
      </c>
      <c r="CL128" s="179">
        <f t="shared" si="89"/>
        <v>1</v>
      </c>
      <c r="CM128" s="180">
        <f t="shared" si="90"/>
        <v>39775</v>
      </c>
      <c r="CN128">
        <v>0</v>
      </c>
      <c r="CO128">
        <v>1</v>
      </c>
      <c r="CP128">
        <v>7</v>
      </c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0.49320115050427416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21.875</v>
      </c>
      <c r="DH128" s="161">
        <f t="shared" si="95"/>
        <v>153.125</v>
      </c>
      <c r="DI128" s="161">
        <f t="shared" si="96"/>
        <v>0</v>
      </c>
      <c r="DJ128" s="161">
        <f t="shared" si="97"/>
        <v>32.051282051282051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207.05128205128204</v>
      </c>
      <c r="EL128" s="149"/>
      <c r="EN128" s="146"/>
      <c r="EO128" s="146"/>
      <c r="EP128" s="139">
        <f t="shared" si="131"/>
        <v>0</v>
      </c>
      <c r="EQ128" s="139">
        <f t="shared" si="132"/>
        <v>7.6890625000000004E-2</v>
      </c>
      <c r="ER128" s="139">
        <f t="shared" si="133"/>
        <v>4.0679626651538463</v>
      </c>
      <c r="ES128" s="139">
        <f t="shared" si="134"/>
        <v>0</v>
      </c>
      <c r="ET128" s="139">
        <f t="shared" si="135"/>
        <v>6.4354925225179782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10.580345812671824</v>
      </c>
      <c r="FV128" s="149"/>
      <c r="FY128" s="210">
        <v>123</v>
      </c>
      <c r="FZ128">
        <v>4.9185537669707369</v>
      </c>
      <c r="GA128">
        <v>30.230966360700549</v>
      </c>
      <c r="GB128">
        <v>36.362125541902458</v>
      </c>
      <c r="GC128">
        <v>15.177749944684901</v>
      </c>
      <c r="GD128">
        <v>2.7084907994052956</v>
      </c>
      <c r="GE128">
        <v>2.930301113885462</v>
      </c>
      <c r="GF128">
        <v>3.119945055045009</v>
      </c>
      <c r="GG128">
        <v>1.5160760776420703</v>
      </c>
      <c r="GH128">
        <v>2.3257671103202568</v>
      </c>
      <c r="GI128">
        <v>12.359624603431094</v>
      </c>
      <c r="GJ128"/>
      <c r="GK128"/>
      <c r="GL128"/>
      <c r="GM128"/>
    </row>
    <row r="129" spans="1:195" s="7" customFormat="1">
      <c r="A129" s="1"/>
      <c r="B129" s="76">
        <f ca="1">IF(C129="", "", RAND())</f>
        <v>0.59623005697605302</v>
      </c>
      <c r="C129">
        <v>5</v>
      </c>
      <c r="D129">
        <v>39775</v>
      </c>
      <c r="E129">
        <v>0</v>
      </c>
      <c r="F129">
        <v>20.833333333333332</v>
      </c>
      <c r="G129">
        <v>476.1904761904762</v>
      </c>
      <c r="H129">
        <v>40.178571428571431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149.49505464981706</v>
      </c>
      <c r="AO129">
        <v>15.632482680744527</v>
      </c>
      <c r="AP129">
        <v>123.74710986288027</v>
      </c>
      <c r="AQ129">
        <v>93.163279983213883</v>
      </c>
      <c r="AR129">
        <v>14.635868483970359</v>
      </c>
      <c r="AS129">
        <v>154.36525965780876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0.4684508506876699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0.22366245224300929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>
        <v>6</v>
      </c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0.40464355058134238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113.63636363636363</v>
      </c>
      <c r="DI129" s="161">
        <f t="shared" si="96"/>
        <v>0</v>
      </c>
      <c r="DJ129" s="161">
        <f t="shared" si="97"/>
        <v>0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113.63636363636363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3.0188962264592547</v>
      </c>
      <c r="ES129" s="139">
        <f t="shared" si="134"/>
        <v>0</v>
      </c>
      <c r="ET129" s="139">
        <f t="shared" si="135"/>
        <v>0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3.0188962264592547</v>
      </c>
      <c r="FV129" s="149"/>
      <c r="FY129" s="210">
        <v>124</v>
      </c>
      <c r="FZ129">
        <v>4.9138875353048528</v>
      </c>
      <c r="GA129">
        <v>21.619069510059958</v>
      </c>
      <c r="GB129">
        <v>27.57885781086393</v>
      </c>
      <c r="GC129">
        <v>13.849392203579267</v>
      </c>
      <c r="GD129">
        <v>3.7548046162862145</v>
      </c>
      <c r="GE129">
        <v>3.7610546643129972</v>
      </c>
      <c r="GF129">
        <v>5.0193634775050455</v>
      </c>
      <c r="GG129">
        <v>3.3947144945192114</v>
      </c>
      <c r="GH129">
        <v>2.5188439423783215</v>
      </c>
      <c r="GI129">
        <v>11.143285409510584</v>
      </c>
      <c r="GJ129"/>
      <c r="GK129"/>
      <c r="GL129"/>
      <c r="GM129"/>
    </row>
    <row r="130" spans="1:195" s="7" customFormat="1">
      <c r="A130" s="1"/>
      <c r="B130" s="76">
        <f ca="1">IF(C130="", "", RAND())</f>
        <v>0.96284940649292583</v>
      </c>
      <c r="C130">
        <v>3</v>
      </c>
      <c r="D130">
        <v>39775</v>
      </c>
      <c r="E130">
        <v>0</v>
      </c>
      <c r="F130">
        <v>0</v>
      </c>
      <c r="G130">
        <v>1354.1666666666667</v>
      </c>
      <c r="H130">
        <v>10.416666666666666</v>
      </c>
      <c r="I130">
        <v>0</v>
      </c>
      <c r="J130">
        <v>0</v>
      </c>
      <c r="K130">
        <v>10.416666666666666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225.49525762668432</v>
      </c>
      <c r="AO130">
        <v>17.751170148621995</v>
      </c>
      <c r="AP130">
        <v>134.60576363859229</v>
      </c>
      <c r="AQ130">
        <v>104.75929635701937</v>
      </c>
      <c r="AR130">
        <v>16.120418181579758</v>
      </c>
      <c r="AS130">
        <v>138.39658727697068</v>
      </c>
      <c r="AT130">
        <v>7.7813459757666301</v>
      </c>
      <c r="AU130">
        <v>-25.838213136790589</v>
      </c>
      <c r="AV130"/>
      <c r="AW130"/>
      <c r="AX130" s="146"/>
      <c r="AY130" s="76">
        <f t="shared" ca="1" si="86"/>
        <v>0.2596284281967558</v>
      </c>
      <c r="AZ130">
        <v>3</v>
      </c>
      <c r="BA130" s="129">
        <f t="shared" si="164"/>
        <v>39775</v>
      </c>
      <c r="BB130">
        <v>0</v>
      </c>
      <c r="BC130"/>
      <c r="BD130"/>
      <c r="BE130">
        <v>1</v>
      </c>
      <c r="BF130"/>
      <c r="BG130"/>
      <c r="BH130">
        <v>1</v>
      </c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0.12659165297813302</v>
      </c>
      <c r="CL130" s="179">
        <f t="shared" si="89"/>
        <v>3</v>
      </c>
      <c r="CM130" s="180">
        <f t="shared" si="90"/>
        <v>39775</v>
      </c>
      <c r="CN130" s="224">
        <v>0</v>
      </c>
      <c r="CO130" s="224"/>
      <c r="CP130" s="224">
        <v>26</v>
      </c>
      <c r="CQ130" s="224"/>
      <c r="CR130" s="224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0.43091300059457027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1354.1666666666667</v>
      </c>
      <c r="DI130" s="161">
        <f t="shared" si="96"/>
        <v>10.416666666666666</v>
      </c>
      <c r="DJ130" s="161">
        <f t="shared" si="97"/>
        <v>0</v>
      </c>
      <c r="DK130" s="161">
        <f t="shared" si="98"/>
        <v>0</v>
      </c>
      <c r="DL130" s="161">
        <f t="shared" si="99"/>
        <v>10.416666666666666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1375.0000000000002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35.975180031972791</v>
      </c>
      <c r="ES130" s="139">
        <f t="shared" si="134"/>
        <v>0.90342877184195758</v>
      </c>
      <c r="ET130" s="139">
        <f t="shared" si="135"/>
        <v>0</v>
      </c>
      <c r="EU130" s="139">
        <f t="shared" si="136"/>
        <v>0</v>
      </c>
      <c r="EV130" s="139">
        <f t="shared" si="137"/>
        <v>6.828093271595435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43.706702075410185</v>
      </c>
      <c r="FV130" s="149"/>
      <c r="FY130" s="210">
        <v>125</v>
      </c>
      <c r="FZ130">
        <v>7.5356220810164789</v>
      </c>
      <c r="GA130">
        <v>30.217490444577646</v>
      </c>
      <c r="GB130">
        <v>25.82347008492556</v>
      </c>
      <c r="GC130">
        <v>10.927514509189564</v>
      </c>
      <c r="GD130">
        <v>3.2709808413480532</v>
      </c>
      <c r="GE130">
        <v>4.4002524658948916</v>
      </c>
      <c r="GF130">
        <v>5.3749143176668603</v>
      </c>
      <c r="GG130">
        <v>2.9366803660568532</v>
      </c>
      <c r="GH130">
        <v>4.0691696198529517</v>
      </c>
      <c r="GI130">
        <v>11.109437984158772</v>
      </c>
      <c r="GJ130"/>
      <c r="GK130"/>
      <c r="GL130"/>
      <c r="GM130"/>
    </row>
    <row r="131" spans="1:195" s="7" customFormat="1">
      <c r="A131" s="1"/>
      <c r="B131" s="76">
        <f ca="1">IF(C131="", "", RAND())</f>
        <v>1.7986460603797383E-2</v>
      </c>
      <c r="C131">
        <v>8</v>
      </c>
      <c r="D131">
        <v>39775</v>
      </c>
      <c r="E131">
        <v>0</v>
      </c>
      <c r="F131">
        <v>208.33333333333334</v>
      </c>
      <c r="G131">
        <v>711.80555555555554</v>
      </c>
      <c r="H131">
        <v>69.444444444444443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223.37054746043719</v>
      </c>
      <c r="AO131">
        <v>14.39636547533622</v>
      </c>
      <c r="AP131">
        <v>104.83900743702534</v>
      </c>
      <c r="AQ131">
        <v>83.801551581023574</v>
      </c>
      <c r="AR131">
        <v>13.233251701965482</v>
      </c>
      <c r="AS131">
        <v>143.29035437728388</v>
      </c>
      <c r="AT131">
        <v>5.8463095394902558</v>
      </c>
      <c r="AU131">
        <v>-1.0254418872750113</v>
      </c>
      <c r="AV131"/>
      <c r="AW131"/>
      <c r="AX131" s="146"/>
      <c r="AY131" s="76">
        <f t="shared" ca="1" si="86"/>
        <v>0.54500273838829494</v>
      </c>
      <c r="AZ131">
        <v>4</v>
      </c>
      <c r="BA131" s="129">
        <f t="shared" si="164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7.7704285348034308E-2</v>
      </c>
      <c r="CL131" s="179">
        <f t="shared" si="89"/>
        <v>4</v>
      </c>
      <c r="CM131" s="180">
        <f t="shared" si="90"/>
        <v>39775</v>
      </c>
      <c r="CN131">
        <v>0</v>
      </c>
      <c r="CO131">
        <v>2</v>
      </c>
      <c r="CP131">
        <v>12</v>
      </c>
      <c r="CQ131">
        <v>1</v>
      </c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0.96886319717366076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20.833333333333332</v>
      </c>
      <c r="DH131" s="161">
        <f t="shared" si="95"/>
        <v>125</v>
      </c>
      <c r="DI131" s="161">
        <f t="shared" si="96"/>
        <v>10.416666666666666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156.25</v>
      </c>
      <c r="EL131" s="149"/>
      <c r="EN131" s="146"/>
      <c r="EO131" s="146"/>
      <c r="EP131" s="139">
        <f t="shared" si="131"/>
        <v>0</v>
      </c>
      <c r="EQ131" s="139">
        <f t="shared" si="132"/>
        <v>7.3229166666666665E-2</v>
      </c>
      <c r="ER131" s="139">
        <f t="shared" si="133"/>
        <v>3.3207858491051803</v>
      </c>
      <c r="ES131" s="139">
        <f t="shared" si="134"/>
        <v>0.90342877184195758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4.2974437876138047</v>
      </c>
      <c r="FV131" s="149"/>
      <c r="FY131" s="210">
        <v>126</v>
      </c>
      <c r="FZ131">
        <v>1.3446432845939991</v>
      </c>
      <c r="GA131">
        <v>22.974996954137467</v>
      </c>
      <c r="GB131">
        <v>18.077233663126478</v>
      </c>
      <c r="GC131">
        <v>6.4731914580015486</v>
      </c>
      <c r="GD131">
        <v>2.6297632605288301</v>
      </c>
      <c r="GE131">
        <v>3.2333537471381524</v>
      </c>
      <c r="GF131">
        <v>4.9334665166521727</v>
      </c>
      <c r="GG131">
        <v>2.7493375025939688</v>
      </c>
      <c r="GH131">
        <v>2.9761153791573811</v>
      </c>
      <c r="GI131">
        <v>7.6189274596006697</v>
      </c>
      <c r="GJ131"/>
      <c r="GK131"/>
      <c r="GL131"/>
      <c r="GM131"/>
    </row>
    <row r="132" spans="1:195" s="7" customFormat="1">
      <c r="A132" s="1"/>
      <c r="B132" s="76">
        <f ca="1">IF(C132="", "", RAND())</f>
        <v>0.94274824713263516</v>
      </c>
      <c r="C132">
        <v>10</v>
      </c>
      <c r="D132">
        <v>39775</v>
      </c>
      <c r="E132">
        <v>0</v>
      </c>
      <c r="F132">
        <v>60.049019607843135</v>
      </c>
      <c r="G132">
        <v>435.35539215686276</v>
      </c>
      <c r="H132">
        <v>15.012254901960784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182.79058000737689</v>
      </c>
      <c r="AO132">
        <v>13.860811810977491</v>
      </c>
      <c r="AP132">
        <v>109.28702471327769</v>
      </c>
      <c r="AQ132">
        <v>86.207330171308485</v>
      </c>
      <c r="AR132">
        <v>12.84282138719659</v>
      </c>
      <c r="AS132">
        <v>143.65910893908784</v>
      </c>
      <c r="AT132" t="e">
        <v>#DIV/0!</v>
      </c>
      <c r="AU132" t="e">
        <v>#DIV/0!</v>
      </c>
      <c r="AV132"/>
      <c r="AW132"/>
      <c r="AX132" s="146"/>
      <c r="AY132" s="76">
        <f t="shared" ca="1" si="86"/>
        <v>0.67854145988746151</v>
      </c>
      <c r="AZ132">
        <v>5</v>
      </c>
      <c r="BA132" s="129">
        <f t="shared" si="164"/>
        <v>39775</v>
      </c>
      <c r="BB132">
        <v>0</v>
      </c>
      <c r="BC132">
        <v>2</v>
      </c>
      <c r="BD132"/>
      <c r="BE132">
        <v>1</v>
      </c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0.54429925076938135</v>
      </c>
      <c r="CL132" s="179">
        <f t="shared" si="89"/>
        <v>5</v>
      </c>
      <c r="CM132" s="180">
        <f t="shared" si="90"/>
        <v>39775</v>
      </c>
      <c r="CN132">
        <v>0</v>
      </c>
      <c r="CO132"/>
      <c r="CP132">
        <v>16</v>
      </c>
      <c r="CQ132">
        <v>1</v>
      </c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0.99818319187909244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20.833333333333332</v>
      </c>
      <c r="DH132" s="161">
        <f t="shared" si="95"/>
        <v>476.1904761904762</v>
      </c>
      <c r="DI132" s="161">
        <f t="shared" si="96"/>
        <v>40.178571428571431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537.20238095238096</v>
      </c>
      <c r="EL132" s="149"/>
      <c r="EN132" s="146"/>
      <c r="EO132" s="146"/>
      <c r="EP132" s="139">
        <f t="shared" si="131"/>
        <v>0</v>
      </c>
      <c r="EQ132" s="139">
        <f t="shared" si="132"/>
        <v>7.3229166666666665E-2</v>
      </c>
      <c r="ER132" s="139">
        <f t="shared" si="133"/>
        <v>12.650612758495926</v>
      </c>
      <c r="ES132" s="139">
        <f t="shared" si="134"/>
        <v>3.4846538342475513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16.208495759410145</v>
      </c>
      <c r="FV132" s="149"/>
      <c r="FY132" s="210">
        <v>127</v>
      </c>
      <c r="FZ132">
        <v>9.4013671298646635</v>
      </c>
      <c r="GA132">
        <v>24.904532376946726</v>
      </c>
      <c r="GB132">
        <v>27.415630664865802</v>
      </c>
      <c r="GC132">
        <v>13.67359045400047</v>
      </c>
      <c r="GD132">
        <v>3.7783413952920091</v>
      </c>
      <c r="GE132">
        <v>5.4782237857980238</v>
      </c>
      <c r="GF132">
        <v>5.7792702078023028</v>
      </c>
      <c r="GG132">
        <v>5.9095396049465627</v>
      </c>
      <c r="GH132">
        <v>7.1770038540628356</v>
      </c>
      <c r="GI132">
        <v>12.652055677081956</v>
      </c>
      <c r="GJ132"/>
      <c r="GK132"/>
      <c r="GL132"/>
      <c r="GM132"/>
    </row>
    <row r="133" spans="1:195" s="7" customFormat="1">
      <c r="A133" s="1"/>
      <c r="B133" s="76">
        <f ca="1">IF(C133="", "", RAND())</f>
        <v>0.65849518666724483</v>
      </c>
      <c r="C133">
        <v>7</v>
      </c>
      <c r="D133">
        <v>39775</v>
      </c>
      <c r="E133">
        <v>0</v>
      </c>
      <c r="F133">
        <v>0</v>
      </c>
      <c r="G133">
        <v>389.8358585858586</v>
      </c>
      <c r="H133">
        <v>51.557239057239059</v>
      </c>
      <c r="I133">
        <v>51.557239057239059</v>
      </c>
      <c r="J133">
        <v>14.204545454545453</v>
      </c>
      <c r="K133">
        <v>28.409090909090907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240.77256254606672</v>
      </c>
      <c r="AO133">
        <v>15.692682663839935</v>
      </c>
      <c r="AP133">
        <v>119.38852950561449</v>
      </c>
      <c r="AQ133">
        <v>96.094998726932999</v>
      </c>
      <c r="AR133">
        <v>14.311781195411065</v>
      </c>
      <c r="AS133">
        <v>160.73484871682922</v>
      </c>
      <c r="AT133">
        <v>6.8453737640255961</v>
      </c>
      <c r="AU133">
        <v>1.2936376017916844</v>
      </c>
      <c r="AV133"/>
      <c r="AW133"/>
      <c r="AX133" s="146"/>
      <c r="AY133" s="76">
        <f t="shared" ca="1" si="86"/>
        <v>0.23962555716579903</v>
      </c>
      <c r="AZ133">
        <v>6</v>
      </c>
      <c r="BA133" s="129">
        <f t="shared" si="164"/>
        <v>39775</v>
      </c>
      <c r="BB133">
        <v>0</v>
      </c>
      <c r="BC133"/>
      <c r="BD133"/>
      <c r="BE133">
        <v>1</v>
      </c>
      <c r="BF133"/>
      <c r="BG133">
        <v>1</v>
      </c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0.66897505536554847</v>
      </c>
      <c r="CL133" s="179">
        <f t="shared" si="89"/>
        <v>6</v>
      </c>
      <c r="CM133" s="180">
        <f t="shared" si="90"/>
        <v>39775</v>
      </c>
      <c r="CN133">
        <v>0</v>
      </c>
      <c r="CO133">
        <v>2</v>
      </c>
      <c r="CP133">
        <v>5</v>
      </c>
      <c r="CQ133">
        <v>1</v>
      </c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0.65792035841167351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20.833333333333332</v>
      </c>
      <c r="DH133" s="161">
        <f t="shared" si="95"/>
        <v>52.083333333333336</v>
      </c>
      <c r="DI133" s="161">
        <f t="shared" si="96"/>
        <v>20.833333333333332</v>
      </c>
      <c r="DJ133" s="161">
        <f t="shared" si="97"/>
        <v>0</v>
      </c>
      <c r="DK133" s="161">
        <f t="shared" si="98"/>
        <v>10.416666666666666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104.16666666666667</v>
      </c>
      <c r="EL133" s="149"/>
      <c r="EN133" s="146"/>
      <c r="EO133" s="146"/>
      <c r="EP133" s="139">
        <f t="shared" si="131"/>
        <v>0</v>
      </c>
      <c r="EQ133" s="139">
        <f t="shared" si="132"/>
        <v>7.3229166666666665E-2</v>
      </c>
      <c r="ER133" s="139">
        <f t="shared" si="133"/>
        <v>1.383660770460492</v>
      </c>
      <c r="ES133" s="139">
        <f t="shared" si="134"/>
        <v>1.8068575436839152</v>
      </c>
      <c r="ET133" s="139">
        <f t="shared" si="135"/>
        <v>0</v>
      </c>
      <c r="EU133" s="139">
        <f t="shared" si="136"/>
        <v>4.0109621984668395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7.2747096792779136</v>
      </c>
      <c r="FV133" s="149"/>
      <c r="FY133" s="210">
        <v>128</v>
      </c>
      <c r="FZ133">
        <v>1.9943610664006113</v>
      </c>
      <c r="GA133">
        <v>21.120267609460658</v>
      </c>
      <c r="GB133">
        <v>25.594292072448898</v>
      </c>
      <c r="GC133">
        <v>12.504914929610404</v>
      </c>
      <c r="GD133">
        <v>3.9672936200362732</v>
      </c>
      <c r="GE133">
        <v>2.2719941633765686</v>
      </c>
      <c r="GF133">
        <v>3.2026680206247509</v>
      </c>
      <c r="GG133">
        <v>4.2654135802360393</v>
      </c>
      <c r="GH133">
        <v>4.980021200581076</v>
      </c>
      <c r="GI133">
        <v>10.359122959604925</v>
      </c>
      <c r="GJ133"/>
      <c r="GK133"/>
      <c r="GL133"/>
      <c r="GM133"/>
    </row>
    <row r="134" spans="1:195" s="7" customFormat="1">
      <c r="A134" s="1"/>
      <c r="B134" s="76">
        <f ca="1">IF(C134="", "", RAND())</f>
        <v>0.34199222354480807</v>
      </c>
      <c r="C134">
        <v>6</v>
      </c>
      <c r="D134">
        <v>39775</v>
      </c>
      <c r="E134">
        <v>0</v>
      </c>
      <c r="F134">
        <v>20.833333333333332</v>
      </c>
      <c r="G134">
        <v>52.083333333333336</v>
      </c>
      <c r="H134">
        <v>20.833333333333332</v>
      </c>
      <c r="I134">
        <v>0</v>
      </c>
      <c r="J134">
        <v>10.416666666666666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186.49057807963928</v>
      </c>
      <c r="AO134">
        <v>15.985215582451881</v>
      </c>
      <c r="AP134">
        <v>124.44927078727635</v>
      </c>
      <c r="AQ134">
        <v>96.299286090905824</v>
      </c>
      <c r="AR134">
        <v>14.534295033356369</v>
      </c>
      <c r="AS134">
        <v>128.75093238521825</v>
      </c>
      <c r="AT134" t="e">
        <v>#DIV/0!</v>
      </c>
      <c r="AU134" t="e">
        <v>#DIV/0!</v>
      </c>
      <c r="AV134"/>
      <c r="AW134"/>
      <c r="AX134" s="146"/>
      <c r="AY134" s="76">
        <f t="shared" ca="1" si="86"/>
        <v>0.1008862398165733</v>
      </c>
      <c r="AZ134">
        <v>7</v>
      </c>
      <c r="BA134" s="129">
        <f t="shared" si="164"/>
        <v>39775</v>
      </c>
      <c r="BB134">
        <v>0</v>
      </c>
      <c r="BC134"/>
      <c r="BD134">
        <v>3</v>
      </c>
      <c r="BE134">
        <v>2</v>
      </c>
      <c r="BF134">
        <v>2</v>
      </c>
      <c r="BG134">
        <v>1</v>
      </c>
      <c r="BH134">
        <v>2</v>
      </c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0.13267334940861231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>
        <v>15</v>
      </c>
      <c r="CQ134">
        <v>1</v>
      </c>
      <c r="CR134">
        <v>1</v>
      </c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0.45597347922125397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389.8358585858586</v>
      </c>
      <c r="DI134" s="161">
        <f t="shared" si="96"/>
        <v>51.557239057239059</v>
      </c>
      <c r="DJ134" s="161">
        <f t="shared" si="97"/>
        <v>51.557239057239059</v>
      </c>
      <c r="DK134" s="161">
        <f t="shared" si="98"/>
        <v>14.204545454545453</v>
      </c>
      <c r="DL134" s="161">
        <f t="shared" si="99"/>
        <v>28.409090909090907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535.56397306397309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10.3564912213255</v>
      </c>
      <c r="ES134" s="139">
        <f t="shared" si="134"/>
        <v>4.4715161434601942</v>
      </c>
      <c r="ET134" s="139">
        <f t="shared" si="135"/>
        <v>10.352042264757456</v>
      </c>
      <c r="EU134" s="139">
        <f t="shared" si="136"/>
        <v>5.4694939070002357</v>
      </c>
      <c r="EV134" s="139">
        <f t="shared" si="137"/>
        <v>18.62207255889664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49.271616095440024</v>
      </c>
      <c r="FV134" s="149"/>
      <c r="FY134" s="210">
        <v>129</v>
      </c>
      <c r="FZ134">
        <v>4.1043591534589963</v>
      </c>
      <c r="GA134">
        <v>25.059492755680282</v>
      </c>
      <c r="GB134">
        <v>26.25469079708941</v>
      </c>
      <c r="GC134">
        <v>11.823939825028033</v>
      </c>
      <c r="GD134">
        <v>3.6236988512085029</v>
      </c>
      <c r="GE134">
        <v>2.65694854076221</v>
      </c>
      <c r="GF134">
        <v>1.8295195676070612</v>
      </c>
      <c r="GG134">
        <v>4.8043281270631155</v>
      </c>
      <c r="GH134">
        <v>5.8768645046052121</v>
      </c>
      <c r="GI134">
        <v>10.522879478858483</v>
      </c>
      <c r="GJ134"/>
      <c r="GK134"/>
      <c r="GL134"/>
      <c r="GM134"/>
    </row>
    <row r="135" spans="1:195" s="7" customFormat="1">
      <c r="A135" s="1"/>
      <c r="B135" s="76">
        <f ca="1">IF(C135="", "", RAND())</f>
        <v>5.8541276746753468E-2</v>
      </c>
      <c r="C135">
        <v>9</v>
      </c>
      <c r="D135">
        <v>39775</v>
      </c>
      <c r="E135">
        <v>0</v>
      </c>
      <c r="F135">
        <v>0</v>
      </c>
      <c r="G135">
        <v>83.333333333333329</v>
      </c>
      <c r="H135">
        <v>10.416666666666666</v>
      </c>
      <c r="I135">
        <v>0</v>
      </c>
      <c r="J135">
        <v>10.416666666666666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162.09053022651372</v>
      </c>
      <c r="AO135">
        <v>12.924324159537605</v>
      </c>
      <c r="AP135">
        <v>106.64298102426754</v>
      </c>
      <c r="AQ135">
        <v>81.511961007123006</v>
      </c>
      <c r="AR135">
        <v>12.061182522672409</v>
      </c>
      <c r="AS135">
        <v>123.09529408070561</v>
      </c>
      <c r="AT135" t="e">
        <v>#DIV/0!</v>
      </c>
      <c r="AU135" t="e">
        <v>#DIV/0!</v>
      </c>
      <c r="AV135"/>
      <c r="AW135"/>
      <c r="AX135" s="146"/>
      <c r="AY135" s="76">
        <f t="shared" ca="1" si="86"/>
        <v>0.47425843287788094</v>
      </c>
      <c r="AZ135">
        <v>8</v>
      </c>
      <c r="BA135" s="129">
        <f t="shared" si="164"/>
        <v>39775</v>
      </c>
      <c r="BB135">
        <v>0</v>
      </c>
      <c r="BC135"/>
      <c r="BD135">
        <v>1</v>
      </c>
      <c r="BE135">
        <v>2</v>
      </c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0.85543814441379062</v>
      </c>
      <c r="CL135" s="179">
        <f t="shared" si="89"/>
        <v>8</v>
      </c>
      <c r="CM135" s="180">
        <f t="shared" si="90"/>
        <v>39775</v>
      </c>
      <c r="CN135">
        <v>0</v>
      </c>
      <c r="CO135">
        <v>4</v>
      </c>
      <c r="CP135">
        <v>13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0.80097408652055457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208.33333333333334</v>
      </c>
      <c r="DH135" s="161">
        <f t="shared" si="95"/>
        <v>711.80555555555554</v>
      </c>
      <c r="DI135" s="161">
        <f t="shared" si="96"/>
        <v>69.444444444444443</v>
      </c>
      <c r="DJ135" s="161">
        <f t="shared" si="97"/>
        <v>0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989.58333333333337</v>
      </c>
      <c r="EL135" s="149"/>
      <c r="EN135" s="146"/>
      <c r="EO135" s="146"/>
      <c r="EP135" s="139">
        <f t="shared" si="131"/>
        <v>0</v>
      </c>
      <c r="EQ135" s="139">
        <f t="shared" si="132"/>
        <v>0.73229166666666679</v>
      </c>
      <c r="ER135" s="139">
        <f t="shared" si="133"/>
        <v>18.91003052962672</v>
      </c>
      <c r="ES135" s="139">
        <f t="shared" si="134"/>
        <v>6.0228584789463842</v>
      </c>
      <c r="ET135" s="139">
        <f t="shared" si="135"/>
        <v>0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25.665180675239768</v>
      </c>
      <c r="FV135" s="149"/>
      <c r="FY135" s="210">
        <v>130</v>
      </c>
      <c r="FZ135">
        <v>3.4890933792041849</v>
      </c>
      <c r="GA135">
        <v>24.779990766824813</v>
      </c>
      <c r="GB135">
        <v>22.460930585119034</v>
      </c>
      <c r="GC135">
        <v>8.4163151845591031</v>
      </c>
      <c r="GD135">
        <v>2.9439802126732606</v>
      </c>
      <c r="GE135">
        <v>5.0982911759984546</v>
      </c>
      <c r="GF135">
        <v>4.8166481362247184</v>
      </c>
      <c r="GG135">
        <v>1.9723098486085839</v>
      </c>
      <c r="GH135">
        <v>2.3871250873258196</v>
      </c>
      <c r="GI135">
        <v>9.0775186398369208</v>
      </c>
      <c r="GJ135"/>
      <c r="GK135"/>
      <c r="GL135"/>
      <c r="GM135"/>
    </row>
    <row r="136" spans="1:195" s="7" customFormat="1">
      <c r="A136" s="1"/>
      <c r="B136" s="76">
        <f ca="1">IF(C136="", "", RAND())</f>
        <v>0.42233435903358552</v>
      </c>
      <c r="C136">
        <v>1</v>
      </c>
      <c r="D136">
        <v>39775</v>
      </c>
      <c r="E136">
        <v>0</v>
      </c>
      <c r="F136">
        <v>21.875</v>
      </c>
      <c r="G136">
        <v>153.125</v>
      </c>
      <c r="H136">
        <v>0</v>
      </c>
      <c r="I136">
        <v>32.051282051282051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189.52361845435132</v>
      </c>
      <c r="AO136">
        <v>15.591762229249202</v>
      </c>
      <c r="AP136">
        <v>125.17605885320663</v>
      </c>
      <c r="AQ136">
        <v>99.331365228529052</v>
      </c>
      <c r="AR136">
        <v>14.302925921993547</v>
      </c>
      <c r="AS136">
        <v>138.24992684833009</v>
      </c>
      <c r="AT136">
        <v>6.7635841738729399</v>
      </c>
      <c r="AU136">
        <v>-14.618909600749083</v>
      </c>
      <c r="AV136"/>
      <c r="AW136"/>
      <c r="AX136" s="146"/>
      <c r="AY136" s="76">
        <f t="shared" ca="1" si="86"/>
        <v>0.18765866005560472</v>
      </c>
      <c r="AZ136">
        <v>9</v>
      </c>
      <c r="BA136" s="129">
        <f t="shared" si="164"/>
        <v>39775</v>
      </c>
      <c r="BB136">
        <v>0</v>
      </c>
      <c r="BC136"/>
      <c r="BD136"/>
      <c r="BE136"/>
      <c r="BF136"/>
      <c r="BG136">
        <v>1</v>
      </c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0.77527821702775079</v>
      </c>
      <c r="CL136" s="179">
        <f t="shared" si="89"/>
        <v>9</v>
      </c>
      <c r="CM136" s="180">
        <f t="shared" si="90"/>
        <v>39775</v>
      </c>
      <c r="CN136" s="224">
        <v>0</v>
      </c>
      <c r="CO136"/>
      <c r="CP136">
        <v>8</v>
      </c>
      <c r="CQ136">
        <v>1</v>
      </c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0.73590550791033227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83.333333333333329</v>
      </c>
      <c r="DI136" s="161">
        <f t="shared" si="96"/>
        <v>10.416666666666666</v>
      </c>
      <c r="DJ136" s="161">
        <f t="shared" si="97"/>
        <v>0</v>
      </c>
      <c r="DK136" s="161">
        <f t="shared" si="98"/>
        <v>10.416666666666666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104.16666666666667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2.2138572327367867</v>
      </c>
      <c r="ES136" s="139">
        <f t="shared" si="134"/>
        <v>0.90342877184195758</v>
      </c>
      <c r="ET136" s="139">
        <f t="shared" si="135"/>
        <v>0</v>
      </c>
      <c r="EU136" s="139">
        <f t="shared" si="136"/>
        <v>4.0109621984668395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7.128248203045584</v>
      </c>
      <c r="FV136" s="149"/>
      <c r="FY136" s="210">
        <v>131</v>
      </c>
      <c r="FZ136">
        <v>6.8426109713003918</v>
      </c>
      <c r="GA136">
        <v>26.514192907576806</v>
      </c>
      <c r="GB136">
        <v>15.800621916397656</v>
      </c>
      <c r="GC136">
        <v>6.4726858416638127</v>
      </c>
      <c r="GD136">
        <v>4.0402712349144156</v>
      </c>
      <c r="GE136">
        <v>7.3799904176192808</v>
      </c>
      <c r="GF136">
        <v>6.5783680518267236</v>
      </c>
      <c r="GG136">
        <v>1.5504545929790807</v>
      </c>
      <c r="GH136">
        <v>2.0718894894732554</v>
      </c>
      <c r="GI136">
        <v>8.8656862435419299</v>
      </c>
      <c r="GJ136"/>
      <c r="GK136"/>
      <c r="GL136"/>
      <c r="GM136"/>
    </row>
    <row r="137" spans="1:195" s="7" customFormat="1">
      <c r="A137" s="1"/>
      <c r="B137" s="76">
        <f ca="1">IF(C137="", "", RAND())</f>
        <v>0.43573122679361909</v>
      </c>
      <c r="C137">
        <v>4</v>
      </c>
      <c r="D137">
        <v>39775</v>
      </c>
      <c r="E137">
        <v>0</v>
      </c>
      <c r="F137">
        <v>20.833333333333332</v>
      </c>
      <c r="G137">
        <v>125</v>
      </c>
      <c r="H137">
        <v>10.416666666666666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176.29249984537449</v>
      </c>
      <c r="AO137">
        <v>15.786438812767667</v>
      </c>
      <c r="AP137">
        <v>125.12245007769846</v>
      </c>
      <c r="AQ137">
        <v>97.726224754683358</v>
      </c>
      <c r="AR137">
        <v>14.527820916763943</v>
      </c>
      <c r="AS137">
        <v>130.85823215295849</v>
      </c>
      <c r="AT137">
        <v>6.0519144770777693</v>
      </c>
      <c r="AU137">
        <v>-10.397180893500014</v>
      </c>
      <c r="AV137"/>
      <c r="AW137"/>
      <c r="AX137" s="146"/>
      <c r="AY137" s="76">
        <f t="shared" ca="1" si="86"/>
        <v>0.53216880141568534</v>
      </c>
      <c r="AZ137">
        <v>10</v>
      </c>
      <c r="BA137" s="129">
        <f t="shared" si="164"/>
        <v>39775</v>
      </c>
      <c r="BB137">
        <v>0</v>
      </c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0.28461814466567681</v>
      </c>
      <c r="CL137" s="179">
        <f t="shared" si="89"/>
        <v>10</v>
      </c>
      <c r="CM137" s="180">
        <f t="shared" si="90"/>
        <v>39775</v>
      </c>
      <c r="CN137" s="227">
        <v>0</v>
      </c>
      <c r="CO137" s="227">
        <v>5.7647058823529411</v>
      </c>
      <c r="CP137" s="227">
        <v>41.794117647058826</v>
      </c>
      <c r="CQ137" s="227">
        <v>1.4411764705882353</v>
      </c>
      <c r="CR137" s="223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0.36285268160579442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60.049019607843135</v>
      </c>
      <c r="DH137" s="161">
        <f t="shared" si="95"/>
        <v>435.35539215686276</v>
      </c>
      <c r="DI137" s="161">
        <f t="shared" si="96"/>
        <v>15.012254901960784</v>
      </c>
      <c r="DJ137" s="161">
        <f t="shared" si="97"/>
        <v>0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510.41666666666669</v>
      </c>
      <c r="EL137" s="149"/>
      <c r="EN137" s="146"/>
      <c r="EO137" s="146"/>
      <c r="EP137" s="139">
        <f t="shared" si="131"/>
        <v>0</v>
      </c>
      <c r="EQ137" s="139">
        <f t="shared" si="132"/>
        <v>0.21107230392156864</v>
      </c>
      <c r="ER137" s="139">
        <f t="shared" si="133"/>
        <v>11.56577620484917</v>
      </c>
      <c r="ES137" s="139">
        <f t="shared" si="134"/>
        <v>1.3020002888310565</v>
      </c>
      <c r="ET137" s="139">
        <f t="shared" si="135"/>
        <v>0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13.078848797601795</v>
      </c>
      <c r="FV137" s="149"/>
      <c r="FY137" s="210">
        <v>132</v>
      </c>
      <c r="FZ137">
        <v>3.950348264264179</v>
      </c>
      <c r="GA137">
        <v>26.275569628812445</v>
      </c>
      <c r="GB137">
        <v>19.927321538854624</v>
      </c>
      <c r="GC137">
        <v>7.4283934576950337</v>
      </c>
      <c r="GD137">
        <v>4.4559934547209341</v>
      </c>
      <c r="GE137">
        <v>7.1662479525291189</v>
      </c>
      <c r="GF137">
        <v>5.7952683138022003</v>
      </c>
      <c r="GG137">
        <v>1.9415320482632639</v>
      </c>
      <c r="GH137">
        <v>1.4865904904716891</v>
      </c>
      <c r="GI137">
        <v>9.4416538967163852</v>
      </c>
      <c r="GJ137"/>
      <c r="GK137"/>
      <c r="GL137"/>
      <c r="GM137"/>
    </row>
    <row r="138" spans="1:195" s="7" customFormat="1">
      <c r="A138" s="128"/>
      <c r="B138" s="76">
        <f ca="1">IF(C138="", "", RAND())</f>
        <v>0.21668889207564712</v>
      </c>
      <c r="C138">
        <v>10</v>
      </c>
      <c r="D138">
        <v>39799</v>
      </c>
      <c r="E138">
        <v>0</v>
      </c>
      <c r="F138">
        <v>31.25</v>
      </c>
      <c r="G138">
        <v>156.25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193.26226471482158</v>
      </c>
      <c r="AO138">
        <v>15.703266803851804</v>
      </c>
      <c r="AP138">
        <v>120.21360001068899</v>
      </c>
      <c r="AQ138">
        <v>94.830712374742731</v>
      </c>
      <c r="AR138">
        <v>14.712544207904074</v>
      </c>
      <c r="AS138">
        <v>146.77932125156633</v>
      </c>
      <c r="AT138" t="e">
        <v>#DIV/0!</v>
      </c>
      <c r="AU138" t="e">
        <v>#DIV/0!</v>
      </c>
      <c r="AV138"/>
      <c r="AW138"/>
      <c r="AX138" s="128"/>
      <c r="AY138" s="76">
        <f t="shared" ca="1" si="86"/>
        <v>1.3063084475522624E-2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8"/>
        <v>0.34559868185661813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>
        <v>1</v>
      </c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0.10048802870963858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83.333333333333329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83.333333333333329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2.2138572327367867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2.2138572327367867</v>
      </c>
      <c r="FV138" s="149"/>
      <c r="FY138" s="210">
        <v>133</v>
      </c>
      <c r="FZ138">
        <v>1.0155447807588431</v>
      </c>
      <c r="GA138">
        <v>16.536853444313852</v>
      </c>
      <c r="GB138">
        <v>24.076436703249378</v>
      </c>
      <c r="GC138">
        <v>11.484768058074133</v>
      </c>
      <c r="GD138">
        <v>3.2008620744763991</v>
      </c>
      <c r="GE138">
        <v>3.900524453673901</v>
      </c>
      <c r="GF138">
        <v>3.6462150244873559</v>
      </c>
      <c r="GG138">
        <v>2.1021601531728811</v>
      </c>
      <c r="GH138">
        <v>4.1408445807325078</v>
      </c>
      <c r="GI138">
        <v>9.3577411868423894</v>
      </c>
      <c r="GJ138"/>
      <c r="GK138"/>
      <c r="GL138"/>
      <c r="GM138"/>
    </row>
    <row r="139" spans="1:195" s="7" customFormat="1">
      <c r="A139" s="1"/>
      <c r="B139" s="76">
        <f ca="1">IF(C139="", "", RAND())</f>
        <v>0.2205265740081348</v>
      </c>
      <c r="C139">
        <v>6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189.48557435513811</v>
      </c>
      <c r="AO139">
        <v>18.615884058357658</v>
      </c>
      <c r="AP139">
        <v>150.30957057061119</v>
      </c>
      <c r="AQ139">
        <v>111.64960037398782</v>
      </c>
      <c r="AR139">
        <v>17.355336703411243</v>
      </c>
      <c r="AS139">
        <v>183.27744653636603</v>
      </c>
      <c r="AT139">
        <v>7.2896497610167721</v>
      </c>
      <c r="AU139">
        <v>-20.651510862516904</v>
      </c>
      <c r="AV139"/>
      <c r="AW139"/>
      <c r="AX139" s="146"/>
      <c r="AY139" s="76">
        <f t="shared" ca="1" si="86"/>
        <v>6.2688618567389165E-2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>
        <v>1</v>
      </c>
      <c r="BH139">
        <v>1</v>
      </c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0.42244264443677526</v>
      </c>
      <c r="CL139" s="179">
        <f t="shared" si="89"/>
        <v>2</v>
      </c>
      <c r="CM139" s="180">
        <f t="shared" si="90"/>
        <v>39799</v>
      </c>
      <c r="CN139">
        <v>1</v>
      </c>
      <c r="CO139">
        <v>6</v>
      </c>
      <c r="CP139">
        <v>16</v>
      </c>
      <c r="CQ139">
        <v>2</v>
      </c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0.12199785670786412</v>
      </c>
      <c r="DD139">
        <f t="shared" si="92"/>
        <v>2</v>
      </c>
      <c r="DE139" s="129">
        <f t="shared" si="165"/>
        <v>39799</v>
      </c>
      <c r="DF139" s="161">
        <f t="shared" si="93"/>
        <v>10.416666666666666</v>
      </c>
      <c r="DG139" s="161">
        <f t="shared" si="94"/>
        <v>62.5</v>
      </c>
      <c r="DH139" s="161">
        <f t="shared" si="95"/>
        <v>166.66666666666666</v>
      </c>
      <c r="DI139" s="161">
        <f t="shared" si="96"/>
        <v>20.833333333333332</v>
      </c>
      <c r="DJ139" s="161">
        <f t="shared" si="97"/>
        <v>0</v>
      </c>
      <c r="DK139" s="161">
        <f t="shared" si="98"/>
        <v>10.416666666666666</v>
      </c>
      <c r="DL139" s="161">
        <f t="shared" si="99"/>
        <v>10.416666666666666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281.25</v>
      </c>
      <c r="EL139" s="149"/>
      <c r="EN139" s="146"/>
      <c r="EO139" s="146"/>
      <c r="EP139" s="139">
        <f t="shared" si="131"/>
        <v>4.8444956353985557E-3</v>
      </c>
      <c r="EQ139" s="139">
        <f t="shared" si="132"/>
        <v>0.21968750000000001</v>
      </c>
      <c r="ER139" s="139">
        <f t="shared" si="133"/>
        <v>4.4277144654735734</v>
      </c>
      <c r="ES139" s="139">
        <f t="shared" si="134"/>
        <v>1.8068575436839152</v>
      </c>
      <c r="ET139" s="139">
        <f t="shared" si="135"/>
        <v>0</v>
      </c>
      <c r="EU139" s="139">
        <f t="shared" si="136"/>
        <v>4.0109621984668395</v>
      </c>
      <c r="EV139" s="139">
        <f t="shared" si="137"/>
        <v>6.828093271595435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17.298159474855161</v>
      </c>
      <c r="FV139" s="149"/>
      <c r="FY139" s="210">
        <v>134</v>
      </c>
      <c r="FZ139">
        <v>7.2791209771419485</v>
      </c>
      <c r="GA139">
        <v>30.63106932758987</v>
      </c>
      <c r="GB139">
        <v>20.94580778335256</v>
      </c>
      <c r="GC139">
        <v>7.1218625960811295</v>
      </c>
      <c r="GD139">
        <v>3.4406419217524093</v>
      </c>
      <c r="GE139">
        <v>9.0090548807226298</v>
      </c>
      <c r="GF139">
        <v>9.8002081737245028</v>
      </c>
      <c r="GG139">
        <v>2.8448092918212566</v>
      </c>
      <c r="GH139">
        <v>3.2366186910483812</v>
      </c>
      <c r="GI139">
        <v>10.642346099166296</v>
      </c>
      <c r="GJ139"/>
      <c r="GK139"/>
      <c r="GL139"/>
      <c r="GM139"/>
    </row>
    <row r="140" spans="1:195" s="7" customFormat="1">
      <c r="A140" s="1"/>
      <c r="B140" s="76">
        <f ca="1">IF(C140="", "", RAND())</f>
        <v>0.34350969637386264</v>
      </c>
      <c r="C140">
        <v>3</v>
      </c>
      <c r="D140">
        <v>39799</v>
      </c>
      <c r="E140">
        <v>0</v>
      </c>
      <c r="F140">
        <v>250</v>
      </c>
      <c r="G140">
        <v>666.66666666666663</v>
      </c>
      <c r="H140">
        <v>0</v>
      </c>
      <c r="I140">
        <v>83.333333333333329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189.41688540573395</v>
      </c>
      <c r="AO140">
        <v>16.761206038763227</v>
      </c>
      <c r="AP140">
        <v>125.35944332728124</v>
      </c>
      <c r="AQ140">
        <v>97.553273664320372</v>
      </c>
      <c r="AR140">
        <v>15.528390361310377</v>
      </c>
      <c r="AS140">
        <v>149.07609619479209</v>
      </c>
      <c r="AT140">
        <v>6.737318253830515</v>
      </c>
      <c r="AU140">
        <v>-16.240959288596258</v>
      </c>
      <c r="AV140"/>
      <c r="AW140"/>
      <c r="AX140" s="146"/>
      <c r="AY140" s="76">
        <f t="shared" ca="1" si="86"/>
        <v>0.28130186073400143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0.80777253461816123</v>
      </c>
      <c r="CL140" s="179">
        <f t="shared" si="89"/>
        <v>3</v>
      </c>
      <c r="CM140" s="180">
        <f t="shared" si="90"/>
        <v>39799</v>
      </c>
      <c r="CN140">
        <v>0</v>
      </c>
      <c r="CO140">
        <v>3</v>
      </c>
      <c r="CP140">
        <v>8</v>
      </c>
      <c r="CQ140"/>
      <c r="CR140">
        <v>1</v>
      </c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5.3806462874769423E-2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250</v>
      </c>
      <c r="DH140" s="161">
        <f t="shared" si="95"/>
        <v>666.66666666666663</v>
      </c>
      <c r="DI140" s="161">
        <f t="shared" si="96"/>
        <v>0</v>
      </c>
      <c r="DJ140" s="161">
        <f t="shared" si="97"/>
        <v>83.333333333333329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1000</v>
      </c>
      <c r="EL140" s="149"/>
      <c r="EN140" s="146"/>
      <c r="EO140" s="146"/>
      <c r="EP140" s="139">
        <f t="shared" si="131"/>
        <v>0</v>
      </c>
      <c r="EQ140" s="139">
        <f t="shared" si="132"/>
        <v>0.87875000000000003</v>
      </c>
      <c r="ER140" s="139">
        <f t="shared" si="133"/>
        <v>17.710857861894294</v>
      </c>
      <c r="ES140" s="139">
        <f t="shared" si="134"/>
        <v>0</v>
      </c>
      <c r="ET140" s="139">
        <f t="shared" si="135"/>
        <v>16.732280558546744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35.321888420441041</v>
      </c>
      <c r="FV140" s="149"/>
      <c r="FY140" s="210">
        <v>135</v>
      </c>
      <c r="FZ140">
        <v>4.5452803353056339</v>
      </c>
      <c r="GA140">
        <v>25.889762023875935</v>
      </c>
      <c r="GB140">
        <v>22.010021863632712</v>
      </c>
      <c r="GC140">
        <v>8.7432567876502745</v>
      </c>
      <c r="GD140">
        <v>2.7520797843064724</v>
      </c>
      <c r="GE140">
        <v>3.2498031614789258</v>
      </c>
      <c r="GF140">
        <v>4.2903781667823706</v>
      </c>
      <c r="GG140">
        <v>2.0677816378358704</v>
      </c>
      <c r="GH140">
        <v>1.161037908745131</v>
      </c>
      <c r="GI140">
        <v>8.7308160363687684</v>
      </c>
      <c r="GJ140"/>
      <c r="GK140"/>
      <c r="GL140"/>
      <c r="GM140"/>
    </row>
    <row r="141" spans="1:195" s="7" customFormat="1">
      <c r="A141" s="1"/>
      <c r="B141" s="76">
        <f ca="1">IF(C141="", "", RAND())</f>
        <v>4.9109436470221146E-2</v>
      </c>
      <c r="C141">
        <v>7</v>
      </c>
      <c r="D141">
        <v>39799</v>
      </c>
      <c r="E141">
        <v>0</v>
      </c>
      <c r="F141">
        <v>0</v>
      </c>
      <c r="G141">
        <v>0</v>
      </c>
      <c r="H141">
        <v>10.416666666666666</v>
      </c>
      <c r="I141">
        <v>0</v>
      </c>
      <c r="J141">
        <v>0</v>
      </c>
      <c r="K141">
        <v>0</v>
      </c>
      <c r="L141">
        <v>10.416666666666666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203.99415028442928</v>
      </c>
      <c r="AO141">
        <v>16.547239654872438</v>
      </c>
      <c r="AP141">
        <v>135.59252097872397</v>
      </c>
      <c r="AQ141">
        <v>105.66553271468764</v>
      </c>
      <c r="AR141">
        <v>15.398063352278388</v>
      </c>
      <c r="AS141">
        <v>144.61619591214239</v>
      </c>
      <c r="AT141">
        <v>6.8708929151803355</v>
      </c>
      <c r="AU141">
        <v>-13.489844129586993</v>
      </c>
      <c r="AV141"/>
      <c r="AW141"/>
      <c r="AX141" s="146"/>
      <c r="AY141" s="76">
        <f t="shared" ca="1" si="86"/>
        <v>0.91634432349855377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/>
      <c r="BH141">
        <v>1</v>
      </c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0.80808700846777715</v>
      </c>
      <c r="CL141" s="179">
        <f t="shared" si="89"/>
        <v>4</v>
      </c>
      <c r="CM141" s="180">
        <f t="shared" si="90"/>
        <v>39799</v>
      </c>
      <c r="CN141">
        <v>1</v>
      </c>
      <c r="CO141">
        <v>2</v>
      </c>
      <c r="CP141">
        <v>3</v>
      </c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0.99417366572260679</v>
      </c>
      <c r="DD141">
        <f t="shared" si="92"/>
        <v>4</v>
      </c>
      <c r="DE141" s="129">
        <f t="shared" si="165"/>
        <v>39799</v>
      </c>
      <c r="DF141" s="161">
        <f t="shared" si="93"/>
        <v>292.44652406417111</v>
      </c>
      <c r="DG141" s="161">
        <f t="shared" si="94"/>
        <v>584.89304812834223</v>
      </c>
      <c r="DH141" s="161">
        <f t="shared" si="95"/>
        <v>877.33957219251329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37.878787878787875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1792.5579322638146</v>
      </c>
      <c r="EL141" s="149"/>
      <c r="EN141" s="146"/>
      <c r="EO141" s="146"/>
      <c r="EP141" s="139">
        <f t="shared" si="131"/>
        <v>0.13600856730397015</v>
      </c>
      <c r="EQ141" s="139">
        <f t="shared" si="132"/>
        <v>2.0558990641711232</v>
      </c>
      <c r="ER141" s="139">
        <f t="shared" si="133"/>
        <v>23.307654689575127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24.829430078528851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50.328992399579072</v>
      </c>
      <c r="FV141" s="149"/>
      <c r="FY141" s="210">
        <v>136</v>
      </c>
      <c r="FZ141">
        <v>0.84803900011695166</v>
      </c>
      <c r="GA141">
        <v>21.301072184428925</v>
      </c>
      <c r="GB141">
        <v>23.394801173885174</v>
      </c>
      <c r="GC141">
        <v>9.0455547136556085</v>
      </c>
      <c r="GD141">
        <v>2.0329956172104535</v>
      </c>
      <c r="GE141">
        <v>4.5504432647032651</v>
      </c>
      <c r="GF141">
        <v>9.0761048834325067</v>
      </c>
      <c r="GG141">
        <v>5.1778811221690662</v>
      </c>
      <c r="GH141">
        <v>6.5279696680583275</v>
      </c>
      <c r="GI141">
        <v>9.897370320176476</v>
      </c>
      <c r="GJ141"/>
      <c r="GK141"/>
      <c r="GL141"/>
      <c r="GM141"/>
    </row>
    <row r="142" spans="1:195" s="7" customFormat="1">
      <c r="A142" s="1"/>
      <c r="B142" s="76">
        <f ca="1">IF(C142="", "", RAND())</f>
        <v>0.25363038823671147</v>
      </c>
      <c r="C142">
        <v>2</v>
      </c>
      <c r="D142">
        <v>39799</v>
      </c>
      <c r="E142">
        <v>10.416666666666666</v>
      </c>
      <c r="F142">
        <v>62.5</v>
      </c>
      <c r="G142">
        <v>166.66666666666666</v>
      </c>
      <c r="H142">
        <v>20.833333333333332</v>
      </c>
      <c r="I142">
        <v>0</v>
      </c>
      <c r="J142">
        <v>10.416666666666666</v>
      </c>
      <c r="K142">
        <v>10.416666666666666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138.73032799440003</v>
      </c>
      <c r="AO142">
        <v>11.31389101226948</v>
      </c>
      <c r="AP142">
        <v>94.877908055245925</v>
      </c>
      <c r="AQ142">
        <v>73.011029225530677</v>
      </c>
      <c r="AR142">
        <v>10.48624514782448</v>
      </c>
      <c r="AS142">
        <v>108.53013991693561</v>
      </c>
      <c r="AT142">
        <v>5.1851951812377655</v>
      </c>
      <c r="AU142">
        <v>-27.47852550600296</v>
      </c>
      <c r="AV142"/>
      <c r="AW142"/>
      <c r="AX142" s="146"/>
      <c r="AY142" s="76">
        <f t="shared" ca="1" si="86"/>
        <v>0.66386393587926307</v>
      </c>
      <c r="AZ142">
        <v>5</v>
      </c>
      <c r="BA142" s="129">
        <f t="shared" si="166"/>
        <v>39799</v>
      </c>
      <c r="BB142">
        <v>0</v>
      </c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0.89569146989538018</v>
      </c>
      <c r="CL142" s="179">
        <f t="shared" si="89"/>
        <v>5</v>
      </c>
      <c r="CM142" s="180">
        <f t="shared" si="90"/>
        <v>39799</v>
      </c>
      <c r="CN142">
        <v>0</v>
      </c>
      <c r="CO142">
        <v>2</v>
      </c>
      <c r="CP142">
        <v>1</v>
      </c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0.97785281464213014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140.22435897435898</v>
      </c>
      <c r="DH142" s="161">
        <f t="shared" si="95"/>
        <v>70.112179487179489</v>
      </c>
      <c r="DI142" s="161">
        <f t="shared" si="96"/>
        <v>0</v>
      </c>
      <c r="DJ142" s="161">
        <f t="shared" si="97"/>
        <v>0</v>
      </c>
      <c r="DK142" s="161">
        <f t="shared" si="98"/>
        <v>0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210.33653846153845</v>
      </c>
      <c r="EL142" s="149"/>
      <c r="EN142" s="146"/>
      <c r="EO142" s="146"/>
      <c r="EP142" s="139">
        <f t="shared" si="131"/>
        <v>0</v>
      </c>
      <c r="EQ142" s="139">
        <f t="shared" si="132"/>
        <v>0.49288862179487186</v>
      </c>
      <c r="ER142" s="139">
        <f t="shared" si="133"/>
        <v>1.8626202679275852</v>
      </c>
      <c r="ES142" s="139">
        <f t="shared" si="134"/>
        <v>0</v>
      </c>
      <c r="ET142" s="139">
        <f t="shared" si="135"/>
        <v>0</v>
      </c>
      <c r="EU142" s="139">
        <f t="shared" si="136"/>
        <v>0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2.355508889722457</v>
      </c>
      <c r="FV142" s="149"/>
      <c r="FY142" s="210">
        <v>137</v>
      </c>
      <c r="FZ142">
        <v>9.5832651938188818</v>
      </c>
      <c r="GA142">
        <v>32.924691547633635</v>
      </c>
      <c r="GB142">
        <v>19.300732855820019</v>
      </c>
      <c r="GC142">
        <v>8.463859935028859</v>
      </c>
      <c r="GD142">
        <v>4.0940597409346147</v>
      </c>
      <c r="GE142">
        <v>7.0798650327893187</v>
      </c>
      <c r="GF142">
        <v>12.296870212905073</v>
      </c>
      <c r="GG142">
        <v>5.8250584715901539</v>
      </c>
      <c r="GH142">
        <v>4.4590145767990759</v>
      </c>
      <c r="GI142">
        <v>11.637173567970002</v>
      </c>
      <c r="GJ142"/>
      <c r="GK142"/>
      <c r="GL142"/>
      <c r="GM142"/>
    </row>
    <row r="143" spans="1:195" s="7" customFormat="1">
      <c r="A143" s="1"/>
      <c r="B143" s="76">
        <f ca="1">IF(C143="", "", RAND())</f>
        <v>0.54816550038899248</v>
      </c>
      <c r="C143">
        <v>5</v>
      </c>
      <c r="D143">
        <v>39799</v>
      </c>
      <c r="E143">
        <v>0</v>
      </c>
      <c r="F143">
        <v>140.22435897435898</v>
      </c>
      <c r="G143">
        <v>70.112179487179489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205.99539843710653</v>
      </c>
      <c r="AO143">
        <v>18.909384199612671</v>
      </c>
      <c r="AP143">
        <v>146.66449740445159</v>
      </c>
      <c r="AQ143">
        <v>116.16955515066134</v>
      </c>
      <c r="AR143">
        <v>17.59776678733348</v>
      </c>
      <c r="AS143">
        <v>153.08570008799592</v>
      </c>
      <c r="AT143">
        <v>8.0452313396453938</v>
      </c>
      <c r="AU143">
        <v>-24.480340235395325</v>
      </c>
      <c r="AV143"/>
      <c r="AW143"/>
      <c r="AX143" s="146"/>
      <c r="AY143" s="76">
        <f t="shared" ca="1" si="86"/>
        <v>6.7801758456586647E-2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0.56539104463688328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0.22364287845509079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0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0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</v>
      </c>
      <c r="FV143" s="149"/>
      <c r="FY143" s="210">
        <v>138</v>
      </c>
      <c r="FZ143">
        <v>4.2389210707292264</v>
      </c>
      <c r="GA143">
        <v>26.029442030328646</v>
      </c>
      <c r="GB143">
        <v>35.213820750663515</v>
      </c>
      <c r="GC143">
        <v>15.609716252587791</v>
      </c>
      <c r="GD143">
        <v>3.5608626888574735</v>
      </c>
      <c r="GE143">
        <v>4.2370029982256234</v>
      </c>
      <c r="GF143">
        <v>3.1007729537719806</v>
      </c>
      <c r="GG143">
        <v>2.0677816378358704</v>
      </c>
      <c r="GH143">
        <v>3.5518542889009459</v>
      </c>
      <c r="GI143">
        <v>12.689511449964833</v>
      </c>
      <c r="GJ143"/>
      <c r="GK143"/>
      <c r="GL143"/>
      <c r="GM143"/>
    </row>
    <row r="144" spans="1:195" s="7" customFormat="1">
      <c r="A144" s="1"/>
      <c r="B144" s="76">
        <f ca="1">IF(C144="", "", RAND())</f>
        <v>8.6221534418282175E-2</v>
      </c>
      <c r="C144">
        <v>8</v>
      </c>
      <c r="D144">
        <v>39799</v>
      </c>
      <c r="E144">
        <v>0</v>
      </c>
      <c r="F144">
        <v>0</v>
      </c>
      <c r="G144">
        <v>74.404761904761912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189.57129260824522</v>
      </c>
      <c r="AO144">
        <v>15.398430227137931</v>
      </c>
      <c r="AP144">
        <v>116.60299958719864</v>
      </c>
      <c r="AQ144">
        <v>90.260349222380199</v>
      </c>
      <c r="AR144">
        <v>14.501714647583707</v>
      </c>
      <c r="AS144">
        <v>144.31775170636692</v>
      </c>
      <c r="AT144">
        <v>6.3966298987436829</v>
      </c>
      <c r="AU144">
        <v>-19.567566390319151</v>
      </c>
      <c r="AV144"/>
      <c r="AW144"/>
      <c r="AX144" s="146"/>
      <c r="AY144" s="76">
        <f t="shared" ca="1" si="86"/>
        <v>0.39243898870232319</v>
      </c>
      <c r="AZ144">
        <v>7</v>
      </c>
      <c r="BA144" s="129">
        <f t="shared" si="166"/>
        <v>39799</v>
      </c>
      <c r="BB144">
        <v>0</v>
      </c>
      <c r="BC144"/>
      <c r="BD144"/>
      <c r="BE144">
        <v>1</v>
      </c>
      <c r="BF144"/>
      <c r="BG144"/>
      <c r="BH144"/>
      <c r="BI144">
        <v>1</v>
      </c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0.60918912807070713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0.84598503843768391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10.416666666666666</v>
      </c>
      <c r="DJ144" s="161">
        <f t="shared" si="97"/>
        <v>0</v>
      </c>
      <c r="DK144" s="161">
        <f t="shared" si="98"/>
        <v>0</v>
      </c>
      <c r="DL144" s="161">
        <f t="shared" si="99"/>
        <v>0</v>
      </c>
      <c r="DM144" s="161">
        <f t="shared" si="100"/>
        <v>10.416666666666666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20.833333333333332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0.90342877184195758</v>
      </c>
      <c r="ET144" s="139">
        <f t="shared" si="135"/>
        <v>0</v>
      </c>
      <c r="EU144" s="139">
        <f t="shared" si="136"/>
        <v>0</v>
      </c>
      <c r="EV144" s="139">
        <f t="shared" si="137"/>
        <v>0</v>
      </c>
      <c r="EW144" s="139">
        <f t="shared" si="138"/>
        <v>10.706565471240623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11.60999424308258</v>
      </c>
      <c r="FV144" s="149"/>
      <c r="FY144" s="210">
        <v>139</v>
      </c>
      <c r="FZ144">
        <v>4.3951957869128329</v>
      </c>
      <c r="GA144">
        <v>22.188965294927169</v>
      </c>
      <c r="GB144">
        <v>16.868268791807186</v>
      </c>
      <c r="GC144">
        <v>7.1053417805241263</v>
      </c>
      <c r="GD144">
        <v>4.4134547548346736</v>
      </c>
      <c r="GE144">
        <v>9.2032938448616335</v>
      </c>
      <c r="GF144">
        <v>8.4121364071321274</v>
      </c>
      <c r="GG144">
        <v>1.4224046459106283</v>
      </c>
      <c r="GH144">
        <v>1.9401706344207539</v>
      </c>
      <c r="GI144">
        <v>9.3163324511650636</v>
      </c>
      <c r="GJ144"/>
      <c r="GK144"/>
      <c r="GL144"/>
      <c r="GM144"/>
    </row>
    <row r="145" spans="1:195" s="7" customFormat="1">
      <c r="A145" s="1"/>
      <c r="B145" s="76">
        <f ca="1">IF(C145="", "", RAND())</f>
        <v>0.16404975032056957</v>
      </c>
      <c r="C145">
        <v>9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168.53643602843167</v>
      </c>
      <c r="AO145">
        <v>15.815248724425516</v>
      </c>
      <c r="AP145">
        <v>124.64026361888132</v>
      </c>
      <c r="AQ145">
        <v>96.556721601361318</v>
      </c>
      <c r="AR145">
        <v>14.737568303278671</v>
      </c>
      <c r="AS145">
        <v>137.83045783568286</v>
      </c>
      <c r="AT145">
        <v>6.6188434204166775</v>
      </c>
      <c r="AU145">
        <v>-25.796423724992113</v>
      </c>
      <c r="AV145"/>
      <c r="AW145"/>
      <c r="AX145" s="146"/>
      <c r="AY145" s="76">
        <f t="shared" ca="1" si="86"/>
        <v>0.90606469123292044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0.57461426071475352</v>
      </c>
      <c r="CL145" s="179">
        <f t="shared" si="89"/>
        <v>8</v>
      </c>
      <c r="CM145" s="180">
        <f t="shared" si="90"/>
        <v>39799</v>
      </c>
      <c r="CN145">
        <v>0</v>
      </c>
      <c r="CO145"/>
      <c r="CP145">
        <v>1</v>
      </c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0.76569088420647891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74.404761904761912</v>
      </c>
      <c r="DI145" s="161">
        <f t="shared" si="96"/>
        <v>0</v>
      </c>
      <c r="DJ145" s="161">
        <f t="shared" si="97"/>
        <v>0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74.404761904761912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1.9766582435149886</v>
      </c>
      <c r="ES145" s="139">
        <f t="shared" si="134"/>
        <v>0</v>
      </c>
      <c r="ET145" s="139">
        <f t="shared" si="135"/>
        <v>0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1.9766582435149886</v>
      </c>
      <c r="FV145" s="149"/>
      <c r="FY145" s="210">
        <v>140</v>
      </c>
      <c r="FZ145">
        <v>9.3039115040814018</v>
      </c>
      <c r="GA145">
        <v>30.153232322936326</v>
      </c>
      <c r="GB145">
        <v>30.553989043691203</v>
      </c>
      <c r="GC145">
        <v>14.252114878538645</v>
      </c>
      <c r="GD145">
        <v>2.9086906009587832</v>
      </c>
      <c r="GE145">
        <v>3.1254183948132903</v>
      </c>
      <c r="GF145">
        <v>5.343992898092278</v>
      </c>
      <c r="GG145">
        <v>4.9433687300024474</v>
      </c>
      <c r="GH145">
        <v>5.298191196647644</v>
      </c>
      <c r="GI145">
        <v>12.55393336858533</v>
      </c>
      <c r="GJ145"/>
      <c r="GK145"/>
      <c r="GL145"/>
      <c r="GM145"/>
    </row>
    <row r="146" spans="1:195" s="7" customFormat="1">
      <c r="A146" s="1"/>
      <c r="B146" s="76">
        <f ca="1">IF(C146="", "", RAND())</f>
        <v>0.85048838108225677</v>
      </c>
      <c r="C146">
        <v>1</v>
      </c>
      <c r="D146">
        <v>39799</v>
      </c>
      <c r="E146">
        <v>0</v>
      </c>
      <c r="F146">
        <v>0</v>
      </c>
      <c r="G146">
        <v>83.333333333333329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182.8173644465929</v>
      </c>
      <c r="AO146">
        <v>13.522057668319629</v>
      </c>
      <c r="AP146">
        <v>109.87733327814234</v>
      </c>
      <c r="AQ146">
        <v>85.44220301637489</v>
      </c>
      <c r="AR146">
        <v>12.521663846839429</v>
      </c>
      <c r="AS146">
        <v>119.14160470376423</v>
      </c>
      <c r="AT146">
        <v>6.280310908732079</v>
      </c>
      <c r="AU146">
        <v>-29.990726457136724</v>
      </c>
      <c r="AV146"/>
      <c r="AW146"/>
      <c r="AX146" s="146"/>
      <c r="AY146" s="76">
        <f t="shared" ca="1" si="86"/>
        <v>0.93716101326587253</v>
      </c>
      <c r="AZ146">
        <v>9</v>
      </c>
      <c r="BA146" s="129">
        <f t="shared" si="166"/>
        <v>39799</v>
      </c>
      <c r="BB146">
        <v>0</v>
      </c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0.83731642822384877</v>
      </c>
      <c r="CL146" s="179">
        <f t="shared" si="89"/>
        <v>9</v>
      </c>
      <c r="CM146" s="180">
        <f t="shared" si="90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0.73699107113480888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0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0</v>
      </c>
      <c r="FV146" s="149"/>
      <c r="FY146" s="210">
        <v>141</v>
      </c>
      <c r="FZ146">
        <v>9.0362958137210825</v>
      </c>
      <c r="GA146">
        <v>29.580487046142565</v>
      </c>
      <c r="GB146">
        <v>22.681088964421232</v>
      </c>
      <c r="GC146">
        <v>10.544377548866812</v>
      </c>
      <c r="GD146">
        <v>5.2243178449290744</v>
      </c>
      <c r="GE146">
        <v>6.9950541208441237</v>
      </c>
      <c r="GF146">
        <v>4.4071965472098258</v>
      </c>
      <c r="GG146">
        <v>4.5826067482632213</v>
      </c>
      <c r="GH146">
        <v>5.5586945085386441</v>
      </c>
      <c r="GI146">
        <v>11.709248544441792</v>
      </c>
      <c r="GJ146"/>
      <c r="GK146"/>
      <c r="GL146"/>
      <c r="GM146"/>
    </row>
    <row r="147" spans="1:195" s="7" customFormat="1">
      <c r="A147" s="1"/>
      <c r="B147" s="76">
        <f ca="1">IF(C147="", "", RAND())</f>
        <v>0.90873197530643424</v>
      </c>
      <c r="C147">
        <v>4</v>
      </c>
      <c r="D147">
        <v>39799</v>
      </c>
      <c r="E147">
        <v>292.44652406417111</v>
      </c>
      <c r="F147">
        <v>584.89304812834223</v>
      </c>
      <c r="G147">
        <v>877.33957219251329</v>
      </c>
      <c r="H147">
        <v>0</v>
      </c>
      <c r="I147">
        <v>0</v>
      </c>
      <c r="J147">
        <v>0</v>
      </c>
      <c r="K147">
        <v>37.878787878787875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208.64002075931998</v>
      </c>
      <c r="AO147">
        <v>13.300866659470358</v>
      </c>
      <c r="AP147">
        <v>104.67088783104811</v>
      </c>
      <c r="AQ147">
        <v>86.116771667293349</v>
      </c>
      <c r="AR147">
        <v>12.060596972973707</v>
      </c>
      <c r="AS147">
        <v>121.90887394393373</v>
      </c>
      <c r="AT147" t="e">
        <v>#DIV/0!</v>
      </c>
      <c r="AU147" t="e">
        <v>#DIV/0!</v>
      </c>
      <c r="AV147"/>
      <c r="AW147"/>
      <c r="AX147" s="146"/>
      <c r="AY147" s="76">
        <f t="shared" ca="1" si="86"/>
        <v>0.8882345475097706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0.69465441870791933</v>
      </c>
      <c r="CL147" s="179">
        <f t="shared" si="89"/>
        <v>10</v>
      </c>
      <c r="CM147" s="180">
        <f t="shared" si="90"/>
        <v>39799</v>
      </c>
      <c r="CN147">
        <v>0</v>
      </c>
      <c r="CO147">
        <v>3</v>
      </c>
      <c r="CP147">
        <v>15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7.1672293568620926E-2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31.25</v>
      </c>
      <c r="DH147" s="161">
        <f t="shared" si="95"/>
        <v>156.25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187.5</v>
      </c>
      <c r="EL147" s="149"/>
      <c r="EN147" s="146"/>
      <c r="EO147" s="146"/>
      <c r="EP147" s="139">
        <f t="shared" si="131"/>
        <v>0</v>
      </c>
      <c r="EQ147" s="139">
        <f t="shared" si="132"/>
        <v>0.10984375</v>
      </c>
      <c r="ER147" s="139">
        <f t="shared" si="133"/>
        <v>4.1509823113814752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4.2608260613814748</v>
      </c>
      <c r="FV147" s="149"/>
      <c r="FY147" s="210">
        <v>142</v>
      </c>
      <c r="FZ147">
        <v>4.2579795857074361</v>
      </c>
      <c r="GA147">
        <v>30.013471642970377</v>
      </c>
      <c r="GB147">
        <v>21.138793861512404</v>
      </c>
      <c r="GC147">
        <v>8.6351086018240402</v>
      </c>
      <c r="GD147">
        <v>5.5662597021015578</v>
      </c>
      <c r="GE147">
        <v>7.732539613103337</v>
      </c>
      <c r="GF147">
        <v>6.2196432163917761</v>
      </c>
      <c r="GG147">
        <v>1.1988829096148885</v>
      </c>
      <c r="GH147">
        <v>0.58236460078756302</v>
      </c>
      <c r="GI147">
        <v>10.41071051755794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193.88114825514452</v>
      </c>
      <c r="AO148">
        <v>14.017983054722441</v>
      </c>
      <c r="AP148">
        <v>108.54577110666079</v>
      </c>
      <c r="AQ148">
        <v>87.868919046129875</v>
      </c>
      <c r="AR148">
        <v>13.007415565850719</v>
      </c>
      <c r="AS148">
        <v>129.93367727607833</v>
      </c>
      <c r="AT148" t="e">
        <v>#DIV/0!</v>
      </c>
      <c r="AU148" t="e">
        <v>#DIV/0!</v>
      </c>
      <c r="AV148"/>
      <c r="AW148"/>
      <c r="AX148" s="128"/>
      <c r="AY148" s="76">
        <f t="shared" ref="AY148:AY149" ca="1" si="167">IF(AZ148="", "", RAND())</f>
        <v>2.9518682466322943E-3</v>
      </c>
      <c r="AZ148" s="227">
        <v>1</v>
      </c>
      <c r="BA148" s="129">
        <f>IF(AZ148="", "",$C$10)</f>
        <v>39847</v>
      </c>
      <c r="BB148" s="227">
        <v>0</v>
      </c>
      <c r="BC148" s="227"/>
      <c r="BD148" s="227"/>
      <c r="BE148" s="227"/>
      <c r="BF148" s="227"/>
      <c r="BG148" s="227"/>
      <c r="BH148" s="227"/>
      <c r="BI148" s="227"/>
      <c r="BJ148" s="227"/>
      <c r="BK148" s="227"/>
      <c r="BL148" s="227"/>
      <c r="BM148" s="227"/>
      <c r="BN148" s="227"/>
      <c r="BO148" s="227"/>
      <c r="BP148" s="227"/>
      <c r="BQ148" s="227"/>
      <c r="BR148" s="227"/>
      <c r="BS148" s="227"/>
      <c r="BT148" s="227"/>
      <c r="BU148" s="227"/>
      <c r="BV148" s="227"/>
      <c r="BW148" s="227"/>
      <c r="BX148" s="227"/>
      <c r="BY148" s="227"/>
      <c r="BZ148" s="227"/>
      <c r="CA148" s="227"/>
      <c r="CB148" s="227"/>
      <c r="CC148" s="227"/>
      <c r="CD148" s="227"/>
      <c r="CE148" s="227"/>
      <c r="CF148" s="227"/>
      <c r="CG148" s="147"/>
      <c r="CH148" s="176"/>
      <c r="CJ148" s="128"/>
      <c r="CK148" s="76">
        <f t="shared" ref="CK148:CK149" ca="1" si="168">IF(AZ148="", "", RAND())</f>
        <v>0.96892271659061024</v>
      </c>
      <c r="CL148" s="179">
        <f t="shared" ref="CL148:CL149" si="169">IF(AZ148="", "", AZ148)</f>
        <v>1</v>
      </c>
      <c r="CM148" s="180">
        <f t="shared" ref="CM148:CM149" si="170">IF(AZ148="", "", BA148)</f>
        <v>39847</v>
      </c>
      <c r="CN148" s="227">
        <v>0</v>
      </c>
      <c r="CO148" s="227"/>
      <c r="CP148" s="227"/>
      <c r="CQ148" s="227"/>
      <c r="CR148" s="227"/>
      <c r="CS148" s="227"/>
      <c r="CT148" s="227"/>
      <c r="CU148" s="227"/>
      <c r="CV148" s="160"/>
      <c r="CW148" s="227">
        <v>1</v>
      </c>
      <c r="CX148" s="227">
        <v>1</v>
      </c>
      <c r="CY148" s="160"/>
      <c r="CZ148" s="177">
        <f t="shared" si="91"/>
        <v>9.6000000000000002E-2</v>
      </c>
      <c r="DB148" s="128"/>
      <c r="DC148" s="76">
        <f t="shared" ca="1" si="49"/>
        <v>0.64614024575776274</v>
      </c>
      <c r="DD148" s="227">
        <f t="shared" si="92"/>
        <v>1</v>
      </c>
      <c r="DE148" s="129">
        <f t="shared" ref="DE148:DE157" si="171">IF((DD148)="", "", $C$10)</f>
        <v>39847</v>
      </c>
      <c r="DF148" s="161">
        <f t="shared" si="93"/>
        <v>0</v>
      </c>
      <c r="DG148" s="161">
        <f t="shared" ref="DG148:DG157" si="172">IF($AZ148="", "", ((BC148*$CW148)+(CO148*$CX148))/$CZ148)</f>
        <v>0</v>
      </c>
      <c r="DH148" s="161">
        <f t="shared" ref="DH148:DH157" si="173">IF($AZ148="", "", ((BD148*$CW148)+(CP148*$CX148))/$CZ148)</f>
        <v>0</v>
      </c>
      <c r="DI148" s="161">
        <f t="shared" ref="DI148:DI157" si="174">IF($AZ148="", "", ((BE148*$CW148)+(CQ148*$CX148))/$CZ148)</f>
        <v>0</v>
      </c>
      <c r="DJ148" s="161">
        <f t="shared" ref="DJ148:DJ157" si="175">IF($AZ148="", "", ((BF148*$CW148)+(CR148*$CX148))/$CZ148)</f>
        <v>0</v>
      </c>
      <c r="DK148" s="161">
        <f t="shared" ref="DK148:DK157" si="176">IF($AZ148="", "", ((BG148*$CW148)+(CS148*$CX148))/$CZ148)</f>
        <v>0</v>
      </c>
      <c r="DL148" s="161">
        <f t="shared" ref="DL148:DL157" si="177">IF($AZ148="", "", ((BH148*$CW148)+(CT148*$CX148))/$CZ148)</f>
        <v>0</v>
      </c>
      <c r="DM148" s="161">
        <f t="shared" ref="DM148:DM157" si="178">IF($AZ148="", "", ((BI148*$CW148)+(CU148*$CX148))/$CZ148)</f>
        <v>0</v>
      </c>
      <c r="DN148" s="161">
        <f t="shared" ref="DN148:DN157" si="179">IF($AZ148="", "", (BJ148*$CW148)/$CZ148)</f>
        <v>0</v>
      </c>
      <c r="DO148" s="161">
        <f t="shared" ref="DO148:DO157" si="180">IF($AZ148="", "", (BK148*$CW148)/$CZ148)</f>
        <v>0</v>
      </c>
      <c r="DP148" s="161">
        <f t="shared" ref="DP148:DP157" si="181">IF($AZ148="", "", (BL148*$CW148)/$CZ148)</f>
        <v>0</v>
      </c>
      <c r="DQ148" s="161">
        <f t="shared" ref="DQ148:DQ157" si="182">IF($AZ148="", "", (BM148*$CW148)/$CZ148)</f>
        <v>0</v>
      </c>
      <c r="DR148" s="161">
        <f t="shared" ref="DR148:DR157" si="183">IF($AZ148="", "", (BN148*$CW148)/$CZ148)</f>
        <v>0</v>
      </c>
      <c r="DS148" s="161">
        <f t="shared" ref="DS148:DS157" si="184">IF($AZ148="", "", (BO148*$CW148)/$CZ148)</f>
        <v>0</v>
      </c>
      <c r="DT148" s="161">
        <f t="shared" ref="DT148:DT157" si="185">IF($AZ148="", "", (BP148*$CW148)/$CZ148)</f>
        <v>0</v>
      </c>
      <c r="DU148" s="161">
        <f t="shared" ref="DU148:DU157" si="186">IF($AZ148="", "", (BQ148*$CW148)/$CZ148)</f>
        <v>0</v>
      </c>
      <c r="DV148" s="161">
        <f t="shared" ref="DV148:DV157" si="187">IF($AZ148="", "", (BR148*$CW148)/$CZ148)</f>
        <v>0</v>
      </c>
      <c r="DW148" s="161">
        <f t="shared" ref="DW148:DW157" si="188">IF($AZ148="", "", (BS148*$CW148)/$CZ148)</f>
        <v>0</v>
      </c>
      <c r="DX148" s="161">
        <f t="shared" ref="DX148:DX157" si="189">IF($AZ148="", "", (BT148*$CW148)/$CZ148)</f>
        <v>0</v>
      </c>
      <c r="DY148" s="161">
        <f t="shared" ref="DY148:DY157" si="190">IF($AZ148="", "", (BU148*$CW148)/$CZ148)</f>
        <v>0</v>
      </c>
      <c r="DZ148" s="161">
        <f t="shared" ref="DZ148:DZ157" si="191">IF($AZ148="", "", (BV148*$CW148)/$CZ148)</f>
        <v>0</v>
      </c>
      <c r="EA148" s="161">
        <f t="shared" ref="EA148:EA157" si="192">IF($AZ148="", "", (BW148*$CW148)/$CZ148)</f>
        <v>0</v>
      </c>
      <c r="EB148" s="161">
        <f t="shared" ref="EB148:EB157" si="193">IF($AZ148="", "", (BX148*$CW148)/$CZ148)</f>
        <v>0</v>
      </c>
      <c r="EC148" s="161">
        <f t="shared" ref="EC148:EC157" si="194">IF($AZ148="", "", (BY148*$CW148)/$CZ148)</f>
        <v>0</v>
      </c>
      <c r="ED148" s="161">
        <f t="shared" ref="ED148:ED157" si="195">IF($AZ148="", "", (BZ148*$CW148)/$CZ148)</f>
        <v>0</v>
      </c>
      <c r="EE148" s="161">
        <f t="shared" ref="EE148:EE157" si="196">IF($AZ148="", "", (CA148*$CW148)/$CZ148)</f>
        <v>0</v>
      </c>
      <c r="EF148" s="161">
        <f t="shared" ref="EF148:EF157" si="197">IF($AZ148="", "", (CB148*$CW148)/$CZ148)</f>
        <v>0</v>
      </c>
      <c r="EG148" s="161">
        <f t="shared" ref="EG148:EG157" si="198">IF($AZ148="", "", (CC148*$CW148)/$CZ148)</f>
        <v>0</v>
      </c>
      <c r="EH148" s="161">
        <f t="shared" ref="EH148:EH157" si="199">IF($AZ148="", "", (CD148*$CW148)/$CZ148)</f>
        <v>0</v>
      </c>
      <c r="EI148" s="161">
        <f t="shared" ref="EI148:EI157" si="200">IF($AZ148="", "", (CE148*$CW148)/$CZ148)</f>
        <v>0</v>
      </c>
      <c r="EJ148" s="161">
        <f t="shared" ref="EJ148:EJ157" si="201">IF($AZ148="", "", (CF148*$CW148)/$CZ148)</f>
        <v>0</v>
      </c>
      <c r="EK148" s="147">
        <f t="shared" ref="EK148:EK157" si="202">IF(DF148="", "", SUM(DF148:EJ148))</f>
        <v>0</v>
      </c>
      <c r="EL148" s="149"/>
      <c r="EN148" s="146"/>
      <c r="EO148" s="146"/>
      <c r="EP148" s="139">
        <f t="shared" ref="EP148:EP157" si="203">IF(DF148="", "", DF148*G$36)</f>
        <v>0</v>
      </c>
      <c r="EQ148" s="139">
        <f t="shared" ref="EQ148:EQ157" si="204">IF(DG148="", "", DG148*H$36)</f>
        <v>0</v>
      </c>
      <c r="ER148" s="139">
        <f t="shared" ref="ER148:ER157" si="205">IF(DH148="", "", DH148*I$36)</f>
        <v>0</v>
      </c>
      <c r="ES148" s="139">
        <f t="shared" ref="ES148:ES157" si="206">IF(DI148="", "", DI148*J$36)</f>
        <v>0</v>
      </c>
      <c r="ET148" s="139">
        <f t="shared" ref="ET148:ET157" si="207">IF(DJ148="", "", DJ148*K$36)</f>
        <v>0</v>
      </c>
      <c r="EU148" s="139">
        <f t="shared" ref="EU148:EU157" si="208">IF(DK148="", "", DK148*L$36)</f>
        <v>0</v>
      </c>
      <c r="EV148" s="139">
        <f t="shared" ref="EV148:EV157" si="209">IF(DL148="", "", DL148*M$36)</f>
        <v>0</v>
      </c>
      <c r="EW148" s="139">
        <f t="shared" ref="EW148:EW157" si="210">IF(DM148="", "", DM148*N$36)</f>
        <v>0</v>
      </c>
      <c r="EX148" s="139">
        <f t="shared" ref="EX148:EX157" si="211">IF(DN148="", "", DN148*O$36)</f>
        <v>0</v>
      </c>
      <c r="EY148" s="139">
        <f t="shared" ref="EY148:EY157" si="212">IF(DO148="", "", DO148*P$36)</f>
        <v>0</v>
      </c>
      <c r="EZ148" s="139">
        <f t="shared" ref="EZ148:EZ157" si="213">IF(DP148="", "", DP148*Q$36)</f>
        <v>0</v>
      </c>
      <c r="FA148" s="139">
        <f t="shared" ref="FA148:FA157" si="214">IF(DQ148="", "", DQ148*R$36)</f>
        <v>0</v>
      </c>
      <c r="FB148" s="139">
        <f t="shared" ref="FB148:FB157" si="215">IF(DR148="", "", DR148*S$36)</f>
        <v>0</v>
      </c>
      <c r="FC148" s="139">
        <f t="shared" ref="FC148:FC157" si="216">IF(DS148="", "", DS148*T$36)</f>
        <v>0</v>
      </c>
      <c r="FD148" s="139">
        <f t="shared" ref="FD148:FD157" si="217">IF(DT148="", "", DT148*U$36)</f>
        <v>0</v>
      </c>
      <c r="FE148" s="139">
        <f t="shared" ref="FE148:FE157" si="218">IF(DU148="", "", DU148*V$36)</f>
        <v>0</v>
      </c>
      <c r="FF148" s="139">
        <f t="shared" ref="FF148:FF157" si="219">IF(DV148="", "", DV148*W$36)</f>
        <v>0</v>
      </c>
      <c r="FG148" s="139">
        <f t="shared" ref="FG148:FG157" si="220">IF(DW148="", "", DW148*X$36)</f>
        <v>0</v>
      </c>
      <c r="FH148" s="139">
        <f t="shared" ref="FH148:FH157" si="221">IF(DX148="", "", DX148*Y$36)</f>
        <v>0</v>
      </c>
      <c r="FI148" s="139">
        <f t="shared" ref="FI148:FI157" si="222">IF(DY148="", "", DY148*Z$36)</f>
        <v>0</v>
      </c>
      <c r="FJ148" s="139">
        <f t="shared" ref="FJ148:FJ157" si="223">IF(DZ148="", "", DZ148*AA$36)</f>
        <v>0</v>
      </c>
      <c r="FK148" s="139">
        <f t="shared" ref="FK148:FK157" si="224">IF(EA148="", "", EA148*AB$36)</f>
        <v>0</v>
      </c>
      <c r="FL148" s="139">
        <f t="shared" ref="FL148:FL157" si="225">IF(EB148="", "", EB148*AC$36)</f>
        <v>0</v>
      </c>
      <c r="FM148" s="139">
        <f t="shared" ref="FM148:FM157" si="226">IF(EC148="", "", EC148*AD$36)</f>
        <v>0</v>
      </c>
      <c r="FN148" s="139">
        <f t="shared" ref="FN148:FN157" si="227">IF(ED148="", "", ED148*AE$36)</f>
        <v>0</v>
      </c>
      <c r="FO148" s="139">
        <f t="shared" ref="FO148:FO157" si="228">IF(EE148="", "", EE148*AF$36)</f>
        <v>0</v>
      </c>
      <c r="FP148" s="139">
        <f t="shared" ref="FP148:FP157" si="229">IF(EF148="", "", EF148*AG$36)</f>
        <v>0</v>
      </c>
      <c r="FQ148" s="139">
        <f t="shared" ref="FQ148:FQ157" si="230">IF(EG148="", "", EG148*AH$36)</f>
        <v>0</v>
      </c>
      <c r="FR148" s="139">
        <f t="shared" ref="FR148:FR157" si="231">IF(EH148="", "", EH148*AI$36)</f>
        <v>0</v>
      </c>
      <c r="FS148" s="139">
        <f t="shared" ref="FS148:FS157" si="232">IF(EI148="", "", EI148*AJ$36)</f>
        <v>0</v>
      </c>
      <c r="FT148" s="139">
        <f t="shared" ref="FT148:FT157" si="233">IF(EJ148="", "", EJ148*AK$36)</f>
        <v>0</v>
      </c>
      <c r="FU148" s="148">
        <f t="shared" ref="FU148:FU157" si="234">IF(EP148="","",SUM(EP148:FT148))</f>
        <v>0</v>
      </c>
      <c r="FV148" s="149"/>
      <c r="FY148" s="210">
        <v>143</v>
      </c>
      <c r="FZ148">
        <v>7.3951281829845428</v>
      </c>
      <c r="GA148">
        <v>26.492715607349023</v>
      </c>
      <c r="GB148">
        <v>24.641160229936784</v>
      </c>
      <c r="GC148">
        <v>9.7726191226041959</v>
      </c>
      <c r="GD148">
        <v>3.0029828267985272</v>
      </c>
      <c r="GE148">
        <v>5.5465444694890582</v>
      </c>
      <c r="GF148">
        <v>5.0193634775050455</v>
      </c>
      <c r="GG148">
        <v>2.6194871980296712</v>
      </c>
      <c r="GH148">
        <v>1.8047604865382569</v>
      </c>
      <c r="GI148">
        <v>10.208642514525398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165.93935641533645</v>
      </c>
      <c r="AO149">
        <v>13.891228224714485</v>
      </c>
      <c r="AP149">
        <v>103.05792495748534</v>
      </c>
      <c r="AQ149">
        <v>79.461950459781633</v>
      </c>
      <c r="AR149">
        <v>12.996468613065336</v>
      </c>
      <c r="AS149">
        <v>112.40572380380515</v>
      </c>
      <c r="AT149">
        <v>5.4944785532170499</v>
      </c>
      <c r="AU149">
        <v>-7.4750564677454001</v>
      </c>
      <c r="AV149"/>
      <c r="AW149"/>
      <c r="AX149" s="151"/>
      <c r="AY149" s="76">
        <f t="shared" ca="1" si="167"/>
        <v>0.80685817781524705</v>
      </c>
      <c r="AZ149" s="227">
        <v>2</v>
      </c>
      <c r="BA149" s="129">
        <f t="shared" ref="BA149" si="235">IF(AZ149="", "",$C$10)</f>
        <v>39847</v>
      </c>
      <c r="BB149" s="227">
        <v>0</v>
      </c>
      <c r="BC149" s="227"/>
      <c r="BD149" s="227"/>
      <c r="BE149" s="227"/>
      <c r="BF149" s="227"/>
      <c r="BG149" s="227"/>
      <c r="BH149" s="227"/>
      <c r="BI149" s="227">
        <v>1</v>
      </c>
      <c r="BJ149" s="227"/>
      <c r="BK149" s="227"/>
      <c r="BL149" s="227"/>
      <c r="BM149" s="227"/>
      <c r="BN149" s="227"/>
      <c r="BO149" s="227"/>
      <c r="BP149" s="227"/>
      <c r="BQ149" s="227"/>
      <c r="BR149" s="227"/>
      <c r="BS149" s="227"/>
      <c r="BT149" s="227"/>
      <c r="BU149" s="227"/>
      <c r="BV149" s="227"/>
      <c r="BW149" s="227"/>
      <c r="BX149" s="227"/>
      <c r="BY149" s="227"/>
      <c r="BZ149" s="227"/>
      <c r="CA149" s="227"/>
      <c r="CB149" s="227"/>
      <c r="CC149" s="227"/>
      <c r="CD149" s="227"/>
      <c r="CE149" s="227"/>
      <c r="CF149" s="227"/>
      <c r="CG149" s="147"/>
      <c r="CH149" s="176"/>
      <c r="CJ149" s="151"/>
      <c r="CK149" s="76">
        <f t="shared" ca="1" si="168"/>
        <v>0.26976009607049534</v>
      </c>
      <c r="CL149" s="179">
        <f t="shared" si="169"/>
        <v>2</v>
      </c>
      <c r="CM149" s="180">
        <f t="shared" si="170"/>
        <v>39847</v>
      </c>
      <c r="CN149" s="227">
        <v>0</v>
      </c>
      <c r="CO149" s="227">
        <v>8</v>
      </c>
      <c r="CP149" s="227">
        <v>4</v>
      </c>
      <c r="CQ149" s="227"/>
      <c r="CR149" s="227"/>
      <c r="CS149" s="227"/>
      <c r="CT149" s="227"/>
      <c r="CU149" s="227"/>
      <c r="CV149" s="160"/>
      <c r="CW149" s="227">
        <f>40/12</f>
        <v>3.3333333333333335</v>
      </c>
      <c r="CX149" s="227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0.40530211323167364</v>
      </c>
      <c r="DD149" s="227">
        <f t="shared" si="92"/>
        <v>2</v>
      </c>
      <c r="DE149" s="129">
        <f t="shared" si="171"/>
        <v>39847</v>
      </c>
      <c r="DF149" s="161">
        <f t="shared" si="93"/>
        <v>0</v>
      </c>
      <c r="DG149" s="161">
        <f t="shared" si="172"/>
        <v>911.45833333333326</v>
      </c>
      <c r="DH149" s="161">
        <f t="shared" si="173"/>
        <v>455.72916666666663</v>
      </c>
      <c r="DI149" s="161">
        <f t="shared" si="174"/>
        <v>0</v>
      </c>
      <c r="DJ149" s="161">
        <f t="shared" si="175"/>
        <v>0</v>
      </c>
      <c r="DK149" s="161">
        <f t="shared" si="176"/>
        <v>0</v>
      </c>
      <c r="DL149" s="161">
        <f t="shared" si="177"/>
        <v>0</v>
      </c>
      <c r="DM149" s="161">
        <f t="shared" si="178"/>
        <v>34.722222222222221</v>
      </c>
      <c r="DN149" s="161">
        <f t="shared" si="179"/>
        <v>0</v>
      </c>
      <c r="DO149" s="161">
        <f t="shared" si="180"/>
        <v>0</v>
      </c>
      <c r="DP149" s="161">
        <f t="shared" si="181"/>
        <v>0</v>
      </c>
      <c r="DQ149" s="161">
        <f t="shared" si="182"/>
        <v>0</v>
      </c>
      <c r="DR149" s="161">
        <f t="shared" si="183"/>
        <v>0</v>
      </c>
      <c r="DS149" s="161">
        <f t="shared" si="184"/>
        <v>0</v>
      </c>
      <c r="DT149" s="161">
        <f t="shared" si="185"/>
        <v>0</v>
      </c>
      <c r="DU149" s="161">
        <f t="shared" si="186"/>
        <v>0</v>
      </c>
      <c r="DV149" s="161">
        <f t="shared" si="187"/>
        <v>0</v>
      </c>
      <c r="DW149" s="161">
        <f t="shared" si="188"/>
        <v>0</v>
      </c>
      <c r="DX149" s="161">
        <f t="shared" si="189"/>
        <v>0</v>
      </c>
      <c r="DY149" s="161">
        <f t="shared" si="190"/>
        <v>0</v>
      </c>
      <c r="DZ149" s="161">
        <f t="shared" si="191"/>
        <v>0</v>
      </c>
      <c r="EA149" s="161">
        <f t="shared" si="192"/>
        <v>0</v>
      </c>
      <c r="EB149" s="161">
        <f t="shared" si="193"/>
        <v>0</v>
      </c>
      <c r="EC149" s="161">
        <f t="shared" si="194"/>
        <v>0</v>
      </c>
      <c r="ED149" s="161">
        <f t="shared" si="195"/>
        <v>0</v>
      </c>
      <c r="EE149" s="161">
        <f t="shared" si="196"/>
        <v>0</v>
      </c>
      <c r="EF149" s="161">
        <f t="shared" si="197"/>
        <v>0</v>
      </c>
      <c r="EG149" s="161">
        <f t="shared" si="198"/>
        <v>0</v>
      </c>
      <c r="EH149" s="161">
        <f t="shared" si="199"/>
        <v>0</v>
      </c>
      <c r="EI149" s="161">
        <f t="shared" si="200"/>
        <v>0</v>
      </c>
      <c r="EJ149" s="161">
        <f t="shared" si="201"/>
        <v>0</v>
      </c>
      <c r="EK149" s="147">
        <f t="shared" si="202"/>
        <v>1401.9097222222222</v>
      </c>
      <c r="EL149" s="149"/>
      <c r="EN149" s="146"/>
      <c r="EO149" s="146"/>
      <c r="EP149" s="139">
        <f t="shared" si="203"/>
        <v>0</v>
      </c>
      <c r="EQ149" s="139">
        <f t="shared" si="204"/>
        <v>3.2037760416666665</v>
      </c>
      <c r="ER149" s="139">
        <f t="shared" si="205"/>
        <v>12.107031741529303</v>
      </c>
      <c r="ES149" s="139">
        <f t="shared" si="206"/>
        <v>0</v>
      </c>
      <c r="ET149" s="139">
        <f t="shared" si="207"/>
        <v>0</v>
      </c>
      <c r="EU149" s="139">
        <f t="shared" si="208"/>
        <v>0</v>
      </c>
      <c r="EV149" s="139">
        <f t="shared" si="209"/>
        <v>0</v>
      </c>
      <c r="EW149" s="139">
        <f t="shared" si="210"/>
        <v>35.688551570802076</v>
      </c>
      <c r="EX149" s="139">
        <f t="shared" si="211"/>
        <v>0</v>
      </c>
      <c r="EY149" s="139">
        <f t="shared" si="212"/>
        <v>0</v>
      </c>
      <c r="EZ149" s="139">
        <f t="shared" si="213"/>
        <v>0</v>
      </c>
      <c r="FA149" s="139">
        <f t="shared" si="214"/>
        <v>0</v>
      </c>
      <c r="FB149" s="139">
        <f t="shared" si="215"/>
        <v>0</v>
      </c>
      <c r="FC149" s="139">
        <f t="shared" si="216"/>
        <v>0</v>
      </c>
      <c r="FD149" s="139">
        <f t="shared" si="217"/>
        <v>0</v>
      </c>
      <c r="FE149" s="139">
        <f t="shared" si="218"/>
        <v>0</v>
      </c>
      <c r="FF149" s="139">
        <f t="shared" si="219"/>
        <v>0</v>
      </c>
      <c r="FG149" s="139">
        <f t="shared" si="220"/>
        <v>0</v>
      </c>
      <c r="FH149" s="139">
        <f t="shared" si="221"/>
        <v>0</v>
      </c>
      <c r="FI149" s="139">
        <f t="shared" si="222"/>
        <v>0</v>
      </c>
      <c r="FJ149" s="139">
        <f t="shared" si="223"/>
        <v>0</v>
      </c>
      <c r="FK149" s="139">
        <f t="shared" si="224"/>
        <v>0</v>
      </c>
      <c r="FL149" s="139">
        <f t="shared" si="225"/>
        <v>0</v>
      </c>
      <c r="FM149" s="139">
        <f t="shared" si="226"/>
        <v>0</v>
      </c>
      <c r="FN149" s="139">
        <f t="shared" si="227"/>
        <v>0</v>
      </c>
      <c r="FO149" s="139">
        <f t="shared" si="228"/>
        <v>0</v>
      </c>
      <c r="FP149" s="139">
        <f t="shared" si="229"/>
        <v>0</v>
      </c>
      <c r="FQ149" s="139">
        <f t="shared" si="230"/>
        <v>0</v>
      </c>
      <c r="FR149" s="139">
        <f t="shared" si="231"/>
        <v>0</v>
      </c>
      <c r="FS149" s="139">
        <f t="shared" si="232"/>
        <v>0</v>
      </c>
      <c r="FT149" s="139">
        <f t="shared" si="233"/>
        <v>0</v>
      </c>
      <c r="FU149" s="148">
        <f t="shared" si="234"/>
        <v>50.999359353998045</v>
      </c>
      <c r="FV149" s="149"/>
      <c r="FY149" s="210">
        <v>144</v>
      </c>
      <c r="FZ149">
        <v>1.9126862587690212</v>
      </c>
      <c r="GA149">
        <v>23.381291303497157</v>
      </c>
      <c r="GB149">
        <v>15.27928857749842</v>
      </c>
      <c r="GC149">
        <v>4.5216396155237941</v>
      </c>
      <c r="GD149">
        <v>3.2477377341848932</v>
      </c>
      <c r="GE149">
        <v>4.11312832379308</v>
      </c>
      <c r="GF149">
        <v>2.3557895370494082</v>
      </c>
      <c r="GG149">
        <v>3.0647303131253056</v>
      </c>
      <c r="GH149">
        <v>4.3236044289165783</v>
      </c>
      <c r="GI149">
        <v>7.0997360769616646</v>
      </c>
      <c r="GJ149"/>
      <c r="GK149"/>
      <c r="GL149"/>
      <c r="GM149"/>
    </row>
    <row r="150" spans="1:195" s="7" customFormat="1">
      <c r="A150" s="77"/>
      <c r="B150" s="76">
        <f ca="1">IF(C150="", "", RAND())</f>
        <v>7.3072182058814938E-2</v>
      </c>
      <c r="C150">
        <v>9</v>
      </c>
      <c r="D150">
        <v>39847</v>
      </c>
      <c r="E150">
        <v>0</v>
      </c>
      <c r="F150">
        <v>130.20833333333334</v>
      </c>
      <c r="G150">
        <v>0</v>
      </c>
      <c r="H150">
        <v>0</v>
      </c>
      <c r="I150">
        <v>0</v>
      </c>
      <c r="J150">
        <v>10.416666666666666</v>
      </c>
      <c r="K150">
        <v>10.416666666666666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247.49516853824994</v>
      </c>
      <c r="AO150">
        <v>15.885639048654017</v>
      </c>
      <c r="AP150">
        <v>131.83028003641263</v>
      </c>
      <c r="AQ150">
        <v>104.95153974240097</v>
      </c>
      <c r="AR150">
        <v>14.483647667133221</v>
      </c>
      <c r="AS150">
        <v>153.13046803936606</v>
      </c>
      <c r="AT150">
        <v>6.5518247925195832</v>
      </c>
      <c r="AU150">
        <v>-7.739204605649121</v>
      </c>
      <c r="AV150"/>
      <c r="AW150"/>
      <c r="AX150" s="151"/>
      <c r="AY150" s="76">
        <f t="shared" ref="AY150:AY155" ca="1" si="236">IF(AZ150="", "", RAND())</f>
        <v>0.30166047403761787</v>
      </c>
      <c r="AZ150">
        <v>5</v>
      </c>
      <c r="BA150" s="129">
        <f t="shared" ref="BA150:BA155" si="237">IF(AZ150="", "",$C$10)</f>
        <v>39847</v>
      </c>
      <c r="BB150">
        <v>0</v>
      </c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ref="CK150:CK155" ca="1" si="238">IF(AZ150="", "", RAND())</f>
        <v>0.46168390944912119</v>
      </c>
      <c r="CL150" s="179">
        <f t="shared" ref="CL150:CL155" si="239">IF(AZ150="", "", AZ150)</f>
        <v>5</v>
      </c>
      <c r="CM150" s="180">
        <f t="shared" ref="CM150:CM155" si="240">IF(AZ150="", "", BA150)</f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1"/>
        <v>9.6000000000000002E-2</v>
      </c>
      <c r="DB150" s="151"/>
      <c r="DC150" s="76">
        <f t="shared" ca="1" si="49"/>
        <v>0.6521501492794568</v>
      </c>
      <c r="DD150" s="227">
        <f t="shared" si="92"/>
        <v>5</v>
      </c>
      <c r="DE150" s="129">
        <f t="shared" si="171"/>
        <v>39847</v>
      </c>
      <c r="DF150" s="161">
        <f t="shared" si="93"/>
        <v>0</v>
      </c>
      <c r="DG150" s="161">
        <f t="shared" si="172"/>
        <v>0</v>
      </c>
      <c r="DH150" s="161">
        <f t="shared" si="173"/>
        <v>0</v>
      </c>
      <c r="DI150" s="161">
        <f t="shared" si="174"/>
        <v>0</v>
      </c>
      <c r="DJ150" s="161">
        <f t="shared" si="175"/>
        <v>0</v>
      </c>
      <c r="DK150" s="161">
        <f t="shared" si="176"/>
        <v>0</v>
      </c>
      <c r="DL150" s="161">
        <f t="shared" si="177"/>
        <v>0</v>
      </c>
      <c r="DM150" s="161">
        <f t="shared" si="178"/>
        <v>0</v>
      </c>
      <c r="DN150" s="161">
        <f t="shared" si="179"/>
        <v>0</v>
      </c>
      <c r="DO150" s="161">
        <f t="shared" si="180"/>
        <v>0</v>
      </c>
      <c r="DP150" s="161">
        <f t="shared" si="181"/>
        <v>0</v>
      </c>
      <c r="DQ150" s="161">
        <f t="shared" si="182"/>
        <v>0</v>
      </c>
      <c r="DR150" s="161">
        <f t="shared" si="183"/>
        <v>0</v>
      </c>
      <c r="DS150" s="161">
        <f t="shared" si="184"/>
        <v>0</v>
      </c>
      <c r="DT150" s="161">
        <f t="shared" si="185"/>
        <v>0</v>
      </c>
      <c r="DU150" s="161">
        <f t="shared" si="186"/>
        <v>0</v>
      </c>
      <c r="DV150" s="161">
        <f t="shared" si="187"/>
        <v>0</v>
      </c>
      <c r="DW150" s="161">
        <f t="shared" si="188"/>
        <v>0</v>
      </c>
      <c r="DX150" s="161">
        <f t="shared" si="189"/>
        <v>0</v>
      </c>
      <c r="DY150" s="161">
        <f t="shared" si="190"/>
        <v>0</v>
      </c>
      <c r="DZ150" s="161">
        <f t="shared" si="191"/>
        <v>0</v>
      </c>
      <c r="EA150" s="161">
        <f t="shared" si="192"/>
        <v>0</v>
      </c>
      <c r="EB150" s="161">
        <f t="shared" si="193"/>
        <v>0</v>
      </c>
      <c r="EC150" s="161">
        <f t="shared" si="194"/>
        <v>0</v>
      </c>
      <c r="ED150" s="161">
        <f t="shared" si="195"/>
        <v>0</v>
      </c>
      <c r="EE150" s="161">
        <f t="shared" si="196"/>
        <v>0</v>
      </c>
      <c r="EF150" s="161">
        <f t="shared" si="197"/>
        <v>0</v>
      </c>
      <c r="EG150" s="161">
        <f t="shared" si="198"/>
        <v>0</v>
      </c>
      <c r="EH150" s="161">
        <f t="shared" si="199"/>
        <v>0</v>
      </c>
      <c r="EI150" s="161">
        <f t="shared" si="200"/>
        <v>0</v>
      </c>
      <c r="EJ150" s="161">
        <f t="shared" si="201"/>
        <v>0</v>
      </c>
      <c r="EK150" s="147">
        <f t="shared" si="202"/>
        <v>0</v>
      </c>
      <c r="EL150" s="149"/>
      <c r="EN150" s="146"/>
      <c r="EO150" s="146"/>
      <c r="EP150" s="139">
        <f t="shared" si="203"/>
        <v>0</v>
      </c>
      <c r="EQ150" s="139">
        <f t="shared" si="204"/>
        <v>0</v>
      </c>
      <c r="ER150" s="139">
        <f t="shared" si="205"/>
        <v>0</v>
      </c>
      <c r="ES150" s="139">
        <f t="shared" si="206"/>
        <v>0</v>
      </c>
      <c r="ET150" s="139">
        <f t="shared" si="207"/>
        <v>0</v>
      </c>
      <c r="EU150" s="139">
        <f t="shared" si="208"/>
        <v>0</v>
      </c>
      <c r="EV150" s="139">
        <f t="shared" si="209"/>
        <v>0</v>
      </c>
      <c r="EW150" s="139">
        <f t="shared" si="210"/>
        <v>0</v>
      </c>
      <c r="EX150" s="139">
        <f t="shared" si="211"/>
        <v>0</v>
      </c>
      <c r="EY150" s="139">
        <f t="shared" si="212"/>
        <v>0</v>
      </c>
      <c r="EZ150" s="139">
        <f t="shared" si="213"/>
        <v>0</v>
      </c>
      <c r="FA150" s="139">
        <f t="shared" si="214"/>
        <v>0</v>
      </c>
      <c r="FB150" s="139">
        <f t="shared" si="215"/>
        <v>0</v>
      </c>
      <c r="FC150" s="139">
        <f t="shared" si="216"/>
        <v>0</v>
      </c>
      <c r="FD150" s="139">
        <f t="shared" si="217"/>
        <v>0</v>
      </c>
      <c r="FE150" s="139">
        <f t="shared" si="218"/>
        <v>0</v>
      </c>
      <c r="FF150" s="139">
        <f t="shared" si="219"/>
        <v>0</v>
      </c>
      <c r="FG150" s="139">
        <f t="shared" si="220"/>
        <v>0</v>
      </c>
      <c r="FH150" s="139">
        <f t="shared" si="221"/>
        <v>0</v>
      </c>
      <c r="FI150" s="139">
        <f t="shared" si="222"/>
        <v>0</v>
      </c>
      <c r="FJ150" s="139">
        <f t="shared" si="223"/>
        <v>0</v>
      </c>
      <c r="FK150" s="139">
        <f t="shared" si="224"/>
        <v>0</v>
      </c>
      <c r="FL150" s="139">
        <f t="shared" si="225"/>
        <v>0</v>
      </c>
      <c r="FM150" s="139">
        <f t="shared" si="226"/>
        <v>0</v>
      </c>
      <c r="FN150" s="139">
        <f t="shared" si="227"/>
        <v>0</v>
      </c>
      <c r="FO150" s="139">
        <f t="shared" si="228"/>
        <v>0</v>
      </c>
      <c r="FP150" s="139">
        <f t="shared" si="229"/>
        <v>0</v>
      </c>
      <c r="FQ150" s="139">
        <f t="shared" si="230"/>
        <v>0</v>
      </c>
      <c r="FR150" s="139">
        <f t="shared" si="231"/>
        <v>0</v>
      </c>
      <c r="FS150" s="139">
        <f t="shared" si="232"/>
        <v>0</v>
      </c>
      <c r="FT150" s="139">
        <f t="shared" si="233"/>
        <v>0</v>
      </c>
      <c r="FU150" s="148">
        <f t="shared" si="234"/>
        <v>0</v>
      </c>
      <c r="FV150" s="149"/>
      <c r="FY150" s="210">
        <v>145</v>
      </c>
      <c r="FZ150">
        <v>3.8256288766128885</v>
      </c>
      <c r="GA150">
        <v>19.360451138184011</v>
      </c>
      <c r="GB150">
        <v>21.370109110539154</v>
      </c>
      <c r="GC150">
        <v>9.3913110568113645</v>
      </c>
      <c r="GD150">
        <v>3.443642406924631</v>
      </c>
      <c r="GE150">
        <v>5.6152430954587551</v>
      </c>
      <c r="GF150">
        <v>3.6622131304872543</v>
      </c>
      <c r="GG150">
        <v>3.9354293988421336</v>
      </c>
      <c r="GH150">
        <v>5.0376878847566431</v>
      </c>
      <c r="GI150">
        <v>9.3495201481422985</v>
      </c>
      <c r="GJ150"/>
      <c r="GK150"/>
      <c r="GL150"/>
      <c r="GM150"/>
    </row>
    <row r="151" spans="1:195" s="7" customFormat="1">
      <c r="A151" s="77"/>
      <c r="B151" s="76">
        <f ca="1">IF(C151="", "", RAND())</f>
        <v>0.39983469604663591</v>
      </c>
      <c r="C151">
        <v>10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20.833333333333332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149.00958406466219</v>
      </c>
      <c r="AO151">
        <v>13.118756706408751</v>
      </c>
      <c r="AP151">
        <v>107.76698833322878</v>
      </c>
      <c r="AQ151">
        <v>83.440217705982093</v>
      </c>
      <c r="AR151">
        <v>12.084001910500289</v>
      </c>
      <c r="AS151">
        <v>115.2141051396684</v>
      </c>
      <c r="AT151" t="e">
        <v>#DIV/0!</v>
      </c>
      <c r="AU151" t="e">
        <v>#DIV/0!</v>
      </c>
      <c r="AV151"/>
      <c r="AW151"/>
      <c r="AX151" s="151"/>
      <c r="AY151" s="76">
        <f t="shared" ca="1" si="236"/>
        <v>0.3421369317823193</v>
      </c>
      <c r="AZ151">
        <v>6</v>
      </c>
      <c r="BA151" s="129">
        <f t="shared" si="237"/>
        <v>39847</v>
      </c>
      <c r="BB151">
        <v>0</v>
      </c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238"/>
        <v>0.23656931531926273</v>
      </c>
      <c r="CL151" s="179">
        <f t="shared" si="239"/>
        <v>6</v>
      </c>
      <c r="CM151" s="180">
        <f t="shared" si="240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1"/>
        <v>9.6000000000000002E-2</v>
      </c>
      <c r="DB151" s="151"/>
      <c r="DC151" s="76">
        <f t="shared" ca="1" si="49"/>
        <v>6.3944417788363239E-2</v>
      </c>
      <c r="DD151" s="227">
        <f t="shared" si="92"/>
        <v>6</v>
      </c>
      <c r="DE151" s="129">
        <f t="shared" si="171"/>
        <v>39847</v>
      </c>
      <c r="DF151" s="161">
        <f t="shared" si="93"/>
        <v>0</v>
      </c>
      <c r="DG151" s="161">
        <f t="shared" si="172"/>
        <v>0</v>
      </c>
      <c r="DH151" s="161">
        <f t="shared" si="173"/>
        <v>0</v>
      </c>
      <c r="DI151" s="161">
        <f t="shared" si="174"/>
        <v>0</v>
      </c>
      <c r="DJ151" s="161">
        <f t="shared" si="175"/>
        <v>0</v>
      </c>
      <c r="DK151" s="161">
        <f t="shared" si="176"/>
        <v>0</v>
      </c>
      <c r="DL151" s="161">
        <f t="shared" si="177"/>
        <v>0</v>
      </c>
      <c r="DM151" s="161">
        <f t="shared" si="178"/>
        <v>0</v>
      </c>
      <c r="DN151" s="161">
        <f t="shared" si="179"/>
        <v>0</v>
      </c>
      <c r="DO151" s="161">
        <f t="shared" si="180"/>
        <v>0</v>
      </c>
      <c r="DP151" s="161">
        <f t="shared" si="181"/>
        <v>0</v>
      </c>
      <c r="DQ151" s="161">
        <f t="shared" si="182"/>
        <v>0</v>
      </c>
      <c r="DR151" s="161">
        <f t="shared" si="183"/>
        <v>0</v>
      </c>
      <c r="DS151" s="161">
        <f t="shared" si="184"/>
        <v>0</v>
      </c>
      <c r="DT151" s="161">
        <f t="shared" si="185"/>
        <v>0</v>
      </c>
      <c r="DU151" s="161">
        <f t="shared" si="186"/>
        <v>0</v>
      </c>
      <c r="DV151" s="161">
        <f t="shared" si="187"/>
        <v>0</v>
      </c>
      <c r="DW151" s="161">
        <f t="shared" si="188"/>
        <v>0</v>
      </c>
      <c r="DX151" s="161">
        <f t="shared" si="189"/>
        <v>0</v>
      </c>
      <c r="DY151" s="161">
        <f t="shared" si="190"/>
        <v>0</v>
      </c>
      <c r="DZ151" s="161">
        <f t="shared" si="191"/>
        <v>0</v>
      </c>
      <c r="EA151" s="161">
        <f t="shared" si="192"/>
        <v>0</v>
      </c>
      <c r="EB151" s="161">
        <f t="shared" si="193"/>
        <v>0</v>
      </c>
      <c r="EC151" s="161">
        <f t="shared" si="194"/>
        <v>0</v>
      </c>
      <c r="ED151" s="161">
        <f t="shared" si="195"/>
        <v>0</v>
      </c>
      <c r="EE151" s="161">
        <f t="shared" si="196"/>
        <v>0</v>
      </c>
      <c r="EF151" s="161">
        <f t="shared" si="197"/>
        <v>0</v>
      </c>
      <c r="EG151" s="161">
        <f t="shared" si="198"/>
        <v>0</v>
      </c>
      <c r="EH151" s="161">
        <f t="shared" si="199"/>
        <v>0</v>
      </c>
      <c r="EI151" s="161">
        <f t="shared" si="200"/>
        <v>0</v>
      </c>
      <c r="EJ151" s="161">
        <f t="shared" si="201"/>
        <v>0</v>
      </c>
      <c r="EK151" s="147">
        <f t="shared" si="202"/>
        <v>0</v>
      </c>
      <c r="EL151" s="149"/>
      <c r="EN151" s="146"/>
      <c r="EO151" s="146"/>
      <c r="EP151" s="139">
        <f t="shared" si="203"/>
        <v>0</v>
      </c>
      <c r="EQ151" s="139">
        <f t="shared" si="204"/>
        <v>0</v>
      </c>
      <c r="ER151" s="139">
        <f t="shared" si="205"/>
        <v>0</v>
      </c>
      <c r="ES151" s="139">
        <f t="shared" si="206"/>
        <v>0</v>
      </c>
      <c r="ET151" s="139">
        <f t="shared" si="207"/>
        <v>0</v>
      </c>
      <c r="EU151" s="139">
        <f t="shared" si="208"/>
        <v>0</v>
      </c>
      <c r="EV151" s="139">
        <f t="shared" si="209"/>
        <v>0</v>
      </c>
      <c r="EW151" s="139">
        <f t="shared" si="210"/>
        <v>0</v>
      </c>
      <c r="EX151" s="139">
        <f t="shared" si="211"/>
        <v>0</v>
      </c>
      <c r="EY151" s="139">
        <f t="shared" si="212"/>
        <v>0</v>
      </c>
      <c r="EZ151" s="139">
        <f t="shared" si="213"/>
        <v>0</v>
      </c>
      <c r="FA151" s="139">
        <f t="shared" si="214"/>
        <v>0</v>
      </c>
      <c r="FB151" s="139">
        <f t="shared" si="215"/>
        <v>0</v>
      </c>
      <c r="FC151" s="139">
        <f t="shared" si="216"/>
        <v>0</v>
      </c>
      <c r="FD151" s="139">
        <f t="shared" si="217"/>
        <v>0</v>
      </c>
      <c r="FE151" s="139">
        <f t="shared" si="218"/>
        <v>0</v>
      </c>
      <c r="FF151" s="139">
        <f t="shared" si="219"/>
        <v>0</v>
      </c>
      <c r="FG151" s="139">
        <f t="shared" si="220"/>
        <v>0</v>
      </c>
      <c r="FH151" s="139">
        <f t="shared" si="221"/>
        <v>0</v>
      </c>
      <c r="FI151" s="139">
        <f t="shared" si="222"/>
        <v>0</v>
      </c>
      <c r="FJ151" s="139">
        <f t="shared" si="223"/>
        <v>0</v>
      </c>
      <c r="FK151" s="139">
        <f t="shared" si="224"/>
        <v>0</v>
      </c>
      <c r="FL151" s="139">
        <f t="shared" si="225"/>
        <v>0</v>
      </c>
      <c r="FM151" s="139">
        <f t="shared" si="226"/>
        <v>0</v>
      </c>
      <c r="FN151" s="139">
        <f t="shared" si="227"/>
        <v>0</v>
      </c>
      <c r="FO151" s="139">
        <f t="shared" si="228"/>
        <v>0</v>
      </c>
      <c r="FP151" s="139">
        <f t="shared" si="229"/>
        <v>0</v>
      </c>
      <c r="FQ151" s="139">
        <f t="shared" si="230"/>
        <v>0</v>
      </c>
      <c r="FR151" s="139">
        <f t="shared" si="231"/>
        <v>0</v>
      </c>
      <c r="FS151" s="139">
        <f t="shared" si="232"/>
        <v>0</v>
      </c>
      <c r="FT151" s="139">
        <f t="shared" si="233"/>
        <v>0</v>
      </c>
      <c r="FU151" s="148">
        <f t="shared" si="234"/>
        <v>0</v>
      </c>
      <c r="FV151" s="149"/>
      <c r="FY151" s="210">
        <v>146</v>
      </c>
      <c r="FZ151">
        <v>1.5064658323639601</v>
      </c>
      <c r="GA151">
        <v>34.136609079226545</v>
      </c>
      <c r="GB151">
        <v>31.110816204772089</v>
      </c>
      <c r="GC151">
        <v>11.284693489377414</v>
      </c>
      <c r="GD151">
        <v>3.8705140181585831</v>
      </c>
      <c r="GE151">
        <v>3.7217022049017077</v>
      </c>
      <c r="GF151">
        <v>5.8662419610803873</v>
      </c>
      <c r="GG151">
        <v>3.8201704651404049</v>
      </c>
      <c r="GH151">
        <v>1.0359447447366277</v>
      </c>
      <c r="GI151">
        <v>11.524020844072631</v>
      </c>
      <c r="GJ151"/>
      <c r="GK151"/>
      <c r="GL151"/>
      <c r="GM151"/>
    </row>
    <row r="152" spans="1:195" s="7" customFormat="1">
      <c r="A152" s="77"/>
      <c r="B152" s="76">
        <f ca="1">IF(C152="", "", RAND())</f>
        <v>0.94353709950001452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150.50581186911083</v>
      </c>
      <c r="AO152">
        <v>14.629387096691477</v>
      </c>
      <c r="AP152">
        <v>122.61029121094391</v>
      </c>
      <c r="AQ152">
        <v>91.852231947836771</v>
      </c>
      <c r="AR152">
        <v>13.643517259731897</v>
      </c>
      <c r="AS152">
        <v>125.40632360335438</v>
      </c>
      <c r="AT152">
        <v>5.7188258009791708</v>
      </c>
      <c r="AU152">
        <v>-2.1568616412655137</v>
      </c>
      <c r="AV152"/>
      <c r="AW152"/>
      <c r="AX152" s="151"/>
      <c r="AY152" s="76">
        <f t="shared" ca="1" si="236"/>
        <v>0.61218125800438949</v>
      </c>
      <c r="AZ152">
        <v>7</v>
      </c>
      <c r="BA152" s="129">
        <f t="shared" si="237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238"/>
        <v>0.47979102550041675</v>
      </c>
      <c r="CL152" s="179">
        <f t="shared" si="239"/>
        <v>7</v>
      </c>
      <c r="CM152" s="180">
        <f t="shared" si="24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157" ca="1" si="241">IF(DD152="", "", RAND())</f>
        <v>0.43145906643000842</v>
      </c>
      <c r="DD152" s="227">
        <f t="shared" si="92"/>
        <v>7</v>
      </c>
      <c r="DE152" s="129">
        <f t="shared" si="171"/>
        <v>39847</v>
      </c>
      <c r="DF152" s="161">
        <f t="shared" si="93"/>
        <v>0</v>
      </c>
      <c r="DG152" s="161">
        <f t="shared" si="172"/>
        <v>0</v>
      </c>
      <c r="DH152" s="161">
        <f t="shared" si="173"/>
        <v>0</v>
      </c>
      <c r="DI152" s="161">
        <f t="shared" si="174"/>
        <v>0</v>
      </c>
      <c r="DJ152" s="161">
        <f t="shared" si="175"/>
        <v>0</v>
      </c>
      <c r="DK152" s="161">
        <f t="shared" si="176"/>
        <v>0</v>
      </c>
      <c r="DL152" s="161">
        <f t="shared" si="177"/>
        <v>0</v>
      </c>
      <c r="DM152" s="161">
        <f t="shared" si="178"/>
        <v>0</v>
      </c>
      <c r="DN152" s="161">
        <f t="shared" si="179"/>
        <v>0</v>
      </c>
      <c r="DO152" s="161">
        <f t="shared" si="180"/>
        <v>0</v>
      </c>
      <c r="DP152" s="161">
        <f t="shared" si="181"/>
        <v>0</v>
      </c>
      <c r="DQ152" s="161">
        <f t="shared" si="182"/>
        <v>0</v>
      </c>
      <c r="DR152" s="161">
        <f t="shared" si="183"/>
        <v>0</v>
      </c>
      <c r="DS152" s="161">
        <f t="shared" si="184"/>
        <v>0</v>
      </c>
      <c r="DT152" s="161">
        <f t="shared" si="185"/>
        <v>0</v>
      </c>
      <c r="DU152" s="161">
        <f t="shared" si="186"/>
        <v>0</v>
      </c>
      <c r="DV152" s="161">
        <f t="shared" si="187"/>
        <v>0</v>
      </c>
      <c r="DW152" s="161">
        <f t="shared" si="188"/>
        <v>0</v>
      </c>
      <c r="DX152" s="161">
        <f t="shared" si="189"/>
        <v>0</v>
      </c>
      <c r="DY152" s="161">
        <f t="shared" si="190"/>
        <v>0</v>
      </c>
      <c r="DZ152" s="161">
        <f t="shared" si="191"/>
        <v>0</v>
      </c>
      <c r="EA152" s="161">
        <f t="shared" si="192"/>
        <v>0</v>
      </c>
      <c r="EB152" s="161">
        <f t="shared" si="193"/>
        <v>0</v>
      </c>
      <c r="EC152" s="161">
        <f t="shared" si="194"/>
        <v>0</v>
      </c>
      <c r="ED152" s="161">
        <f t="shared" si="195"/>
        <v>0</v>
      </c>
      <c r="EE152" s="161">
        <f t="shared" si="196"/>
        <v>0</v>
      </c>
      <c r="EF152" s="161">
        <f t="shared" si="197"/>
        <v>0</v>
      </c>
      <c r="EG152" s="161">
        <f t="shared" si="198"/>
        <v>0</v>
      </c>
      <c r="EH152" s="161">
        <f t="shared" si="199"/>
        <v>0</v>
      </c>
      <c r="EI152" s="161">
        <f t="shared" si="200"/>
        <v>0</v>
      </c>
      <c r="EJ152" s="161">
        <f t="shared" si="201"/>
        <v>0</v>
      </c>
      <c r="EK152" s="147">
        <f t="shared" si="202"/>
        <v>0</v>
      </c>
      <c r="EL152" s="149"/>
      <c r="EN152" s="146"/>
      <c r="EO152" s="146"/>
      <c r="EP152" s="139">
        <f t="shared" si="203"/>
        <v>0</v>
      </c>
      <c r="EQ152" s="139">
        <f t="shared" si="204"/>
        <v>0</v>
      </c>
      <c r="ER152" s="139">
        <f t="shared" si="205"/>
        <v>0</v>
      </c>
      <c r="ES152" s="139">
        <f t="shared" si="206"/>
        <v>0</v>
      </c>
      <c r="ET152" s="139">
        <f t="shared" si="207"/>
        <v>0</v>
      </c>
      <c r="EU152" s="139">
        <f t="shared" si="208"/>
        <v>0</v>
      </c>
      <c r="EV152" s="139">
        <f t="shared" si="209"/>
        <v>0</v>
      </c>
      <c r="EW152" s="139">
        <f t="shared" si="210"/>
        <v>0</v>
      </c>
      <c r="EX152" s="139">
        <f t="shared" si="211"/>
        <v>0</v>
      </c>
      <c r="EY152" s="139">
        <f t="shared" si="212"/>
        <v>0</v>
      </c>
      <c r="EZ152" s="139">
        <f t="shared" si="213"/>
        <v>0</v>
      </c>
      <c r="FA152" s="139">
        <f t="shared" si="214"/>
        <v>0</v>
      </c>
      <c r="FB152" s="139">
        <f t="shared" si="215"/>
        <v>0</v>
      </c>
      <c r="FC152" s="139">
        <f t="shared" si="216"/>
        <v>0</v>
      </c>
      <c r="FD152" s="139">
        <f t="shared" si="217"/>
        <v>0</v>
      </c>
      <c r="FE152" s="139">
        <f t="shared" si="218"/>
        <v>0</v>
      </c>
      <c r="FF152" s="139">
        <f t="shared" si="219"/>
        <v>0</v>
      </c>
      <c r="FG152" s="139">
        <f t="shared" si="220"/>
        <v>0</v>
      </c>
      <c r="FH152" s="139">
        <f t="shared" si="221"/>
        <v>0</v>
      </c>
      <c r="FI152" s="139">
        <f t="shared" si="222"/>
        <v>0</v>
      </c>
      <c r="FJ152" s="139">
        <f t="shared" si="223"/>
        <v>0</v>
      </c>
      <c r="FK152" s="139">
        <f t="shared" si="224"/>
        <v>0</v>
      </c>
      <c r="FL152" s="139">
        <f t="shared" si="225"/>
        <v>0</v>
      </c>
      <c r="FM152" s="139">
        <f t="shared" si="226"/>
        <v>0</v>
      </c>
      <c r="FN152" s="139">
        <f t="shared" si="227"/>
        <v>0</v>
      </c>
      <c r="FO152" s="139">
        <f t="shared" si="228"/>
        <v>0</v>
      </c>
      <c r="FP152" s="139">
        <f t="shared" si="229"/>
        <v>0</v>
      </c>
      <c r="FQ152" s="139">
        <f t="shared" si="230"/>
        <v>0</v>
      </c>
      <c r="FR152" s="139">
        <f t="shared" si="231"/>
        <v>0</v>
      </c>
      <c r="FS152" s="139">
        <f t="shared" si="232"/>
        <v>0</v>
      </c>
      <c r="FT152" s="139">
        <f t="shared" si="233"/>
        <v>0</v>
      </c>
      <c r="FU152" s="148">
        <f t="shared" si="234"/>
        <v>0</v>
      </c>
      <c r="FV152" s="149"/>
      <c r="FY152" s="210">
        <v>147</v>
      </c>
      <c r="FZ152">
        <v>3.5354156560504237</v>
      </c>
      <c r="GA152">
        <v>25.421708241205863</v>
      </c>
      <c r="GB152">
        <v>16.699525580622129</v>
      </c>
      <c r="GC152">
        <v>4.6028432026611918</v>
      </c>
      <c r="GD152">
        <v>3.0078445712842639</v>
      </c>
      <c r="GE152">
        <v>8.7342672562232551</v>
      </c>
      <c r="GF152">
        <v>9.024303337427348</v>
      </c>
      <c r="GG152">
        <v>2.7475371450981236</v>
      </c>
      <c r="GH152">
        <v>2.1969826534817587</v>
      </c>
      <c r="GI152">
        <v>8.4842972505907017</v>
      </c>
      <c r="GJ152"/>
      <c r="GK152"/>
      <c r="GL152"/>
      <c r="GM152"/>
    </row>
    <row r="153" spans="1:195" s="7" customFormat="1">
      <c r="A153" s="77"/>
      <c r="B153" s="76">
        <f ca="1">IF(C153="", "", RAND())</f>
        <v>0.4560888222756847</v>
      </c>
      <c r="C153">
        <v>6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223.91614862084435</v>
      </c>
      <c r="AO153">
        <v>17.393392587557617</v>
      </c>
      <c r="AP153">
        <v>143.84919539821209</v>
      </c>
      <c r="AQ153">
        <v>115.66459113528964</v>
      </c>
      <c r="AR153">
        <v>15.883357509855555</v>
      </c>
      <c r="AS153">
        <v>157.75109827633821</v>
      </c>
      <c r="AT153">
        <v>8.3175435620338778</v>
      </c>
      <c r="AU153">
        <v>-8.918924542402447</v>
      </c>
      <c r="AV153"/>
      <c r="AW153"/>
      <c r="AX153" s="151"/>
      <c r="AY153" s="76">
        <f t="shared" ca="1" si="236"/>
        <v>0.23181948650881101</v>
      </c>
      <c r="AZ153">
        <v>8</v>
      </c>
      <c r="BA153" s="129">
        <f t="shared" si="237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ca="1" si="238"/>
        <v>9.4904245821573863E-2</v>
      </c>
      <c r="CL153" s="179">
        <f t="shared" si="239"/>
        <v>8</v>
      </c>
      <c r="CM153" s="180">
        <f t="shared" si="240"/>
        <v>39847</v>
      </c>
      <c r="CN153">
        <v>0</v>
      </c>
      <c r="CO153"/>
      <c r="CP153"/>
      <c r="CQ153"/>
      <c r="CR153"/>
      <c r="CS153"/>
      <c r="CT153"/>
      <c r="CU153"/>
      <c r="CV153" s="160"/>
      <c r="CW153">
        <v>1</v>
      </c>
      <c r="CX153">
        <f>360/54</f>
        <v>6.666666666666667</v>
      </c>
      <c r="CY153" s="160"/>
      <c r="CZ153" s="177">
        <f t="shared" ref="CZ153:CZ158" si="242">IF(AZ153="", "", $G$15)</f>
        <v>9.6000000000000002E-2</v>
      </c>
      <c r="DB153" s="151"/>
      <c r="DC153" s="76">
        <f t="shared" ca="1" si="241"/>
        <v>0.71157603897544619</v>
      </c>
      <c r="DD153" s="227">
        <f t="shared" ref="DD153:DD157" si="243">IF(AZ153="", "", AZ153)</f>
        <v>8</v>
      </c>
      <c r="DE153" s="129">
        <f t="shared" si="171"/>
        <v>39847</v>
      </c>
      <c r="DF153" s="161">
        <f t="shared" ref="DF153:DF157" si="244">IF($AZ153="", "", ((BB153*$CW153)+(CN153*$CX153))/$CZ153)</f>
        <v>0</v>
      </c>
      <c r="DG153" s="161">
        <f t="shared" si="172"/>
        <v>0</v>
      </c>
      <c r="DH153" s="161">
        <f t="shared" si="173"/>
        <v>0</v>
      </c>
      <c r="DI153" s="161">
        <f t="shared" si="174"/>
        <v>0</v>
      </c>
      <c r="DJ153" s="161">
        <f t="shared" si="175"/>
        <v>0</v>
      </c>
      <c r="DK153" s="161">
        <f t="shared" si="176"/>
        <v>0</v>
      </c>
      <c r="DL153" s="161">
        <f t="shared" si="177"/>
        <v>0</v>
      </c>
      <c r="DM153" s="161">
        <f t="shared" si="178"/>
        <v>0</v>
      </c>
      <c r="DN153" s="161">
        <f t="shared" si="179"/>
        <v>0</v>
      </c>
      <c r="DO153" s="161">
        <f t="shared" si="180"/>
        <v>0</v>
      </c>
      <c r="DP153" s="161">
        <f t="shared" si="181"/>
        <v>0</v>
      </c>
      <c r="DQ153" s="161">
        <f t="shared" si="182"/>
        <v>0</v>
      </c>
      <c r="DR153" s="161">
        <f t="shared" si="183"/>
        <v>0</v>
      </c>
      <c r="DS153" s="161">
        <f t="shared" si="184"/>
        <v>0</v>
      </c>
      <c r="DT153" s="161">
        <f t="shared" si="185"/>
        <v>0</v>
      </c>
      <c r="DU153" s="161">
        <f t="shared" si="186"/>
        <v>0</v>
      </c>
      <c r="DV153" s="161">
        <f t="shared" si="187"/>
        <v>0</v>
      </c>
      <c r="DW153" s="161">
        <f t="shared" si="188"/>
        <v>0</v>
      </c>
      <c r="DX153" s="161">
        <f t="shared" si="189"/>
        <v>0</v>
      </c>
      <c r="DY153" s="161">
        <f t="shared" si="190"/>
        <v>0</v>
      </c>
      <c r="DZ153" s="161">
        <f t="shared" si="191"/>
        <v>0</v>
      </c>
      <c r="EA153" s="161">
        <f t="shared" si="192"/>
        <v>0</v>
      </c>
      <c r="EB153" s="161">
        <f t="shared" si="193"/>
        <v>0</v>
      </c>
      <c r="EC153" s="161">
        <f t="shared" si="194"/>
        <v>0</v>
      </c>
      <c r="ED153" s="161">
        <f t="shared" si="195"/>
        <v>0</v>
      </c>
      <c r="EE153" s="161">
        <f t="shared" si="196"/>
        <v>0</v>
      </c>
      <c r="EF153" s="161">
        <f t="shared" si="197"/>
        <v>0</v>
      </c>
      <c r="EG153" s="161">
        <f t="shared" si="198"/>
        <v>0</v>
      </c>
      <c r="EH153" s="161">
        <f t="shared" si="199"/>
        <v>0</v>
      </c>
      <c r="EI153" s="161">
        <f t="shared" si="200"/>
        <v>0</v>
      </c>
      <c r="EJ153" s="161">
        <f t="shared" si="201"/>
        <v>0</v>
      </c>
      <c r="EK153" s="147">
        <f t="shared" si="202"/>
        <v>0</v>
      </c>
      <c r="EL153" s="149"/>
      <c r="EN153" s="146"/>
      <c r="EO153" s="146"/>
      <c r="EP153" s="139">
        <f t="shared" si="203"/>
        <v>0</v>
      </c>
      <c r="EQ153" s="139">
        <f t="shared" si="204"/>
        <v>0</v>
      </c>
      <c r="ER153" s="139">
        <f t="shared" si="205"/>
        <v>0</v>
      </c>
      <c r="ES153" s="139">
        <f t="shared" si="206"/>
        <v>0</v>
      </c>
      <c r="ET153" s="139">
        <f t="shared" si="207"/>
        <v>0</v>
      </c>
      <c r="EU153" s="139">
        <f t="shared" si="208"/>
        <v>0</v>
      </c>
      <c r="EV153" s="139">
        <f t="shared" si="209"/>
        <v>0</v>
      </c>
      <c r="EW153" s="139">
        <f t="shared" si="210"/>
        <v>0</v>
      </c>
      <c r="EX153" s="139">
        <f t="shared" si="211"/>
        <v>0</v>
      </c>
      <c r="EY153" s="139">
        <f t="shared" si="212"/>
        <v>0</v>
      </c>
      <c r="EZ153" s="139">
        <f t="shared" si="213"/>
        <v>0</v>
      </c>
      <c r="FA153" s="139">
        <f t="shared" si="214"/>
        <v>0</v>
      </c>
      <c r="FB153" s="139">
        <f t="shared" si="215"/>
        <v>0</v>
      </c>
      <c r="FC153" s="139">
        <f t="shared" si="216"/>
        <v>0</v>
      </c>
      <c r="FD153" s="139">
        <f t="shared" si="217"/>
        <v>0</v>
      </c>
      <c r="FE153" s="139">
        <f t="shared" si="218"/>
        <v>0</v>
      </c>
      <c r="FF153" s="139">
        <f t="shared" si="219"/>
        <v>0</v>
      </c>
      <c r="FG153" s="139">
        <f t="shared" si="220"/>
        <v>0</v>
      </c>
      <c r="FH153" s="139">
        <f t="shared" si="221"/>
        <v>0</v>
      </c>
      <c r="FI153" s="139">
        <f t="shared" si="222"/>
        <v>0</v>
      </c>
      <c r="FJ153" s="139">
        <f t="shared" si="223"/>
        <v>0</v>
      </c>
      <c r="FK153" s="139">
        <f t="shared" si="224"/>
        <v>0</v>
      </c>
      <c r="FL153" s="139">
        <f t="shared" si="225"/>
        <v>0</v>
      </c>
      <c r="FM153" s="139">
        <f t="shared" si="226"/>
        <v>0</v>
      </c>
      <c r="FN153" s="139">
        <f t="shared" si="227"/>
        <v>0</v>
      </c>
      <c r="FO153" s="139">
        <f t="shared" si="228"/>
        <v>0</v>
      </c>
      <c r="FP153" s="139">
        <f t="shared" si="229"/>
        <v>0</v>
      </c>
      <c r="FQ153" s="139">
        <f t="shared" si="230"/>
        <v>0</v>
      </c>
      <c r="FR153" s="139">
        <f t="shared" si="231"/>
        <v>0</v>
      </c>
      <c r="FS153" s="139">
        <f t="shared" si="232"/>
        <v>0</v>
      </c>
      <c r="FT153" s="139">
        <f t="shared" si="233"/>
        <v>0</v>
      </c>
      <c r="FU153" s="148">
        <f t="shared" si="234"/>
        <v>0</v>
      </c>
      <c r="FV153" s="149"/>
      <c r="FY153" s="210">
        <v>148</v>
      </c>
      <c r="FZ153">
        <v>4.1270700302653403</v>
      </c>
      <c r="GA153">
        <v>26.177446059277425</v>
      </c>
      <c r="GB153">
        <v>25.120171362107669</v>
      </c>
      <c r="GC153">
        <v>11.15876254448424</v>
      </c>
      <c r="GD153">
        <v>4.9858525326430918</v>
      </c>
      <c r="GE153">
        <v>7.7772892610646114</v>
      </c>
      <c r="GF153">
        <v>7.9216698776950434</v>
      </c>
      <c r="GG153">
        <v>3.0775213264920307</v>
      </c>
      <c r="GH153">
        <v>2.0015286114263167</v>
      </c>
      <c r="GI153">
        <v>11.600407519717823</v>
      </c>
      <c r="GJ153"/>
      <c r="GK153"/>
      <c r="GL153"/>
      <c r="GM153"/>
    </row>
    <row r="154" spans="1:195" s="7" customFormat="1">
      <c r="A154" s="77"/>
      <c r="B154" s="76">
        <f ca="1">IF(C154="", "", RAND())</f>
        <v>0.30006753371646955</v>
      </c>
      <c r="C154">
        <v>5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137.7618459127566</v>
      </c>
      <c r="AO154">
        <v>19.037852251920068</v>
      </c>
      <c r="AP154">
        <v>146.53013963244899</v>
      </c>
      <c r="AQ154">
        <v>110.29968612186588</v>
      </c>
      <c r="AR154">
        <v>17.888253015274692</v>
      </c>
      <c r="AS154">
        <v>141.98579898818934</v>
      </c>
      <c r="AT154">
        <v>8.1835217067574746</v>
      </c>
      <c r="AU154">
        <v>-75.476523490282716</v>
      </c>
      <c r="AV154"/>
      <c r="AW154"/>
      <c r="AX154" s="151"/>
      <c r="AY154" s="76">
        <f t="shared" ca="1" si="236"/>
        <v>0.82127560403084865</v>
      </c>
      <c r="AZ154">
        <v>9</v>
      </c>
      <c r="BA154" s="129">
        <f t="shared" si="237"/>
        <v>39847</v>
      </c>
      <c r="BB154">
        <v>0</v>
      </c>
      <c r="BC154"/>
      <c r="BD154"/>
      <c r="BE154"/>
      <c r="BF154"/>
      <c r="BG154">
        <v>1</v>
      </c>
      <c r="BH154">
        <v>1</v>
      </c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38"/>
        <v>0.67315019667542497</v>
      </c>
      <c r="CL154" s="179">
        <f t="shared" si="239"/>
        <v>9</v>
      </c>
      <c r="CM154" s="180">
        <f t="shared" si="240"/>
        <v>39847</v>
      </c>
      <c r="CN154" s="219">
        <v>0</v>
      </c>
      <c r="CO154">
        <v>2</v>
      </c>
      <c r="CP154"/>
      <c r="CQ154"/>
      <c r="CR154"/>
      <c r="CS154"/>
      <c r="CT154"/>
      <c r="CU154"/>
      <c r="CV154" s="160"/>
      <c r="CW154">
        <v>1</v>
      </c>
      <c r="CX154">
        <f>350/56</f>
        <v>6.25</v>
      </c>
      <c r="CY154" s="165"/>
      <c r="CZ154" s="177">
        <f t="shared" si="242"/>
        <v>9.6000000000000002E-2</v>
      </c>
      <c r="DB154" s="151"/>
      <c r="DC154" s="76">
        <f t="shared" ca="1" si="241"/>
        <v>0.1308051918196389</v>
      </c>
      <c r="DD154" s="227">
        <f t="shared" si="243"/>
        <v>9</v>
      </c>
      <c r="DE154" s="129">
        <f t="shared" si="171"/>
        <v>39847</v>
      </c>
      <c r="DF154" s="161">
        <f t="shared" si="244"/>
        <v>0</v>
      </c>
      <c r="DG154" s="161">
        <f t="shared" si="172"/>
        <v>130.20833333333334</v>
      </c>
      <c r="DH154" s="161">
        <f t="shared" si="173"/>
        <v>0</v>
      </c>
      <c r="DI154" s="161">
        <f t="shared" si="174"/>
        <v>0</v>
      </c>
      <c r="DJ154" s="161">
        <f t="shared" si="175"/>
        <v>0</v>
      </c>
      <c r="DK154" s="161">
        <f t="shared" si="176"/>
        <v>10.416666666666666</v>
      </c>
      <c r="DL154" s="161">
        <f t="shared" si="177"/>
        <v>10.416666666666666</v>
      </c>
      <c r="DM154" s="161">
        <f t="shared" si="178"/>
        <v>0</v>
      </c>
      <c r="DN154" s="161">
        <f t="shared" si="179"/>
        <v>0</v>
      </c>
      <c r="DO154" s="161">
        <f t="shared" si="180"/>
        <v>0</v>
      </c>
      <c r="DP154" s="161">
        <f t="shared" si="181"/>
        <v>0</v>
      </c>
      <c r="DQ154" s="161">
        <f t="shared" si="182"/>
        <v>0</v>
      </c>
      <c r="DR154" s="161">
        <f t="shared" si="183"/>
        <v>0</v>
      </c>
      <c r="DS154" s="161">
        <f t="shared" si="184"/>
        <v>0</v>
      </c>
      <c r="DT154" s="161">
        <f t="shared" si="185"/>
        <v>0</v>
      </c>
      <c r="DU154" s="161">
        <f t="shared" si="186"/>
        <v>0</v>
      </c>
      <c r="DV154" s="161">
        <f t="shared" si="187"/>
        <v>0</v>
      </c>
      <c r="DW154" s="161">
        <f t="shared" si="188"/>
        <v>0</v>
      </c>
      <c r="DX154" s="161">
        <f t="shared" si="189"/>
        <v>0</v>
      </c>
      <c r="DY154" s="161">
        <f t="shared" si="190"/>
        <v>0</v>
      </c>
      <c r="DZ154" s="161">
        <f t="shared" si="191"/>
        <v>0</v>
      </c>
      <c r="EA154" s="161">
        <f t="shared" si="192"/>
        <v>0</v>
      </c>
      <c r="EB154" s="161">
        <f t="shared" si="193"/>
        <v>0</v>
      </c>
      <c r="EC154" s="161">
        <f t="shared" si="194"/>
        <v>0</v>
      </c>
      <c r="ED154" s="161">
        <f t="shared" si="195"/>
        <v>0</v>
      </c>
      <c r="EE154" s="161">
        <f t="shared" si="196"/>
        <v>0</v>
      </c>
      <c r="EF154" s="161">
        <f t="shared" si="197"/>
        <v>0</v>
      </c>
      <c r="EG154" s="161">
        <f t="shared" si="198"/>
        <v>0</v>
      </c>
      <c r="EH154" s="161">
        <f t="shared" si="199"/>
        <v>0</v>
      </c>
      <c r="EI154" s="161">
        <f t="shared" si="200"/>
        <v>0</v>
      </c>
      <c r="EJ154" s="161">
        <f t="shared" si="201"/>
        <v>0</v>
      </c>
      <c r="EK154" s="147">
        <f t="shared" si="202"/>
        <v>151.04166666666666</v>
      </c>
      <c r="EL154" s="149"/>
      <c r="EN154" s="146"/>
      <c r="EO154" s="146"/>
      <c r="EP154" s="139">
        <f t="shared" si="203"/>
        <v>0</v>
      </c>
      <c r="EQ154" s="139">
        <f t="shared" si="204"/>
        <v>0.45768229166666674</v>
      </c>
      <c r="ER154" s="139">
        <f t="shared" si="205"/>
        <v>0</v>
      </c>
      <c r="ES154" s="139">
        <f t="shared" si="206"/>
        <v>0</v>
      </c>
      <c r="ET154" s="139">
        <f t="shared" si="207"/>
        <v>0</v>
      </c>
      <c r="EU154" s="139">
        <f t="shared" si="208"/>
        <v>4.0109621984668395</v>
      </c>
      <c r="EV154" s="139">
        <f t="shared" si="209"/>
        <v>6.828093271595435</v>
      </c>
      <c r="EW154" s="139">
        <f t="shared" si="210"/>
        <v>0</v>
      </c>
      <c r="EX154" s="139">
        <f t="shared" si="211"/>
        <v>0</v>
      </c>
      <c r="EY154" s="139">
        <f t="shared" si="212"/>
        <v>0</v>
      </c>
      <c r="EZ154" s="139">
        <f t="shared" si="213"/>
        <v>0</v>
      </c>
      <c r="FA154" s="139">
        <f t="shared" si="214"/>
        <v>0</v>
      </c>
      <c r="FB154" s="139">
        <f t="shared" si="215"/>
        <v>0</v>
      </c>
      <c r="FC154" s="139">
        <f t="shared" si="216"/>
        <v>0</v>
      </c>
      <c r="FD154" s="139">
        <f t="shared" si="217"/>
        <v>0</v>
      </c>
      <c r="FE154" s="139">
        <f t="shared" si="218"/>
        <v>0</v>
      </c>
      <c r="FF154" s="139">
        <f t="shared" si="219"/>
        <v>0</v>
      </c>
      <c r="FG154" s="139">
        <f t="shared" si="220"/>
        <v>0</v>
      </c>
      <c r="FH154" s="139">
        <f t="shared" si="221"/>
        <v>0</v>
      </c>
      <c r="FI154" s="139">
        <f t="shared" si="222"/>
        <v>0</v>
      </c>
      <c r="FJ154" s="139">
        <f t="shared" si="223"/>
        <v>0</v>
      </c>
      <c r="FK154" s="139">
        <f t="shared" si="224"/>
        <v>0</v>
      </c>
      <c r="FL154" s="139">
        <f t="shared" si="225"/>
        <v>0</v>
      </c>
      <c r="FM154" s="139">
        <f t="shared" si="226"/>
        <v>0</v>
      </c>
      <c r="FN154" s="139">
        <f t="shared" si="227"/>
        <v>0</v>
      </c>
      <c r="FO154" s="139">
        <f t="shared" si="228"/>
        <v>0</v>
      </c>
      <c r="FP154" s="139">
        <f t="shared" si="229"/>
        <v>0</v>
      </c>
      <c r="FQ154" s="139">
        <f t="shared" si="230"/>
        <v>0</v>
      </c>
      <c r="FR154" s="139">
        <f t="shared" si="231"/>
        <v>0</v>
      </c>
      <c r="FS154" s="139">
        <f t="shared" si="232"/>
        <v>0</v>
      </c>
      <c r="FT154" s="139">
        <f t="shared" si="233"/>
        <v>0</v>
      </c>
      <c r="FU154" s="148">
        <f t="shared" si="234"/>
        <v>11.296737761728942</v>
      </c>
      <c r="FV154" s="149"/>
      <c r="FY154" s="210">
        <v>149</v>
      </c>
      <c r="FZ154">
        <v>3.8142624108690284</v>
      </c>
      <c r="GA154">
        <v>30.603251885114258</v>
      </c>
      <c r="GB154">
        <v>21.824840855905123</v>
      </c>
      <c r="GC154">
        <v>6.7406552659131798</v>
      </c>
      <c r="GD154">
        <v>2.8777224128753471</v>
      </c>
      <c r="GE154">
        <v>6.6462570316973677</v>
      </c>
      <c r="GF154">
        <v>7.9515165048444114</v>
      </c>
      <c r="GG154">
        <v>2.0677816378358704</v>
      </c>
      <c r="GH154">
        <v>2.3871250873258196</v>
      </c>
      <c r="GI154">
        <v>9.5812099345299622</v>
      </c>
      <c r="GJ154"/>
      <c r="GK154"/>
      <c r="GL154"/>
      <c r="GM154"/>
    </row>
    <row r="155" spans="1:195" s="7" customFormat="1">
      <c r="A155" s="77"/>
      <c r="B155" s="76">
        <f ca="1">IF(C155="", "", RAND())</f>
        <v>0.71126035684439226</v>
      </c>
      <c r="C155">
        <v>2</v>
      </c>
      <c r="D155">
        <v>39847</v>
      </c>
      <c r="E155">
        <v>0</v>
      </c>
      <c r="F155">
        <v>911.45833333333326</v>
      </c>
      <c r="G155">
        <v>455.72916666666663</v>
      </c>
      <c r="H155">
        <v>0</v>
      </c>
      <c r="I155">
        <v>0</v>
      </c>
      <c r="J155">
        <v>0</v>
      </c>
      <c r="K155">
        <v>0</v>
      </c>
      <c r="L155">
        <v>34.722222222222221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241.76217256636946</v>
      </c>
      <c r="AO155">
        <v>13.913830807697391</v>
      </c>
      <c r="AP155">
        <v>104.00905665366625</v>
      </c>
      <c r="AQ155">
        <v>85.265564392496202</v>
      </c>
      <c r="AR155">
        <v>12.667829902017269</v>
      </c>
      <c r="AS155">
        <v>129.30432547062532</v>
      </c>
      <c r="AT155">
        <v>5.7699101738070029</v>
      </c>
      <c r="AU155">
        <v>-12.591873108518158</v>
      </c>
      <c r="AV155"/>
      <c r="AW155"/>
      <c r="AX155" s="151"/>
      <c r="AY155" s="76">
        <f t="shared" ca="1" si="236"/>
        <v>0.53418948802351185</v>
      </c>
      <c r="AZ155">
        <v>10</v>
      </c>
      <c r="BA155" s="129">
        <f t="shared" si="237"/>
        <v>39847</v>
      </c>
      <c r="BB155">
        <v>0</v>
      </c>
      <c r="BC155"/>
      <c r="BD155"/>
      <c r="BE155"/>
      <c r="BF155"/>
      <c r="BG155"/>
      <c r="BH155">
        <v>2</v>
      </c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38"/>
        <v>9.0585883847520421E-2</v>
      </c>
      <c r="CL155" s="179">
        <f t="shared" si="239"/>
        <v>10</v>
      </c>
      <c r="CM155" s="180">
        <f t="shared" si="240"/>
        <v>39847</v>
      </c>
      <c r="CN155"/>
      <c r="CO155"/>
      <c r="CP155"/>
      <c r="CQ155"/>
      <c r="CR155"/>
      <c r="CS155"/>
      <c r="CT155"/>
      <c r="CU155"/>
      <c r="CV155" s="160"/>
      <c r="CW155">
        <v>1</v>
      </c>
      <c r="CX155">
        <v>1</v>
      </c>
      <c r="CY155" s="165"/>
      <c r="CZ155" s="177">
        <f t="shared" si="242"/>
        <v>9.6000000000000002E-2</v>
      </c>
      <c r="DB155" s="151"/>
      <c r="DC155" s="76">
        <f t="shared" ca="1" si="241"/>
        <v>0.50579955695002621</v>
      </c>
      <c r="DD155" s="227">
        <f t="shared" si="243"/>
        <v>10</v>
      </c>
      <c r="DE155" s="129">
        <f t="shared" si="171"/>
        <v>39847</v>
      </c>
      <c r="DF155" s="161">
        <f t="shared" si="244"/>
        <v>0</v>
      </c>
      <c r="DG155" s="161">
        <f t="shared" si="172"/>
        <v>0</v>
      </c>
      <c r="DH155" s="161">
        <f t="shared" si="173"/>
        <v>0</v>
      </c>
      <c r="DI155" s="161">
        <f t="shared" si="174"/>
        <v>0</v>
      </c>
      <c r="DJ155" s="161">
        <f t="shared" si="175"/>
        <v>0</v>
      </c>
      <c r="DK155" s="161">
        <f t="shared" si="176"/>
        <v>0</v>
      </c>
      <c r="DL155" s="161">
        <f t="shared" si="177"/>
        <v>20.833333333333332</v>
      </c>
      <c r="DM155" s="161">
        <f t="shared" si="178"/>
        <v>0</v>
      </c>
      <c r="DN155" s="161">
        <f t="shared" si="179"/>
        <v>0</v>
      </c>
      <c r="DO155" s="161">
        <f t="shared" si="180"/>
        <v>0</v>
      </c>
      <c r="DP155" s="161">
        <f t="shared" si="181"/>
        <v>0</v>
      </c>
      <c r="DQ155" s="161">
        <f t="shared" si="182"/>
        <v>0</v>
      </c>
      <c r="DR155" s="161">
        <f t="shared" si="183"/>
        <v>0</v>
      </c>
      <c r="DS155" s="161">
        <f t="shared" si="184"/>
        <v>0</v>
      </c>
      <c r="DT155" s="161">
        <f t="shared" si="185"/>
        <v>0</v>
      </c>
      <c r="DU155" s="161">
        <f t="shared" si="186"/>
        <v>0</v>
      </c>
      <c r="DV155" s="161">
        <f t="shared" si="187"/>
        <v>0</v>
      </c>
      <c r="DW155" s="161">
        <f t="shared" si="188"/>
        <v>0</v>
      </c>
      <c r="DX155" s="161">
        <f t="shared" si="189"/>
        <v>0</v>
      </c>
      <c r="DY155" s="161">
        <f t="shared" si="190"/>
        <v>0</v>
      </c>
      <c r="DZ155" s="161">
        <f t="shared" si="191"/>
        <v>0</v>
      </c>
      <c r="EA155" s="161">
        <f t="shared" si="192"/>
        <v>0</v>
      </c>
      <c r="EB155" s="161">
        <f t="shared" si="193"/>
        <v>0</v>
      </c>
      <c r="EC155" s="161">
        <f t="shared" si="194"/>
        <v>0</v>
      </c>
      <c r="ED155" s="161">
        <f t="shared" si="195"/>
        <v>0</v>
      </c>
      <c r="EE155" s="161">
        <f t="shared" si="196"/>
        <v>0</v>
      </c>
      <c r="EF155" s="161">
        <f t="shared" si="197"/>
        <v>0</v>
      </c>
      <c r="EG155" s="161">
        <f t="shared" si="198"/>
        <v>0</v>
      </c>
      <c r="EH155" s="161">
        <f t="shared" si="199"/>
        <v>0</v>
      </c>
      <c r="EI155" s="161">
        <f t="shared" si="200"/>
        <v>0</v>
      </c>
      <c r="EJ155" s="161">
        <f t="shared" si="201"/>
        <v>0</v>
      </c>
      <c r="EK155" s="147">
        <f t="shared" si="202"/>
        <v>20.833333333333332</v>
      </c>
      <c r="EL155" s="149"/>
      <c r="EN155" s="146"/>
      <c r="EO155" s="146"/>
      <c r="EP155" s="139">
        <f t="shared" si="203"/>
        <v>0</v>
      </c>
      <c r="EQ155" s="139">
        <f t="shared" si="204"/>
        <v>0</v>
      </c>
      <c r="ER155" s="139">
        <f t="shared" si="205"/>
        <v>0</v>
      </c>
      <c r="ES155" s="139">
        <f t="shared" si="206"/>
        <v>0</v>
      </c>
      <c r="ET155" s="139">
        <f t="shared" si="207"/>
        <v>0</v>
      </c>
      <c r="EU155" s="139">
        <f t="shared" si="208"/>
        <v>0</v>
      </c>
      <c r="EV155" s="139">
        <f t="shared" si="209"/>
        <v>13.65618654319087</v>
      </c>
      <c r="EW155" s="139">
        <f t="shared" si="210"/>
        <v>0</v>
      </c>
      <c r="EX155" s="139">
        <f t="shared" si="211"/>
        <v>0</v>
      </c>
      <c r="EY155" s="139">
        <f t="shared" si="212"/>
        <v>0</v>
      </c>
      <c r="EZ155" s="139">
        <f t="shared" si="213"/>
        <v>0</v>
      </c>
      <c r="FA155" s="139">
        <f t="shared" si="214"/>
        <v>0</v>
      </c>
      <c r="FB155" s="139">
        <f t="shared" si="215"/>
        <v>0</v>
      </c>
      <c r="FC155" s="139">
        <f t="shared" si="216"/>
        <v>0</v>
      </c>
      <c r="FD155" s="139">
        <f t="shared" si="217"/>
        <v>0</v>
      </c>
      <c r="FE155" s="139">
        <f t="shared" si="218"/>
        <v>0</v>
      </c>
      <c r="FF155" s="139">
        <f t="shared" si="219"/>
        <v>0</v>
      </c>
      <c r="FG155" s="139">
        <f t="shared" si="220"/>
        <v>0</v>
      </c>
      <c r="FH155" s="139">
        <f t="shared" si="221"/>
        <v>0</v>
      </c>
      <c r="FI155" s="139">
        <f t="shared" si="222"/>
        <v>0</v>
      </c>
      <c r="FJ155" s="139">
        <f t="shared" si="223"/>
        <v>0</v>
      </c>
      <c r="FK155" s="139">
        <f t="shared" si="224"/>
        <v>0</v>
      </c>
      <c r="FL155" s="139">
        <f t="shared" si="225"/>
        <v>0</v>
      </c>
      <c r="FM155" s="139">
        <f t="shared" si="226"/>
        <v>0</v>
      </c>
      <c r="FN155" s="139">
        <f t="shared" si="227"/>
        <v>0</v>
      </c>
      <c r="FO155" s="139">
        <f t="shared" si="228"/>
        <v>0</v>
      </c>
      <c r="FP155" s="139">
        <f t="shared" si="229"/>
        <v>0</v>
      </c>
      <c r="FQ155" s="139">
        <f t="shared" si="230"/>
        <v>0</v>
      </c>
      <c r="FR155" s="139">
        <f t="shared" si="231"/>
        <v>0</v>
      </c>
      <c r="FS155" s="139">
        <f t="shared" si="232"/>
        <v>0</v>
      </c>
      <c r="FT155" s="139">
        <f t="shared" si="233"/>
        <v>0</v>
      </c>
      <c r="FU155" s="148">
        <f t="shared" si="234"/>
        <v>13.65618654319087</v>
      </c>
      <c r="FV155" s="149"/>
      <c r="FY155" s="210">
        <v>150</v>
      </c>
      <c r="FZ155">
        <v>6.8960050158579058</v>
      </c>
      <c r="GA155">
        <v>24.738737648717422</v>
      </c>
      <c r="GB155">
        <v>19.169127824885607</v>
      </c>
      <c r="GC155">
        <v>9.772346584609366</v>
      </c>
      <c r="GD155">
        <v>4.541282223415207</v>
      </c>
      <c r="GE155">
        <v>5.5208625737130133</v>
      </c>
      <c r="GF155">
        <v>6.6461677038317797</v>
      </c>
      <c r="GG155">
        <v>3.3947144945192114</v>
      </c>
      <c r="GH155">
        <v>2.8407052312748844</v>
      </c>
      <c r="GI155">
        <v>10.13676171644128</v>
      </c>
      <c r="GJ155"/>
      <c r="GK155"/>
      <c r="GL155"/>
      <c r="GM155"/>
    </row>
    <row r="156" spans="1:195" s="7" customFormat="1">
      <c r="A156" s="77"/>
      <c r="B156" s="76">
        <f ca="1">IF(C156="", "", RAND())</f>
        <v>0.43993431327960453</v>
      </c>
      <c r="C156">
        <v>1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194.24821880159712</v>
      </c>
      <c r="AO156">
        <v>18.904730839937841</v>
      </c>
      <c r="AP156">
        <v>153.55524008266832</v>
      </c>
      <c r="AQ156">
        <v>118.43684293834737</v>
      </c>
      <c r="AR156">
        <v>17.499318131405385</v>
      </c>
      <c r="AS156">
        <v>150.92258384245594</v>
      </c>
      <c r="AT156">
        <v>7.7587966425836479</v>
      </c>
      <c r="AU156">
        <v>-15.117286202602337</v>
      </c>
      <c r="AV156"/>
      <c r="AW156"/>
      <c r="AX156" s="151"/>
      <c r="AY156" s="76"/>
      <c r="AZ156" s="227"/>
      <c r="BA156" s="129"/>
      <c r="BB156" s="227"/>
      <c r="BC156" s="227"/>
      <c r="BD156" s="227"/>
      <c r="BE156" s="227"/>
      <c r="BF156" s="227"/>
      <c r="BG156" s="227"/>
      <c r="BH156" s="227"/>
      <c r="BI156" s="227"/>
      <c r="BJ156" s="227"/>
      <c r="BK156" s="227"/>
      <c r="BL156" s="227"/>
      <c r="BM156" s="227"/>
      <c r="BN156" s="227"/>
      <c r="BO156" s="227"/>
      <c r="BP156" s="227"/>
      <c r="BQ156" s="227"/>
      <c r="BR156" s="227"/>
      <c r="BS156" s="227"/>
      <c r="BT156" s="227"/>
      <c r="BU156" s="227"/>
      <c r="BV156" s="227"/>
      <c r="BW156" s="227"/>
      <c r="BX156" s="227"/>
      <c r="BY156" s="227"/>
      <c r="BZ156" s="227"/>
      <c r="CA156" s="227"/>
      <c r="CB156" s="227"/>
      <c r="CC156" s="227"/>
      <c r="CD156" s="227"/>
      <c r="CE156" s="227"/>
      <c r="CF156" s="227"/>
      <c r="CG156" s="147"/>
      <c r="CH156" s="176"/>
      <c r="CJ156" s="151"/>
      <c r="CK156" s="76"/>
      <c r="CL156" s="179"/>
      <c r="CM156" s="180"/>
      <c r="CN156" s="227"/>
      <c r="CO156" s="227"/>
      <c r="CP156" s="227"/>
      <c r="CQ156" s="227"/>
      <c r="CR156" s="227"/>
      <c r="CS156" s="227"/>
      <c r="CT156" s="227"/>
      <c r="CU156" s="227"/>
      <c r="CV156" s="160"/>
      <c r="CW156" s="227"/>
      <c r="CX156" s="227"/>
      <c r="CY156" s="165"/>
      <c r="CZ156" s="177" t="str">
        <f t="shared" si="242"/>
        <v/>
      </c>
      <c r="DB156" s="151"/>
      <c r="DC156" s="76" t="str">
        <f t="shared" ca="1" si="241"/>
        <v/>
      </c>
      <c r="DD156" s="227" t="str">
        <f t="shared" si="243"/>
        <v/>
      </c>
      <c r="DE156" s="129" t="str">
        <f t="shared" si="171"/>
        <v/>
      </c>
      <c r="DF156" s="161" t="str">
        <f t="shared" si="244"/>
        <v/>
      </c>
      <c r="DG156" s="161" t="str">
        <f t="shared" si="172"/>
        <v/>
      </c>
      <c r="DH156" s="161" t="str">
        <f t="shared" si="173"/>
        <v/>
      </c>
      <c r="DI156" s="161" t="str">
        <f t="shared" si="174"/>
        <v/>
      </c>
      <c r="DJ156" s="161" t="str">
        <f t="shared" si="175"/>
        <v/>
      </c>
      <c r="DK156" s="161" t="str">
        <f t="shared" si="176"/>
        <v/>
      </c>
      <c r="DL156" s="161" t="str">
        <f t="shared" si="177"/>
        <v/>
      </c>
      <c r="DM156" s="161" t="str">
        <f t="shared" si="178"/>
        <v/>
      </c>
      <c r="DN156" s="161" t="str">
        <f t="shared" si="179"/>
        <v/>
      </c>
      <c r="DO156" s="161" t="str">
        <f t="shared" si="180"/>
        <v/>
      </c>
      <c r="DP156" s="161" t="str">
        <f t="shared" si="181"/>
        <v/>
      </c>
      <c r="DQ156" s="161" t="str">
        <f t="shared" si="182"/>
        <v/>
      </c>
      <c r="DR156" s="161" t="str">
        <f t="shared" si="183"/>
        <v/>
      </c>
      <c r="DS156" s="161" t="str">
        <f t="shared" si="184"/>
        <v/>
      </c>
      <c r="DT156" s="161" t="str">
        <f t="shared" si="185"/>
        <v/>
      </c>
      <c r="DU156" s="161" t="str">
        <f t="shared" si="186"/>
        <v/>
      </c>
      <c r="DV156" s="161" t="str">
        <f t="shared" si="187"/>
        <v/>
      </c>
      <c r="DW156" s="161" t="str">
        <f t="shared" si="188"/>
        <v/>
      </c>
      <c r="DX156" s="161" t="str">
        <f t="shared" si="189"/>
        <v/>
      </c>
      <c r="DY156" s="161" t="str">
        <f t="shared" si="190"/>
        <v/>
      </c>
      <c r="DZ156" s="161" t="str">
        <f t="shared" si="191"/>
        <v/>
      </c>
      <c r="EA156" s="161" t="str">
        <f t="shared" si="192"/>
        <v/>
      </c>
      <c r="EB156" s="161" t="str">
        <f t="shared" si="193"/>
        <v/>
      </c>
      <c r="EC156" s="161" t="str">
        <f t="shared" si="194"/>
        <v/>
      </c>
      <c r="ED156" s="161" t="str">
        <f t="shared" si="195"/>
        <v/>
      </c>
      <c r="EE156" s="161" t="str">
        <f t="shared" si="196"/>
        <v/>
      </c>
      <c r="EF156" s="161" t="str">
        <f t="shared" si="197"/>
        <v/>
      </c>
      <c r="EG156" s="161" t="str">
        <f t="shared" si="198"/>
        <v/>
      </c>
      <c r="EH156" s="161" t="str">
        <f t="shared" si="199"/>
        <v/>
      </c>
      <c r="EI156" s="161" t="str">
        <f t="shared" si="200"/>
        <v/>
      </c>
      <c r="EJ156" s="161" t="str">
        <f t="shared" si="201"/>
        <v/>
      </c>
      <c r="EK156" s="147" t="str">
        <f t="shared" si="202"/>
        <v/>
      </c>
      <c r="EL156" s="149"/>
      <c r="EN156" s="146"/>
      <c r="EO156" s="146"/>
      <c r="EP156" s="139" t="str">
        <f t="shared" si="203"/>
        <v/>
      </c>
      <c r="EQ156" s="139" t="str">
        <f t="shared" si="204"/>
        <v/>
      </c>
      <c r="ER156" s="139" t="str">
        <f t="shared" si="205"/>
        <v/>
      </c>
      <c r="ES156" s="139" t="str">
        <f t="shared" si="206"/>
        <v/>
      </c>
      <c r="ET156" s="139" t="str">
        <f t="shared" si="207"/>
        <v/>
      </c>
      <c r="EU156" s="139" t="str">
        <f t="shared" si="208"/>
        <v/>
      </c>
      <c r="EV156" s="139" t="str">
        <f t="shared" si="209"/>
        <v/>
      </c>
      <c r="EW156" s="139" t="str">
        <f t="shared" si="210"/>
        <v/>
      </c>
      <c r="EX156" s="139" t="str">
        <f t="shared" si="211"/>
        <v/>
      </c>
      <c r="EY156" s="139" t="str">
        <f t="shared" si="212"/>
        <v/>
      </c>
      <c r="EZ156" s="139" t="str">
        <f t="shared" si="213"/>
        <v/>
      </c>
      <c r="FA156" s="139" t="str">
        <f t="shared" si="214"/>
        <v/>
      </c>
      <c r="FB156" s="139" t="str">
        <f t="shared" si="215"/>
        <v/>
      </c>
      <c r="FC156" s="139" t="str">
        <f t="shared" si="216"/>
        <v/>
      </c>
      <c r="FD156" s="139" t="str">
        <f t="shared" si="217"/>
        <v/>
      </c>
      <c r="FE156" s="139" t="str">
        <f t="shared" si="218"/>
        <v/>
      </c>
      <c r="FF156" s="139" t="str">
        <f t="shared" si="219"/>
        <v/>
      </c>
      <c r="FG156" s="139" t="str">
        <f t="shared" si="220"/>
        <v/>
      </c>
      <c r="FH156" s="139" t="str">
        <f t="shared" si="221"/>
        <v/>
      </c>
      <c r="FI156" s="139" t="str">
        <f t="shared" si="222"/>
        <v/>
      </c>
      <c r="FJ156" s="139" t="str">
        <f t="shared" si="223"/>
        <v/>
      </c>
      <c r="FK156" s="139" t="str">
        <f t="shared" si="224"/>
        <v/>
      </c>
      <c r="FL156" s="139" t="str">
        <f t="shared" si="225"/>
        <v/>
      </c>
      <c r="FM156" s="139" t="str">
        <f t="shared" si="226"/>
        <v/>
      </c>
      <c r="FN156" s="139" t="str">
        <f t="shared" si="227"/>
        <v/>
      </c>
      <c r="FO156" s="139" t="str">
        <f t="shared" si="228"/>
        <v/>
      </c>
      <c r="FP156" s="139" t="str">
        <f t="shared" si="229"/>
        <v/>
      </c>
      <c r="FQ156" s="139" t="str">
        <f t="shared" si="230"/>
        <v/>
      </c>
      <c r="FR156" s="139" t="str">
        <f t="shared" si="231"/>
        <v/>
      </c>
      <c r="FS156" s="139" t="str">
        <f t="shared" si="232"/>
        <v/>
      </c>
      <c r="FT156" s="139" t="str">
        <f t="shared" si="233"/>
        <v/>
      </c>
      <c r="FU156" s="148" t="str">
        <f t="shared" si="234"/>
        <v/>
      </c>
      <c r="FV156" s="149"/>
      <c r="FY156" s="210">
        <v>151</v>
      </c>
      <c r="FZ156">
        <v>1.4629143174253851</v>
      </c>
      <c r="GA156">
        <v>27.427144539018375</v>
      </c>
      <c r="GB156">
        <v>22.809880504912069</v>
      </c>
      <c r="GC156">
        <v>8.0787501538203141</v>
      </c>
      <c r="GD156">
        <v>4.1773929644127605</v>
      </c>
      <c r="GE156">
        <v>6.5072120045941926</v>
      </c>
      <c r="GF156">
        <v>4.9483898302268585</v>
      </c>
      <c r="GG156">
        <v>1.4224046459106283</v>
      </c>
      <c r="GH156">
        <v>1.6183093455241906</v>
      </c>
      <c r="GI156">
        <v>9.4871298271657984</v>
      </c>
      <c r="GJ156"/>
      <c r="GK156"/>
      <c r="GL156"/>
      <c r="GM156"/>
    </row>
    <row r="157" spans="1:195" s="7" customFormat="1">
      <c r="A157" s="77"/>
      <c r="B157" s="76">
        <f ca="1">IF(C157="", "", RAND())</f>
        <v>0.67974081895205174</v>
      </c>
      <c r="C157">
        <v>7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253.00958644692113</v>
      </c>
      <c r="AO157">
        <v>17.458203285414662</v>
      </c>
      <c r="AP157">
        <v>133.72773162547375</v>
      </c>
      <c r="AQ157">
        <v>110.31936768737839</v>
      </c>
      <c r="AR157">
        <v>16.195562126882109</v>
      </c>
      <c r="AS157">
        <v>180.73300855214001</v>
      </c>
      <c r="AT157">
        <v>8.19667880338522</v>
      </c>
      <c r="AU157">
        <v>-22.290453068566336</v>
      </c>
      <c r="AV157"/>
      <c r="AW157"/>
      <c r="AX157" s="151"/>
      <c r="AY157" s="76"/>
      <c r="AZ157" s="227"/>
      <c r="BA157" s="129"/>
      <c r="BB157" s="227"/>
      <c r="BC157" s="227"/>
      <c r="BD157" s="227"/>
      <c r="BE157" s="227"/>
      <c r="BF157" s="227"/>
      <c r="BG157" s="227"/>
      <c r="BH157" s="227"/>
      <c r="BI157" s="227"/>
      <c r="BJ157" s="227"/>
      <c r="BK157" s="227"/>
      <c r="BL157" s="227"/>
      <c r="BM157" s="227"/>
      <c r="BN157" s="227"/>
      <c r="BO157" s="227"/>
      <c r="BP157" s="227"/>
      <c r="BQ157" s="227"/>
      <c r="BR157" s="227"/>
      <c r="BS157" s="227"/>
      <c r="BT157" s="227"/>
      <c r="BU157" s="227"/>
      <c r="BV157" s="227"/>
      <c r="BW157" s="227"/>
      <c r="BX157" s="227"/>
      <c r="BY157" s="227"/>
      <c r="BZ157" s="227"/>
      <c r="CA157" s="227"/>
      <c r="CB157" s="227"/>
      <c r="CC157" s="227"/>
      <c r="CD157" s="227"/>
      <c r="CE157" s="227"/>
      <c r="CF157" s="227"/>
      <c r="CG157" s="147"/>
      <c r="CH157" s="176"/>
      <c r="CJ157" s="151"/>
      <c r="CK157" s="76"/>
      <c r="CL157" s="179"/>
      <c r="CM157" s="180"/>
      <c r="CN157" s="227"/>
      <c r="CO157" s="227"/>
      <c r="CP157" s="227"/>
      <c r="CQ157" s="227"/>
      <c r="CR157" s="227"/>
      <c r="CS157" s="227"/>
      <c r="CT157" s="227"/>
      <c r="CU157" s="227"/>
      <c r="CV157" s="160"/>
      <c r="CW157" s="227"/>
      <c r="CX157" s="227"/>
      <c r="CY157" s="165"/>
      <c r="CZ157" s="177" t="str">
        <f t="shared" si="242"/>
        <v/>
      </c>
      <c r="DB157" s="151"/>
      <c r="DC157" s="76" t="str">
        <f t="shared" ca="1" si="241"/>
        <v/>
      </c>
      <c r="DD157" s="227" t="str">
        <f t="shared" si="243"/>
        <v/>
      </c>
      <c r="DE157" s="129" t="str">
        <f t="shared" si="171"/>
        <v/>
      </c>
      <c r="DF157" s="161" t="str">
        <f t="shared" si="244"/>
        <v/>
      </c>
      <c r="DG157" s="161" t="str">
        <f t="shared" si="172"/>
        <v/>
      </c>
      <c r="DH157" s="161" t="str">
        <f t="shared" si="173"/>
        <v/>
      </c>
      <c r="DI157" s="161" t="str">
        <f t="shared" si="174"/>
        <v/>
      </c>
      <c r="DJ157" s="161" t="str">
        <f t="shared" si="175"/>
        <v/>
      </c>
      <c r="DK157" s="161" t="str">
        <f t="shared" si="176"/>
        <v/>
      </c>
      <c r="DL157" s="161" t="str">
        <f t="shared" si="177"/>
        <v/>
      </c>
      <c r="DM157" s="161" t="str">
        <f t="shared" si="178"/>
        <v/>
      </c>
      <c r="DN157" s="161" t="str">
        <f t="shared" si="179"/>
        <v/>
      </c>
      <c r="DO157" s="161" t="str">
        <f t="shared" si="180"/>
        <v/>
      </c>
      <c r="DP157" s="161" t="str">
        <f t="shared" si="181"/>
        <v/>
      </c>
      <c r="DQ157" s="161" t="str">
        <f t="shared" si="182"/>
        <v/>
      </c>
      <c r="DR157" s="161" t="str">
        <f t="shared" si="183"/>
        <v/>
      </c>
      <c r="DS157" s="161" t="str">
        <f t="shared" si="184"/>
        <v/>
      </c>
      <c r="DT157" s="161" t="str">
        <f t="shared" si="185"/>
        <v/>
      </c>
      <c r="DU157" s="161" t="str">
        <f t="shared" si="186"/>
        <v/>
      </c>
      <c r="DV157" s="161" t="str">
        <f t="shared" si="187"/>
        <v/>
      </c>
      <c r="DW157" s="161" t="str">
        <f t="shared" si="188"/>
        <v/>
      </c>
      <c r="DX157" s="161" t="str">
        <f t="shared" si="189"/>
        <v/>
      </c>
      <c r="DY157" s="161" t="str">
        <f t="shared" si="190"/>
        <v/>
      </c>
      <c r="DZ157" s="161" t="str">
        <f t="shared" si="191"/>
        <v/>
      </c>
      <c r="EA157" s="161" t="str">
        <f t="shared" si="192"/>
        <v/>
      </c>
      <c r="EB157" s="161" t="str">
        <f t="shared" si="193"/>
        <v/>
      </c>
      <c r="EC157" s="161" t="str">
        <f t="shared" si="194"/>
        <v/>
      </c>
      <c r="ED157" s="161" t="str">
        <f t="shared" si="195"/>
        <v/>
      </c>
      <c r="EE157" s="161" t="str">
        <f t="shared" si="196"/>
        <v/>
      </c>
      <c r="EF157" s="161" t="str">
        <f t="shared" si="197"/>
        <v/>
      </c>
      <c r="EG157" s="161" t="str">
        <f t="shared" si="198"/>
        <v/>
      </c>
      <c r="EH157" s="161" t="str">
        <f t="shared" si="199"/>
        <v/>
      </c>
      <c r="EI157" s="161" t="str">
        <f t="shared" si="200"/>
        <v/>
      </c>
      <c r="EJ157" s="161" t="str">
        <f t="shared" si="201"/>
        <v/>
      </c>
      <c r="EK157" s="147" t="str">
        <f t="shared" si="202"/>
        <v/>
      </c>
      <c r="EL157" s="149"/>
      <c r="EN157" s="146"/>
      <c r="EO157" s="146"/>
      <c r="EP157" s="139" t="str">
        <f t="shared" si="203"/>
        <v/>
      </c>
      <c r="EQ157" s="139" t="str">
        <f t="shared" si="204"/>
        <v/>
      </c>
      <c r="ER157" s="139" t="str">
        <f t="shared" si="205"/>
        <v/>
      </c>
      <c r="ES157" s="139" t="str">
        <f t="shared" si="206"/>
        <v/>
      </c>
      <c r="ET157" s="139" t="str">
        <f t="shared" si="207"/>
        <v/>
      </c>
      <c r="EU157" s="139" t="str">
        <f t="shared" si="208"/>
        <v/>
      </c>
      <c r="EV157" s="139" t="str">
        <f t="shared" si="209"/>
        <v/>
      </c>
      <c r="EW157" s="139" t="str">
        <f t="shared" si="210"/>
        <v/>
      </c>
      <c r="EX157" s="139" t="str">
        <f t="shared" si="211"/>
        <v/>
      </c>
      <c r="EY157" s="139" t="str">
        <f t="shared" si="212"/>
        <v/>
      </c>
      <c r="EZ157" s="139" t="str">
        <f t="shared" si="213"/>
        <v/>
      </c>
      <c r="FA157" s="139" t="str">
        <f t="shared" si="214"/>
        <v/>
      </c>
      <c r="FB157" s="139" t="str">
        <f t="shared" si="215"/>
        <v/>
      </c>
      <c r="FC157" s="139" t="str">
        <f t="shared" si="216"/>
        <v/>
      </c>
      <c r="FD157" s="139" t="str">
        <f t="shared" si="217"/>
        <v/>
      </c>
      <c r="FE157" s="139" t="str">
        <f t="shared" si="218"/>
        <v/>
      </c>
      <c r="FF157" s="139" t="str">
        <f t="shared" si="219"/>
        <v/>
      </c>
      <c r="FG157" s="139" t="str">
        <f t="shared" si="220"/>
        <v/>
      </c>
      <c r="FH157" s="139" t="str">
        <f t="shared" si="221"/>
        <v/>
      </c>
      <c r="FI157" s="139" t="str">
        <f t="shared" si="222"/>
        <v/>
      </c>
      <c r="FJ157" s="139" t="str">
        <f t="shared" si="223"/>
        <v/>
      </c>
      <c r="FK157" s="139" t="str">
        <f t="shared" si="224"/>
        <v/>
      </c>
      <c r="FL157" s="139" t="str">
        <f t="shared" si="225"/>
        <v/>
      </c>
      <c r="FM157" s="139" t="str">
        <f t="shared" si="226"/>
        <v/>
      </c>
      <c r="FN157" s="139" t="str">
        <f t="shared" si="227"/>
        <v/>
      </c>
      <c r="FO157" s="139" t="str">
        <f t="shared" si="228"/>
        <v/>
      </c>
      <c r="FP157" s="139" t="str">
        <f t="shared" si="229"/>
        <v/>
      </c>
      <c r="FQ157" s="139" t="str">
        <f t="shared" si="230"/>
        <v/>
      </c>
      <c r="FR157" s="139" t="str">
        <f t="shared" si="231"/>
        <v/>
      </c>
      <c r="FS157" s="139" t="str">
        <f t="shared" si="232"/>
        <v/>
      </c>
      <c r="FT157" s="139" t="str">
        <f t="shared" si="233"/>
        <v/>
      </c>
      <c r="FU157" s="148" t="str">
        <f t="shared" si="234"/>
        <v/>
      </c>
      <c r="FV157" s="149"/>
      <c r="FY157" s="210">
        <v>152</v>
      </c>
      <c r="FZ157">
        <v>3.9451719663111238</v>
      </c>
      <c r="GA157">
        <v>24.555523993687203</v>
      </c>
      <c r="GB157">
        <v>30.199399604746365</v>
      </c>
      <c r="GC157">
        <v>13.354971631898934</v>
      </c>
      <c r="GD157">
        <v>3.6738780489791201</v>
      </c>
      <c r="GE157">
        <v>4.8125427876639835</v>
      </c>
      <c r="GF157">
        <v>3.8649284717675814</v>
      </c>
      <c r="GG157">
        <v>2.0695819953317161</v>
      </c>
      <c r="GH157">
        <v>2.2006739463117539</v>
      </c>
      <c r="GI157">
        <v>11.345536994393365</v>
      </c>
      <c r="GJ157"/>
      <c r="GK157"/>
      <c r="GL157"/>
      <c r="GM157"/>
    </row>
    <row r="158" spans="1:195" s="7" customFormat="1">
      <c r="A158" s="128"/>
      <c r="B158" s="76">
        <f ca="1">IF(C158="", "", RAND())</f>
        <v>0.90842524264339253</v>
      </c>
      <c r="C158">
        <v>2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194.70767209795241</v>
      </c>
      <c r="AO158">
        <v>15.606688332698047</v>
      </c>
      <c r="AP158">
        <v>117.88905796877759</v>
      </c>
      <c r="AQ158">
        <v>95.755754251571332</v>
      </c>
      <c r="AR158">
        <v>14.354010526439263</v>
      </c>
      <c r="AS158">
        <v>137.06730183200546</v>
      </c>
      <c r="AT158" t="e">
        <v>#DIV/0!</v>
      </c>
      <c r="AU158" t="e">
        <v>#DIV/0!</v>
      </c>
      <c r="AV158"/>
      <c r="AW158"/>
      <c r="AX158" s="128"/>
      <c r="AY158" s="76">
        <f t="shared" ref="AY158:AY207" ca="1" si="245">IF(AZ158="", "", RAND())</f>
        <v>0.14778262009031939</v>
      </c>
      <c r="AZ158">
        <v>1</v>
      </c>
      <c r="BA158" s="129">
        <f>IF(AZ158="", "",$C$11)</f>
        <v>39910</v>
      </c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ref="CK158:CK207" ca="1" si="246">IF(AZ158="", "", RAND())</f>
        <v>0.58792008483726588</v>
      </c>
      <c r="CL158" s="179">
        <f t="shared" ref="CL158:CL207" si="247">IF(AZ158="", "", AZ158)</f>
        <v>1</v>
      </c>
      <c r="CM158" s="180">
        <f t="shared" ref="CM158:CM207" si="248">IF(AZ158="", "", BA158)</f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42"/>
        <v>9.6000000000000002E-2</v>
      </c>
      <c r="DB158" s="128"/>
      <c r="DC158" s="76">
        <f t="shared" ref="DC158:DC207" ca="1" si="249">IF(DD158="", "", RAND())</f>
        <v>0.95970472799596807</v>
      </c>
      <c r="DD158">
        <f t="shared" ref="DD158:DD207" si="250">IF(AZ158="", "", AZ158)</f>
        <v>1</v>
      </c>
      <c r="DE158" s="129">
        <f t="shared" ref="DE158:DE167" si="251">IF((DD158)="", "", $C$11)</f>
        <v>39910</v>
      </c>
      <c r="DF158" s="161">
        <f t="shared" ref="DF158:DF187" si="252">IF($AZ158="", "", ((BB158*$CW158)+(CN158*$CX158))/$CZ158)</f>
        <v>0</v>
      </c>
      <c r="DG158" s="161">
        <f t="shared" ref="DG158:DG187" si="253">IF($AZ158="", "", ((BC158*$CW158)+(CO158*$CX158))/$CZ158)</f>
        <v>0</v>
      </c>
      <c r="DH158" s="161">
        <f t="shared" ref="DH158:DH187" si="254">IF($AZ158="", "", ((BD158*$CW158)+(CP158*$CX158))/$CZ158)</f>
        <v>0</v>
      </c>
      <c r="DI158" s="161">
        <f t="shared" ref="DI158:DI187" si="255">IF($AZ158="", "", ((BE158*$CW158)+(CQ158*$CX158))/$CZ158)</f>
        <v>0</v>
      </c>
      <c r="DJ158" s="161">
        <f t="shared" ref="DJ158:DJ187" si="256">IF($AZ158="", "", ((BF158*$CW158)+(CR158*$CX158))/$CZ158)</f>
        <v>0</v>
      </c>
      <c r="DK158" s="161">
        <f t="shared" ref="DK158:DK187" si="257">IF($AZ158="", "", ((BG158*$CW158)+(CS158*$CX158))/$CZ158)</f>
        <v>0</v>
      </c>
      <c r="DL158" s="161">
        <f t="shared" ref="DL158:DL187" si="258">IF($AZ158="", "", ((BH158*$CW158)+(CT158*$CX158))/$CZ158)</f>
        <v>0</v>
      </c>
      <c r="DM158" s="161">
        <f t="shared" ref="DM158:DM187" si="259">IF($AZ158="", "", ((BI158*$CW158)+(CU158*$CX158))/$CZ158)</f>
        <v>0</v>
      </c>
      <c r="DN158" s="161">
        <f t="shared" ref="DN158:DN187" si="260">IF($AZ158="", "", (BJ158*$CW158)/$CZ158)</f>
        <v>0</v>
      </c>
      <c r="DO158" s="161">
        <f t="shared" ref="DO158:DO187" si="261">IF($AZ158="", "", (BK158*$CW158)/$CZ158)</f>
        <v>0</v>
      </c>
      <c r="DP158" s="161">
        <f t="shared" ref="DP158:DP187" si="262">IF($AZ158="", "", (BL158*$CW158)/$CZ158)</f>
        <v>0</v>
      </c>
      <c r="DQ158" s="161">
        <f t="shared" ref="DQ158:DQ187" si="263">IF($AZ158="", "", (BM158*$CW158)/$CZ158)</f>
        <v>0</v>
      </c>
      <c r="DR158" s="161">
        <f t="shared" ref="DR158:DR187" si="264">IF($AZ158="", "", (BN158*$CW158)/$CZ158)</f>
        <v>0</v>
      </c>
      <c r="DS158" s="161">
        <f t="shared" ref="DS158:DS187" si="265">IF($AZ158="", "", (BO158*$CW158)/$CZ158)</f>
        <v>0</v>
      </c>
      <c r="DT158" s="161">
        <f t="shared" ref="DT158:DT187" si="266">IF($AZ158="", "", (BP158*$CW158)/$CZ158)</f>
        <v>0</v>
      </c>
      <c r="DU158" s="161">
        <f t="shared" ref="DU158:DU187" si="267">IF($AZ158="", "", (BQ158*$CW158)/$CZ158)</f>
        <v>0</v>
      </c>
      <c r="DV158" s="161">
        <f t="shared" ref="DV158:DV187" si="268">IF($AZ158="", "", (BR158*$CW158)/$CZ158)</f>
        <v>0</v>
      </c>
      <c r="DW158" s="161">
        <f t="shared" ref="DW158:DW187" si="269">IF($AZ158="", "", (BS158*$CW158)/$CZ158)</f>
        <v>0</v>
      </c>
      <c r="DX158" s="161">
        <f t="shared" ref="DX158:DX187" si="270">IF($AZ158="", "", (BT158*$CW158)/$CZ158)</f>
        <v>0</v>
      </c>
      <c r="DY158" s="161">
        <f t="shared" ref="DY158:DY187" si="271">IF($AZ158="", "", (BU158*$CW158)/$CZ158)</f>
        <v>0</v>
      </c>
      <c r="DZ158" s="161">
        <f t="shared" ref="DZ158:DZ187" si="272">IF($AZ158="", "", (BV158*$CW158)/$CZ158)</f>
        <v>0</v>
      </c>
      <c r="EA158" s="161">
        <f t="shared" ref="EA158:EA187" si="273">IF($AZ158="", "", (BW158*$CW158)/$CZ158)</f>
        <v>0</v>
      </c>
      <c r="EB158" s="161">
        <f t="shared" ref="EB158:EB187" si="274">IF($AZ158="", "", (BX158*$CW158)/$CZ158)</f>
        <v>0</v>
      </c>
      <c r="EC158" s="161">
        <f t="shared" ref="EC158:EC187" si="275">IF($AZ158="", "", (BY158*$CW158)/$CZ158)</f>
        <v>0</v>
      </c>
      <c r="ED158" s="161">
        <f t="shared" ref="ED158:ED187" si="276">IF($AZ158="", "", (BZ158*$CW158)/$CZ158)</f>
        <v>0</v>
      </c>
      <c r="EE158" s="161">
        <f t="shared" ref="EE158:EE187" si="277">IF($AZ158="", "", (CA158*$CW158)/$CZ158)</f>
        <v>0</v>
      </c>
      <c r="EF158" s="161">
        <f t="shared" ref="EF158:EF187" si="278">IF($AZ158="", "", (CB158*$CW158)/$CZ158)</f>
        <v>0</v>
      </c>
      <c r="EG158" s="161">
        <f t="shared" ref="EG158:EG187" si="279">IF($AZ158="", "", (CC158*$CW158)/$CZ158)</f>
        <v>0</v>
      </c>
      <c r="EH158" s="161">
        <f t="shared" ref="EH158:EH187" si="280">IF($AZ158="", "", (CD158*$CW158)/$CZ158)</f>
        <v>0</v>
      </c>
      <c r="EI158" s="161">
        <f t="shared" ref="EI158:EI187" si="281">IF($AZ158="", "", (CE158*$CW158)/$CZ158)</f>
        <v>0</v>
      </c>
      <c r="EJ158" s="161">
        <f t="shared" ref="EJ158:EJ187" si="282">IF($AZ158="", "", (CF158*$CW158)/$CZ158)</f>
        <v>0</v>
      </c>
      <c r="EK158" s="147">
        <f t="shared" ref="EK158:EK183" si="283">IF(DF158="", "", SUM(DF158:EJ158))</f>
        <v>0</v>
      </c>
      <c r="EL158" s="149"/>
      <c r="EN158" s="146"/>
      <c r="EO158" s="146"/>
      <c r="EP158" s="139">
        <f t="shared" ref="EP158:EP183" si="284">IF(DF158="", "", DF158*G$36)</f>
        <v>0</v>
      </c>
      <c r="EQ158" s="139">
        <f t="shared" ref="EQ158:EQ183" si="285">IF(DG158="", "", DG158*H$36)</f>
        <v>0</v>
      </c>
      <c r="ER158" s="139">
        <f t="shared" ref="ER158:ER183" si="286">IF(DH158="", "", DH158*I$36)</f>
        <v>0</v>
      </c>
      <c r="ES158" s="139">
        <f t="shared" ref="ES158:ES183" si="287">IF(DI158="", "", DI158*J$36)</f>
        <v>0</v>
      </c>
      <c r="ET158" s="139">
        <f t="shared" ref="ET158:ET183" si="288">IF(DJ158="", "", DJ158*K$36)</f>
        <v>0</v>
      </c>
      <c r="EU158" s="139">
        <f t="shared" ref="EU158:EU183" si="289">IF(DK158="", "", DK158*L$36)</f>
        <v>0</v>
      </c>
      <c r="EV158" s="139">
        <f t="shared" ref="EV158:EV183" si="290">IF(DL158="", "", DL158*M$36)</f>
        <v>0</v>
      </c>
      <c r="EW158" s="139">
        <f t="shared" ref="EW158:EW183" si="291">IF(DM158="", "", DM158*N$36)</f>
        <v>0</v>
      </c>
      <c r="EX158" s="139">
        <f t="shared" ref="EX158:EX183" si="292">IF(DN158="", "", DN158*O$36)</f>
        <v>0</v>
      </c>
      <c r="EY158" s="139">
        <f t="shared" ref="EY158:EY183" si="293">IF(DO158="", "", DO158*P$36)</f>
        <v>0</v>
      </c>
      <c r="EZ158" s="139">
        <f t="shared" ref="EZ158:EZ183" si="294">IF(DP158="", "", DP158*Q$36)</f>
        <v>0</v>
      </c>
      <c r="FA158" s="139">
        <f t="shared" ref="FA158:FA183" si="295">IF(DQ158="", "", DQ158*R$36)</f>
        <v>0</v>
      </c>
      <c r="FB158" s="139">
        <f t="shared" ref="FB158:FB183" si="296">IF(DR158="", "", DR158*S$36)</f>
        <v>0</v>
      </c>
      <c r="FC158" s="139">
        <f t="shared" ref="FC158:FC183" si="297">IF(DS158="", "", DS158*T$36)</f>
        <v>0</v>
      </c>
      <c r="FD158" s="139">
        <f t="shared" ref="FD158:FD183" si="298">IF(DT158="", "", DT158*U$36)</f>
        <v>0</v>
      </c>
      <c r="FE158" s="139">
        <f t="shared" ref="FE158:FE183" si="299">IF(DU158="", "", DU158*V$36)</f>
        <v>0</v>
      </c>
      <c r="FF158" s="139">
        <f t="shared" ref="FF158:FF183" si="300">IF(DV158="", "", DV158*W$36)</f>
        <v>0</v>
      </c>
      <c r="FG158" s="139">
        <f t="shared" ref="FG158:FG183" si="301">IF(DW158="", "", DW158*X$36)</f>
        <v>0</v>
      </c>
      <c r="FH158" s="139">
        <f t="shared" ref="FH158:FH183" si="302">IF(DX158="", "", DX158*Y$36)</f>
        <v>0</v>
      </c>
      <c r="FI158" s="139">
        <f t="shared" ref="FI158:FI183" si="303">IF(DY158="", "", DY158*Z$36)</f>
        <v>0</v>
      </c>
      <c r="FJ158" s="139">
        <f t="shared" ref="FJ158:FJ183" si="304">IF(DZ158="", "", DZ158*AA$36)</f>
        <v>0</v>
      </c>
      <c r="FK158" s="139">
        <f t="shared" ref="FK158:FK183" si="305">IF(EA158="", "", EA158*AB$36)</f>
        <v>0</v>
      </c>
      <c r="FL158" s="139">
        <f t="shared" ref="FL158:FL183" si="306">IF(EB158="", "", EB158*AC$36)</f>
        <v>0</v>
      </c>
      <c r="FM158" s="139">
        <f t="shared" ref="FM158:FM183" si="307">IF(EC158="", "", EC158*AD$36)</f>
        <v>0</v>
      </c>
      <c r="FN158" s="139">
        <f t="shared" ref="FN158:FN183" si="308">IF(ED158="", "", ED158*AE$36)</f>
        <v>0</v>
      </c>
      <c r="FO158" s="139">
        <f t="shared" ref="FO158:FO183" si="309">IF(EE158="", "", EE158*AF$36)</f>
        <v>0</v>
      </c>
      <c r="FP158" s="139">
        <f t="shared" ref="FP158:FP183" si="310">IF(EF158="", "", EF158*AG$36)</f>
        <v>0</v>
      </c>
      <c r="FQ158" s="139">
        <f t="shared" ref="FQ158:FQ183" si="311">IF(EG158="", "", EG158*AH$36)</f>
        <v>0</v>
      </c>
      <c r="FR158" s="139">
        <f t="shared" ref="FR158:FR183" si="312">IF(EH158="", "", EH158*AI$36)</f>
        <v>0</v>
      </c>
      <c r="FS158" s="139">
        <f t="shared" ref="FS158:FS183" si="313">IF(EI158="", "", EI158*AJ$36)</f>
        <v>0</v>
      </c>
      <c r="FT158" s="139">
        <f t="shared" ref="FT158:FT183" si="314">IF(EJ158="", "", EJ158*AK$36)</f>
        <v>0</v>
      </c>
      <c r="FU158" s="148">
        <f t="shared" ref="FU158:FU183" si="315">IF(EP158="","",SUM(EP158:FT158))</f>
        <v>0</v>
      </c>
      <c r="FV158" s="149"/>
      <c r="FY158" s="210">
        <v>153</v>
      </c>
      <c r="FZ158">
        <v>12.096322488428287</v>
      </c>
      <c r="GA158">
        <v>37.084193512221205</v>
      </c>
      <c r="GB158">
        <v>19.69892279830875</v>
      </c>
      <c r="GC158">
        <v>8.38088633669995</v>
      </c>
      <c r="GD158">
        <v>6.1118270777893562</v>
      </c>
      <c r="GE158">
        <v>7.8677002308953847</v>
      </c>
      <c r="GF158">
        <v>5.2530002383599559</v>
      </c>
      <c r="GG158">
        <v>3.6793295047052283</v>
      </c>
      <c r="GH158">
        <v>2.322075817490262</v>
      </c>
      <c r="GI158">
        <v>11.593352227504628</v>
      </c>
      <c r="GJ158"/>
      <c r="GK158"/>
      <c r="GL158"/>
      <c r="GM158"/>
    </row>
    <row r="159" spans="1:195" s="7" customFormat="1">
      <c r="A159" s="1"/>
      <c r="B159" s="76">
        <f ca="1">IF(C159="", "", RAND())</f>
        <v>0.38059024962672039</v>
      </c>
      <c r="C159">
        <v>6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166.88104006620452</v>
      </c>
      <c r="AO159">
        <v>15.316100131139924</v>
      </c>
      <c r="AP159">
        <v>123.49887136540123</v>
      </c>
      <c r="AQ159">
        <v>96.503404115760517</v>
      </c>
      <c r="AR159">
        <v>14.190351129892051</v>
      </c>
      <c r="AS159">
        <v>137.48762201804638</v>
      </c>
      <c r="AT159">
        <v>6.9772800227541749</v>
      </c>
      <c r="AU159">
        <v>-22.776204688634692</v>
      </c>
      <c r="AV159"/>
      <c r="AW159"/>
      <c r="AX159" s="146"/>
      <c r="AY159" s="76">
        <f t="shared" ca="1" si="245"/>
        <v>0.93392877002886099</v>
      </c>
      <c r="AZ159">
        <v>2</v>
      </c>
      <c r="BA159" s="129">
        <f t="shared" ref="BA159:BA167" si="316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46"/>
        <v>0.92365033774837002</v>
      </c>
      <c r="CL159" s="179">
        <f t="shared" si="247"/>
        <v>2</v>
      </c>
      <c r="CM159" s="180">
        <f t="shared" si="248"/>
        <v>39910</v>
      </c>
      <c r="CN159" s="220">
        <v>0</v>
      </c>
      <c r="CO159" s="220"/>
      <c r="CP159" s="220"/>
      <c r="CQ159" s="220"/>
      <c r="CR159" s="220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ref="CZ159:CZ207" si="317">IF(AZ159="", "", $G$15)</f>
        <v>9.6000000000000002E-2</v>
      </c>
      <c r="DB159" s="146"/>
      <c r="DC159" s="76">
        <f t="shared" ca="1" si="249"/>
        <v>0.22094025409055762</v>
      </c>
      <c r="DD159">
        <f t="shared" si="250"/>
        <v>2</v>
      </c>
      <c r="DE159" s="129">
        <f t="shared" si="251"/>
        <v>39910</v>
      </c>
      <c r="DF159" s="161">
        <f t="shared" si="252"/>
        <v>0</v>
      </c>
      <c r="DG159" s="161">
        <f t="shared" si="253"/>
        <v>0</v>
      </c>
      <c r="DH159" s="161">
        <f t="shared" si="254"/>
        <v>0</v>
      </c>
      <c r="DI159" s="161">
        <f t="shared" si="255"/>
        <v>0</v>
      </c>
      <c r="DJ159" s="161">
        <f t="shared" si="256"/>
        <v>0</v>
      </c>
      <c r="DK159" s="161">
        <f t="shared" si="257"/>
        <v>0</v>
      </c>
      <c r="DL159" s="161">
        <f t="shared" si="258"/>
        <v>0</v>
      </c>
      <c r="DM159" s="161">
        <f t="shared" si="259"/>
        <v>0</v>
      </c>
      <c r="DN159" s="161">
        <f t="shared" si="260"/>
        <v>0</v>
      </c>
      <c r="DO159" s="161">
        <f t="shared" si="261"/>
        <v>0</v>
      </c>
      <c r="DP159" s="161">
        <f t="shared" si="262"/>
        <v>0</v>
      </c>
      <c r="DQ159" s="161">
        <f t="shared" si="263"/>
        <v>0</v>
      </c>
      <c r="DR159" s="161">
        <f t="shared" si="264"/>
        <v>0</v>
      </c>
      <c r="DS159" s="161">
        <f t="shared" si="265"/>
        <v>0</v>
      </c>
      <c r="DT159" s="161">
        <f t="shared" si="266"/>
        <v>0</v>
      </c>
      <c r="DU159" s="161">
        <f t="shared" si="267"/>
        <v>0</v>
      </c>
      <c r="DV159" s="161">
        <f t="shared" si="268"/>
        <v>0</v>
      </c>
      <c r="DW159" s="161">
        <f t="shared" si="269"/>
        <v>0</v>
      </c>
      <c r="DX159" s="161">
        <f t="shared" si="270"/>
        <v>0</v>
      </c>
      <c r="DY159" s="161">
        <f t="shared" si="271"/>
        <v>0</v>
      </c>
      <c r="DZ159" s="161">
        <f t="shared" si="272"/>
        <v>0</v>
      </c>
      <c r="EA159" s="161">
        <f t="shared" si="273"/>
        <v>0</v>
      </c>
      <c r="EB159" s="161">
        <f t="shared" si="274"/>
        <v>0</v>
      </c>
      <c r="EC159" s="161">
        <f t="shared" si="275"/>
        <v>0</v>
      </c>
      <c r="ED159" s="161">
        <f t="shared" si="276"/>
        <v>0</v>
      </c>
      <c r="EE159" s="161">
        <f t="shared" si="277"/>
        <v>0</v>
      </c>
      <c r="EF159" s="161">
        <f t="shared" si="278"/>
        <v>0</v>
      </c>
      <c r="EG159" s="161">
        <f t="shared" si="279"/>
        <v>0</v>
      </c>
      <c r="EH159" s="161">
        <f t="shared" si="280"/>
        <v>0</v>
      </c>
      <c r="EI159" s="161">
        <f t="shared" si="281"/>
        <v>0</v>
      </c>
      <c r="EJ159" s="161">
        <f t="shared" si="282"/>
        <v>0</v>
      </c>
      <c r="EK159" s="147">
        <f t="shared" si="283"/>
        <v>0</v>
      </c>
      <c r="EL159" s="149"/>
      <c r="EN159" s="146"/>
      <c r="EO159" s="146"/>
      <c r="EP159" s="139">
        <f t="shared" si="284"/>
        <v>0</v>
      </c>
      <c r="EQ159" s="139">
        <f t="shared" si="285"/>
        <v>0</v>
      </c>
      <c r="ER159" s="139">
        <f t="shared" si="286"/>
        <v>0</v>
      </c>
      <c r="ES159" s="139">
        <f t="shared" si="287"/>
        <v>0</v>
      </c>
      <c r="ET159" s="139">
        <f t="shared" si="288"/>
        <v>0</v>
      </c>
      <c r="EU159" s="139">
        <f t="shared" si="289"/>
        <v>0</v>
      </c>
      <c r="EV159" s="139">
        <f t="shared" si="290"/>
        <v>0</v>
      </c>
      <c r="EW159" s="139">
        <f t="shared" si="291"/>
        <v>0</v>
      </c>
      <c r="EX159" s="139">
        <f t="shared" si="292"/>
        <v>0</v>
      </c>
      <c r="EY159" s="139">
        <f t="shared" si="293"/>
        <v>0</v>
      </c>
      <c r="EZ159" s="139">
        <f t="shared" si="294"/>
        <v>0</v>
      </c>
      <c r="FA159" s="139">
        <f t="shared" si="295"/>
        <v>0</v>
      </c>
      <c r="FB159" s="139">
        <f t="shared" si="296"/>
        <v>0</v>
      </c>
      <c r="FC159" s="139">
        <f t="shared" si="297"/>
        <v>0</v>
      </c>
      <c r="FD159" s="139">
        <f t="shared" si="298"/>
        <v>0</v>
      </c>
      <c r="FE159" s="139">
        <f t="shared" si="299"/>
        <v>0</v>
      </c>
      <c r="FF159" s="139">
        <f t="shared" si="300"/>
        <v>0</v>
      </c>
      <c r="FG159" s="139">
        <f t="shared" si="301"/>
        <v>0</v>
      </c>
      <c r="FH159" s="139">
        <f t="shared" si="302"/>
        <v>0</v>
      </c>
      <c r="FI159" s="139">
        <f t="shared" si="303"/>
        <v>0</v>
      </c>
      <c r="FJ159" s="139">
        <f t="shared" si="304"/>
        <v>0</v>
      </c>
      <c r="FK159" s="139">
        <f t="shared" si="305"/>
        <v>0</v>
      </c>
      <c r="FL159" s="139">
        <f t="shared" si="306"/>
        <v>0</v>
      </c>
      <c r="FM159" s="139">
        <f t="shared" si="307"/>
        <v>0</v>
      </c>
      <c r="FN159" s="139">
        <f t="shared" si="308"/>
        <v>0</v>
      </c>
      <c r="FO159" s="139">
        <f t="shared" si="309"/>
        <v>0</v>
      </c>
      <c r="FP159" s="139">
        <f t="shared" si="310"/>
        <v>0</v>
      </c>
      <c r="FQ159" s="139">
        <f t="shared" si="311"/>
        <v>0</v>
      </c>
      <c r="FR159" s="139">
        <f t="shared" si="312"/>
        <v>0</v>
      </c>
      <c r="FS159" s="139">
        <f t="shared" si="313"/>
        <v>0</v>
      </c>
      <c r="FT159" s="139">
        <f t="shared" si="314"/>
        <v>0</v>
      </c>
      <c r="FU159" s="148">
        <f t="shared" si="315"/>
        <v>0</v>
      </c>
      <c r="FV159" s="149"/>
      <c r="FY159" s="210">
        <v>154</v>
      </c>
      <c r="FZ159">
        <v>4.1876712438197066</v>
      </c>
      <c r="GA159">
        <v>36.145095852488829</v>
      </c>
      <c r="GB159">
        <v>31.092116055261965</v>
      </c>
      <c r="GC159">
        <v>10.356661636016147</v>
      </c>
      <c r="GD159">
        <v>2.7879100386823779</v>
      </c>
      <c r="GE159">
        <v>6.0319379695917394</v>
      </c>
      <c r="GF159">
        <v>7.8506962304168546</v>
      </c>
      <c r="GG159">
        <v>3.6182362308149516</v>
      </c>
      <c r="GH159">
        <v>6.2061083791617646</v>
      </c>
      <c r="GI159">
        <v>12.482135402260923</v>
      </c>
      <c r="GJ159"/>
      <c r="GK159"/>
      <c r="GL159"/>
      <c r="GM159"/>
    </row>
    <row r="160" spans="1:195" s="7" customFormat="1">
      <c r="A160" s="1"/>
      <c r="B160" s="76">
        <f ca="1">IF(C160="", "", RAND())</f>
        <v>0.48947629652714442</v>
      </c>
      <c r="C160">
        <v>7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127.35918943471174</v>
      </c>
      <c r="AO160">
        <v>10.535990735978377</v>
      </c>
      <c r="AP160">
        <v>88.045256940372738</v>
      </c>
      <c r="AQ160">
        <v>69.299632169319324</v>
      </c>
      <c r="AR160">
        <v>9.8733233021246249</v>
      </c>
      <c r="AS160">
        <v>96.463468483041382</v>
      </c>
      <c r="AT160">
        <v>5.0903152822006881</v>
      </c>
      <c r="AU160">
        <v>-24.459017937490678</v>
      </c>
      <c r="AV160"/>
      <c r="AW160"/>
      <c r="AX160" s="146"/>
      <c r="AY160" s="76">
        <f t="shared" ca="1" si="245"/>
        <v>0.47477870627714491</v>
      </c>
      <c r="AZ160">
        <v>3</v>
      </c>
      <c r="BA160" s="129">
        <f t="shared" si="316"/>
        <v>39910</v>
      </c>
      <c r="BB160">
        <v>0</v>
      </c>
      <c r="BC160"/>
      <c r="BD160">
        <v>1</v>
      </c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46"/>
        <v>0.495683733207402</v>
      </c>
      <c r="CL160" s="179">
        <f t="shared" si="247"/>
        <v>3</v>
      </c>
      <c r="CM160" s="180">
        <f t="shared" si="248"/>
        <v>39910</v>
      </c>
      <c r="CN160">
        <v>0</v>
      </c>
      <c r="CO160"/>
      <c r="CP160">
        <v>1</v>
      </c>
      <c r="CQ160">
        <v>2</v>
      </c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317"/>
        <v>9.6000000000000002E-2</v>
      </c>
      <c r="DB160" s="146"/>
      <c r="DC160" s="76">
        <f t="shared" ca="1" si="249"/>
        <v>0.25545217712878809</v>
      </c>
      <c r="DD160">
        <f t="shared" si="250"/>
        <v>3</v>
      </c>
      <c r="DE160" s="129">
        <f t="shared" si="251"/>
        <v>39910</v>
      </c>
      <c r="DF160" s="161">
        <f t="shared" si="252"/>
        <v>0</v>
      </c>
      <c r="DG160" s="161">
        <f t="shared" si="253"/>
        <v>0</v>
      </c>
      <c r="DH160" s="161">
        <f t="shared" si="254"/>
        <v>115.21464646464646</v>
      </c>
      <c r="DI160" s="161">
        <f t="shared" si="255"/>
        <v>173.61111111111111</v>
      </c>
      <c r="DJ160" s="161">
        <f t="shared" si="256"/>
        <v>0</v>
      </c>
      <c r="DK160" s="161">
        <f t="shared" si="257"/>
        <v>0</v>
      </c>
      <c r="DL160" s="161">
        <f t="shared" si="258"/>
        <v>0</v>
      </c>
      <c r="DM160" s="161">
        <f t="shared" si="259"/>
        <v>0</v>
      </c>
      <c r="DN160" s="161">
        <f t="shared" si="260"/>
        <v>0</v>
      </c>
      <c r="DO160" s="161">
        <f t="shared" si="261"/>
        <v>0</v>
      </c>
      <c r="DP160" s="161">
        <f t="shared" si="262"/>
        <v>0</v>
      </c>
      <c r="DQ160" s="161">
        <f t="shared" si="263"/>
        <v>0</v>
      </c>
      <c r="DR160" s="161">
        <f t="shared" si="264"/>
        <v>0</v>
      </c>
      <c r="DS160" s="161">
        <f t="shared" si="265"/>
        <v>0</v>
      </c>
      <c r="DT160" s="161">
        <f t="shared" si="266"/>
        <v>0</v>
      </c>
      <c r="DU160" s="161">
        <f t="shared" si="267"/>
        <v>0</v>
      </c>
      <c r="DV160" s="161">
        <f t="shared" si="268"/>
        <v>0</v>
      </c>
      <c r="DW160" s="161">
        <f t="shared" si="269"/>
        <v>0</v>
      </c>
      <c r="DX160" s="161">
        <f t="shared" si="270"/>
        <v>0</v>
      </c>
      <c r="DY160" s="161">
        <f t="shared" si="271"/>
        <v>0</v>
      </c>
      <c r="DZ160" s="161">
        <f t="shared" si="272"/>
        <v>0</v>
      </c>
      <c r="EA160" s="161">
        <f t="shared" si="273"/>
        <v>0</v>
      </c>
      <c r="EB160" s="161">
        <f t="shared" si="274"/>
        <v>0</v>
      </c>
      <c r="EC160" s="161">
        <f t="shared" si="275"/>
        <v>0</v>
      </c>
      <c r="ED160" s="161">
        <f t="shared" si="276"/>
        <v>0</v>
      </c>
      <c r="EE160" s="161">
        <f t="shared" si="277"/>
        <v>0</v>
      </c>
      <c r="EF160" s="161">
        <f t="shared" si="278"/>
        <v>0</v>
      </c>
      <c r="EG160" s="161">
        <f t="shared" si="279"/>
        <v>0</v>
      </c>
      <c r="EH160" s="161">
        <f t="shared" si="280"/>
        <v>0</v>
      </c>
      <c r="EI160" s="161">
        <f t="shared" si="281"/>
        <v>0</v>
      </c>
      <c r="EJ160" s="161">
        <f t="shared" si="282"/>
        <v>0</v>
      </c>
      <c r="EK160" s="147">
        <f t="shared" si="283"/>
        <v>288.82575757575756</v>
      </c>
      <c r="EL160" s="149"/>
      <c r="EN160" s="146"/>
      <c r="EO160" s="146"/>
      <c r="EP160" s="139">
        <f t="shared" si="284"/>
        <v>0</v>
      </c>
      <c r="EQ160" s="139">
        <f t="shared" si="285"/>
        <v>0</v>
      </c>
      <c r="ER160" s="139">
        <f t="shared" si="286"/>
        <v>3.0608253407156334</v>
      </c>
      <c r="ES160" s="139">
        <f t="shared" si="287"/>
        <v>15.057146197365961</v>
      </c>
      <c r="ET160" s="139">
        <f t="shared" si="288"/>
        <v>0</v>
      </c>
      <c r="EU160" s="139">
        <f t="shared" si="289"/>
        <v>0</v>
      </c>
      <c r="EV160" s="139">
        <f t="shared" si="290"/>
        <v>0</v>
      </c>
      <c r="EW160" s="139">
        <f t="shared" si="291"/>
        <v>0</v>
      </c>
      <c r="EX160" s="139">
        <f t="shared" si="292"/>
        <v>0</v>
      </c>
      <c r="EY160" s="139">
        <f t="shared" si="293"/>
        <v>0</v>
      </c>
      <c r="EZ160" s="139">
        <f t="shared" si="294"/>
        <v>0</v>
      </c>
      <c r="FA160" s="139">
        <f t="shared" si="295"/>
        <v>0</v>
      </c>
      <c r="FB160" s="139">
        <f t="shared" si="296"/>
        <v>0</v>
      </c>
      <c r="FC160" s="139">
        <f t="shared" si="297"/>
        <v>0</v>
      </c>
      <c r="FD160" s="139">
        <f t="shared" si="298"/>
        <v>0</v>
      </c>
      <c r="FE160" s="139">
        <f t="shared" si="299"/>
        <v>0</v>
      </c>
      <c r="FF160" s="139">
        <f t="shared" si="300"/>
        <v>0</v>
      </c>
      <c r="FG160" s="139">
        <f t="shared" si="301"/>
        <v>0</v>
      </c>
      <c r="FH160" s="139">
        <f t="shared" si="302"/>
        <v>0</v>
      </c>
      <c r="FI160" s="139">
        <f t="shared" si="303"/>
        <v>0</v>
      </c>
      <c r="FJ160" s="139">
        <f t="shared" si="304"/>
        <v>0</v>
      </c>
      <c r="FK160" s="139">
        <f t="shared" si="305"/>
        <v>0</v>
      </c>
      <c r="FL160" s="139">
        <f t="shared" si="306"/>
        <v>0</v>
      </c>
      <c r="FM160" s="139">
        <f t="shared" si="307"/>
        <v>0</v>
      </c>
      <c r="FN160" s="139">
        <f t="shared" si="308"/>
        <v>0</v>
      </c>
      <c r="FO160" s="139">
        <f t="shared" si="309"/>
        <v>0</v>
      </c>
      <c r="FP160" s="139">
        <f t="shared" si="310"/>
        <v>0</v>
      </c>
      <c r="FQ160" s="139">
        <f t="shared" si="311"/>
        <v>0</v>
      </c>
      <c r="FR160" s="139">
        <f t="shared" si="312"/>
        <v>0</v>
      </c>
      <c r="FS160" s="139">
        <f t="shared" si="313"/>
        <v>0</v>
      </c>
      <c r="FT160" s="139">
        <f t="shared" si="314"/>
        <v>0</v>
      </c>
      <c r="FU160" s="148">
        <f t="shared" si="315"/>
        <v>18.117971538081594</v>
      </c>
      <c r="FV160" s="149"/>
      <c r="FY160" s="210">
        <v>155</v>
      </c>
      <c r="FZ160">
        <v>7.246425861660061</v>
      </c>
      <c r="GA160">
        <v>16.947767732094459</v>
      </c>
      <c r="GB160">
        <v>12.723496078030813</v>
      </c>
      <c r="GC160">
        <v>8.3206377919640566</v>
      </c>
      <c r="GD160">
        <v>4.841021904824319</v>
      </c>
      <c r="GE160">
        <v>5.1524218838043101</v>
      </c>
      <c r="GF160">
        <v>3.7438613036417827</v>
      </c>
      <c r="GG160">
        <v>2.843008934325411</v>
      </c>
      <c r="GH160">
        <v>2.5188439423783215</v>
      </c>
      <c r="GI160">
        <v>8.1338294054417695</v>
      </c>
      <c r="GJ160"/>
      <c r="GK160"/>
      <c r="GL160"/>
      <c r="GM160"/>
    </row>
    <row r="161" spans="1:195" s="7" customFormat="1">
      <c r="A161" s="1"/>
      <c r="B161" s="76">
        <f ca="1">IF(C161="", "", RAND())</f>
        <v>0.93507698757660695</v>
      </c>
      <c r="C161">
        <v>5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198.47773144804222</v>
      </c>
      <c r="AO161">
        <v>13.990653889115276</v>
      </c>
      <c r="AP161">
        <v>106.72281660733765</v>
      </c>
      <c r="AQ161">
        <v>84.991236246759158</v>
      </c>
      <c r="AR161">
        <v>12.94006314904866</v>
      </c>
      <c r="AS161">
        <v>138.0350798031759</v>
      </c>
      <c r="AT161">
        <v>6.0914170558377592</v>
      </c>
      <c r="AU161">
        <v>-20.49315886235981</v>
      </c>
      <c r="AV161"/>
      <c r="AW161"/>
      <c r="AX161" s="146"/>
      <c r="AY161" s="76">
        <f t="shared" ca="1" si="245"/>
        <v>0.91191461454297462</v>
      </c>
      <c r="AZ161">
        <v>4</v>
      </c>
      <c r="BA161" s="129">
        <f t="shared" si="316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46"/>
        <v>0.90293981712932014</v>
      </c>
      <c r="CL161" s="179">
        <f t="shared" si="247"/>
        <v>4</v>
      </c>
      <c r="CM161" s="180">
        <f t="shared" si="248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317"/>
        <v>9.6000000000000002E-2</v>
      </c>
      <c r="DB161" s="146"/>
      <c r="DC161" s="76">
        <f t="shared" ca="1" si="249"/>
        <v>0.19121888123174191</v>
      </c>
      <c r="DD161">
        <f t="shared" si="250"/>
        <v>4</v>
      </c>
      <c r="DE161" s="129">
        <f t="shared" si="251"/>
        <v>39910</v>
      </c>
      <c r="DF161" s="161">
        <f t="shared" si="252"/>
        <v>0</v>
      </c>
      <c r="DG161" s="161">
        <f t="shared" si="253"/>
        <v>0</v>
      </c>
      <c r="DH161" s="161">
        <f t="shared" si="254"/>
        <v>0</v>
      </c>
      <c r="DI161" s="161">
        <f t="shared" si="255"/>
        <v>0</v>
      </c>
      <c r="DJ161" s="161">
        <f t="shared" si="256"/>
        <v>0</v>
      </c>
      <c r="DK161" s="161">
        <f t="shared" si="257"/>
        <v>0</v>
      </c>
      <c r="DL161" s="161">
        <f t="shared" si="258"/>
        <v>0</v>
      </c>
      <c r="DM161" s="161">
        <f t="shared" si="259"/>
        <v>0</v>
      </c>
      <c r="DN161" s="161">
        <f t="shared" si="260"/>
        <v>0</v>
      </c>
      <c r="DO161" s="161">
        <f t="shared" si="261"/>
        <v>0</v>
      </c>
      <c r="DP161" s="161">
        <f t="shared" si="262"/>
        <v>0</v>
      </c>
      <c r="DQ161" s="161">
        <f t="shared" si="263"/>
        <v>0</v>
      </c>
      <c r="DR161" s="161">
        <f t="shared" si="264"/>
        <v>0</v>
      </c>
      <c r="DS161" s="161">
        <f t="shared" si="265"/>
        <v>0</v>
      </c>
      <c r="DT161" s="161">
        <f t="shared" si="266"/>
        <v>0</v>
      </c>
      <c r="DU161" s="161">
        <f t="shared" si="267"/>
        <v>0</v>
      </c>
      <c r="DV161" s="161">
        <f t="shared" si="268"/>
        <v>0</v>
      </c>
      <c r="DW161" s="161">
        <f t="shared" si="269"/>
        <v>0</v>
      </c>
      <c r="DX161" s="161">
        <f t="shared" si="270"/>
        <v>0</v>
      </c>
      <c r="DY161" s="161">
        <f t="shared" si="271"/>
        <v>0</v>
      </c>
      <c r="DZ161" s="161">
        <f t="shared" si="272"/>
        <v>0</v>
      </c>
      <c r="EA161" s="161">
        <f t="shared" si="273"/>
        <v>0</v>
      </c>
      <c r="EB161" s="161">
        <f t="shared" si="274"/>
        <v>0</v>
      </c>
      <c r="EC161" s="161">
        <f t="shared" si="275"/>
        <v>0</v>
      </c>
      <c r="ED161" s="161">
        <f t="shared" si="276"/>
        <v>0</v>
      </c>
      <c r="EE161" s="161">
        <f t="shared" si="277"/>
        <v>0</v>
      </c>
      <c r="EF161" s="161">
        <f t="shared" si="278"/>
        <v>0</v>
      </c>
      <c r="EG161" s="161">
        <f t="shared" si="279"/>
        <v>0</v>
      </c>
      <c r="EH161" s="161">
        <f t="shared" si="280"/>
        <v>0</v>
      </c>
      <c r="EI161" s="161">
        <f t="shared" si="281"/>
        <v>0</v>
      </c>
      <c r="EJ161" s="161">
        <f t="shared" si="282"/>
        <v>0</v>
      </c>
      <c r="EK161" s="147">
        <f t="shared" si="283"/>
        <v>0</v>
      </c>
      <c r="EL161" s="149"/>
      <c r="EN161" s="146"/>
      <c r="EO161" s="146"/>
      <c r="EP161" s="139">
        <f t="shared" si="284"/>
        <v>0</v>
      </c>
      <c r="EQ161" s="139">
        <f t="shared" si="285"/>
        <v>0</v>
      </c>
      <c r="ER161" s="139">
        <f t="shared" si="286"/>
        <v>0</v>
      </c>
      <c r="ES161" s="139">
        <f t="shared" si="287"/>
        <v>0</v>
      </c>
      <c r="ET161" s="139">
        <f t="shared" si="288"/>
        <v>0</v>
      </c>
      <c r="EU161" s="139">
        <f t="shared" si="289"/>
        <v>0</v>
      </c>
      <c r="EV161" s="139">
        <f t="shared" si="290"/>
        <v>0</v>
      </c>
      <c r="EW161" s="139">
        <f t="shared" si="291"/>
        <v>0</v>
      </c>
      <c r="EX161" s="139">
        <f t="shared" si="292"/>
        <v>0</v>
      </c>
      <c r="EY161" s="139">
        <f t="shared" si="293"/>
        <v>0</v>
      </c>
      <c r="EZ161" s="139">
        <f t="shared" si="294"/>
        <v>0</v>
      </c>
      <c r="FA161" s="139">
        <f t="shared" si="295"/>
        <v>0</v>
      </c>
      <c r="FB161" s="139">
        <f t="shared" si="296"/>
        <v>0</v>
      </c>
      <c r="FC161" s="139">
        <f t="shared" si="297"/>
        <v>0</v>
      </c>
      <c r="FD161" s="139">
        <f t="shared" si="298"/>
        <v>0</v>
      </c>
      <c r="FE161" s="139">
        <f t="shared" si="299"/>
        <v>0</v>
      </c>
      <c r="FF161" s="139">
        <f t="shared" si="300"/>
        <v>0</v>
      </c>
      <c r="FG161" s="139">
        <f t="shared" si="301"/>
        <v>0</v>
      </c>
      <c r="FH161" s="139">
        <f t="shared" si="302"/>
        <v>0</v>
      </c>
      <c r="FI161" s="139">
        <f t="shared" si="303"/>
        <v>0</v>
      </c>
      <c r="FJ161" s="139">
        <f t="shared" si="304"/>
        <v>0</v>
      </c>
      <c r="FK161" s="139">
        <f t="shared" si="305"/>
        <v>0</v>
      </c>
      <c r="FL161" s="139">
        <f t="shared" si="306"/>
        <v>0</v>
      </c>
      <c r="FM161" s="139">
        <f t="shared" si="307"/>
        <v>0</v>
      </c>
      <c r="FN161" s="139">
        <f t="shared" si="308"/>
        <v>0</v>
      </c>
      <c r="FO161" s="139">
        <f t="shared" si="309"/>
        <v>0</v>
      </c>
      <c r="FP161" s="139">
        <f t="shared" si="310"/>
        <v>0</v>
      </c>
      <c r="FQ161" s="139">
        <f t="shared" si="311"/>
        <v>0</v>
      </c>
      <c r="FR161" s="139">
        <f t="shared" si="312"/>
        <v>0</v>
      </c>
      <c r="FS161" s="139">
        <f t="shared" si="313"/>
        <v>0</v>
      </c>
      <c r="FT161" s="139">
        <f t="shared" si="314"/>
        <v>0</v>
      </c>
      <c r="FU161" s="148">
        <f t="shared" si="315"/>
        <v>0</v>
      </c>
      <c r="FV161" s="149"/>
      <c r="FY161" s="210">
        <v>156</v>
      </c>
      <c r="FZ161">
        <v>1.128016102745802</v>
      </c>
      <c r="GA161">
        <v>21.073992375880792</v>
      </c>
      <c r="GB161">
        <v>22.591508907544984</v>
      </c>
      <c r="GC161">
        <v>9.3058655741011584</v>
      </c>
      <c r="GD161">
        <v>2.900509066159175</v>
      </c>
      <c r="GE161">
        <v>2.4786291185511771</v>
      </c>
      <c r="GF161">
        <v>1.9303398420346187</v>
      </c>
      <c r="GG161">
        <v>2.1976319424001689</v>
      </c>
      <c r="GH161">
        <v>3.5584799799449449</v>
      </c>
      <c r="GI161">
        <v>8.4115800669146523</v>
      </c>
      <c r="GJ161"/>
      <c r="GK161"/>
      <c r="GL161"/>
      <c r="GM161"/>
    </row>
    <row r="162" spans="1:195" s="7" customFormat="1">
      <c r="A162" s="1"/>
      <c r="B162" s="76">
        <f ca="1">IF(C162="", "", RAND())</f>
        <v>0.55320303140241611</v>
      </c>
      <c r="C162">
        <v>10</v>
      </c>
      <c r="D162">
        <v>39910</v>
      </c>
      <c r="E162">
        <v>0</v>
      </c>
      <c r="F162">
        <v>0</v>
      </c>
      <c r="G162">
        <v>0</v>
      </c>
      <c r="H162">
        <v>104.16666666666667</v>
      </c>
      <c r="I162">
        <v>0</v>
      </c>
      <c r="J162">
        <v>0</v>
      </c>
      <c r="K162">
        <v>10.416666666666666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169.19329364686246</v>
      </c>
      <c r="AO162">
        <v>17.467084462128774</v>
      </c>
      <c r="AP162">
        <v>143.88075650817635</v>
      </c>
      <c r="AQ162">
        <v>107.87717884383036</v>
      </c>
      <c r="AR162">
        <v>16.155918939189228</v>
      </c>
      <c r="AS162">
        <v>143.24255446110925</v>
      </c>
      <c r="AT162" t="e">
        <v>#DIV/0!</v>
      </c>
      <c r="AU162" t="e">
        <v>#DIV/0!</v>
      </c>
      <c r="AV162"/>
      <c r="AW162"/>
      <c r="AX162" s="146"/>
      <c r="AY162" s="76">
        <f t="shared" ca="1" si="245"/>
        <v>0.9698631132261637</v>
      </c>
      <c r="AZ162">
        <v>5</v>
      </c>
      <c r="BA162" s="129">
        <f t="shared" si="316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46"/>
        <v>0.88685615530809914</v>
      </c>
      <c r="CL162" s="179">
        <f t="shared" si="247"/>
        <v>5</v>
      </c>
      <c r="CM162" s="180">
        <f t="shared" si="248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317"/>
        <v>9.6000000000000002E-2</v>
      </c>
      <c r="DB162" s="146"/>
      <c r="DC162" s="76">
        <f t="shared" ca="1" si="249"/>
        <v>0.53207718911888291</v>
      </c>
      <c r="DD162">
        <f t="shared" si="250"/>
        <v>5</v>
      </c>
      <c r="DE162" s="129">
        <f t="shared" si="251"/>
        <v>39910</v>
      </c>
      <c r="DF162" s="161">
        <f t="shared" si="252"/>
        <v>0</v>
      </c>
      <c r="DG162" s="161">
        <f t="shared" si="253"/>
        <v>0</v>
      </c>
      <c r="DH162" s="161">
        <f t="shared" si="254"/>
        <v>0</v>
      </c>
      <c r="DI162" s="161">
        <f t="shared" si="255"/>
        <v>0</v>
      </c>
      <c r="DJ162" s="161">
        <f t="shared" si="256"/>
        <v>0</v>
      </c>
      <c r="DK162" s="161">
        <f t="shared" si="257"/>
        <v>0</v>
      </c>
      <c r="DL162" s="161">
        <f t="shared" si="258"/>
        <v>0</v>
      </c>
      <c r="DM162" s="161">
        <f t="shared" si="259"/>
        <v>0</v>
      </c>
      <c r="DN162" s="161">
        <f t="shared" si="260"/>
        <v>0</v>
      </c>
      <c r="DO162" s="161">
        <f t="shared" si="261"/>
        <v>0</v>
      </c>
      <c r="DP162" s="161">
        <f t="shared" si="262"/>
        <v>0</v>
      </c>
      <c r="DQ162" s="161">
        <f t="shared" si="263"/>
        <v>0</v>
      </c>
      <c r="DR162" s="161">
        <f t="shared" si="264"/>
        <v>0</v>
      </c>
      <c r="DS162" s="161">
        <f t="shared" si="265"/>
        <v>0</v>
      </c>
      <c r="DT162" s="161">
        <f t="shared" si="266"/>
        <v>0</v>
      </c>
      <c r="DU162" s="161">
        <f t="shared" si="267"/>
        <v>0</v>
      </c>
      <c r="DV162" s="161">
        <f t="shared" si="268"/>
        <v>0</v>
      </c>
      <c r="DW162" s="161">
        <f t="shared" si="269"/>
        <v>0</v>
      </c>
      <c r="DX162" s="161">
        <f t="shared" si="270"/>
        <v>0</v>
      </c>
      <c r="DY162" s="161">
        <f t="shared" si="271"/>
        <v>0</v>
      </c>
      <c r="DZ162" s="161">
        <f t="shared" si="272"/>
        <v>0</v>
      </c>
      <c r="EA162" s="161">
        <f t="shared" si="273"/>
        <v>0</v>
      </c>
      <c r="EB162" s="161">
        <f t="shared" si="274"/>
        <v>0</v>
      </c>
      <c r="EC162" s="161">
        <f t="shared" si="275"/>
        <v>0</v>
      </c>
      <c r="ED162" s="161">
        <f t="shared" si="276"/>
        <v>0</v>
      </c>
      <c r="EE162" s="161">
        <f t="shared" si="277"/>
        <v>0</v>
      </c>
      <c r="EF162" s="161">
        <f t="shared" si="278"/>
        <v>0</v>
      </c>
      <c r="EG162" s="161">
        <f t="shared" si="279"/>
        <v>0</v>
      </c>
      <c r="EH162" s="161">
        <f t="shared" si="280"/>
        <v>0</v>
      </c>
      <c r="EI162" s="161">
        <f t="shared" si="281"/>
        <v>0</v>
      </c>
      <c r="EJ162" s="161">
        <f t="shared" si="282"/>
        <v>0</v>
      </c>
      <c r="EK162" s="147">
        <f t="shared" si="283"/>
        <v>0</v>
      </c>
      <c r="EL162" s="149"/>
      <c r="EN162" s="146"/>
      <c r="EO162" s="146"/>
      <c r="EP162" s="139">
        <f t="shared" si="284"/>
        <v>0</v>
      </c>
      <c r="EQ162" s="139">
        <f t="shared" si="285"/>
        <v>0</v>
      </c>
      <c r="ER162" s="139">
        <f t="shared" si="286"/>
        <v>0</v>
      </c>
      <c r="ES162" s="139">
        <f t="shared" si="287"/>
        <v>0</v>
      </c>
      <c r="ET162" s="139">
        <f t="shared" si="288"/>
        <v>0</v>
      </c>
      <c r="EU162" s="139">
        <f t="shared" si="289"/>
        <v>0</v>
      </c>
      <c r="EV162" s="139">
        <f t="shared" si="290"/>
        <v>0</v>
      </c>
      <c r="EW162" s="139">
        <f t="shared" si="291"/>
        <v>0</v>
      </c>
      <c r="EX162" s="139">
        <f t="shared" si="292"/>
        <v>0</v>
      </c>
      <c r="EY162" s="139">
        <f t="shared" si="293"/>
        <v>0</v>
      </c>
      <c r="EZ162" s="139">
        <f t="shared" si="294"/>
        <v>0</v>
      </c>
      <c r="FA162" s="139">
        <f t="shared" si="295"/>
        <v>0</v>
      </c>
      <c r="FB162" s="139">
        <f t="shared" si="296"/>
        <v>0</v>
      </c>
      <c r="FC162" s="139">
        <f t="shared" si="297"/>
        <v>0</v>
      </c>
      <c r="FD162" s="139">
        <f t="shared" si="298"/>
        <v>0</v>
      </c>
      <c r="FE162" s="139">
        <f t="shared" si="299"/>
        <v>0</v>
      </c>
      <c r="FF162" s="139">
        <f t="shared" si="300"/>
        <v>0</v>
      </c>
      <c r="FG162" s="139">
        <f t="shared" si="301"/>
        <v>0</v>
      </c>
      <c r="FH162" s="139">
        <f t="shared" si="302"/>
        <v>0</v>
      </c>
      <c r="FI162" s="139">
        <f t="shared" si="303"/>
        <v>0</v>
      </c>
      <c r="FJ162" s="139">
        <f t="shared" si="304"/>
        <v>0</v>
      </c>
      <c r="FK162" s="139">
        <f t="shared" si="305"/>
        <v>0</v>
      </c>
      <c r="FL162" s="139">
        <f t="shared" si="306"/>
        <v>0</v>
      </c>
      <c r="FM162" s="139">
        <f t="shared" si="307"/>
        <v>0</v>
      </c>
      <c r="FN162" s="139">
        <f t="shared" si="308"/>
        <v>0</v>
      </c>
      <c r="FO162" s="139">
        <f t="shared" si="309"/>
        <v>0</v>
      </c>
      <c r="FP162" s="139">
        <f t="shared" si="310"/>
        <v>0</v>
      </c>
      <c r="FQ162" s="139">
        <f t="shared" si="311"/>
        <v>0</v>
      </c>
      <c r="FR162" s="139">
        <f t="shared" si="312"/>
        <v>0</v>
      </c>
      <c r="FS162" s="139">
        <f t="shared" si="313"/>
        <v>0</v>
      </c>
      <c r="FT162" s="139">
        <f t="shared" si="314"/>
        <v>0</v>
      </c>
      <c r="FU162" s="148">
        <f t="shared" si="315"/>
        <v>0</v>
      </c>
      <c r="FV162" s="149"/>
      <c r="FY162" s="210">
        <v>157</v>
      </c>
      <c r="FZ162">
        <v>9.7182175680354881</v>
      </c>
      <c r="GA162">
        <v>32.307520168537962</v>
      </c>
      <c r="GB162">
        <v>20.920011834242867</v>
      </c>
      <c r="GC162">
        <v>8.3327124924359932</v>
      </c>
      <c r="GD162">
        <v>3.7508333016977802</v>
      </c>
      <c r="GE162">
        <v>3.2531675735163343</v>
      </c>
      <c r="GF162">
        <v>1.3880717665923741</v>
      </c>
      <c r="GG162">
        <v>2.3849748058630524</v>
      </c>
      <c r="GH162">
        <v>2.322075817490262</v>
      </c>
      <c r="GI162">
        <v>9.4391042715676807</v>
      </c>
      <c r="GJ162"/>
      <c r="GK162"/>
      <c r="GL162"/>
      <c r="GM162"/>
    </row>
    <row r="163" spans="1:195" s="7" customFormat="1">
      <c r="A163" s="1"/>
      <c r="B163" s="76">
        <f ca="1">IF(C163="", "", RAND())</f>
        <v>0.45932966454740232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194.92409855518326</v>
      </c>
      <c r="AO163">
        <v>12.817792735651318</v>
      </c>
      <c r="AP163">
        <v>106.72168258751704</v>
      </c>
      <c r="AQ163">
        <v>84.454724894645054</v>
      </c>
      <c r="AR163">
        <v>11.507035214432566</v>
      </c>
      <c r="AS163">
        <v>120.39764014596126</v>
      </c>
      <c r="AT163" t="e">
        <v>#DIV/0!</v>
      </c>
      <c r="AU163" t="e">
        <v>#DIV/0!</v>
      </c>
      <c r="AV163"/>
      <c r="AW163"/>
      <c r="AX163" s="146"/>
      <c r="AY163" s="76">
        <f t="shared" ca="1" si="245"/>
        <v>0.10939009914967457</v>
      </c>
      <c r="AZ163">
        <v>6</v>
      </c>
      <c r="BA163" s="129">
        <f t="shared" si="316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46"/>
        <v>0.94793831464511169</v>
      </c>
      <c r="CL163" s="179">
        <f t="shared" si="247"/>
        <v>6</v>
      </c>
      <c r="CM163" s="180">
        <f t="shared" si="248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317"/>
        <v>9.6000000000000002E-2</v>
      </c>
      <c r="DB163" s="146"/>
      <c r="DC163" s="76">
        <f t="shared" ca="1" si="249"/>
        <v>0.36750759143467704</v>
      </c>
      <c r="DD163">
        <f t="shared" si="250"/>
        <v>6</v>
      </c>
      <c r="DE163" s="129">
        <f t="shared" si="251"/>
        <v>39910</v>
      </c>
      <c r="DF163" s="161">
        <f t="shared" si="252"/>
        <v>0</v>
      </c>
      <c r="DG163" s="161">
        <f t="shared" si="253"/>
        <v>0</v>
      </c>
      <c r="DH163" s="161">
        <f t="shared" si="254"/>
        <v>0</v>
      </c>
      <c r="DI163" s="161">
        <f t="shared" si="255"/>
        <v>0</v>
      </c>
      <c r="DJ163" s="161">
        <f t="shared" si="256"/>
        <v>0</v>
      </c>
      <c r="DK163" s="161">
        <f t="shared" si="257"/>
        <v>0</v>
      </c>
      <c r="DL163" s="161">
        <f t="shared" si="258"/>
        <v>0</v>
      </c>
      <c r="DM163" s="161">
        <f t="shared" si="259"/>
        <v>0</v>
      </c>
      <c r="DN163" s="161">
        <f t="shared" si="260"/>
        <v>0</v>
      </c>
      <c r="DO163" s="161">
        <f t="shared" si="261"/>
        <v>0</v>
      </c>
      <c r="DP163" s="161">
        <f t="shared" si="262"/>
        <v>0</v>
      </c>
      <c r="DQ163" s="161">
        <f t="shared" si="263"/>
        <v>0</v>
      </c>
      <c r="DR163" s="161">
        <f t="shared" si="264"/>
        <v>0</v>
      </c>
      <c r="DS163" s="161">
        <f t="shared" si="265"/>
        <v>0</v>
      </c>
      <c r="DT163" s="161">
        <f t="shared" si="266"/>
        <v>0</v>
      </c>
      <c r="DU163" s="161">
        <f t="shared" si="267"/>
        <v>0</v>
      </c>
      <c r="DV163" s="161">
        <f t="shared" si="268"/>
        <v>0</v>
      </c>
      <c r="DW163" s="161">
        <f t="shared" si="269"/>
        <v>0</v>
      </c>
      <c r="DX163" s="161">
        <f t="shared" si="270"/>
        <v>0</v>
      </c>
      <c r="DY163" s="161">
        <f t="shared" si="271"/>
        <v>0</v>
      </c>
      <c r="DZ163" s="161">
        <f t="shared" si="272"/>
        <v>0</v>
      </c>
      <c r="EA163" s="161">
        <f t="shared" si="273"/>
        <v>0</v>
      </c>
      <c r="EB163" s="161">
        <f t="shared" si="274"/>
        <v>0</v>
      </c>
      <c r="EC163" s="161">
        <f t="shared" si="275"/>
        <v>0</v>
      </c>
      <c r="ED163" s="161">
        <f t="shared" si="276"/>
        <v>0</v>
      </c>
      <c r="EE163" s="161">
        <f t="shared" si="277"/>
        <v>0</v>
      </c>
      <c r="EF163" s="161">
        <f t="shared" si="278"/>
        <v>0</v>
      </c>
      <c r="EG163" s="161">
        <f t="shared" si="279"/>
        <v>0</v>
      </c>
      <c r="EH163" s="161">
        <f t="shared" si="280"/>
        <v>0</v>
      </c>
      <c r="EI163" s="161">
        <f t="shared" si="281"/>
        <v>0</v>
      </c>
      <c r="EJ163" s="161">
        <f t="shared" si="282"/>
        <v>0</v>
      </c>
      <c r="EK163" s="147">
        <f t="shared" si="283"/>
        <v>0</v>
      </c>
      <c r="EL163" s="149"/>
      <c r="EN163" s="146"/>
      <c r="EO163" s="146"/>
      <c r="EP163" s="139">
        <f t="shared" si="284"/>
        <v>0</v>
      </c>
      <c r="EQ163" s="139">
        <f t="shared" si="285"/>
        <v>0</v>
      </c>
      <c r="ER163" s="139">
        <f t="shared" si="286"/>
        <v>0</v>
      </c>
      <c r="ES163" s="139">
        <f t="shared" si="287"/>
        <v>0</v>
      </c>
      <c r="ET163" s="139">
        <f t="shared" si="288"/>
        <v>0</v>
      </c>
      <c r="EU163" s="139">
        <f t="shared" si="289"/>
        <v>0</v>
      </c>
      <c r="EV163" s="139">
        <f t="shared" si="290"/>
        <v>0</v>
      </c>
      <c r="EW163" s="139">
        <f t="shared" si="291"/>
        <v>0</v>
      </c>
      <c r="EX163" s="139">
        <f t="shared" si="292"/>
        <v>0</v>
      </c>
      <c r="EY163" s="139">
        <f t="shared" si="293"/>
        <v>0</v>
      </c>
      <c r="EZ163" s="139">
        <f t="shared" si="294"/>
        <v>0</v>
      </c>
      <c r="FA163" s="139">
        <f t="shared" si="295"/>
        <v>0</v>
      </c>
      <c r="FB163" s="139">
        <f t="shared" si="296"/>
        <v>0</v>
      </c>
      <c r="FC163" s="139">
        <f t="shared" si="297"/>
        <v>0</v>
      </c>
      <c r="FD163" s="139">
        <f t="shared" si="298"/>
        <v>0</v>
      </c>
      <c r="FE163" s="139">
        <f t="shared" si="299"/>
        <v>0</v>
      </c>
      <c r="FF163" s="139">
        <f t="shared" si="300"/>
        <v>0</v>
      </c>
      <c r="FG163" s="139">
        <f t="shared" si="301"/>
        <v>0</v>
      </c>
      <c r="FH163" s="139">
        <f t="shared" si="302"/>
        <v>0</v>
      </c>
      <c r="FI163" s="139">
        <f t="shared" si="303"/>
        <v>0</v>
      </c>
      <c r="FJ163" s="139">
        <f t="shared" si="304"/>
        <v>0</v>
      </c>
      <c r="FK163" s="139">
        <f t="shared" si="305"/>
        <v>0</v>
      </c>
      <c r="FL163" s="139">
        <f t="shared" si="306"/>
        <v>0</v>
      </c>
      <c r="FM163" s="139">
        <f t="shared" si="307"/>
        <v>0</v>
      </c>
      <c r="FN163" s="139">
        <f t="shared" si="308"/>
        <v>0</v>
      </c>
      <c r="FO163" s="139">
        <f t="shared" si="309"/>
        <v>0</v>
      </c>
      <c r="FP163" s="139">
        <f t="shared" si="310"/>
        <v>0</v>
      </c>
      <c r="FQ163" s="139">
        <f t="shared" si="311"/>
        <v>0</v>
      </c>
      <c r="FR163" s="139">
        <f t="shared" si="312"/>
        <v>0</v>
      </c>
      <c r="FS163" s="139">
        <f t="shared" si="313"/>
        <v>0</v>
      </c>
      <c r="FT163" s="139">
        <f t="shared" si="314"/>
        <v>0</v>
      </c>
      <c r="FU163" s="148">
        <f t="shared" si="315"/>
        <v>0</v>
      </c>
      <c r="FV163" s="149"/>
      <c r="FY163" s="210">
        <v>158</v>
      </c>
      <c r="FZ163">
        <v>4.3576990384794865</v>
      </c>
      <c r="GA163">
        <v>25.419326894535871</v>
      </c>
      <c r="GB163">
        <v>21.612318727237668</v>
      </c>
      <c r="GC163">
        <v>10.642815838430934</v>
      </c>
      <c r="GD163">
        <v>4.5640314559221453</v>
      </c>
      <c r="GE163">
        <v>2.3975781795885629</v>
      </c>
      <c r="GF163">
        <v>1.2712533861649191</v>
      </c>
      <c r="GG163">
        <v>2.1958315849043233</v>
      </c>
      <c r="GH163">
        <v>3.1012085431658845</v>
      </c>
      <c r="GI163">
        <v>9.3982081609343684</v>
      </c>
      <c r="GJ163"/>
      <c r="GK163"/>
      <c r="GL163"/>
      <c r="GM163"/>
    </row>
    <row r="164" spans="1:195" s="7" customFormat="1">
      <c r="A164" s="1"/>
      <c r="B164" s="76">
        <f ca="1">IF(C164="", "", RAND())</f>
        <v>0.23828176305582094</v>
      </c>
      <c r="C164">
        <v>1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232.38778528059555</v>
      </c>
      <c r="AO164">
        <v>17.442776358283215</v>
      </c>
      <c r="AP164">
        <v>130.98680328358654</v>
      </c>
      <c r="AQ164">
        <v>103.94771912517359</v>
      </c>
      <c r="AR164">
        <v>16.059277070413977</v>
      </c>
      <c r="AS164">
        <v>148.16999872938837</v>
      </c>
      <c r="AT164">
        <v>7.2803822466528265</v>
      </c>
      <c r="AU164">
        <v>-30.497868466287478</v>
      </c>
      <c r="AV164"/>
      <c r="AW164"/>
      <c r="AX164" s="146"/>
      <c r="AY164" s="76">
        <f t="shared" ca="1" si="245"/>
        <v>0.85390764086880466</v>
      </c>
      <c r="AZ164">
        <v>7</v>
      </c>
      <c r="BA164" s="129">
        <f t="shared" si="316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46"/>
        <v>0.88345051117205897</v>
      </c>
      <c r="CL164" s="179">
        <f t="shared" si="247"/>
        <v>7</v>
      </c>
      <c r="CM164" s="180">
        <f t="shared" si="248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317"/>
        <v>9.6000000000000002E-2</v>
      </c>
      <c r="DB164" s="146"/>
      <c r="DC164" s="76">
        <f t="shared" ca="1" si="249"/>
        <v>3.5990222844153763E-2</v>
      </c>
      <c r="DD164">
        <f t="shared" si="250"/>
        <v>7</v>
      </c>
      <c r="DE164" s="129">
        <f t="shared" si="251"/>
        <v>39910</v>
      </c>
      <c r="DF164" s="161">
        <f t="shared" si="252"/>
        <v>0</v>
      </c>
      <c r="DG164" s="161">
        <f t="shared" si="253"/>
        <v>0</v>
      </c>
      <c r="DH164" s="161">
        <f t="shared" si="254"/>
        <v>0</v>
      </c>
      <c r="DI164" s="161">
        <f t="shared" si="255"/>
        <v>0</v>
      </c>
      <c r="DJ164" s="161">
        <f t="shared" si="256"/>
        <v>0</v>
      </c>
      <c r="DK164" s="161">
        <f t="shared" si="257"/>
        <v>0</v>
      </c>
      <c r="DL164" s="161">
        <f t="shared" si="258"/>
        <v>0</v>
      </c>
      <c r="DM164" s="161">
        <f t="shared" si="259"/>
        <v>0</v>
      </c>
      <c r="DN164" s="161">
        <f t="shared" si="260"/>
        <v>0</v>
      </c>
      <c r="DO164" s="161">
        <f t="shared" si="261"/>
        <v>0</v>
      </c>
      <c r="DP164" s="161">
        <f t="shared" si="262"/>
        <v>0</v>
      </c>
      <c r="DQ164" s="161">
        <f t="shared" si="263"/>
        <v>0</v>
      </c>
      <c r="DR164" s="161">
        <f t="shared" si="264"/>
        <v>0</v>
      </c>
      <c r="DS164" s="161">
        <f t="shared" si="265"/>
        <v>0</v>
      </c>
      <c r="DT164" s="161">
        <f t="shared" si="266"/>
        <v>0</v>
      </c>
      <c r="DU164" s="161">
        <f t="shared" si="267"/>
        <v>0</v>
      </c>
      <c r="DV164" s="161">
        <f t="shared" si="268"/>
        <v>0</v>
      </c>
      <c r="DW164" s="161">
        <f t="shared" si="269"/>
        <v>0</v>
      </c>
      <c r="DX164" s="161">
        <f t="shared" si="270"/>
        <v>0</v>
      </c>
      <c r="DY164" s="161">
        <f t="shared" si="271"/>
        <v>0</v>
      </c>
      <c r="DZ164" s="161">
        <f t="shared" si="272"/>
        <v>0</v>
      </c>
      <c r="EA164" s="161">
        <f t="shared" si="273"/>
        <v>0</v>
      </c>
      <c r="EB164" s="161">
        <f t="shared" si="274"/>
        <v>0</v>
      </c>
      <c r="EC164" s="161">
        <f t="shared" si="275"/>
        <v>0</v>
      </c>
      <c r="ED164" s="161">
        <f t="shared" si="276"/>
        <v>0</v>
      </c>
      <c r="EE164" s="161">
        <f t="shared" si="277"/>
        <v>0</v>
      </c>
      <c r="EF164" s="161">
        <f t="shared" si="278"/>
        <v>0</v>
      </c>
      <c r="EG164" s="161">
        <f t="shared" si="279"/>
        <v>0</v>
      </c>
      <c r="EH164" s="161">
        <f t="shared" si="280"/>
        <v>0</v>
      </c>
      <c r="EI164" s="161">
        <f t="shared" si="281"/>
        <v>0</v>
      </c>
      <c r="EJ164" s="161">
        <f t="shared" si="282"/>
        <v>0</v>
      </c>
      <c r="EK164" s="147">
        <f t="shared" si="283"/>
        <v>0</v>
      </c>
      <c r="EL164" s="149"/>
      <c r="EN164" s="146"/>
      <c r="EO164" s="146"/>
      <c r="EP164" s="139">
        <f t="shared" si="284"/>
        <v>0</v>
      </c>
      <c r="EQ164" s="139">
        <f t="shared" si="285"/>
        <v>0</v>
      </c>
      <c r="ER164" s="139">
        <f t="shared" si="286"/>
        <v>0</v>
      </c>
      <c r="ES164" s="139">
        <f t="shared" si="287"/>
        <v>0</v>
      </c>
      <c r="ET164" s="139">
        <f t="shared" si="288"/>
        <v>0</v>
      </c>
      <c r="EU164" s="139">
        <f t="shared" si="289"/>
        <v>0</v>
      </c>
      <c r="EV164" s="139">
        <f t="shared" si="290"/>
        <v>0</v>
      </c>
      <c r="EW164" s="139">
        <f t="shared" si="291"/>
        <v>0</v>
      </c>
      <c r="EX164" s="139">
        <f t="shared" si="292"/>
        <v>0</v>
      </c>
      <c r="EY164" s="139">
        <f t="shared" si="293"/>
        <v>0</v>
      </c>
      <c r="EZ164" s="139">
        <f t="shared" si="294"/>
        <v>0</v>
      </c>
      <c r="FA164" s="139">
        <f t="shared" si="295"/>
        <v>0</v>
      </c>
      <c r="FB164" s="139">
        <f t="shared" si="296"/>
        <v>0</v>
      </c>
      <c r="FC164" s="139">
        <f t="shared" si="297"/>
        <v>0</v>
      </c>
      <c r="FD164" s="139">
        <f t="shared" si="298"/>
        <v>0</v>
      </c>
      <c r="FE164" s="139">
        <f t="shared" si="299"/>
        <v>0</v>
      </c>
      <c r="FF164" s="139">
        <f t="shared" si="300"/>
        <v>0</v>
      </c>
      <c r="FG164" s="139">
        <f t="shared" si="301"/>
        <v>0</v>
      </c>
      <c r="FH164" s="139">
        <f t="shared" si="302"/>
        <v>0</v>
      </c>
      <c r="FI164" s="139">
        <f t="shared" si="303"/>
        <v>0</v>
      </c>
      <c r="FJ164" s="139">
        <f t="shared" si="304"/>
        <v>0</v>
      </c>
      <c r="FK164" s="139">
        <f t="shared" si="305"/>
        <v>0</v>
      </c>
      <c r="FL164" s="139">
        <f t="shared" si="306"/>
        <v>0</v>
      </c>
      <c r="FM164" s="139">
        <f t="shared" si="307"/>
        <v>0</v>
      </c>
      <c r="FN164" s="139">
        <f t="shared" si="308"/>
        <v>0</v>
      </c>
      <c r="FO164" s="139">
        <f t="shared" si="309"/>
        <v>0</v>
      </c>
      <c r="FP164" s="139">
        <f t="shared" si="310"/>
        <v>0</v>
      </c>
      <c r="FQ164" s="139">
        <f t="shared" si="311"/>
        <v>0</v>
      </c>
      <c r="FR164" s="139">
        <f t="shared" si="312"/>
        <v>0</v>
      </c>
      <c r="FS164" s="139">
        <f t="shared" si="313"/>
        <v>0</v>
      </c>
      <c r="FT164" s="139">
        <f t="shared" si="314"/>
        <v>0</v>
      </c>
      <c r="FU164" s="148">
        <f t="shared" si="315"/>
        <v>0</v>
      </c>
      <c r="FV164" s="149"/>
      <c r="FY164" s="210">
        <v>159</v>
      </c>
      <c r="FZ164">
        <v>3.5903336367328595</v>
      </c>
      <c r="GA164">
        <v>27.967891071658972</v>
      </c>
      <c r="GB164">
        <v>25.094980841492493</v>
      </c>
      <c r="GC164">
        <v>9.6226583427666661</v>
      </c>
      <c r="GD164">
        <v>3.7901847577858154</v>
      </c>
      <c r="GE164">
        <v>3.3691479791850134</v>
      </c>
      <c r="GF164">
        <v>1.3731484530176894</v>
      </c>
      <c r="GG164">
        <v>4.29979209557305</v>
      </c>
      <c r="GH164">
        <v>5.3698661575272002</v>
      </c>
      <c r="GI164">
        <v>10.080145347287274</v>
      </c>
      <c r="GJ164"/>
      <c r="GK164"/>
      <c r="GL164"/>
      <c r="GM164"/>
    </row>
    <row r="165" spans="1:195" s="7" customFormat="1">
      <c r="A165" s="1"/>
      <c r="B165" s="76">
        <f ca="1">IF(C165="", "", RAND())</f>
        <v>0.68235301500594581</v>
      </c>
      <c r="C165">
        <v>8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169.83924889594365</v>
      </c>
      <c r="AO165">
        <v>14.387593851959442</v>
      </c>
      <c r="AP165">
        <v>122.63540819976983</v>
      </c>
      <c r="AQ165">
        <v>94.494623026910361</v>
      </c>
      <c r="AR165">
        <v>13.148008466568136</v>
      </c>
      <c r="AS165">
        <v>123.4277776113459</v>
      </c>
      <c r="AT165">
        <v>6.067311904070178</v>
      </c>
      <c r="AU165">
        <v>-19.742205698890512</v>
      </c>
      <c r="AV165"/>
      <c r="AW165"/>
      <c r="AX165" s="146"/>
      <c r="AY165" s="76">
        <f t="shared" ca="1" si="245"/>
        <v>0.3028303003233388</v>
      </c>
      <c r="AZ165">
        <v>8</v>
      </c>
      <c r="BA165" s="129">
        <f t="shared" si="316"/>
        <v>39910</v>
      </c>
      <c r="BB165">
        <v>0</v>
      </c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46"/>
        <v>0.6995573377814015</v>
      </c>
      <c r="CL165" s="179">
        <f t="shared" si="247"/>
        <v>8</v>
      </c>
      <c r="CM165" s="180">
        <f t="shared" si="248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317"/>
        <v>9.6000000000000002E-2</v>
      </c>
      <c r="DB165" s="146"/>
      <c r="DC165" s="76">
        <f t="shared" ca="1" si="249"/>
        <v>0.71976191831045777</v>
      </c>
      <c r="DD165">
        <f t="shared" si="250"/>
        <v>8</v>
      </c>
      <c r="DE165" s="129">
        <f t="shared" si="251"/>
        <v>39910</v>
      </c>
      <c r="DF165" s="161">
        <f t="shared" si="252"/>
        <v>0</v>
      </c>
      <c r="DG165" s="161">
        <f t="shared" si="253"/>
        <v>0</v>
      </c>
      <c r="DH165" s="161">
        <f t="shared" si="254"/>
        <v>0</v>
      </c>
      <c r="DI165" s="161">
        <f t="shared" si="255"/>
        <v>0</v>
      </c>
      <c r="DJ165" s="161">
        <f t="shared" si="256"/>
        <v>0</v>
      </c>
      <c r="DK165" s="161">
        <f t="shared" si="257"/>
        <v>0</v>
      </c>
      <c r="DL165" s="161">
        <f t="shared" si="258"/>
        <v>0</v>
      </c>
      <c r="DM165" s="161">
        <f t="shared" si="259"/>
        <v>0</v>
      </c>
      <c r="DN165" s="161">
        <f t="shared" si="260"/>
        <v>0</v>
      </c>
      <c r="DO165" s="161">
        <f t="shared" si="261"/>
        <v>0</v>
      </c>
      <c r="DP165" s="161">
        <f t="shared" si="262"/>
        <v>0</v>
      </c>
      <c r="DQ165" s="161">
        <f t="shared" si="263"/>
        <v>0</v>
      </c>
      <c r="DR165" s="161">
        <f t="shared" si="264"/>
        <v>0</v>
      </c>
      <c r="DS165" s="161">
        <f t="shared" si="265"/>
        <v>0</v>
      </c>
      <c r="DT165" s="161">
        <f t="shared" si="266"/>
        <v>0</v>
      </c>
      <c r="DU165" s="161">
        <f t="shared" si="267"/>
        <v>0</v>
      </c>
      <c r="DV165" s="161">
        <f t="shared" si="268"/>
        <v>0</v>
      </c>
      <c r="DW165" s="161">
        <f t="shared" si="269"/>
        <v>0</v>
      </c>
      <c r="DX165" s="161">
        <f t="shared" si="270"/>
        <v>0</v>
      </c>
      <c r="DY165" s="161">
        <f t="shared" si="271"/>
        <v>0</v>
      </c>
      <c r="DZ165" s="161">
        <f t="shared" si="272"/>
        <v>0</v>
      </c>
      <c r="EA165" s="161">
        <f t="shared" si="273"/>
        <v>0</v>
      </c>
      <c r="EB165" s="161">
        <f t="shared" si="274"/>
        <v>0</v>
      </c>
      <c r="EC165" s="161">
        <f t="shared" si="275"/>
        <v>0</v>
      </c>
      <c r="ED165" s="161">
        <f t="shared" si="276"/>
        <v>0</v>
      </c>
      <c r="EE165" s="161">
        <f t="shared" si="277"/>
        <v>0</v>
      </c>
      <c r="EF165" s="161">
        <f t="shared" si="278"/>
        <v>0</v>
      </c>
      <c r="EG165" s="161">
        <f t="shared" si="279"/>
        <v>0</v>
      </c>
      <c r="EH165" s="161">
        <f t="shared" si="280"/>
        <v>0</v>
      </c>
      <c r="EI165" s="161">
        <f t="shared" si="281"/>
        <v>0</v>
      </c>
      <c r="EJ165" s="161">
        <f t="shared" si="282"/>
        <v>0</v>
      </c>
      <c r="EK165" s="147">
        <f t="shared" si="283"/>
        <v>0</v>
      </c>
      <c r="EL165" s="149"/>
      <c r="EN165" s="146"/>
      <c r="EO165" s="146"/>
      <c r="EP165" s="139">
        <f t="shared" si="284"/>
        <v>0</v>
      </c>
      <c r="EQ165" s="139">
        <f t="shared" si="285"/>
        <v>0</v>
      </c>
      <c r="ER165" s="139">
        <f t="shared" si="286"/>
        <v>0</v>
      </c>
      <c r="ES165" s="139">
        <f t="shared" si="287"/>
        <v>0</v>
      </c>
      <c r="ET165" s="139">
        <f t="shared" si="288"/>
        <v>0</v>
      </c>
      <c r="EU165" s="139">
        <f t="shared" si="289"/>
        <v>0</v>
      </c>
      <c r="EV165" s="139">
        <f t="shared" si="290"/>
        <v>0</v>
      </c>
      <c r="EW165" s="139">
        <f t="shared" si="291"/>
        <v>0</v>
      </c>
      <c r="EX165" s="139">
        <f t="shared" si="292"/>
        <v>0</v>
      </c>
      <c r="EY165" s="139">
        <f t="shared" si="293"/>
        <v>0</v>
      </c>
      <c r="EZ165" s="139">
        <f t="shared" si="294"/>
        <v>0</v>
      </c>
      <c r="FA165" s="139">
        <f t="shared" si="295"/>
        <v>0</v>
      </c>
      <c r="FB165" s="139">
        <f t="shared" si="296"/>
        <v>0</v>
      </c>
      <c r="FC165" s="139">
        <f t="shared" si="297"/>
        <v>0</v>
      </c>
      <c r="FD165" s="139">
        <f t="shared" si="298"/>
        <v>0</v>
      </c>
      <c r="FE165" s="139">
        <f t="shared" si="299"/>
        <v>0</v>
      </c>
      <c r="FF165" s="139">
        <f t="shared" si="300"/>
        <v>0</v>
      </c>
      <c r="FG165" s="139">
        <f t="shared" si="301"/>
        <v>0</v>
      </c>
      <c r="FH165" s="139">
        <f t="shared" si="302"/>
        <v>0</v>
      </c>
      <c r="FI165" s="139">
        <f t="shared" si="303"/>
        <v>0</v>
      </c>
      <c r="FJ165" s="139">
        <f t="shared" si="304"/>
        <v>0</v>
      </c>
      <c r="FK165" s="139">
        <f t="shared" si="305"/>
        <v>0</v>
      </c>
      <c r="FL165" s="139">
        <f t="shared" si="306"/>
        <v>0</v>
      </c>
      <c r="FM165" s="139">
        <f t="shared" si="307"/>
        <v>0</v>
      </c>
      <c r="FN165" s="139">
        <f t="shared" si="308"/>
        <v>0</v>
      </c>
      <c r="FO165" s="139">
        <f t="shared" si="309"/>
        <v>0</v>
      </c>
      <c r="FP165" s="139">
        <f t="shared" si="310"/>
        <v>0</v>
      </c>
      <c r="FQ165" s="139">
        <f t="shared" si="311"/>
        <v>0</v>
      </c>
      <c r="FR165" s="139">
        <f t="shared" si="312"/>
        <v>0</v>
      </c>
      <c r="FS165" s="139">
        <f t="shared" si="313"/>
        <v>0</v>
      </c>
      <c r="FT165" s="139">
        <f t="shared" si="314"/>
        <v>0</v>
      </c>
      <c r="FU165" s="148">
        <f t="shared" si="315"/>
        <v>0</v>
      </c>
      <c r="FV165" s="149"/>
      <c r="FY165" s="210">
        <v>160</v>
      </c>
      <c r="FZ165">
        <v>9.9252351762097391</v>
      </c>
      <c r="GA165">
        <v>20.681883175904574</v>
      </c>
      <c r="GB165">
        <v>15.990136296069423</v>
      </c>
      <c r="GC165">
        <v>10.217758865761333</v>
      </c>
      <c r="GD165">
        <v>4.9168411916097146</v>
      </c>
      <c r="GE165">
        <v>5.0933052191978785</v>
      </c>
      <c r="GF165">
        <v>4.2903781667823706</v>
      </c>
      <c r="GG165">
        <v>2.7493375025939688</v>
      </c>
      <c r="GH165">
        <v>4.2022025577380706</v>
      </c>
      <c r="GI165">
        <v>9.8118762579091019</v>
      </c>
      <c r="GJ165"/>
      <c r="GK165"/>
      <c r="GL165"/>
      <c r="GM165"/>
    </row>
    <row r="166" spans="1:195" s="7" customFormat="1">
      <c r="A166" s="1"/>
      <c r="B166" s="76">
        <f ca="1">IF(C166="", "", RAND())</f>
        <v>6.6575197924350293E-2</v>
      </c>
      <c r="C166">
        <v>3</v>
      </c>
      <c r="D166">
        <v>39910</v>
      </c>
      <c r="E166">
        <v>0</v>
      </c>
      <c r="F166">
        <v>0</v>
      </c>
      <c r="G166">
        <v>115.21464646464646</v>
      </c>
      <c r="H166">
        <v>173.61111111111111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207.50094099736557</v>
      </c>
      <c r="AO166">
        <v>15.189384874733966</v>
      </c>
      <c r="AP166">
        <v>114.96092615444849</v>
      </c>
      <c r="AQ166">
        <v>93.656711017265678</v>
      </c>
      <c r="AR166">
        <v>13.977629615785865</v>
      </c>
      <c r="AS166">
        <v>138.63538468291424</v>
      </c>
      <c r="AT166">
        <v>6.3357721448135038</v>
      </c>
      <c r="AU166">
        <v>-11.271888788436888</v>
      </c>
      <c r="AV166"/>
      <c r="AW166"/>
      <c r="AX166" s="146"/>
      <c r="AY166" s="76">
        <f t="shared" ca="1" si="245"/>
        <v>0.75433250225867354</v>
      </c>
      <c r="AZ166">
        <v>9</v>
      </c>
      <c r="BA166" s="129">
        <f t="shared" si="316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46"/>
        <v>0.699397856945287</v>
      </c>
      <c r="CL166" s="179">
        <f t="shared" si="247"/>
        <v>9</v>
      </c>
      <c r="CM166" s="180">
        <f t="shared" si="248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317"/>
        <v>9.6000000000000002E-2</v>
      </c>
      <c r="DB166" s="146"/>
      <c r="DC166" s="76">
        <f t="shared" ca="1" si="249"/>
        <v>0.60329338011683165</v>
      </c>
      <c r="DD166">
        <f t="shared" si="250"/>
        <v>9</v>
      </c>
      <c r="DE166" s="129">
        <f t="shared" si="251"/>
        <v>39910</v>
      </c>
      <c r="DF166" s="161">
        <f t="shared" si="252"/>
        <v>0</v>
      </c>
      <c r="DG166" s="161">
        <f t="shared" si="253"/>
        <v>0</v>
      </c>
      <c r="DH166" s="161">
        <f t="shared" si="254"/>
        <v>0</v>
      </c>
      <c r="DI166" s="161">
        <f t="shared" si="255"/>
        <v>0</v>
      </c>
      <c r="DJ166" s="161">
        <f t="shared" si="256"/>
        <v>0</v>
      </c>
      <c r="DK166" s="161">
        <f t="shared" si="257"/>
        <v>0</v>
      </c>
      <c r="DL166" s="161">
        <f t="shared" si="258"/>
        <v>0</v>
      </c>
      <c r="DM166" s="161">
        <f t="shared" si="259"/>
        <v>0</v>
      </c>
      <c r="DN166" s="161">
        <f t="shared" si="260"/>
        <v>0</v>
      </c>
      <c r="DO166" s="161">
        <f t="shared" si="261"/>
        <v>0</v>
      </c>
      <c r="DP166" s="161">
        <f t="shared" si="262"/>
        <v>0</v>
      </c>
      <c r="DQ166" s="161">
        <f t="shared" si="263"/>
        <v>0</v>
      </c>
      <c r="DR166" s="161">
        <f t="shared" si="264"/>
        <v>0</v>
      </c>
      <c r="DS166" s="161">
        <f t="shared" si="265"/>
        <v>0</v>
      </c>
      <c r="DT166" s="161">
        <f t="shared" si="266"/>
        <v>0</v>
      </c>
      <c r="DU166" s="161">
        <f t="shared" si="267"/>
        <v>0</v>
      </c>
      <c r="DV166" s="161">
        <f t="shared" si="268"/>
        <v>0</v>
      </c>
      <c r="DW166" s="161">
        <f t="shared" si="269"/>
        <v>0</v>
      </c>
      <c r="DX166" s="161">
        <f t="shared" si="270"/>
        <v>0</v>
      </c>
      <c r="DY166" s="161">
        <f t="shared" si="271"/>
        <v>0</v>
      </c>
      <c r="DZ166" s="161">
        <f t="shared" si="272"/>
        <v>0</v>
      </c>
      <c r="EA166" s="161">
        <f t="shared" si="273"/>
        <v>0</v>
      </c>
      <c r="EB166" s="161">
        <f t="shared" si="274"/>
        <v>0</v>
      </c>
      <c r="EC166" s="161">
        <f t="shared" si="275"/>
        <v>0</v>
      </c>
      <c r="ED166" s="161">
        <f t="shared" si="276"/>
        <v>0</v>
      </c>
      <c r="EE166" s="161">
        <f t="shared" si="277"/>
        <v>0</v>
      </c>
      <c r="EF166" s="161">
        <f t="shared" si="278"/>
        <v>0</v>
      </c>
      <c r="EG166" s="161">
        <f t="shared" si="279"/>
        <v>0</v>
      </c>
      <c r="EH166" s="161">
        <f t="shared" si="280"/>
        <v>0</v>
      </c>
      <c r="EI166" s="161">
        <f t="shared" si="281"/>
        <v>0</v>
      </c>
      <c r="EJ166" s="161">
        <f t="shared" si="282"/>
        <v>0</v>
      </c>
      <c r="EK166" s="147">
        <f t="shared" si="283"/>
        <v>0</v>
      </c>
      <c r="EL166" s="149"/>
      <c r="EN166" s="146"/>
      <c r="EO166" s="146"/>
      <c r="EP166" s="139">
        <f t="shared" si="284"/>
        <v>0</v>
      </c>
      <c r="EQ166" s="139">
        <f t="shared" si="285"/>
        <v>0</v>
      </c>
      <c r="ER166" s="139">
        <f t="shared" si="286"/>
        <v>0</v>
      </c>
      <c r="ES166" s="139">
        <f t="shared" si="287"/>
        <v>0</v>
      </c>
      <c r="ET166" s="139">
        <f t="shared" si="288"/>
        <v>0</v>
      </c>
      <c r="EU166" s="139">
        <f t="shared" si="289"/>
        <v>0</v>
      </c>
      <c r="EV166" s="139">
        <f t="shared" si="290"/>
        <v>0</v>
      </c>
      <c r="EW166" s="139">
        <f t="shared" si="291"/>
        <v>0</v>
      </c>
      <c r="EX166" s="139">
        <f t="shared" si="292"/>
        <v>0</v>
      </c>
      <c r="EY166" s="139">
        <f t="shared" si="293"/>
        <v>0</v>
      </c>
      <c r="EZ166" s="139">
        <f t="shared" si="294"/>
        <v>0</v>
      </c>
      <c r="FA166" s="139">
        <f t="shared" si="295"/>
        <v>0</v>
      </c>
      <c r="FB166" s="139">
        <f t="shared" si="296"/>
        <v>0</v>
      </c>
      <c r="FC166" s="139">
        <f t="shared" si="297"/>
        <v>0</v>
      </c>
      <c r="FD166" s="139">
        <f t="shared" si="298"/>
        <v>0</v>
      </c>
      <c r="FE166" s="139">
        <f t="shared" si="299"/>
        <v>0</v>
      </c>
      <c r="FF166" s="139">
        <f t="shared" si="300"/>
        <v>0</v>
      </c>
      <c r="FG166" s="139">
        <f t="shared" si="301"/>
        <v>0</v>
      </c>
      <c r="FH166" s="139">
        <f t="shared" si="302"/>
        <v>0</v>
      </c>
      <c r="FI166" s="139">
        <f t="shared" si="303"/>
        <v>0</v>
      </c>
      <c r="FJ166" s="139">
        <f t="shared" si="304"/>
        <v>0</v>
      </c>
      <c r="FK166" s="139">
        <f t="shared" si="305"/>
        <v>0</v>
      </c>
      <c r="FL166" s="139">
        <f t="shared" si="306"/>
        <v>0</v>
      </c>
      <c r="FM166" s="139">
        <f t="shared" si="307"/>
        <v>0</v>
      </c>
      <c r="FN166" s="139">
        <f t="shared" si="308"/>
        <v>0</v>
      </c>
      <c r="FO166" s="139">
        <f t="shared" si="309"/>
        <v>0</v>
      </c>
      <c r="FP166" s="139">
        <f t="shared" si="310"/>
        <v>0</v>
      </c>
      <c r="FQ166" s="139">
        <f t="shared" si="311"/>
        <v>0</v>
      </c>
      <c r="FR166" s="139">
        <f t="shared" si="312"/>
        <v>0</v>
      </c>
      <c r="FS166" s="139">
        <f t="shared" si="313"/>
        <v>0</v>
      </c>
      <c r="FT166" s="139">
        <f t="shared" si="314"/>
        <v>0</v>
      </c>
      <c r="FU166" s="148">
        <f t="shared" si="315"/>
        <v>0</v>
      </c>
      <c r="FV166" s="149"/>
      <c r="FY166" s="210">
        <v>161</v>
      </c>
      <c r="FZ166">
        <v>1.126885754935556</v>
      </c>
      <c r="GA166">
        <v>20.895695964914097</v>
      </c>
      <c r="GB166">
        <v>19.281358811506838</v>
      </c>
      <c r="GC166">
        <v>8.7299786950941183</v>
      </c>
      <c r="GD166">
        <v>4.981998472082549</v>
      </c>
      <c r="GE166">
        <v>7.9460050007263234</v>
      </c>
      <c r="GF166">
        <v>8.0534115716971826</v>
      </c>
      <c r="GG166">
        <v>5.1343123084570212</v>
      </c>
      <c r="GH166">
        <v>4.3939653069635174</v>
      </c>
      <c r="GI166">
        <v>10.055632286112818</v>
      </c>
      <c r="GJ166"/>
      <c r="GK166"/>
      <c r="GL166"/>
      <c r="GM166"/>
    </row>
    <row r="167" spans="1:195" s="7" customFormat="1">
      <c r="A167" s="1"/>
      <c r="B167" s="76">
        <f ca="1">IF(C167="", "", RAND())</f>
        <v>0.83517763043853166</v>
      </c>
      <c r="C167">
        <v>4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229.2525022201722</v>
      </c>
      <c r="AO167">
        <v>14.19786737819418</v>
      </c>
      <c r="AP167">
        <v>111.94280731469607</v>
      </c>
      <c r="AQ167">
        <v>87.939528133010583</v>
      </c>
      <c r="AR167">
        <v>13.069392833407985</v>
      </c>
      <c r="AS167">
        <v>128.48975042673555</v>
      </c>
      <c r="AT167">
        <v>5.6983902229392633</v>
      </c>
      <c r="AU167">
        <v>-17.846798918965408</v>
      </c>
      <c r="AV167"/>
      <c r="AW167"/>
      <c r="AX167" s="146"/>
      <c r="AY167" s="76">
        <f t="shared" ca="1" si="245"/>
        <v>0.22241374281659354</v>
      </c>
      <c r="AZ167">
        <v>10</v>
      </c>
      <c r="BA167" s="129">
        <f t="shared" si="316"/>
        <v>39910</v>
      </c>
      <c r="BB167">
        <v>0</v>
      </c>
      <c r="BC167"/>
      <c r="BD167"/>
      <c r="BE167"/>
      <c r="BF167"/>
      <c r="BG167"/>
      <c r="BH167">
        <v>1</v>
      </c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46"/>
        <v>0.5373605611906993</v>
      </c>
      <c r="CL167" s="179">
        <f t="shared" si="247"/>
        <v>10</v>
      </c>
      <c r="CM167" s="180">
        <f t="shared" si="248"/>
        <v>39910</v>
      </c>
      <c r="CN167" s="221">
        <v>0</v>
      </c>
      <c r="CO167" s="221"/>
      <c r="CP167" s="221"/>
      <c r="CQ167" s="221">
        <v>1</v>
      </c>
      <c r="CR167" s="221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317"/>
        <v>9.6000000000000002E-2</v>
      </c>
      <c r="DB167" s="146"/>
      <c r="DC167" s="76">
        <f t="shared" ca="1" si="249"/>
        <v>0.57048195596274365</v>
      </c>
      <c r="DD167">
        <f t="shared" si="250"/>
        <v>10</v>
      </c>
      <c r="DE167" s="129">
        <f t="shared" si="251"/>
        <v>39910</v>
      </c>
      <c r="DF167" s="161">
        <f t="shared" si="252"/>
        <v>0</v>
      </c>
      <c r="DG167" s="161">
        <f t="shared" si="253"/>
        <v>0</v>
      </c>
      <c r="DH167" s="161">
        <f t="shared" si="254"/>
        <v>0</v>
      </c>
      <c r="DI167" s="161">
        <f t="shared" si="255"/>
        <v>104.16666666666667</v>
      </c>
      <c r="DJ167" s="161">
        <f t="shared" si="256"/>
        <v>0</v>
      </c>
      <c r="DK167" s="161">
        <f t="shared" si="257"/>
        <v>0</v>
      </c>
      <c r="DL167" s="161">
        <f t="shared" si="258"/>
        <v>10.416666666666666</v>
      </c>
      <c r="DM167" s="161">
        <f t="shared" si="259"/>
        <v>0</v>
      </c>
      <c r="DN167" s="161">
        <f t="shared" si="260"/>
        <v>0</v>
      </c>
      <c r="DO167" s="161">
        <f t="shared" si="261"/>
        <v>0</v>
      </c>
      <c r="DP167" s="161">
        <f t="shared" si="262"/>
        <v>0</v>
      </c>
      <c r="DQ167" s="161">
        <f t="shared" si="263"/>
        <v>0</v>
      </c>
      <c r="DR167" s="161">
        <f t="shared" si="264"/>
        <v>0</v>
      </c>
      <c r="DS167" s="161">
        <f t="shared" si="265"/>
        <v>0</v>
      </c>
      <c r="DT167" s="161">
        <f t="shared" si="266"/>
        <v>0</v>
      </c>
      <c r="DU167" s="161">
        <f t="shared" si="267"/>
        <v>0</v>
      </c>
      <c r="DV167" s="161">
        <f t="shared" si="268"/>
        <v>0</v>
      </c>
      <c r="DW167" s="161">
        <f t="shared" si="269"/>
        <v>0</v>
      </c>
      <c r="DX167" s="161">
        <f t="shared" si="270"/>
        <v>0</v>
      </c>
      <c r="DY167" s="161">
        <f t="shared" si="271"/>
        <v>0</v>
      </c>
      <c r="DZ167" s="161">
        <f t="shared" si="272"/>
        <v>0</v>
      </c>
      <c r="EA167" s="161">
        <f t="shared" si="273"/>
        <v>0</v>
      </c>
      <c r="EB167" s="161">
        <f t="shared" si="274"/>
        <v>0</v>
      </c>
      <c r="EC167" s="161">
        <f t="shared" si="275"/>
        <v>0</v>
      </c>
      <c r="ED167" s="161">
        <f t="shared" si="276"/>
        <v>0</v>
      </c>
      <c r="EE167" s="161">
        <f t="shared" si="277"/>
        <v>0</v>
      </c>
      <c r="EF167" s="161">
        <f t="shared" si="278"/>
        <v>0</v>
      </c>
      <c r="EG167" s="161">
        <f t="shared" si="279"/>
        <v>0</v>
      </c>
      <c r="EH167" s="161">
        <f t="shared" si="280"/>
        <v>0</v>
      </c>
      <c r="EI167" s="161">
        <f t="shared" si="281"/>
        <v>0</v>
      </c>
      <c r="EJ167" s="161">
        <f t="shared" si="282"/>
        <v>0</v>
      </c>
      <c r="EK167" s="147">
        <f t="shared" si="283"/>
        <v>114.58333333333334</v>
      </c>
      <c r="EL167" s="149"/>
      <c r="EN167" s="146"/>
      <c r="EO167" s="146"/>
      <c r="EP167" s="139">
        <f t="shared" si="284"/>
        <v>0</v>
      </c>
      <c r="EQ167" s="139">
        <f t="shared" si="285"/>
        <v>0</v>
      </c>
      <c r="ER167" s="139">
        <f t="shared" si="286"/>
        <v>0</v>
      </c>
      <c r="ES167" s="139">
        <f t="shared" si="287"/>
        <v>9.0342877184195771</v>
      </c>
      <c r="ET167" s="139">
        <f t="shared" si="288"/>
        <v>0</v>
      </c>
      <c r="EU167" s="139">
        <f t="shared" si="289"/>
        <v>0</v>
      </c>
      <c r="EV167" s="139">
        <f t="shared" si="290"/>
        <v>6.828093271595435</v>
      </c>
      <c r="EW167" s="139">
        <f t="shared" si="291"/>
        <v>0</v>
      </c>
      <c r="EX167" s="139">
        <f t="shared" si="292"/>
        <v>0</v>
      </c>
      <c r="EY167" s="139">
        <f t="shared" si="293"/>
        <v>0</v>
      </c>
      <c r="EZ167" s="139">
        <f t="shared" si="294"/>
        <v>0</v>
      </c>
      <c r="FA167" s="139">
        <f t="shared" si="295"/>
        <v>0</v>
      </c>
      <c r="FB167" s="139">
        <f t="shared" si="296"/>
        <v>0</v>
      </c>
      <c r="FC167" s="139">
        <f t="shared" si="297"/>
        <v>0</v>
      </c>
      <c r="FD167" s="139">
        <f t="shared" si="298"/>
        <v>0</v>
      </c>
      <c r="FE167" s="139">
        <f t="shared" si="299"/>
        <v>0</v>
      </c>
      <c r="FF167" s="139">
        <f t="shared" si="300"/>
        <v>0</v>
      </c>
      <c r="FG167" s="139">
        <f t="shared" si="301"/>
        <v>0</v>
      </c>
      <c r="FH167" s="139">
        <f t="shared" si="302"/>
        <v>0</v>
      </c>
      <c r="FI167" s="139">
        <f t="shared" si="303"/>
        <v>0</v>
      </c>
      <c r="FJ167" s="139">
        <f t="shared" si="304"/>
        <v>0</v>
      </c>
      <c r="FK167" s="139">
        <f t="shared" si="305"/>
        <v>0</v>
      </c>
      <c r="FL167" s="139">
        <f t="shared" si="306"/>
        <v>0</v>
      </c>
      <c r="FM167" s="139">
        <f t="shared" si="307"/>
        <v>0</v>
      </c>
      <c r="FN167" s="139">
        <f t="shared" si="308"/>
        <v>0</v>
      </c>
      <c r="FO167" s="139">
        <f t="shared" si="309"/>
        <v>0</v>
      </c>
      <c r="FP167" s="139">
        <f t="shared" si="310"/>
        <v>0</v>
      </c>
      <c r="FQ167" s="139">
        <f t="shared" si="311"/>
        <v>0</v>
      </c>
      <c r="FR167" s="139">
        <f t="shared" si="312"/>
        <v>0</v>
      </c>
      <c r="FS167" s="139">
        <f t="shared" si="313"/>
        <v>0</v>
      </c>
      <c r="FT167" s="139">
        <f t="shared" si="314"/>
        <v>0</v>
      </c>
      <c r="FU167" s="148">
        <f t="shared" si="315"/>
        <v>15.862380990015012</v>
      </c>
      <c r="FV167" s="149"/>
      <c r="FY167" s="210">
        <v>162</v>
      </c>
      <c r="FZ167">
        <v>1.5336131162594919</v>
      </c>
      <c r="GA167">
        <v>21.41816993346557</v>
      </c>
      <c r="GB167">
        <v>24.577270387904399</v>
      </c>
      <c r="GC167">
        <v>10.399869532039631</v>
      </c>
      <c r="GD167">
        <v>4.5281194405264262</v>
      </c>
      <c r="GE167">
        <v>8.5278001590521395</v>
      </c>
      <c r="GF167">
        <v>10.682890097305105</v>
      </c>
      <c r="GG167">
        <v>5.7924803137489889</v>
      </c>
      <c r="GH167">
        <v>3.744931120959011</v>
      </c>
      <c r="GI167">
        <v>11.588834076414681</v>
      </c>
      <c r="GJ167"/>
      <c r="GK167"/>
      <c r="GL167"/>
      <c r="GM167"/>
    </row>
    <row r="168" spans="1:195" s="7" customFormat="1">
      <c r="A168" s="128"/>
      <c r="B168" s="76">
        <f ca="1">IF(C168="", "", RAND())</f>
        <v>0.18891555677314398</v>
      </c>
      <c r="C168">
        <v>8</v>
      </c>
      <c r="D168">
        <v>39949</v>
      </c>
      <c r="E168">
        <v>0</v>
      </c>
      <c r="F168">
        <v>0</v>
      </c>
      <c r="G168">
        <v>10.416666666666666</v>
      </c>
      <c r="H168">
        <v>10.416666666666666</v>
      </c>
      <c r="I168">
        <v>0</v>
      </c>
      <c r="J168">
        <v>10.416666666666666</v>
      </c>
      <c r="K168">
        <v>31.25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181.33993910931363</v>
      </c>
      <c r="AO168">
        <v>17.068559542017717</v>
      </c>
      <c r="AP168">
        <v>130.56028325031036</v>
      </c>
      <c r="AQ168">
        <v>100.02220944109115</v>
      </c>
      <c r="AR168">
        <v>15.881653819600821</v>
      </c>
      <c r="AS168">
        <v>139.13958352884353</v>
      </c>
      <c r="AT168">
        <v>7.2934287037332659</v>
      </c>
      <c r="AU168">
        <v>-44.755691656211972</v>
      </c>
      <c r="AV168"/>
      <c r="AW168"/>
      <c r="AX168" s="128"/>
      <c r="AY168" s="76">
        <f t="shared" ca="1" si="245"/>
        <v>0.24479482418504372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46"/>
        <v>0.27165362641374013</v>
      </c>
      <c r="CL168" s="179">
        <f t="shared" si="247"/>
        <v>1</v>
      </c>
      <c r="CM168" s="180">
        <f t="shared" si="248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317"/>
        <v>9.6000000000000002E-2</v>
      </c>
      <c r="DB168" s="128"/>
      <c r="DC168" s="76">
        <f t="shared" ca="1" si="249"/>
        <v>0.90331049271222397</v>
      </c>
      <c r="DD168">
        <f t="shared" si="250"/>
        <v>1</v>
      </c>
      <c r="DE168" s="129">
        <f t="shared" ref="DE168:DE177" si="318">IF((DD168)="", "", $C$12)</f>
        <v>39949</v>
      </c>
      <c r="DF168" s="161">
        <f t="shared" si="252"/>
        <v>0</v>
      </c>
      <c r="DG168" s="161">
        <f t="shared" si="253"/>
        <v>0</v>
      </c>
      <c r="DH168" s="161">
        <f t="shared" si="254"/>
        <v>0</v>
      </c>
      <c r="DI168" s="161">
        <f t="shared" si="255"/>
        <v>0</v>
      </c>
      <c r="DJ168" s="161">
        <f t="shared" si="256"/>
        <v>0</v>
      </c>
      <c r="DK168" s="161">
        <f t="shared" si="257"/>
        <v>0</v>
      </c>
      <c r="DL168" s="161">
        <f t="shared" si="258"/>
        <v>0</v>
      </c>
      <c r="DM168" s="161">
        <f t="shared" si="259"/>
        <v>0</v>
      </c>
      <c r="DN168" s="161">
        <f t="shared" si="260"/>
        <v>0</v>
      </c>
      <c r="DO168" s="161">
        <f t="shared" si="261"/>
        <v>0</v>
      </c>
      <c r="DP168" s="161">
        <f t="shared" si="262"/>
        <v>0</v>
      </c>
      <c r="DQ168" s="161">
        <f t="shared" si="263"/>
        <v>0</v>
      </c>
      <c r="DR168" s="161">
        <f t="shared" si="264"/>
        <v>0</v>
      </c>
      <c r="DS168" s="161">
        <f t="shared" si="265"/>
        <v>0</v>
      </c>
      <c r="DT168" s="161">
        <f t="shared" si="266"/>
        <v>0</v>
      </c>
      <c r="DU168" s="161">
        <f t="shared" si="267"/>
        <v>0</v>
      </c>
      <c r="DV168" s="161">
        <f t="shared" si="268"/>
        <v>0</v>
      </c>
      <c r="DW168" s="161">
        <f t="shared" si="269"/>
        <v>0</v>
      </c>
      <c r="DX168" s="161">
        <f t="shared" si="270"/>
        <v>0</v>
      </c>
      <c r="DY168" s="161">
        <f t="shared" si="271"/>
        <v>0</v>
      </c>
      <c r="DZ168" s="161">
        <f t="shared" si="272"/>
        <v>0</v>
      </c>
      <c r="EA168" s="161">
        <f t="shared" si="273"/>
        <v>0</v>
      </c>
      <c r="EB168" s="161">
        <f t="shared" si="274"/>
        <v>0</v>
      </c>
      <c r="EC168" s="161">
        <f t="shared" si="275"/>
        <v>0</v>
      </c>
      <c r="ED168" s="161">
        <f t="shared" si="276"/>
        <v>0</v>
      </c>
      <c r="EE168" s="161">
        <f t="shared" si="277"/>
        <v>0</v>
      </c>
      <c r="EF168" s="161">
        <f t="shared" si="278"/>
        <v>0</v>
      </c>
      <c r="EG168" s="161">
        <f t="shared" si="279"/>
        <v>0</v>
      </c>
      <c r="EH168" s="161">
        <f t="shared" si="280"/>
        <v>0</v>
      </c>
      <c r="EI168" s="161">
        <f t="shared" si="281"/>
        <v>0</v>
      </c>
      <c r="EJ168" s="161">
        <f t="shared" si="282"/>
        <v>0</v>
      </c>
      <c r="EK168" s="147">
        <f t="shared" si="283"/>
        <v>0</v>
      </c>
      <c r="EL168" s="149"/>
      <c r="EN168" s="146"/>
      <c r="EO168" s="146"/>
      <c r="EP168" s="139">
        <f t="shared" si="284"/>
        <v>0</v>
      </c>
      <c r="EQ168" s="139">
        <f t="shared" si="285"/>
        <v>0</v>
      </c>
      <c r="ER168" s="139">
        <f t="shared" si="286"/>
        <v>0</v>
      </c>
      <c r="ES168" s="139">
        <f t="shared" si="287"/>
        <v>0</v>
      </c>
      <c r="ET168" s="139">
        <f t="shared" si="288"/>
        <v>0</v>
      </c>
      <c r="EU168" s="139">
        <f t="shared" si="289"/>
        <v>0</v>
      </c>
      <c r="EV168" s="139">
        <f t="shared" si="290"/>
        <v>0</v>
      </c>
      <c r="EW168" s="139">
        <f t="shared" si="291"/>
        <v>0</v>
      </c>
      <c r="EX168" s="139">
        <f t="shared" si="292"/>
        <v>0</v>
      </c>
      <c r="EY168" s="139">
        <f t="shared" si="293"/>
        <v>0</v>
      </c>
      <c r="EZ168" s="139">
        <f t="shared" si="294"/>
        <v>0</v>
      </c>
      <c r="FA168" s="139">
        <f t="shared" si="295"/>
        <v>0</v>
      </c>
      <c r="FB168" s="139">
        <f t="shared" si="296"/>
        <v>0</v>
      </c>
      <c r="FC168" s="139">
        <f t="shared" si="297"/>
        <v>0</v>
      </c>
      <c r="FD168" s="139">
        <f t="shared" si="298"/>
        <v>0</v>
      </c>
      <c r="FE168" s="139">
        <f t="shared" si="299"/>
        <v>0</v>
      </c>
      <c r="FF168" s="139">
        <f t="shared" si="300"/>
        <v>0</v>
      </c>
      <c r="FG168" s="139">
        <f t="shared" si="301"/>
        <v>0</v>
      </c>
      <c r="FH168" s="139">
        <f t="shared" si="302"/>
        <v>0</v>
      </c>
      <c r="FI168" s="139">
        <f t="shared" si="303"/>
        <v>0</v>
      </c>
      <c r="FJ168" s="139">
        <f t="shared" si="304"/>
        <v>0</v>
      </c>
      <c r="FK168" s="139">
        <f t="shared" si="305"/>
        <v>0</v>
      </c>
      <c r="FL168" s="139">
        <f t="shared" si="306"/>
        <v>0</v>
      </c>
      <c r="FM168" s="139">
        <f t="shared" si="307"/>
        <v>0</v>
      </c>
      <c r="FN168" s="139">
        <f t="shared" si="308"/>
        <v>0</v>
      </c>
      <c r="FO168" s="139">
        <f t="shared" si="309"/>
        <v>0</v>
      </c>
      <c r="FP168" s="139">
        <f t="shared" si="310"/>
        <v>0</v>
      </c>
      <c r="FQ168" s="139">
        <f t="shared" si="311"/>
        <v>0</v>
      </c>
      <c r="FR168" s="139">
        <f t="shared" si="312"/>
        <v>0</v>
      </c>
      <c r="FS168" s="139">
        <f t="shared" si="313"/>
        <v>0</v>
      </c>
      <c r="FT168" s="139">
        <f t="shared" si="314"/>
        <v>0</v>
      </c>
      <c r="FU168" s="148">
        <f t="shared" si="315"/>
        <v>0</v>
      </c>
      <c r="FV168" s="149"/>
      <c r="FY168" s="210">
        <v>163</v>
      </c>
      <c r="FZ168">
        <v>3.888242037897971</v>
      </c>
      <c r="GA168">
        <v>20.253743816934826</v>
      </c>
      <c r="GB168">
        <v>22.317680125272268</v>
      </c>
      <c r="GC168">
        <v>11.83560333456964</v>
      </c>
      <c r="GD168">
        <v>3.7310529949466487</v>
      </c>
      <c r="GE168">
        <v>5.7344015945108247</v>
      </c>
      <c r="GF168">
        <v>9.0403014434272464</v>
      </c>
      <c r="GG168">
        <v>1.9741102061044287</v>
      </c>
      <c r="GH168">
        <v>1.6796673225297538</v>
      </c>
      <c r="GI168">
        <v>10.310719446813685</v>
      </c>
      <c r="GJ168"/>
      <c r="GK168"/>
      <c r="GL168"/>
      <c r="GM168"/>
    </row>
    <row r="169" spans="1:195" s="7" customFormat="1">
      <c r="A169" s="1"/>
      <c r="B169" s="76">
        <f ca="1">IF(C169="", "", RAND())</f>
        <v>7.6409110519184198E-2</v>
      </c>
      <c r="C169">
        <v>7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267.97912002808596</v>
      </c>
      <c r="AO169">
        <v>17.413359221088836</v>
      </c>
      <c r="AP169">
        <v>136.14674781800213</v>
      </c>
      <c r="AQ169">
        <v>114.08761023240298</v>
      </c>
      <c r="AR169">
        <v>16.051575884867056</v>
      </c>
      <c r="AS169">
        <v>166.49870965318354</v>
      </c>
      <c r="AT169" t="e">
        <v>#DIV/0!</v>
      </c>
      <c r="AU169" t="e">
        <v>#DIV/0!</v>
      </c>
      <c r="AV169"/>
      <c r="AW169"/>
      <c r="AX169" s="146"/>
      <c r="AY169" s="76">
        <f t="shared" ca="1" si="245"/>
        <v>0.48504318778240485</v>
      </c>
      <c r="AZ169">
        <v>2</v>
      </c>
      <c r="BA169" s="129">
        <f t="shared" ref="BA169:BA177" si="319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46"/>
        <v>0.85109705904582311</v>
      </c>
      <c r="CL169" s="179">
        <f t="shared" si="247"/>
        <v>2</v>
      </c>
      <c r="CM169" s="180">
        <f t="shared" si="248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317"/>
        <v>9.6000000000000002E-2</v>
      </c>
      <c r="DB169" s="146"/>
      <c r="DC169" s="76">
        <f t="shared" ca="1" si="249"/>
        <v>0.2973588834056482</v>
      </c>
      <c r="DD169">
        <f t="shared" si="250"/>
        <v>2</v>
      </c>
      <c r="DE169" s="129">
        <f t="shared" si="318"/>
        <v>39949</v>
      </c>
      <c r="DF169" s="161">
        <f t="shared" si="252"/>
        <v>0</v>
      </c>
      <c r="DG169" s="161">
        <f t="shared" si="253"/>
        <v>0</v>
      </c>
      <c r="DH169" s="161">
        <f t="shared" si="254"/>
        <v>0</v>
      </c>
      <c r="DI169" s="161">
        <f t="shared" si="255"/>
        <v>0</v>
      </c>
      <c r="DJ169" s="161">
        <f t="shared" si="256"/>
        <v>0</v>
      </c>
      <c r="DK169" s="161">
        <f t="shared" si="257"/>
        <v>0</v>
      </c>
      <c r="DL169" s="161">
        <f t="shared" si="258"/>
        <v>0</v>
      </c>
      <c r="DM169" s="161">
        <f t="shared" si="259"/>
        <v>0</v>
      </c>
      <c r="DN169" s="161">
        <f t="shared" si="260"/>
        <v>0</v>
      </c>
      <c r="DO169" s="161">
        <f t="shared" si="261"/>
        <v>0</v>
      </c>
      <c r="DP169" s="161">
        <f t="shared" si="262"/>
        <v>0</v>
      </c>
      <c r="DQ169" s="161">
        <f t="shared" si="263"/>
        <v>0</v>
      </c>
      <c r="DR169" s="161">
        <f t="shared" si="264"/>
        <v>0</v>
      </c>
      <c r="DS169" s="161">
        <f t="shared" si="265"/>
        <v>0</v>
      </c>
      <c r="DT169" s="161">
        <f t="shared" si="266"/>
        <v>0</v>
      </c>
      <c r="DU169" s="161">
        <f t="shared" si="267"/>
        <v>0</v>
      </c>
      <c r="DV169" s="161">
        <f t="shared" si="268"/>
        <v>0</v>
      </c>
      <c r="DW169" s="161">
        <f t="shared" si="269"/>
        <v>0</v>
      </c>
      <c r="DX169" s="161">
        <f t="shared" si="270"/>
        <v>0</v>
      </c>
      <c r="DY169" s="161">
        <f t="shared" si="271"/>
        <v>0</v>
      </c>
      <c r="DZ169" s="161">
        <f t="shared" si="272"/>
        <v>0</v>
      </c>
      <c r="EA169" s="161">
        <f t="shared" si="273"/>
        <v>0</v>
      </c>
      <c r="EB169" s="161">
        <f t="shared" si="274"/>
        <v>0</v>
      </c>
      <c r="EC169" s="161">
        <f t="shared" si="275"/>
        <v>0</v>
      </c>
      <c r="ED169" s="161">
        <f t="shared" si="276"/>
        <v>0</v>
      </c>
      <c r="EE169" s="161">
        <f t="shared" si="277"/>
        <v>0</v>
      </c>
      <c r="EF169" s="161">
        <f t="shared" si="278"/>
        <v>0</v>
      </c>
      <c r="EG169" s="161">
        <f t="shared" si="279"/>
        <v>0</v>
      </c>
      <c r="EH169" s="161">
        <f t="shared" si="280"/>
        <v>0</v>
      </c>
      <c r="EI169" s="161">
        <f t="shared" si="281"/>
        <v>0</v>
      </c>
      <c r="EJ169" s="161">
        <f t="shared" si="282"/>
        <v>0</v>
      </c>
      <c r="EK169" s="147">
        <f t="shared" si="283"/>
        <v>0</v>
      </c>
      <c r="EL169" s="149"/>
      <c r="EN169" s="146"/>
      <c r="EO169" s="146"/>
      <c r="EP169" s="139">
        <f t="shared" si="284"/>
        <v>0</v>
      </c>
      <c r="EQ169" s="139">
        <f t="shared" si="285"/>
        <v>0</v>
      </c>
      <c r="ER169" s="139">
        <f t="shared" si="286"/>
        <v>0</v>
      </c>
      <c r="ES169" s="139">
        <f t="shared" si="287"/>
        <v>0</v>
      </c>
      <c r="ET169" s="139">
        <f t="shared" si="288"/>
        <v>0</v>
      </c>
      <c r="EU169" s="139">
        <f t="shared" si="289"/>
        <v>0</v>
      </c>
      <c r="EV169" s="139">
        <f t="shared" si="290"/>
        <v>0</v>
      </c>
      <c r="EW169" s="139">
        <f t="shared" si="291"/>
        <v>0</v>
      </c>
      <c r="EX169" s="139">
        <f t="shared" si="292"/>
        <v>0</v>
      </c>
      <c r="EY169" s="139">
        <f t="shared" si="293"/>
        <v>0</v>
      </c>
      <c r="EZ169" s="139">
        <f t="shared" si="294"/>
        <v>0</v>
      </c>
      <c r="FA169" s="139">
        <f t="shared" si="295"/>
        <v>0</v>
      </c>
      <c r="FB169" s="139">
        <f t="shared" si="296"/>
        <v>0</v>
      </c>
      <c r="FC169" s="139">
        <f t="shared" si="297"/>
        <v>0</v>
      </c>
      <c r="FD169" s="139">
        <f t="shared" si="298"/>
        <v>0</v>
      </c>
      <c r="FE169" s="139">
        <f t="shared" si="299"/>
        <v>0</v>
      </c>
      <c r="FF169" s="139">
        <f t="shared" si="300"/>
        <v>0</v>
      </c>
      <c r="FG169" s="139">
        <f t="shared" si="301"/>
        <v>0</v>
      </c>
      <c r="FH169" s="139">
        <f t="shared" si="302"/>
        <v>0</v>
      </c>
      <c r="FI169" s="139">
        <f t="shared" si="303"/>
        <v>0</v>
      </c>
      <c r="FJ169" s="139">
        <f t="shared" si="304"/>
        <v>0</v>
      </c>
      <c r="FK169" s="139">
        <f t="shared" si="305"/>
        <v>0</v>
      </c>
      <c r="FL169" s="139">
        <f t="shared" si="306"/>
        <v>0</v>
      </c>
      <c r="FM169" s="139">
        <f t="shared" si="307"/>
        <v>0</v>
      </c>
      <c r="FN169" s="139">
        <f t="shared" si="308"/>
        <v>0</v>
      </c>
      <c r="FO169" s="139">
        <f t="shared" si="309"/>
        <v>0</v>
      </c>
      <c r="FP169" s="139">
        <f t="shared" si="310"/>
        <v>0</v>
      </c>
      <c r="FQ169" s="139">
        <f t="shared" si="311"/>
        <v>0</v>
      </c>
      <c r="FR169" s="139">
        <f t="shared" si="312"/>
        <v>0</v>
      </c>
      <c r="FS169" s="139">
        <f t="shared" si="313"/>
        <v>0</v>
      </c>
      <c r="FT169" s="139">
        <f t="shared" si="314"/>
        <v>0</v>
      </c>
      <c r="FU169" s="148">
        <f t="shared" si="315"/>
        <v>0</v>
      </c>
      <c r="FV169" s="149"/>
      <c r="FY169" s="210">
        <v>164</v>
      </c>
      <c r="FZ169">
        <v>9.6847636383766549</v>
      </c>
      <c r="GA169">
        <v>36.324656150659294</v>
      </c>
      <c r="GB169">
        <v>25.15174843944332</v>
      </c>
      <c r="GC169">
        <v>9.1255680314579823</v>
      </c>
      <c r="GD169">
        <v>4.3226109567786644</v>
      </c>
      <c r="GE169">
        <v>6.0808196282239475</v>
      </c>
      <c r="GF169">
        <v>4.6099118884901538</v>
      </c>
      <c r="GG169">
        <v>2.810430776484246</v>
      </c>
      <c r="GH169">
        <v>2.0652637984292568</v>
      </c>
      <c r="GI169">
        <v>11.418191531379186</v>
      </c>
      <c r="GJ169"/>
      <c r="GK169"/>
      <c r="GL169"/>
      <c r="GM169"/>
    </row>
    <row r="170" spans="1:195" s="7" customFormat="1">
      <c r="A170" s="1"/>
      <c r="B170" s="76">
        <f ca="1">IF(C170="", "", RAND())</f>
        <v>0.11846399507061234</v>
      </c>
      <c r="C170">
        <v>3</v>
      </c>
      <c r="D170">
        <v>39949</v>
      </c>
      <c r="E170">
        <v>0</v>
      </c>
      <c r="F170">
        <v>0</v>
      </c>
      <c r="G170">
        <v>91.43518518518519</v>
      </c>
      <c r="H170">
        <v>0</v>
      </c>
      <c r="I170">
        <v>0</v>
      </c>
      <c r="J170">
        <v>0</v>
      </c>
      <c r="K170">
        <v>31.25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185.85462710860824</v>
      </c>
      <c r="AO170">
        <v>18.578461127075769</v>
      </c>
      <c r="AP170">
        <v>160.71404664160676</v>
      </c>
      <c r="AQ170">
        <v>120.75856903851526</v>
      </c>
      <c r="AR170">
        <v>17.281946470527338</v>
      </c>
      <c r="AS170">
        <v>166.43084152999532</v>
      </c>
      <c r="AT170">
        <v>7.5415082024180649</v>
      </c>
      <c r="AU170">
        <v>-19.531636985360343</v>
      </c>
      <c r="AV170"/>
      <c r="AW170"/>
      <c r="AX170" s="146"/>
      <c r="AY170" s="76">
        <f t="shared" ca="1" si="245"/>
        <v>0.11065173355998437</v>
      </c>
      <c r="AZ170">
        <v>3</v>
      </c>
      <c r="BA170" s="129">
        <f t="shared" si="319"/>
        <v>39949</v>
      </c>
      <c r="BB170">
        <v>0</v>
      </c>
      <c r="BC170" s="224"/>
      <c r="BD170" s="224">
        <v>1</v>
      </c>
      <c r="BE170" s="224"/>
      <c r="BF170" s="224"/>
      <c r="BG170"/>
      <c r="BH170">
        <v>3</v>
      </c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46"/>
        <v>0.38276959411932232</v>
      </c>
      <c r="CL170" s="179">
        <f t="shared" si="247"/>
        <v>3</v>
      </c>
      <c r="CM170" s="180">
        <f t="shared" si="248"/>
        <v>39949</v>
      </c>
      <c r="CN170">
        <v>0</v>
      </c>
      <c r="CO170"/>
      <c r="CP170">
        <v>1</v>
      </c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317"/>
        <v>9.6000000000000002E-2</v>
      </c>
      <c r="DB170" s="146"/>
      <c r="DC170" s="76">
        <f t="shared" ca="1" si="249"/>
        <v>0.25090486284688285</v>
      </c>
      <c r="DD170">
        <f t="shared" si="250"/>
        <v>3</v>
      </c>
      <c r="DE170" s="129">
        <f t="shared" si="318"/>
        <v>39949</v>
      </c>
      <c r="DF170" s="161">
        <f t="shared" si="252"/>
        <v>0</v>
      </c>
      <c r="DG170" s="161">
        <f t="shared" si="253"/>
        <v>0</v>
      </c>
      <c r="DH170" s="161">
        <f t="shared" si="254"/>
        <v>91.43518518518519</v>
      </c>
      <c r="DI170" s="161">
        <f t="shared" si="255"/>
        <v>0</v>
      </c>
      <c r="DJ170" s="161">
        <f t="shared" si="256"/>
        <v>0</v>
      </c>
      <c r="DK170" s="161">
        <f t="shared" si="257"/>
        <v>0</v>
      </c>
      <c r="DL170" s="161">
        <f t="shared" si="258"/>
        <v>31.25</v>
      </c>
      <c r="DM170" s="161">
        <f t="shared" si="259"/>
        <v>0</v>
      </c>
      <c r="DN170" s="161">
        <f t="shared" si="260"/>
        <v>0</v>
      </c>
      <c r="DO170" s="161">
        <f t="shared" si="261"/>
        <v>0</v>
      </c>
      <c r="DP170" s="161">
        <f t="shared" si="262"/>
        <v>0</v>
      </c>
      <c r="DQ170" s="161">
        <f t="shared" si="263"/>
        <v>0</v>
      </c>
      <c r="DR170" s="161">
        <f t="shared" si="264"/>
        <v>0</v>
      </c>
      <c r="DS170" s="161">
        <f t="shared" si="265"/>
        <v>0</v>
      </c>
      <c r="DT170" s="161">
        <f t="shared" si="266"/>
        <v>0</v>
      </c>
      <c r="DU170" s="161">
        <f t="shared" si="267"/>
        <v>0</v>
      </c>
      <c r="DV170" s="161">
        <f t="shared" si="268"/>
        <v>0</v>
      </c>
      <c r="DW170" s="161">
        <f t="shared" si="269"/>
        <v>0</v>
      </c>
      <c r="DX170" s="161">
        <f t="shared" si="270"/>
        <v>0</v>
      </c>
      <c r="DY170" s="161">
        <f t="shared" si="271"/>
        <v>0</v>
      </c>
      <c r="DZ170" s="161">
        <f t="shared" si="272"/>
        <v>0</v>
      </c>
      <c r="EA170" s="161">
        <f t="shared" si="273"/>
        <v>0</v>
      </c>
      <c r="EB170" s="161">
        <f t="shared" si="274"/>
        <v>0</v>
      </c>
      <c r="EC170" s="161">
        <f t="shared" si="275"/>
        <v>0</v>
      </c>
      <c r="ED170" s="161">
        <f t="shared" si="276"/>
        <v>0</v>
      </c>
      <c r="EE170" s="161">
        <f t="shared" si="277"/>
        <v>0</v>
      </c>
      <c r="EF170" s="161">
        <f t="shared" si="278"/>
        <v>0</v>
      </c>
      <c r="EG170" s="161">
        <f t="shared" si="279"/>
        <v>0</v>
      </c>
      <c r="EH170" s="161">
        <f t="shared" si="280"/>
        <v>0</v>
      </c>
      <c r="EI170" s="161">
        <f t="shared" si="281"/>
        <v>0</v>
      </c>
      <c r="EJ170" s="161">
        <f t="shared" si="282"/>
        <v>0</v>
      </c>
      <c r="EK170" s="147">
        <f t="shared" si="283"/>
        <v>122.68518518518519</v>
      </c>
      <c r="EL170" s="149"/>
      <c r="EN170" s="146"/>
      <c r="EO170" s="146"/>
      <c r="EP170" s="139">
        <f t="shared" si="284"/>
        <v>0</v>
      </c>
      <c r="EQ170" s="139">
        <f t="shared" si="285"/>
        <v>0</v>
      </c>
      <c r="ER170" s="139">
        <f t="shared" si="286"/>
        <v>2.4290933525861971</v>
      </c>
      <c r="ES170" s="139">
        <f t="shared" si="287"/>
        <v>0</v>
      </c>
      <c r="ET170" s="139">
        <f t="shared" si="288"/>
        <v>0</v>
      </c>
      <c r="EU170" s="139">
        <f t="shared" si="289"/>
        <v>0</v>
      </c>
      <c r="EV170" s="139">
        <f t="shared" si="290"/>
        <v>20.484279814786305</v>
      </c>
      <c r="EW170" s="139">
        <f t="shared" si="291"/>
        <v>0</v>
      </c>
      <c r="EX170" s="139">
        <f t="shared" si="292"/>
        <v>0</v>
      </c>
      <c r="EY170" s="139">
        <f t="shared" si="293"/>
        <v>0</v>
      </c>
      <c r="EZ170" s="139">
        <f t="shared" si="294"/>
        <v>0</v>
      </c>
      <c r="FA170" s="139">
        <f t="shared" si="295"/>
        <v>0</v>
      </c>
      <c r="FB170" s="139">
        <f t="shared" si="296"/>
        <v>0</v>
      </c>
      <c r="FC170" s="139">
        <f t="shared" si="297"/>
        <v>0</v>
      </c>
      <c r="FD170" s="139">
        <f t="shared" si="298"/>
        <v>0</v>
      </c>
      <c r="FE170" s="139">
        <f t="shared" si="299"/>
        <v>0</v>
      </c>
      <c r="FF170" s="139">
        <f t="shared" si="300"/>
        <v>0</v>
      </c>
      <c r="FG170" s="139">
        <f t="shared" si="301"/>
        <v>0</v>
      </c>
      <c r="FH170" s="139">
        <f t="shared" si="302"/>
        <v>0</v>
      </c>
      <c r="FI170" s="139">
        <f t="shared" si="303"/>
        <v>0</v>
      </c>
      <c r="FJ170" s="139">
        <f t="shared" si="304"/>
        <v>0</v>
      </c>
      <c r="FK170" s="139">
        <f t="shared" si="305"/>
        <v>0</v>
      </c>
      <c r="FL170" s="139">
        <f t="shared" si="306"/>
        <v>0</v>
      </c>
      <c r="FM170" s="139">
        <f t="shared" si="307"/>
        <v>0</v>
      </c>
      <c r="FN170" s="139">
        <f t="shared" si="308"/>
        <v>0</v>
      </c>
      <c r="FO170" s="139">
        <f t="shared" si="309"/>
        <v>0</v>
      </c>
      <c r="FP170" s="139">
        <f t="shared" si="310"/>
        <v>0</v>
      </c>
      <c r="FQ170" s="139">
        <f t="shared" si="311"/>
        <v>0</v>
      </c>
      <c r="FR170" s="139">
        <f t="shared" si="312"/>
        <v>0</v>
      </c>
      <c r="FS170" s="139">
        <f t="shared" si="313"/>
        <v>0</v>
      </c>
      <c r="FT170" s="139">
        <f t="shared" si="314"/>
        <v>0</v>
      </c>
      <c r="FU170" s="148">
        <f t="shared" si="315"/>
        <v>22.913373167372502</v>
      </c>
      <c r="FV170" s="149"/>
      <c r="FY170" s="210">
        <v>165</v>
      </c>
      <c r="FZ170">
        <v>4.3314491464492066</v>
      </c>
      <c r="GA170">
        <v>27.528667765194413</v>
      </c>
      <c r="GB170">
        <v>19.261749142634059</v>
      </c>
      <c r="GC170">
        <v>5.8384289094177788</v>
      </c>
      <c r="GD170">
        <v>4.1835865039505791</v>
      </c>
      <c r="GE170">
        <v>8.6249671827503374</v>
      </c>
      <c r="GF170">
        <v>5.3780883129399912</v>
      </c>
      <c r="GG170">
        <v>4.6151849061043873</v>
      </c>
      <c r="GH170">
        <v>6.3954939183898345</v>
      </c>
      <c r="GI170">
        <v>9.8785642346279161</v>
      </c>
      <c r="GJ170"/>
      <c r="GK170"/>
      <c r="GL170"/>
      <c r="GM170"/>
    </row>
    <row r="171" spans="1:195" s="7" customFormat="1">
      <c r="A171" s="1"/>
      <c r="B171" s="76">
        <f ca="1">IF(C171="", "", RAND())</f>
        <v>0.50620934530565709</v>
      </c>
      <c r="C171">
        <v>6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169.16337231004553</v>
      </c>
      <c r="AO171">
        <v>12.089426803854405</v>
      </c>
      <c r="AP171">
        <v>83.274364404068933</v>
      </c>
      <c r="AQ171">
        <v>72.471314838165299</v>
      </c>
      <c r="AR171">
        <v>11.206109363938063</v>
      </c>
      <c r="AS171">
        <v>120.53961189775798</v>
      </c>
      <c r="AT171">
        <v>5.7077323228766517</v>
      </c>
      <c r="AU171">
        <v>-10.388573966178729</v>
      </c>
      <c r="AV171"/>
      <c r="AW171"/>
      <c r="AX171" s="146"/>
      <c r="AY171" s="76">
        <f t="shared" ca="1" si="245"/>
        <v>0.2640306992641559</v>
      </c>
      <c r="AZ171">
        <v>4</v>
      </c>
      <c r="BA171" s="129">
        <f t="shared" si="319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46"/>
        <v>0.30491619183129437</v>
      </c>
      <c r="CL171" s="179">
        <f t="shared" si="247"/>
        <v>4</v>
      </c>
      <c r="CM171" s="180">
        <f t="shared" si="248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317"/>
        <v>9.6000000000000002E-2</v>
      </c>
      <c r="DB171" s="146"/>
      <c r="DC171" s="76">
        <f t="shared" ca="1" si="249"/>
        <v>0.17362659257401636</v>
      </c>
      <c r="DD171">
        <f t="shared" si="250"/>
        <v>4</v>
      </c>
      <c r="DE171" s="129">
        <f t="shared" si="318"/>
        <v>39949</v>
      </c>
      <c r="DF171" s="161">
        <f t="shared" si="252"/>
        <v>0</v>
      </c>
      <c r="DG171" s="161">
        <f t="shared" si="253"/>
        <v>0</v>
      </c>
      <c r="DH171" s="161">
        <f t="shared" si="254"/>
        <v>0</v>
      </c>
      <c r="DI171" s="161">
        <f t="shared" si="255"/>
        <v>0</v>
      </c>
      <c r="DJ171" s="161">
        <f t="shared" si="256"/>
        <v>0</v>
      </c>
      <c r="DK171" s="161">
        <f t="shared" si="257"/>
        <v>0</v>
      </c>
      <c r="DL171" s="161">
        <f t="shared" si="258"/>
        <v>0</v>
      </c>
      <c r="DM171" s="161">
        <f t="shared" si="259"/>
        <v>0</v>
      </c>
      <c r="DN171" s="161">
        <f t="shared" si="260"/>
        <v>0</v>
      </c>
      <c r="DO171" s="161">
        <f t="shared" si="261"/>
        <v>0</v>
      </c>
      <c r="DP171" s="161">
        <f t="shared" si="262"/>
        <v>0</v>
      </c>
      <c r="DQ171" s="161">
        <f t="shared" si="263"/>
        <v>0</v>
      </c>
      <c r="DR171" s="161">
        <f t="shared" si="264"/>
        <v>0</v>
      </c>
      <c r="DS171" s="161">
        <f t="shared" si="265"/>
        <v>0</v>
      </c>
      <c r="DT171" s="161">
        <f t="shared" si="266"/>
        <v>0</v>
      </c>
      <c r="DU171" s="161">
        <f t="shared" si="267"/>
        <v>0</v>
      </c>
      <c r="DV171" s="161">
        <f t="shared" si="268"/>
        <v>0</v>
      </c>
      <c r="DW171" s="161">
        <f t="shared" si="269"/>
        <v>0</v>
      </c>
      <c r="DX171" s="161">
        <f t="shared" si="270"/>
        <v>0</v>
      </c>
      <c r="DY171" s="161">
        <f t="shared" si="271"/>
        <v>0</v>
      </c>
      <c r="DZ171" s="161">
        <f t="shared" si="272"/>
        <v>0</v>
      </c>
      <c r="EA171" s="161">
        <f t="shared" si="273"/>
        <v>0</v>
      </c>
      <c r="EB171" s="161">
        <f t="shared" si="274"/>
        <v>0</v>
      </c>
      <c r="EC171" s="161">
        <f t="shared" si="275"/>
        <v>0</v>
      </c>
      <c r="ED171" s="161">
        <f t="shared" si="276"/>
        <v>0</v>
      </c>
      <c r="EE171" s="161">
        <f t="shared" si="277"/>
        <v>0</v>
      </c>
      <c r="EF171" s="161">
        <f t="shared" si="278"/>
        <v>0</v>
      </c>
      <c r="EG171" s="161">
        <f t="shared" si="279"/>
        <v>0</v>
      </c>
      <c r="EH171" s="161">
        <f t="shared" si="280"/>
        <v>0</v>
      </c>
      <c r="EI171" s="161">
        <f t="shared" si="281"/>
        <v>0</v>
      </c>
      <c r="EJ171" s="161">
        <f t="shared" si="282"/>
        <v>0</v>
      </c>
      <c r="EK171" s="147">
        <f t="shared" si="283"/>
        <v>0</v>
      </c>
      <c r="EL171" s="149"/>
      <c r="EN171" s="146"/>
      <c r="EO171" s="146"/>
      <c r="EP171" s="139">
        <f t="shared" si="284"/>
        <v>0</v>
      </c>
      <c r="EQ171" s="139">
        <f t="shared" si="285"/>
        <v>0</v>
      </c>
      <c r="ER171" s="139">
        <f t="shared" si="286"/>
        <v>0</v>
      </c>
      <c r="ES171" s="139">
        <f t="shared" si="287"/>
        <v>0</v>
      </c>
      <c r="ET171" s="139">
        <f t="shared" si="288"/>
        <v>0</v>
      </c>
      <c r="EU171" s="139">
        <f t="shared" si="289"/>
        <v>0</v>
      </c>
      <c r="EV171" s="139">
        <f t="shared" si="290"/>
        <v>0</v>
      </c>
      <c r="EW171" s="139">
        <f t="shared" si="291"/>
        <v>0</v>
      </c>
      <c r="EX171" s="139">
        <f t="shared" si="292"/>
        <v>0</v>
      </c>
      <c r="EY171" s="139">
        <f t="shared" si="293"/>
        <v>0</v>
      </c>
      <c r="EZ171" s="139">
        <f t="shared" si="294"/>
        <v>0</v>
      </c>
      <c r="FA171" s="139">
        <f t="shared" si="295"/>
        <v>0</v>
      </c>
      <c r="FB171" s="139">
        <f t="shared" si="296"/>
        <v>0</v>
      </c>
      <c r="FC171" s="139">
        <f t="shared" si="297"/>
        <v>0</v>
      </c>
      <c r="FD171" s="139">
        <f t="shared" si="298"/>
        <v>0</v>
      </c>
      <c r="FE171" s="139">
        <f t="shared" si="299"/>
        <v>0</v>
      </c>
      <c r="FF171" s="139">
        <f t="shared" si="300"/>
        <v>0</v>
      </c>
      <c r="FG171" s="139">
        <f t="shared" si="301"/>
        <v>0</v>
      </c>
      <c r="FH171" s="139">
        <f t="shared" si="302"/>
        <v>0</v>
      </c>
      <c r="FI171" s="139">
        <f t="shared" si="303"/>
        <v>0</v>
      </c>
      <c r="FJ171" s="139">
        <f t="shared" si="304"/>
        <v>0</v>
      </c>
      <c r="FK171" s="139">
        <f t="shared" si="305"/>
        <v>0</v>
      </c>
      <c r="FL171" s="139">
        <f t="shared" si="306"/>
        <v>0</v>
      </c>
      <c r="FM171" s="139">
        <f t="shared" si="307"/>
        <v>0</v>
      </c>
      <c r="FN171" s="139">
        <f t="shared" si="308"/>
        <v>0</v>
      </c>
      <c r="FO171" s="139">
        <f t="shared" si="309"/>
        <v>0</v>
      </c>
      <c r="FP171" s="139">
        <f t="shared" si="310"/>
        <v>0</v>
      </c>
      <c r="FQ171" s="139">
        <f t="shared" si="311"/>
        <v>0</v>
      </c>
      <c r="FR171" s="139">
        <f t="shared" si="312"/>
        <v>0</v>
      </c>
      <c r="FS171" s="139">
        <f t="shared" si="313"/>
        <v>0</v>
      </c>
      <c r="FT171" s="139">
        <f t="shared" si="314"/>
        <v>0</v>
      </c>
      <c r="FU171" s="148">
        <f t="shared" si="315"/>
        <v>0</v>
      </c>
      <c r="FV171" s="149"/>
      <c r="FY171" s="210">
        <v>166</v>
      </c>
      <c r="FZ171">
        <v>7.2170147507757392</v>
      </c>
      <c r="GA171">
        <v>32.787587034021655</v>
      </c>
      <c r="GB171">
        <v>27.216338539634677</v>
      </c>
      <c r="GC171">
        <v>10.908790581022201</v>
      </c>
      <c r="GD171">
        <v>3.1134279290143345</v>
      </c>
      <c r="GE171">
        <v>4.7560989552384134</v>
      </c>
      <c r="GF171">
        <v>6.1379950432372485</v>
      </c>
      <c r="GG171">
        <v>2.9728592388897086</v>
      </c>
      <c r="GH171">
        <v>4.0120601238940088</v>
      </c>
      <c r="GI171">
        <v>11.494470369188576</v>
      </c>
      <c r="GJ171"/>
      <c r="GK171"/>
      <c r="GL171"/>
      <c r="GM171"/>
    </row>
    <row r="172" spans="1:195" s="7" customFormat="1">
      <c r="A172" s="1"/>
      <c r="B172" s="76">
        <f ca="1">IF(C172="", "", RAND())</f>
        <v>0.42134485670900457</v>
      </c>
      <c r="C172">
        <v>5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142.85967994731203</v>
      </c>
      <c r="AO172">
        <v>12.52328414928277</v>
      </c>
      <c r="AP172">
        <v>99.128760028459794</v>
      </c>
      <c r="AQ172">
        <v>75.576552976277469</v>
      </c>
      <c r="AR172">
        <v>11.762859388917317</v>
      </c>
      <c r="AS172">
        <v>119.42833524244028</v>
      </c>
      <c r="AT172">
        <v>4.9417963180372277</v>
      </c>
      <c r="AU172">
        <v>-11.261012586681941</v>
      </c>
      <c r="AV172"/>
      <c r="AW172"/>
      <c r="AX172" s="146"/>
      <c r="AY172" s="76">
        <f t="shared" ca="1" si="245"/>
        <v>0.88514792550151977</v>
      </c>
      <c r="AZ172">
        <v>5</v>
      </c>
      <c r="BA172" s="129">
        <f t="shared" si="319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46"/>
        <v>0.50324806455081528</v>
      </c>
      <c r="CL172" s="179">
        <f t="shared" si="247"/>
        <v>5</v>
      </c>
      <c r="CM172" s="180">
        <f t="shared" si="248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317"/>
        <v>9.6000000000000002E-2</v>
      </c>
      <c r="DB172" s="146"/>
      <c r="DC172" s="76">
        <f t="shared" ca="1" si="249"/>
        <v>0.23887721385650895</v>
      </c>
      <c r="DD172">
        <f t="shared" si="250"/>
        <v>5</v>
      </c>
      <c r="DE172" s="129">
        <f t="shared" si="318"/>
        <v>39949</v>
      </c>
      <c r="DF172" s="161">
        <f t="shared" si="252"/>
        <v>0</v>
      </c>
      <c r="DG172" s="161">
        <f t="shared" si="253"/>
        <v>0</v>
      </c>
      <c r="DH172" s="161">
        <f t="shared" si="254"/>
        <v>0</v>
      </c>
      <c r="DI172" s="161">
        <f t="shared" si="255"/>
        <v>0</v>
      </c>
      <c r="DJ172" s="161">
        <f t="shared" si="256"/>
        <v>0</v>
      </c>
      <c r="DK172" s="161">
        <f t="shared" si="257"/>
        <v>0</v>
      </c>
      <c r="DL172" s="161">
        <f t="shared" si="258"/>
        <v>0</v>
      </c>
      <c r="DM172" s="161">
        <f t="shared" si="259"/>
        <v>0</v>
      </c>
      <c r="DN172" s="161">
        <f t="shared" si="260"/>
        <v>0</v>
      </c>
      <c r="DO172" s="161">
        <f t="shared" si="261"/>
        <v>0</v>
      </c>
      <c r="DP172" s="161">
        <f t="shared" si="262"/>
        <v>0</v>
      </c>
      <c r="DQ172" s="161">
        <f t="shared" si="263"/>
        <v>0</v>
      </c>
      <c r="DR172" s="161">
        <f t="shared" si="264"/>
        <v>0</v>
      </c>
      <c r="DS172" s="161">
        <f t="shared" si="265"/>
        <v>0</v>
      </c>
      <c r="DT172" s="161">
        <f t="shared" si="266"/>
        <v>0</v>
      </c>
      <c r="DU172" s="161">
        <f t="shared" si="267"/>
        <v>0</v>
      </c>
      <c r="DV172" s="161">
        <f t="shared" si="268"/>
        <v>0</v>
      </c>
      <c r="DW172" s="161">
        <f t="shared" si="269"/>
        <v>0</v>
      </c>
      <c r="DX172" s="161">
        <f t="shared" si="270"/>
        <v>0</v>
      </c>
      <c r="DY172" s="161">
        <f t="shared" si="271"/>
        <v>0</v>
      </c>
      <c r="DZ172" s="161">
        <f t="shared" si="272"/>
        <v>0</v>
      </c>
      <c r="EA172" s="161">
        <f t="shared" si="273"/>
        <v>0</v>
      </c>
      <c r="EB172" s="161">
        <f t="shared" si="274"/>
        <v>0</v>
      </c>
      <c r="EC172" s="161">
        <f t="shared" si="275"/>
        <v>0</v>
      </c>
      <c r="ED172" s="161">
        <f t="shared" si="276"/>
        <v>0</v>
      </c>
      <c r="EE172" s="161">
        <f t="shared" si="277"/>
        <v>0</v>
      </c>
      <c r="EF172" s="161">
        <f t="shared" si="278"/>
        <v>0</v>
      </c>
      <c r="EG172" s="161">
        <f t="shared" si="279"/>
        <v>0</v>
      </c>
      <c r="EH172" s="161">
        <f t="shared" si="280"/>
        <v>0</v>
      </c>
      <c r="EI172" s="161">
        <f t="shared" si="281"/>
        <v>0</v>
      </c>
      <c r="EJ172" s="161">
        <f t="shared" si="282"/>
        <v>0</v>
      </c>
      <c r="EK172" s="147">
        <f t="shared" si="283"/>
        <v>0</v>
      </c>
      <c r="EL172" s="149"/>
      <c r="EN172" s="146"/>
      <c r="EO172" s="146"/>
      <c r="EP172" s="139">
        <f t="shared" si="284"/>
        <v>0</v>
      </c>
      <c r="EQ172" s="139">
        <f t="shared" si="285"/>
        <v>0</v>
      </c>
      <c r="ER172" s="139">
        <f t="shared" si="286"/>
        <v>0</v>
      </c>
      <c r="ES172" s="139">
        <f t="shared" si="287"/>
        <v>0</v>
      </c>
      <c r="ET172" s="139">
        <f t="shared" si="288"/>
        <v>0</v>
      </c>
      <c r="EU172" s="139">
        <f t="shared" si="289"/>
        <v>0</v>
      </c>
      <c r="EV172" s="139">
        <f t="shared" si="290"/>
        <v>0</v>
      </c>
      <c r="EW172" s="139">
        <f t="shared" si="291"/>
        <v>0</v>
      </c>
      <c r="EX172" s="139">
        <f t="shared" si="292"/>
        <v>0</v>
      </c>
      <c r="EY172" s="139">
        <f t="shared" si="293"/>
        <v>0</v>
      </c>
      <c r="EZ172" s="139">
        <f t="shared" si="294"/>
        <v>0</v>
      </c>
      <c r="FA172" s="139">
        <f t="shared" si="295"/>
        <v>0</v>
      </c>
      <c r="FB172" s="139">
        <f t="shared" si="296"/>
        <v>0</v>
      </c>
      <c r="FC172" s="139">
        <f t="shared" si="297"/>
        <v>0</v>
      </c>
      <c r="FD172" s="139">
        <f t="shared" si="298"/>
        <v>0</v>
      </c>
      <c r="FE172" s="139">
        <f t="shared" si="299"/>
        <v>0</v>
      </c>
      <c r="FF172" s="139">
        <f t="shared" si="300"/>
        <v>0</v>
      </c>
      <c r="FG172" s="139">
        <f t="shared" si="301"/>
        <v>0</v>
      </c>
      <c r="FH172" s="139">
        <f t="shared" si="302"/>
        <v>0</v>
      </c>
      <c r="FI172" s="139">
        <f t="shared" si="303"/>
        <v>0</v>
      </c>
      <c r="FJ172" s="139">
        <f t="shared" si="304"/>
        <v>0</v>
      </c>
      <c r="FK172" s="139">
        <f t="shared" si="305"/>
        <v>0</v>
      </c>
      <c r="FL172" s="139">
        <f t="shared" si="306"/>
        <v>0</v>
      </c>
      <c r="FM172" s="139">
        <f t="shared" si="307"/>
        <v>0</v>
      </c>
      <c r="FN172" s="139">
        <f t="shared" si="308"/>
        <v>0</v>
      </c>
      <c r="FO172" s="139">
        <f t="shared" si="309"/>
        <v>0</v>
      </c>
      <c r="FP172" s="139">
        <f t="shared" si="310"/>
        <v>0</v>
      </c>
      <c r="FQ172" s="139">
        <f t="shared" si="311"/>
        <v>0</v>
      </c>
      <c r="FR172" s="139">
        <f t="shared" si="312"/>
        <v>0</v>
      </c>
      <c r="FS172" s="139">
        <f t="shared" si="313"/>
        <v>0</v>
      </c>
      <c r="FT172" s="139">
        <f t="shared" si="314"/>
        <v>0</v>
      </c>
      <c r="FU172" s="148">
        <f t="shared" si="315"/>
        <v>0</v>
      </c>
      <c r="FV172" s="149"/>
      <c r="FY172" s="210">
        <v>167</v>
      </c>
      <c r="FZ172">
        <v>1.4563494846329843</v>
      </c>
      <c r="GA172">
        <v>16.41328553627703</v>
      </c>
      <c r="GB172">
        <v>20.556262874762918</v>
      </c>
      <c r="GC172">
        <v>10.27432602216237</v>
      </c>
      <c r="GD172">
        <v>3.098570312553703</v>
      </c>
      <c r="GE172">
        <v>4.2818859828692624</v>
      </c>
      <c r="GF172">
        <v>7.9216698776950434</v>
      </c>
      <c r="GG172">
        <v>2.3022940300024901</v>
      </c>
      <c r="GH172">
        <v>1.2260871785806891</v>
      </c>
      <c r="GI172">
        <v>8.8065706268698403</v>
      </c>
      <c r="GJ172"/>
      <c r="GK172"/>
      <c r="GL172"/>
      <c r="GM172"/>
    </row>
    <row r="173" spans="1:195" s="7" customFormat="1">
      <c r="A173" s="1"/>
      <c r="B173" s="76">
        <f ca="1">IF(C173="", "", RAND())</f>
        <v>0.18200620027044723</v>
      </c>
      <c r="C173">
        <v>2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181.44394064587175</v>
      </c>
      <c r="AO173">
        <v>14.106288358353172</v>
      </c>
      <c r="AP173">
        <v>116.83493590229068</v>
      </c>
      <c r="AQ173">
        <v>93.816689599979796</v>
      </c>
      <c r="AR173">
        <v>13.16674325345636</v>
      </c>
      <c r="AS173">
        <v>136.90488636770033</v>
      </c>
      <c r="AT173" t="e">
        <v>#DIV/0!</v>
      </c>
      <c r="AU173" t="e">
        <v>#DIV/0!</v>
      </c>
      <c r="AV173"/>
      <c r="AW173"/>
      <c r="AX173" s="146"/>
      <c r="AY173" s="76">
        <f t="shared" ca="1" si="245"/>
        <v>0.83525409651470905</v>
      </c>
      <c r="AZ173">
        <v>6</v>
      </c>
      <c r="BA173" s="129">
        <f t="shared" si="319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46"/>
        <v>0.16041342673745262</v>
      </c>
      <c r="CL173" s="179">
        <f t="shared" si="247"/>
        <v>6</v>
      </c>
      <c r="CM173" s="180">
        <f t="shared" si="248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317"/>
        <v>9.6000000000000002E-2</v>
      </c>
      <c r="DB173" s="146"/>
      <c r="DC173" s="76">
        <f t="shared" ca="1" si="249"/>
        <v>0.5660520582522055</v>
      </c>
      <c r="DD173">
        <f t="shared" si="250"/>
        <v>6</v>
      </c>
      <c r="DE173" s="129">
        <f t="shared" si="318"/>
        <v>39949</v>
      </c>
      <c r="DF173" s="161">
        <f t="shared" si="252"/>
        <v>0</v>
      </c>
      <c r="DG173" s="161">
        <f t="shared" si="253"/>
        <v>0</v>
      </c>
      <c r="DH173" s="161">
        <f t="shared" si="254"/>
        <v>0</v>
      </c>
      <c r="DI173" s="161">
        <f t="shared" si="255"/>
        <v>0</v>
      </c>
      <c r="DJ173" s="161">
        <f t="shared" si="256"/>
        <v>0</v>
      </c>
      <c r="DK173" s="161">
        <f t="shared" si="257"/>
        <v>0</v>
      </c>
      <c r="DL173" s="161">
        <f t="shared" si="258"/>
        <v>0</v>
      </c>
      <c r="DM173" s="161">
        <f t="shared" si="259"/>
        <v>0</v>
      </c>
      <c r="DN173" s="161">
        <f t="shared" si="260"/>
        <v>0</v>
      </c>
      <c r="DO173" s="161">
        <f t="shared" si="261"/>
        <v>0</v>
      </c>
      <c r="DP173" s="161">
        <f t="shared" si="262"/>
        <v>0</v>
      </c>
      <c r="DQ173" s="161">
        <f t="shared" si="263"/>
        <v>0</v>
      </c>
      <c r="DR173" s="161">
        <f t="shared" si="264"/>
        <v>0</v>
      </c>
      <c r="DS173" s="161">
        <f t="shared" si="265"/>
        <v>0</v>
      </c>
      <c r="DT173" s="161">
        <f t="shared" si="266"/>
        <v>0</v>
      </c>
      <c r="DU173" s="161">
        <f t="shared" si="267"/>
        <v>0</v>
      </c>
      <c r="DV173" s="161">
        <f t="shared" si="268"/>
        <v>0</v>
      </c>
      <c r="DW173" s="161">
        <f t="shared" si="269"/>
        <v>0</v>
      </c>
      <c r="DX173" s="161">
        <f t="shared" si="270"/>
        <v>0</v>
      </c>
      <c r="DY173" s="161">
        <f t="shared" si="271"/>
        <v>0</v>
      </c>
      <c r="DZ173" s="161">
        <f t="shared" si="272"/>
        <v>0</v>
      </c>
      <c r="EA173" s="161">
        <f t="shared" si="273"/>
        <v>0</v>
      </c>
      <c r="EB173" s="161">
        <f t="shared" si="274"/>
        <v>0</v>
      </c>
      <c r="EC173" s="161">
        <f t="shared" si="275"/>
        <v>0</v>
      </c>
      <c r="ED173" s="161">
        <f t="shared" si="276"/>
        <v>0</v>
      </c>
      <c r="EE173" s="161">
        <f t="shared" si="277"/>
        <v>0</v>
      </c>
      <c r="EF173" s="161">
        <f t="shared" si="278"/>
        <v>0</v>
      </c>
      <c r="EG173" s="161">
        <f t="shared" si="279"/>
        <v>0</v>
      </c>
      <c r="EH173" s="161">
        <f t="shared" si="280"/>
        <v>0</v>
      </c>
      <c r="EI173" s="161">
        <f t="shared" si="281"/>
        <v>0</v>
      </c>
      <c r="EJ173" s="161">
        <f t="shared" si="282"/>
        <v>0</v>
      </c>
      <c r="EK173" s="147">
        <f t="shared" si="283"/>
        <v>0</v>
      </c>
      <c r="EL173" s="149"/>
      <c r="EN173" s="146"/>
      <c r="EO173" s="146"/>
      <c r="EP173" s="139">
        <f t="shared" si="284"/>
        <v>0</v>
      </c>
      <c r="EQ173" s="139">
        <f t="shared" si="285"/>
        <v>0</v>
      </c>
      <c r="ER173" s="139">
        <f t="shared" si="286"/>
        <v>0</v>
      </c>
      <c r="ES173" s="139">
        <f t="shared" si="287"/>
        <v>0</v>
      </c>
      <c r="ET173" s="139">
        <f t="shared" si="288"/>
        <v>0</v>
      </c>
      <c r="EU173" s="139">
        <f t="shared" si="289"/>
        <v>0</v>
      </c>
      <c r="EV173" s="139">
        <f t="shared" si="290"/>
        <v>0</v>
      </c>
      <c r="EW173" s="139">
        <f t="shared" si="291"/>
        <v>0</v>
      </c>
      <c r="EX173" s="139">
        <f t="shared" si="292"/>
        <v>0</v>
      </c>
      <c r="EY173" s="139">
        <f t="shared" si="293"/>
        <v>0</v>
      </c>
      <c r="EZ173" s="139">
        <f t="shared" si="294"/>
        <v>0</v>
      </c>
      <c r="FA173" s="139">
        <f t="shared" si="295"/>
        <v>0</v>
      </c>
      <c r="FB173" s="139">
        <f t="shared" si="296"/>
        <v>0</v>
      </c>
      <c r="FC173" s="139">
        <f t="shared" si="297"/>
        <v>0</v>
      </c>
      <c r="FD173" s="139">
        <f t="shared" si="298"/>
        <v>0</v>
      </c>
      <c r="FE173" s="139">
        <f t="shared" si="299"/>
        <v>0</v>
      </c>
      <c r="FF173" s="139">
        <f t="shared" si="300"/>
        <v>0</v>
      </c>
      <c r="FG173" s="139">
        <f t="shared" si="301"/>
        <v>0</v>
      </c>
      <c r="FH173" s="139">
        <f t="shared" si="302"/>
        <v>0</v>
      </c>
      <c r="FI173" s="139">
        <f t="shared" si="303"/>
        <v>0</v>
      </c>
      <c r="FJ173" s="139">
        <f t="shared" si="304"/>
        <v>0</v>
      </c>
      <c r="FK173" s="139">
        <f t="shared" si="305"/>
        <v>0</v>
      </c>
      <c r="FL173" s="139">
        <f t="shared" si="306"/>
        <v>0</v>
      </c>
      <c r="FM173" s="139">
        <f t="shared" si="307"/>
        <v>0</v>
      </c>
      <c r="FN173" s="139">
        <f t="shared" si="308"/>
        <v>0</v>
      </c>
      <c r="FO173" s="139">
        <f t="shared" si="309"/>
        <v>0</v>
      </c>
      <c r="FP173" s="139">
        <f t="shared" si="310"/>
        <v>0</v>
      </c>
      <c r="FQ173" s="139">
        <f t="shared" si="311"/>
        <v>0</v>
      </c>
      <c r="FR173" s="139">
        <f t="shared" si="312"/>
        <v>0</v>
      </c>
      <c r="FS173" s="139">
        <f t="shared" si="313"/>
        <v>0</v>
      </c>
      <c r="FT173" s="139">
        <f t="shared" si="314"/>
        <v>0</v>
      </c>
      <c r="FU173" s="148">
        <f t="shared" si="315"/>
        <v>0</v>
      </c>
      <c r="FV173" s="149"/>
      <c r="FY173" s="210">
        <v>168</v>
      </c>
      <c r="FZ173">
        <v>4.6397070121521331</v>
      </c>
      <c r="GA173">
        <v>20.089538844126004</v>
      </c>
      <c r="GB173">
        <v>17.044311239663376</v>
      </c>
      <c r="GC173">
        <v>7.3225242960104371</v>
      </c>
      <c r="GD173">
        <v>3.3467310352513873</v>
      </c>
      <c r="GE173">
        <v>4.0616853852191452</v>
      </c>
      <c r="GF173">
        <v>3.2175913341994358</v>
      </c>
      <c r="GG173">
        <v>1.2943546988421759</v>
      </c>
      <c r="GH173">
        <v>0.32186128889656296</v>
      </c>
      <c r="GI173">
        <v>7.5022591983083746</v>
      </c>
      <c r="GJ173"/>
      <c r="GK173"/>
      <c r="GL173"/>
      <c r="GM173"/>
    </row>
    <row r="174" spans="1:195" s="7" customFormat="1">
      <c r="A174" s="1"/>
      <c r="B174" s="76">
        <f ca="1">IF(C174="", "", RAND())</f>
        <v>8.9591114633484903E-2</v>
      </c>
      <c r="C174">
        <v>10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197.48528762231913</v>
      </c>
      <c r="AO174">
        <v>14.039672021146345</v>
      </c>
      <c r="AP174">
        <v>106.47061581814987</v>
      </c>
      <c r="AQ174">
        <v>84.960271809364173</v>
      </c>
      <c r="AR174">
        <v>13.141139047911738</v>
      </c>
      <c r="AS174">
        <v>139.76684540135574</v>
      </c>
      <c r="AT174">
        <v>6.2527171148774174</v>
      </c>
      <c r="AU174">
        <v>57.082620649979852</v>
      </c>
      <c r="AV174"/>
      <c r="AW174"/>
      <c r="AX174" s="146"/>
      <c r="AY174" s="76">
        <f t="shared" ca="1" si="245"/>
        <v>0.97393263516315542</v>
      </c>
      <c r="AZ174">
        <v>7</v>
      </c>
      <c r="BA174" s="129">
        <f t="shared" si="319"/>
        <v>39949</v>
      </c>
      <c r="BB174" s="216">
        <v>0</v>
      </c>
      <c r="BC174" s="216"/>
      <c r="BD174" s="216"/>
      <c r="BE174" s="216"/>
      <c r="BF174" s="216"/>
      <c r="BG174" s="216"/>
      <c r="BH174" s="216"/>
      <c r="BI174" s="216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46"/>
        <v>0.83474633210944127</v>
      </c>
      <c r="CL174" s="179">
        <f t="shared" si="247"/>
        <v>7</v>
      </c>
      <c r="CM174" s="180">
        <f t="shared" si="248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317"/>
        <v>9.6000000000000002E-2</v>
      </c>
      <c r="DB174" s="146"/>
      <c r="DC174" s="76">
        <f t="shared" ca="1" si="249"/>
        <v>0.22453688244347347</v>
      </c>
      <c r="DD174">
        <f t="shared" si="250"/>
        <v>7</v>
      </c>
      <c r="DE174" s="129">
        <f t="shared" si="318"/>
        <v>39949</v>
      </c>
      <c r="DF174" s="161">
        <f t="shared" si="252"/>
        <v>0</v>
      </c>
      <c r="DG174" s="161">
        <f t="shared" si="253"/>
        <v>0</v>
      </c>
      <c r="DH174" s="161">
        <f t="shared" si="254"/>
        <v>0</v>
      </c>
      <c r="DI174" s="161">
        <f t="shared" si="255"/>
        <v>0</v>
      </c>
      <c r="DJ174" s="161">
        <f t="shared" si="256"/>
        <v>0</v>
      </c>
      <c r="DK174" s="161">
        <f t="shared" si="257"/>
        <v>0</v>
      </c>
      <c r="DL174" s="161">
        <f t="shared" si="258"/>
        <v>0</v>
      </c>
      <c r="DM174" s="161">
        <f t="shared" si="259"/>
        <v>0</v>
      </c>
      <c r="DN174" s="161">
        <f t="shared" si="260"/>
        <v>0</v>
      </c>
      <c r="DO174" s="161">
        <f t="shared" si="261"/>
        <v>0</v>
      </c>
      <c r="DP174" s="161">
        <f t="shared" si="262"/>
        <v>0</v>
      </c>
      <c r="DQ174" s="161">
        <f t="shared" si="263"/>
        <v>0</v>
      </c>
      <c r="DR174" s="161">
        <f t="shared" si="264"/>
        <v>0</v>
      </c>
      <c r="DS174" s="161">
        <f t="shared" si="265"/>
        <v>0</v>
      </c>
      <c r="DT174" s="161">
        <f t="shared" si="266"/>
        <v>0</v>
      </c>
      <c r="DU174" s="161">
        <f t="shared" si="267"/>
        <v>0</v>
      </c>
      <c r="DV174" s="161">
        <f t="shared" si="268"/>
        <v>0</v>
      </c>
      <c r="DW174" s="161">
        <f t="shared" si="269"/>
        <v>0</v>
      </c>
      <c r="DX174" s="161">
        <f t="shared" si="270"/>
        <v>0</v>
      </c>
      <c r="DY174" s="161">
        <f t="shared" si="271"/>
        <v>0</v>
      </c>
      <c r="DZ174" s="161">
        <f t="shared" si="272"/>
        <v>0</v>
      </c>
      <c r="EA174" s="161">
        <f t="shared" si="273"/>
        <v>0</v>
      </c>
      <c r="EB174" s="161">
        <f t="shared" si="274"/>
        <v>0</v>
      </c>
      <c r="EC174" s="161">
        <f t="shared" si="275"/>
        <v>0</v>
      </c>
      <c r="ED174" s="161">
        <f t="shared" si="276"/>
        <v>0</v>
      </c>
      <c r="EE174" s="161">
        <f t="shared" si="277"/>
        <v>0</v>
      </c>
      <c r="EF174" s="161">
        <f t="shared" si="278"/>
        <v>0</v>
      </c>
      <c r="EG174" s="161">
        <f t="shared" si="279"/>
        <v>0</v>
      </c>
      <c r="EH174" s="161">
        <f t="shared" si="280"/>
        <v>0</v>
      </c>
      <c r="EI174" s="161">
        <f t="shared" si="281"/>
        <v>0</v>
      </c>
      <c r="EJ174" s="161">
        <f t="shared" si="282"/>
        <v>0</v>
      </c>
      <c r="EK174" s="147">
        <f t="shared" si="283"/>
        <v>0</v>
      </c>
      <c r="EL174" s="149"/>
      <c r="EN174" s="146"/>
      <c r="EO174" s="146"/>
      <c r="EP174" s="139">
        <f t="shared" si="284"/>
        <v>0</v>
      </c>
      <c r="EQ174" s="139">
        <f t="shared" si="285"/>
        <v>0</v>
      </c>
      <c r="ER174" s="139">
        <f t="shared" si="286"/>
        <v>0</v>
      </c>
      <c r="ES174" s="139">
        <f t="shared" si="287"/>
        <v>0</v>
      </c>
      <c r="ET174" s="139">
        <f t="shared" si="288"/>
        <v>0</v>
      </c>
      <c r="EU174" s="139">
        <f t="shared" si="289"/>
        <v>0</v>
      </c>
      <c r="EV174" s="139">
        <f t="shared" si="290"/>
        <v>0</v>
      </c>
      <c r="EW174" s="139">
        <f t="shared" si="291"/>
        <v>0</v>
      </c>
      <c r="EX174" s="139">
        <f t="shared" si="292"/>
        <v>0</v>
      </c>
      <c r="EY174" s="139">
        <f t="shared" si="293"/>
        <v>0</v>
      </c>
      <c r="EZ174" s="139">
        <f t="shared" si="294"/>
        <v>0</v>
      </c>
      <c r="FA174" s="139">
        <f t="shared" si="295"/>
        <v>0</v>
      </c>
      <c r="FB174" s="139">
        <f t="shared" si="296"/>
        <v>0</v>
      </c>
      <c r="FC174" s="139">
        <f t="shared" si="297"/>
        <v>0</v>
      </c>
      <c r="FD174" s="139">
        <f t="shared" si="298"/>
        <v>0</v>
      </c>
      <c r="FE174" s="139">
        <f t="shared" si="299"/>
        <v>0</v>
      </c>
      <c r="FF174" s="139">
        <f t="shared" si="300"/>
        <v>0</v>
      </c>
      <c r="FG174" s="139">
        <f t="shared" si="301"/>
        <v>0</v>
      </c>
      <c r="FH174" s="139">
        <f t="shared" si="302"/>
        <v>0</v>
      </c>
      <c r="FI174" s="139">
        <f t="shared" si="303"/>
        <v>0</v>
      </c>
      <c r="FJ174" s="139">
        <f t="shared" si="304"/>
        <v>0</v>
      </c>
      <c r="FK174" s="139">
        <f t="shared" si="305"/>
        <v>0</v>
      </c>
      <c r="FL174" s="139">
        <f t="shared" si="306"/>
        <v>0</v>
      </c>
      <c r="FM174" s="139">
        <f t="shared" si="307"/>
        <v>0</v>
      </c>
      <c r="FN174" s="139">
        <f t="shared" si="308"/>
        <v>0</v>
      </c>
      <c r="FO174" s="139">
        <f t="shared" si="309"/>
        <v>0</v>
      </c>
      <c r="FP174" s="139">
        <f t="shared" si="310"/>
        <v>0</v>
      </c>
      <c r="FQ174" s="139">
        <f t="shared" si="311"/>
        <v>0</v>
      </c>
      <c r="FR174" s="139">
        <f t="shared" si="312"/>
        <v>0</v>
      </c>
      <c r="FS174" s="139">
        <f t="shared" si="313"/>
        <v>0</v>
      </c>
      <c r="FT174" s="139">
        <f t="shared" si="314"/>
        <v>0</v>
      </c>
      <c r="FU174" s="148">
        <f t="shared" si="315"/>
        <v>0</v>
      </c>
      <c r="FV174" s="149"/>
      <c r="FY174" s="210">
        <v>169</v>
      </c>
      <c r="FZ174">
        <v>6.8364208035095864</v>
      </c>
      <c r="GA174">
        <v>30.752433173582155</v>
      </c>
      <c r="GB174">
        <v>24.317863420741023</v>
      </c>
      <c r="GC174">
        <v>10.128364703803367</v>
      </c>
      <c r="GD174">
        <v>4.2174000417773758</v>
      </c>
      <c r="GE174">
        <v>5.6140609741508474</v>
      </c>
      <c r="GF174">
        <v>4.3053014803570564</v>
      </c>
      <c r="GG174">
        <v>2.2913033741316107</v>
      </c>
      <c r="GH174">
        <v>2.5188439423783215</v>
      </c>
      <c r="GI174">
        <v>10.741638124754768</v>
      </c>
      <c r="GJ174"/>
      <c r="GK174"/>
      <c r="GL174"/>
      <c r="GM174"/>
    </row>
    <row r="175" spans="1:195" s="7" customFormat="1">
      <c r="A175" s="1"/>
      <c r="B175" s="76">
        <f ca="1">IF(C175="", "", RAND())</f>
        <v>0.57851757275702198</v>
      </c>
      <c r="C175">
        <v>9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180.52567533420932</v>
      </c>
      <c r="AO175">
        <v>15.055842058829153</v>
      </c>
      <c r="AP175">
        <v>121.92489543522812</v>
      </c>
      <c r="AQ175">
        <v>94.558148683027028</v>
      </c>
      <c r="AR175">
        <v>14.158497396720636</v>
      </c>
      <c r="AS175">
        <v>140.09755441842316</v>
      </c>
      <c r="AT175" t="e">
        <v>#DIV/0!</v>
      </c>
      <c r="AU175" t="e">
        <v>#DIV/0!</v>
      </c>
      <c r="AV175"/>
      <c r="AW175"/>
      <c r="AX175" s="146"/>
      <c r="AY175" s="76">
        <f t="shared" ca="1" si="245"/>
        <v>0.38838514655453071</v>
      </c>
      <c r="AZ175">
        <v>8</v>
      </c>
      <c r="BA175" s="129">
        <f t="shared" si="319"/>
        <v>39949</v>
      </c>
      <c r="BB175">
        <v>0</v>
      </c>
      <c r="BC175"/>
      <c r="BD175">
        <v>1</v>
      </c>
      <c r="BE175">
        <v>1</v>
      </c>
      <c r="BF175"/>
      <c r="BG175">
        <v>1</v>
      </c>
      <c r="BH175">
        <v>3</v>
      </c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46"/>
        <v>0.3403564622123163</v>
      </c>
      <c r="CL175" s="179">
        <f t="shared" si="247"/>
        <v>8</v>
      </c>
      <c r="CM175" s="180">
        <f t="shared" si="248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317"/>
        <v>9.6000000000000002E-2</v>
      </c>
      <c r="DB175" s="146"/>
      <c r="DC175" s="76">
        <f t="shared" ca="1" si="249"/>
        <v>0.35326874959292209</v>
      </c>
      <c r="DD175">
        <f t="shared" si="250"/>
        <v>8</v>
      </c>
      <c r="DE175" s="129">
        <f t="shared" si="318"/>
        <v>39949</v>
      </c>
      <c r="DF175" s="161">
        <f t="shared" si="252"/>
        <v>0</v>
      </c>
      <c r="DG175" s="161">
        <f t="shared" si="253"/>
        <v>0</v>
      </c>
      <c r="DH175" s="161">
        <f t="shared" si="254"/>
        <v>10.416666666666666</v>
      </c>
      <c r="DI175" s="161">
        <f t="shared" si="255"/>
        <v>10.416666666666666</v>
      </c>
      <c r="DJ175" s="161">
        <f t="shared" si="256"/>
        <v>0</v>
      </c>
      <c r="DK175" s="161">
        <f t="shared" si="257"/>
        <v>10.416666666666666</v>
      </c>
      <c r="DL175" s="161">
        <f t="shared" si="258"/>
        <v>31.25</v>
      </c>
      <c r="DM175" s="161">
        <f t="shared" si="259"/>
        <v>0</v>
      </c>
      <c r="DN175" s="161">
        <f t="shared" si="260"/>
        <v>0</v>
      </c>
      <c r="DO175" s="161">
        <f t="shared" si="261"/>
        <v>0</v>
      </c>
      <c r="DP175" s="161">
        <f t="shared" si="262"/>
        <v>0</v>
      </c>
      <c r="DQ175" s="161">
        <f t="shared" si="263"/>
        <v>0</v>
      </c>
      <c r="DR175" s="161">
        <f t="shared" si="264"/>
        <v>0</v>
      </c>
      <c r="DS175" s="161">
        <f t="shared" si="265"/>
        <v>0</v>
      </c>
      <c r="DT175" s="161">
        <f t="shared" si="266"/>
        <v>0</v>
      </c>
      <c r="DU175" s="161">
        <f t="shared" si="267"/>
        <v>0</v>
      </c>
      <c r="DV175" s="161">
        <f t="shared" si="268"/>
        <v>0</v>
      </c>
      <c r="DW175" s="161">
        <f t="shared" si="269"/>
        <v>0</v>
      </c>
      <c r="DX175" s="161">
        <f t="shared" si="270"/>
        <v>0</v>
      </c>
      <c r="DY175" s="161">
        <f t="shared" si="271"/>
        <v>0</v>
      </c>
      <c r="DZ175" s="161">
        <f t="shared" si="272"/>
        <v>0</v>
      </c>
      <c r="EA175" s="161">
        <f t="shared" si="273"/>
        <v>0</v>
      </c>
      <c r="EB175" s="161">
        <f t="shared" si="274"/>
        <v>0</v>
      </c>
      <c r="EC175" s="161">
        <f t="shared" si="275"/>
        <v>0</v>
      </c>
      <c r="ED175" s="161">
        <f t="shared" si="276"/>
        <v>0</v>
      </c>
      <c r="EE175" s="161">
        <f t="shared" si="277"/>
        <v>0</v>
      </c>
      <c r="EF175" s="161">
        <f t="shared" si="278"/>
        <v>0</v>
      </c>
      <c r="EG175" s="161">
        <f t="shared" si="279"/>
        <v>0</v>
      </c>
      <c r="EH175" s="161">
        <f t="shared" si="280"/>
        <v>0</v>
      </c>
      <c r="EI175" s="161">
        <f t="shared" si="281"/>
        <v>0</v>
      </c>
      <c r="EJ175" s="161">
        <f t="shared" si="282"/>
        <v>0</v>
      </c>
      <c r="EK175" s="147">
        <f t="shared" si="283"/>
        <v>62.5</v>
      </c>
      <c r="EL175" s="149"/>
      <c r="EN175" s="146"/>
      <c r="EO175" s="146"/>
      <c r="EP175" s="139">
        <f t="shared" si="284"/>
        <v>0</v>
      </c>
      <c r="EQ175" s="139">
        <f t="shared" si="285"/>
        <v>0</v>
      </c>
      <c r="ER175" s="139">
        <f t="shared" si="286"/>
        <v>0.27673215409209834</v>
      </c>
      <c r="ES175" s="139">
        <f t="shared" si="287"/>
        <v>0.90342877184195758</v>
      </c>
      <c r="ET175" s="139">
        <f t="shared" si="288"/>
        <v>0</v>
      </c>
      <c r="EU175" s="139">
        <f t="shared" si="289"/>
        <v>4.0109621984668395</v>
      </c>
      <c r="EV175" s="139">
        <f t="shared" si="290"/>
        <v>20.484279814786305</v>
      </c>
      <c r="EW175" s="139">
        <f t="shared" si="291"/>
        <v>0</v>
      </c>
      <c r="EX175" s="139">
        <f t="shared" si="292"/>
        <v>0</v>
      </c>
      <c r="EY175" s="139">
        <f t="shared" si="293"/>
        <v>0</v>
      </c>
      <c r="EZ175" s="139">
        <f t="shared" si="294"/>
        <v>0</v>
      </c>
      <c r="FA175" s="139">
        <f t="shared" si="295"/>
        <v>0</v>
      </c>
      <c r="FB175" s="139">
        <f t="shared" si="296"/>
        <v>0</v>
      </c>
      <c r="FC175" s="139">
        <f t="shared" si="297"/>
        <v>0</v>
      </c>
      <c r="FD175" s="139">
        <f t="shared" si="298"/>
        <v>0</v>
      </c>
      <c r="FE175" s="139">
        <f t="shared" si="299"/>
        <v>0</v>
      </c>
      <c r="FF175" s="139">
        <f t="shared" si="300"/>
        <v>0</v>
      </c>
      <c r="FG175" s="139">
        <f t="shared" si="301"/>
        <v>0</v>
      </c>
      <c r="FH175" s="139">
        <f t="shared" si="302"/>
        <v>0</v>
      </c>
      <c r="FI175" s="139">
        <f t="shared" si="303"/>
        <v>0</v>
      </c>
      <c r="FJ175" s="139">
        <f t="shared" si="304"/>
        <v>0</v>
      </c>
      <c r="FK175" s="139">
        <f t="shared" si="305"/>
        <v>0</v>
      </c>
      <c r="FL175" s="139">
        <f t="shared" si="306"/>
        <v>0</v>
      </c>
      <c r="FM175" s="139">
        <f t="shared" si="307"/>
        <v>0</v>
      </c>
      <c r="FN175" s="139">
        <f t="shared" si="308"/>
        <v>0</v>
      </c>
      <c r="FO175" s="139">
        <f t="shared" si="309"/>
        <v>0</v>
      </c>
      <c r="FP175" s="139">
        <f t="shared" si="310"/>
        <v>0</v>
      </c>
      <c r="FQ175" s="139">
        <f t="shared" si="311"/>
        <v>0</v>
      </c>
      <c r="FR175" s="139">
        <f t="shared" si="312"/>
        <v>0</v>
      </c>
      <c r="FS175" s="139">
        <f t="shared" si="313"/>
        <v>0</v>
      </c>
      <c r="FT175" s="139">
        <f t="shared" si="314"/>
        <v>0</v>
      </c>
      <c r="FU175" s="148">
        <f t="shared" si="315"/>
        <v>25.675402939187201</v>
      </c>
      <c r="FV175" s="149"/>
      <c r="FY175" s="210">
        <v>170</v>
      </c>
      <c r="FZ175">
        <v>1.4408237221421143</v>
      </c>
      <c r="GA175">
        <v>25.431148108957835</v>
      </c>
      <c r="GB175">
        <v>28.042408747093042</v>
      </c>
      <c r="GC175">
        <v>10.737271152764272</v>
      </c>
      <c r="GD175">
        <v>2.3417051678727137</v>
      </c>
      <c r="GE175">
        <v>1.5029311580103109</v>
      </c>
      <c r="GF175">
        <v>2.0162368028874913</v>
      </c>
      <c r="GG175">
        <v>2.7493375025939688</v>
      </c>
      <c r="GH175">
        <v>2.3937507783698186</v>
      </c>
      <c r="GI175">
        <v>9.3141100908252685</v>
      </c>
      <c r="GJ175"/>
      <c r="GK175"/>
      <c r="GL175"/>
      <c r="GM175"/>
    </row>
    <row r="176" spans="1:195" s="7" customFormat="1">
      <c r="A176" s="1"/>
      <c r="B176" s="76">
        <f ca="1">IF(C176="", "", RAND())</f>
        <v>0.73792796990110543</v>
      </c>
      <c r="C176">
        <v>4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181.39600717725418</v>
      </c>
      <c r="AO176">
        <v>14.516569914639035</v>
      </c>
      <c r="AP176">
        <v>104.01595024181614</v>
      </c>
      <c r="AQ176">
        <v>87.878954409776185</v>
      </c>
      <c r="AR176">
        <v>13.609999885231302</v>
      </c>
      <c r="AS176">
        <v>131.73011451479252</v>
      </c>
      <c r="AT176">
        <v>6.3211105176202009</v>
      </c>
      <c r="AU176">
        <v>-15.839128115754683</v>
      </c>
      <c r="AV176"/>
      <c r="AW176"/>
      <c r="AX176" s="146"/>
      <c r="AY176" s="76">
        <f t="shared" ca="1" si="245"/>
        <v>0.99704838048827504</v>
      </c>
      <c r="AZ176">
        <v>9</v>
      </c>
      <c r="BA176" s="129">
        <f t="shared" si="319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46"/>
        <v>0.21409768571087096</v>
      </c>
      <c r="CL176" s="179">
        <f t="shared" si="247"/>
        <v>9</v>
      </c>
      <c r="CM176" s="180">
        <f t="shared" si="248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317"/>
        <v>9.6000000000000002E-2</v>
      </c>
      <c r="DB176" s="146"/>
      <c r="DC176" s="76">
        <f t="shared" ca="1" si="249"/>
        <v>0.94542162877654601</v>
      </c>
      <c r="DD176">
        <f t="shared" si="250"/>
        <v>9</v>
      </c>
      <c r="DE176" s="129">
        <f t="shared" si="318"/>
        <v>39949</v>
      </c>
      <c r="DF176" s="161">
        <f t="shared" si="252"/>
        <v>0</v>
      </c>
      <c r="DG176" s="161">
        <f t="shared" si="253"/>
        <v>0</v>
      </c>
      <c r="DH176" s="161">
        <f t="shared" si="254"/>
        <v>0</v>
      </c>
      <c r="DI176" s="161">
        <f t="shared" si="255"/>
        <v>0</v>
      </c>
      <c r="DJ176" s="161">
        <f t="shared" si="256"/>
        <v>0</v>
      </c>
      <c r="DK176" s="161">
        <f t="shared" si="257"/>
        <v>0</v>
      </c>
      <c r="DL176" s="161">
        <f t="shared" si="258"/>
        <v>0</v>
      </c>
      <c r="DM176" s="161">
        <f t="shared" si="259"/>
        <v>0</v>
      </c>
      <c r="DN176" s="161">
        <f t="shared" si="260"/>
        <v>0</v>
      </c>
      <c r="DO176" s="161">
        <f t="shared" si="261"/>
        <v>0</v>
      </c>
      <c r="DP176" s="161">
        <f t="shared" si="262"/>
        <v>0</v>
      </c>
      <c r="DQ176" s="161">
        <f t="shared" si="263"/>
        <v>0</v>
      </c>
      <c r="DR176" s="161">
        <f t="shared" si="264"/>
        <v>0</v>
      </c>
      <c r="DS176" s="161">
        <f t="shared" si="265"/>
        <v>0</v>
      </c>
      <c r="DT176" s="161">
        <f t="shared" si="266"/>
        <v>0</v>
      </c>
      <c r="DU176" s="161">
        <f t="shared" si="267"/>
        <v>0</v>
      </c>
      <c r="DV176" s="161">
        <f t="shared" si="268"/>
        <v>0</v>
      </c>
      <c r="DW176" s="161">
        <f t="shared" si="269"/>
        <v>0</v>
      </c>
      <c r="DX176" s="161">
        <f t="shared" si="270"/>
        <v>0</v>
      </c>
      <c r="DY176" s="161">
        <f t="shared" si="271"/>
        <v>0</v>
      </c>
      <c r="DZ176" s="161">
        <f t="shared" si="272"/>
        <v>0</v>
      </c>
      <c r="EA176" s="161">
        <f t="shared" si="273"/>
        <v>0</v>
      </c>
      <c r="EB176" s="161">
        <f t="shared" si="274"/>
        <v>0</v>
      </c>
      <c r="EC176" s="161">
        <f t="shared" si="275"/>
        <v>0</v>
      </c>
      <c r="ED176" s="161">
        <f t="shared" si="276"/>
        <v>0</v>
      </c>
      <c r="EE176" s="161">
        <f t="shared" si="277"/>
        <v>0</v>
      </c>
      <c r="EF176" s="161">
        <f t="shared" si="278"/>
        <v>0</v>
      </c>
      <c r="EG176" s="161">
        <f t="shared" si="279"/>
        <v>0</v>
      </c>
      <c r="EH176" s="161">
        <f t="shared" si="280"/>
        <v>0</v>
      </c>
      <c r="EI176" s="161">
        <f t="shared" si="281"/>
        <v>0</v>
      </c>
      <c r="EJ176" s="161">
        <f t="shared" si="282"/>
        <v>0</v>
      </c>
      <c r="EK176" s="147">
        <f t="shared" si="283"/>
        <v>0</v>
      </c>
      <c r="EL176" s="149"/>
      <c r="EN176" s="146"/>
      <c r="EO176" s="146"/>
      <c r="EP176" s="139">
        <f t="shared" si="284"/>
        <v>0</v>
      </c>
      <c r="EQ176" s="139">
        <f t="shared" si="285"/>
        <v>0</v>
      </c>
      <c r="ER176" s="139">
        <f t="shared" si="286"/>
        <v>0</v>
      </c>
      <c r="ES176" s="139">
        <f t="shared" si="287"/>
        <v>0</v>
      </c>
      <c r="ET176" s="139">
        <f t="shared" si="288"/>
        <v>0</v>
      </c>
      <c r="EU176" s="139">
        <f t="shared" si="289"/>
        <v>0</v>
      </c>
      <c r="EV176" s="139">
        <f t="shared" si="290"/>
        <v>0</v>
      </c>
      <c r="EW176" s="139">
        <f t="shared" si="291"/>
        <v>0</v>
      </c>
      <c r="EX176" s="139">
        <f t="shared" si="292"/>
        <v>0</v>
      </c>
      <c r="EY176" s="139">
        <f t="shared" si="293"/>
        <v>0</v>
      </c>
      <c r="EZ176" s="139">
        <f t="shared" si="294"/>
        <v>0</v>
      </c>
      <c r="FA176" s="139">
        <f t="shared" si="295"/>
        <v>0</v>
      </c>
      <c r="FB176" s="139">
        <f t="shared" si="296"/>
        <v>0</v>
      </c>
      <c r="FC176" s="139">
        <f t="shared" si="297"/>
        <v>0</v>
      </c>
      <c r="FD176" s="139">
        <f t="shared" si="298"/>
        <v>0</v>
      </c>
      <c r="FE176" s="139">
        <f t="shared" si="299"/>
        <v>0</v>
      </c>
      <c r="FF176" s="139">
        <f t="shared" si="300"/>
        <v>0</v>
      </c>
      <c r="FG176" s="139">
        <f t="shared" si="301"/>
        <v>0</v>
      </c>
      <c r="FH176" s="139">
        <f t="shared" si="302"/>
        <v>0</v>
      </c>
      <c r="FI176" s="139">
        <f t="shared" si="303"/>
        <v>0</v>
      </c>
      <c r="FJ176" s="139">
        <f t="shared" si="304"/>
        <v>0</v>
      </c>
      <c r="FK176" s="139">
        <f t="shared" si="305"/>
        <v>0</v>
      </c>
      <c r="FL176" s="139">
        <f t="shared" si="306"/>
        <v>0</v>
      </c>
      <c r="FM176" s="139">
        <f t="shared" si="307"/>
        <v>0</v>
      </c>
      <c r="FN176" s="139">
        <f t="shared" si="308"/>
        <v>0</v>
      </c>
      <c r="FO176" s="139">
        <f t="shared" si="309"/>
        <v>0</v>
      </c>
      <c r="FP176" s="139">
        <f t="shared" si="310"/>
        <v>0</v>
      </c>
      <c r="FQ176" s="139">
        <f t="shared" si="311"/>
        <v>0</v>
      </c>
      <c r="FR176" s="139">
        <f t="shared" si="312"/>
        <v>0</v>
      </c>
      <c r="FS176" s="139">
        <f t="shared" si="313"/>
        <v>0</v>
      </c>
      <c r="FT176" s="139">
        <f t="shared" si="314"/>
        <v>0</v>
      </c>
      <c r="FU176" s="148">
        <f t="shared" si="315"/>
        <v>0</v>
      </c>
      <c r="FV176" s="149"/>
      <c r="FY176" s="210">
        <v>171</v>
      </c>
      <c r="FZ176">
        <v>3.7496373018532294</v>
      </c>
      <c r="GA176">
        <v>19.574064602421615</v>
      </c>
      <c r="GB176">
        <v>18.957933219417509</v>
      </c>
      <c r="GC176">
        <v>7.8087753356346639</v>
      </c>
      <c r="GD176">
        <v>2.8960944267069286</v>
      </c>
      <c r="GE176">
        <v>4.7560216796094572</v>
      </c>
      <c r="GF176">
        <v>2.9172297137646819</v>
      </c>
      <c r="GG176">
        <v>1.6441260247105225</v>
      </c>
      <c r="GH176">
        <v>3.9440764558444483</v>
      </c>
      <c r="GI176">
        <v>8.1569606694592665</v>
      </c>
      <c r="GJ176"/>
      <c r="GK176"/>
      <c r="GL176"/>
      <c r="GM176"/>
    </row>
    <row r="177" spans="1:195" s="7" customFormat="1">
      <c r="A177" s="1"/>
      <c r="B177" s="76">
        <f ca="1">IF(C177="", "", RAND())</f>
        <v>0.42374313938386021</v>
      </c>
      <c r="C177">
        <v>1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235.00717558925277</v>
      </c>
      <c r="AO177">
        <v>15.134007257556528</v>
      </c>
      <c r="AP177">
        <v>111.72286904968836</v>
      </c>
      <c r="AQ177">
        <v>90.599244172490017</v>
      </c>
      <c r="AR177">
        <v>13.774379954522029</v>
      </c>
      <c r="AS177">
        <v>156.37774215169389</v>
      </c>
      <c r="AT177" t="e">
        <v>#DIV/0!</v>
      </c>
      <c r="AU177" t="e">
        <v>#DIV/0!</v>
      </c>
      <c r="AV177"/>
      <c r="AW177"/>
      <c r="AX177" s="146"/>
      <c r="AY177" s="76">
        <f t="shared" ca="1" si="245"/>
        <v>5.1243699987129965E-2</v>
      </c>
      <c r="AZ177">
        <v>10</v>
      </c>
      <c r="BA177" s="129">
        <f t="shared" si="319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46"/>
        <v>0.91163784490151478</v>
      </c>
      <c r="CL177" s="179">
        <f t="shared" si="247"/>
        <v>10</v>
      </c>
      <c r="CM177" s="180">
        <f t="shared" si="248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317"/>
        <v>9.6000000000000002E-2</v>
      </c>
      <c r="DB177" s="146"/>
      <c r="DC177" s="76">
        <f t="shared" ca="1" si="249"/>
        <v>7.2302354545064063E-2</v>
      </c>
      <c r="DD177">
        <f t="shared" si="250"/>
        <v>10</v>
      </c>
      <c r="DE177" s="129">
        <f t="shared" si="318"/>
        <v>39949</v>
      </c>
      <c r="DF177" s="161">
        <f t="shared" si="252"/>
        <v>0</v>
      </c>
      <c r="DG177" s="161">
        <f t="shared" si="253"/>
        <v>0</v>
      </c>
      <c r="DH177" s="161">
        <f t="shared" si="254"/>
        <v>0</v>
      </c>
      <c r="DI177" s="161">
        <f t="shared" si="255"/>
        <v>0</v>
      </c>
      <c r="DJ177" s="161">
        <f t="shared" si="256"/>
        <v>0</v>
      </c>
      <c r="DK177" s="161">
        <f t="shared" si="257"/>
        <v>0</v>
      </c>
      <c r="DL177" s="161">
        <f t="shared" si="258"/>
        <v>0</v>
      </c>
      <c r="DM177" s="161">
        <f t="shared" si="259"/>
        <v>0</v>
      </c>
      <c r="DN177" s="161">
        <f t="shared" si="260"/>
        <v>0</v>
      </c>
      <c r="DO177" s="161">
        <f t="shared" si="261"/>
        <v>0</v>
      </c>
      <c r="DP177" s="161">
        <f t="shared" si="262"/>
        <v>0</v>
      </c>
      <c r="DQ177" s="161">
        <f t="shared" si="263"/>
        <v>0</v>
      </c>
      <c r="DR177" s="161">
        <f t="shared" si="264"/>
        <v>0</v>
      </c>
      <c r="DS177" s="161">
        <f t="shared" si="265"/>
        <v>0</v>
      </c>
      <c r="DT177" s="161">
        <f t="shared" si="266"/>
        <v>0</v>
      </c>
      <c r="DU177" s="161">
        <f t="shared" si="267"/>
        <v>0</v>
      </c>
      <c r="DV177" s="161">
        <f t="shared" si="268"/>
        <v>0</v>
      </c>
      <c r="DW177" s="161">
        <f t="shared" si="269"/>
        <v>0</v>
      </c>
      <c r="DX177" s="161">
        <f t="shared" si="270"/>
        <v>0</v>
      </c>
      <c r="DY177" s="161">
        <f t="shared" si="271"/>
        <v>0</v>
      </c>
      <c r="DZ177" s="161">
        <f t="shared" si="272"/>
        <v>0</v>
      </c>
      <c r="EA177" s="161">
        <f t="shared" si="273"/>
        <v>0</v>
      </c>
      <c r="EB177" s="161">
        <f t="shared" si="274"/>
        <v>0</v>
      </c>
      <c r="EC177" s="161">
        <f t="shared" si="275"/>
        <v>0</v>
      </c>
      <c r="ED177" s="161">
        <f t="shared" si="276"/>
        <v>0</v>
      </c>
      <c r="EE177" s="161">
        <f t="shared" si="277"/>
        <v>0</v>
      </c>
      <c r="EF177" s="161">
        <f t="shared" si="278"/>
        <v>0</v>
      </c>
      <c r="EG177" s="161">
        <f t="shared" si="279"/>
        <v>0</v>
      </c>
      <c r="EH177" s="161">
        <f t="shared" si="280"/>
        <v>0</v>
      </c>
      <c r="EI177" s="161">
        <f t="shared" si="281"/>
        <v>0</v>
      </c>
      <c r="EJ177" s="161">
        <f t="shared" si="282"/>
        <v>0</v>
      </c>
      <c r="EK177" s="147">
        <f t="shared" si="283"/>
        <v>0</v>
      </c>
      <c r="EL177" s="149"/>
      <c r="EN177" s="146"/>
      <c r="EO177" s="146"/>
      <c r="EP177" s="139">
        <f t="shared" si="284"/>
        <v>0</v>
      </c>
      <c r="EQ177" s="139">
        <f t="shared" si="285"/>
        <v>0</v>
      </c>
      <c r="ER177" s="139">
        <f t="shared" si="286"/>
        <v>0</v>
      </c>
      <c r="ES177" s="139">
        <f t="shared" si="287"/>
        <v>0</v>
      </c>
      <c r="ET177" s="139">
        <f t="shared" si="288"/>
        <v>0</v>
      </c>
      <c r="EU177" s="139">
        <f t="shared" si="289"/>
        <v>0</v>
      </c>
      <c r="EV177" s="139">
        <f t="shared" si="290"/>
        <v>0</v>
      </c>
      <c r="EW177" s="139">
        <f t="shared" si="291"/>
        <v>0</v>
      </c>
      <c r="EX177" s="139">
        <f t="shared" si="292"/>
        <v>0</v>
      </c>
      <c r="EY177" s="139">
        <f t="shared" si="293"/>
        <v>0</v>
      </c>
      <c r="EZ177" s="139">
        <f t="shared" si="294"/>
        <v>0</v>
      </c>
      <c r="FA177" s="139">
        <f t="shared" si="295"/>
        <v>0</v>
      </c>
      <c r="FB177" s="139">
        <f t="shared" si="296"/>
        <v>0</v>
      </c>
      <c r="FC177" s="139">
        <f t="shared" si="297"/>
        <v>0</v>
      </c>
      <c r="FD177" s="139">
        <f t="shared" si="298"/>
        <v>0</v>
      </c>
      <c r="FE177" s="139">
        <f t="shared" si="299"/>
        <v>0</v>
      </c>
      <c r="FF177" s="139">
        <f t="shared" si="300"/>
        <v>0</v>
      </c>
      <c r="FG177" s="139">
        <f t="shared" si="301"/>
        <v>0</v>
      </c>
      <c r="FH177" s="139">
        <f t="shared" si="302"/>
        <v>0</v>
      </c>
      <c r="FI177" s="139">
        <f t="shared" si="303"/>
        <v>0</v>
      </c>
      <c r="FJ177" s="139">
        <f t="shared" si="304"/>
        <v>0</v>
      </c>
      <c r="FK177" s="139">
        <f t="shared" si="305"/>
        <v>0</v>
      </c>
      <c r="FL177" s="139">
        <f t="shared" si="306"/>
        <v>0</v>
      </c>
      <c r="FM177" s="139">
        <f t="shared" si="307"/>
        <v>0</v>
      </c>
      <c r="FN177" s="139">
        <f t="shared" si="308"/>
        <v>0</v>
      </c>
      <c r="FO177" s="139">
        <f t="shared" si="309"/>
        <v>0</v>
      </c>
      <c r="FP177" s="139">
        <f t="shared" si="310"/>
        <v>0</v>
      </c>
      <c r="FQ177" s="139">
        <f t="shared" si="311"/>
        <v>0</v>
      </c>
      <c r="FR177" s="139">
        <f t="shared" si="312"/>
        <v>0</v>
      </c>
      <c r="FS177" s="139">
        <f t="shared" si="313"/>
        <v>0</v>
      </c>
      <c r="FT177" s="139">
        <f t="shared" si="314"/>
        <v>0</v>
      </c>
      <c r="FU177" s="148">
        <f t="shared" si="315"/>
        <v>0</v>
      </c>
      <c r="FV177" s="149"/>
      <c r="FY177" s="210">
        <v>172</v>
      </c>
      <c r="FZ177">
        <v>4.4480828965514725</v>
      </c>
      <c r="GA177">
        <v>23.089356731143567</v>
      </c>
      <c r="GB177">
        <v>17.447632610283378</v>
      </c>
      <c r="GC177">
        <v>8.0683846838506152</v>
      </c>
      <c r="GD177">
        <v>4.6918845157262208</v>
      </c>
      <c r="GE177">
        <v>5.5829689318091145</v>
      </c>
      <c r="GF177">
        <v>7.1374953472453075</v>
      </c>
      <c r="GG177">
        <v>4.3718760253342062</v>
      </c>
      <c r="GH177">
        <v>1.3578060336331905</v>
      </c>
      <c r="GI177">
        <v>9.2628598000837989</v>
      </c>
      <c r="GJ177"/>
      <c r="GK177"/>
      <c r="GL177"/>
      <c r="GM177"/>
    </row>
    <row r="178" spans="1:195" s="7" customFormat="1">
      <c r="A178" s="128"/>
      <c r="B178" s="76">
        <f ca="1">IF(C178="", "", RAND())</f>
        <v>0.22516883983105807</v>
      </c>
      <c r="C178">
        <v>6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218.71502512823668</v>
      </c>
      <c r="AO178">
        <v>17.3123291835517</v>
      </c>
      <c r="AP178">
        <v>130.91952079401469</v>
      </c>
      <c r="AQ178">
        <v>102.79397817767544</v>
      </c>
      <c r="AR178">
        <v>15.999369389489509</v>
      </c>
      <c r="AS178">
        <v>155.21557623822221</v>
      </c>
      <c r="AT178">
        <v>7.3982487055872523</v>
      </c>
      <c r="AU178">
        <v>-25.721167767905587</v>
      </c>
      <c r="AV178"/>
      <c r="AW178"/>
      <c r="AX178" s="128"/>
      <c r="AY178" s="76">
        <f t="shared" ca="1" si="245"/>
        <v>0.2469831969689702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46"/>
        <v>0.47613361054011705</v>
      </c>
      <c r="CL178" s="179">
        <f t="shared" si="247"/>
        <v>1</v>
      </c>
      <c r="CM178" s="180">
        <f t="shared" si="248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317"/>
        <v>9.6000000000000002E-2</v>
      </c>
      <c r="DB178" s="128"/>
      <c r="DC178" s="76">
        <f t="shared" ca="1" si="249"/>
        <v>0.88612442743021036</v>
      </c>
      <c r="DD178">
        <f t="shared" si="250"/>
        <v>1</v>
      </c>
      <c r="DE178" s="129">
        <f t="shared" ref="DE178:DE187" si="320">IF((DD178)="", "", $C$13)</f>
        <v>39987</v>
      </c>
      <c r="DF178" s="161">
        <f t="shared" si="252"/>
        <v>0</v>
      </c>
      <c r="DG178" s="161">
        <f t="shared" si="253"/>
        <v>0</v>
      </c>
      <c r="DH178" s="161">
        <f t="shared" si="254"/>
        <v>0</v>
      </c>
      <c r="DI178" s="161">
        <f t="shared" si="255"/>
        <v>0</v>
      </c>
      <c r="DJ178" s="161">
        <f t="shared" si="256"/>
        <v>0</v>
      </c>
      <c r="DK178" s="161">
        <f t="shared" si="257"/>
        <v>0</v>
      </c>
      <c r="DL178" s="161">
        <f t="shared" si="258"/>
        <v>0</v>
      </c>
      <c r="DM178" s="161">
        <f t="shared" si="259"/>
        <v>0</v>
      </c>
      <c r="DN178" s="161">
        <f t="shared" si="260"/>
        <v>0</v>
      </c>
      <c r="DO178" s="161">
        <f t="shared" si="261"/>
        <v>0</v>
      </c>
      <c r="DP178" s="161">
        <f t="shared" si="262"/>
        <v>0</v>
      </c>
      <c r="DQ178" s="161">
        <f t="shared" si="263"/>
        <v>0</v>
      </c>
      <c r="DR178" s="161">
        <f t="shared" si="264"/>
        <v>0</v>
      </c>
      <c r="DS178" s="161">
        <f t="shared" si="265"/>
        <v>0</v>
      </c>
      <c r="DT178" s="161">
        <f t="shared" si="266"/>
        <v>0</v>
      </c>
      <c r="DU178" s="161">
        <f t="shared" si="267"/>
        <v>0</v>
      </c>
      <c r="DV178" s="161">
        <f t="shared" si="268"/>
        <v>0</v>
      </c>
      <c r="DW178" s="161">
        <f t="shared" si="269"/>
        <v>0</v>
      </c>
      <c r="DX178" s="161">
        <f t="shared" si="270"/>
        <v>0</v>
      </c>
      <c r="DY178" s="161">
        <f t="shared" si="271"/>
        <v>0</v>
      </c>
      <c r="DZ178" s="161">
        <f t="shared" si="272"/>
        <v>0</v>
      </c>
      <c r="EA178" s="161">
        <f t="shared" si="273"/>
        <v>0</v>
      </c>
      <c r="EB178" s="161">
        <f t="shared" si="274"/>
        <v>0</v>
      </c>
      <c r="EC178" s="161">
        <f t="shared" si="275"/>
        <v>0</v>
      </c>
      <c r="ED178" s="161">
        <f t="shared" si="276"/>
        <v>0</v>
      </c>
      <c r="EE178" s="161">
        <f t="shared" si="277"/>
        <v>0</v>
      </c>
      <c r="EF178" s="161">
        <f t="shared" si="278"/>
        <v>0</v>
      </c>
      <c r="EG178" s="161">
        <f t="shared" si="279"/>
        <v>0</v>
      </c>
      <c r="EH178" s="161">
        <f t="shared" si="280"/>
        <v>0</v>
      </c>
      <c r="EI178" s="161">
        <f t="shared" si="281"/>
        <v>0</v>
      </c>
      <c r="EJ178" s="161">
        <f t="shared" si="282"/>
        <v>0</v>
      </c>
      <c r="EK178" s="147">
        <f t="shared" si="283"/>
        <v>0</v>
      </c>
      <c r="EL178" s="149"/>
      <c r="EN178" s="146"/>
      <c r="EO178" s="146"/>
      <c r="EP178" s="139">
        <f t="shared" si="284"/>
        <v>0</v>
      </c>
      <c r="EQ178" s="139">
        <f t="shared" si="285"/>
        <v>0</v>
      </c>
      <c r="ER178" s="139">
        <f t="shared" si="286"/>
        <v>0</v>
      </c>
      <c r="ES178" s="139">
        <f t="shared" si="287"/>
        <v>0</v>
      </c>
      <c r="ET178" s="139">
        <f t="shared" si="288"/>
        <v>0</v>
      </c>
      <c r="EU178" s="139">
        <f t="shared" si="289"/>
        <v>0</v>
      </c>
      <c r="EV178" s="139">
        <f t="shared" si="290"/>
        <v>0</v>
      </c>
      <c r="EW178" s="139">
        <f t="shared" si="291"/>
        <v>0</v>
      </c>
      <c r="EX178" s="139">
        <f t="shared" si="292"/>
        <v>0</v>
      </c>
      <c r="EY178" s="139">
        <f t="shared" si="293"/>
        <v>0</v>
      </c>
      <c r="EZ178" s="139">
        <f t="shared" si="294"/>
        <v>0</v>
      </c>
      <c r="FA178" s="139">
        <f t="shared" si="295"/>
        <v>0</v>
      </c>
      <c r="FB178" s="139">
        <f t="shared" si="296"/>
        <v>0</v>
      </c>
      <c r="FC178" s="139">
        <f t="shared" si="297"/>
        <v>0</v>
      </c>
      <c r="FD178" s="139">
        <f t="shared" si="298"/>
        <v>0</v>
      </c>
      <c r="FE178" s="139">
        <f t="shared" si="299"/>
        <v>0</v>
      </c>
      <c r="FF178" s="139">
        <f t="shared" si="300"/>
        <v>0</v>
      </c>
      <c r="FG178" s="139">
        <f t="shared" si="301"/>
        <v>0</v>
      </c>
      <c r="FH178" s="139">
        <f t="shared" si="302"/>
        <v>0</v>
      </c>
      <c r="FI178" s="139">
        <f t="shared" si="303"/>
        <v>0</v>
      </c>
      <c r="FJ178" s="139">
        <f t="shared" si="304"/>
        <v>0</v>
      </c>
      <c r="FK178" s="139">
        <f t="shared" si="305"/>
        <v>0</v>
      </c>
      <c r="FL178" s="139">
        <f t="shared" si="306"/>
        <v>0</v>
      </c>
      <c r="FM178" s="139">
        <f t="shared" si="307"/>
        <v>0</v>
      </c>
      <c r="FN178" s="139">
        <f t="shared" si="308"/>
        <v>0</v>
      </c>
      <c r="FO178" s="139">
        <f t="shared" si="309"/>
        <v>0</v>
      </c>
      <c r="FP178" s="139">
        <f t="shared" si="310"/>
        <v>0</v>
      </c>
      <c r="FQ178" s="139">
        <f t="shared" si="311"/>
        <v>0</v>
      </c>
      <c r="FR178" s="139">
        <f t="shared" si="312"/>
        <v>0</v>
      </c>
      <c r="FS178" s="139">
        <f t="shared" si="313"/>
        <v>0</v>
      </c>
      <c r="FT178" s="139">
        <f t="shared" si="314"/>
        <v>0</v>
      </c>
      <c r="FU178" s="148">
        <f t="shared" si="315"/>
        <v>0</v>
      </c>
      <c r="FV178" s="149"/>
      <c r="FY178" s="210">
        <v>173</v>
      </c>
      <c r="FZ178">
        <v>6.3838749688899892</v>
      </c>
      <c r="GA178">
        <v>33.146868579658907</v>
      </c>
      <c r="GB178">
        <v>29.644310006023108</v>
      </c>
      <c r="GC178">
        <v>11.188584958688645</v>
      </c>
      <c r="GD178">
        <v>2.6239147671509127</v>
      </c>
      <c r="GE178">
        <v>2.8358216372161804</v>
      </c>
      <c r="GF178">
        <v>3.2015932281995374</v>
      </c>
      <c r="GG178">
        <v>2.9366803660568532</v>
      </c>
      <c r="GH178">
        <v>3.2263017071743878</v>
      </c>
      <c r="GI178">
        <v>10.955524255438467</v>
      </c>
      <c r="GJ178"/>
      <c r="GK178"/>
      <c r="GL178"/>
      <c r="GM178"/>
    </row>
    <row r="179" spans="1:195" s="7" customFormat="1">
      <c r="A179" s="1"/>
      <c r="B179" s="76">
        <f ca="1">IF(C179="", "", RAND())</f>
        <v>9.0046355019444135E-3</v>
      </c>
      <c r="C179">
        <v>1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202.17355470155323</v>
      </c>
      <c r="AO179">
        <v>15.544300894579559</v>
      </c>
      <c r="AP179">
        <v>115.27489078650599</v>
      </c>
      <c r="AQ179">
        <v>90.765522323007303</v>
      </c>
      <c r="AR179">
        <v>14.126906836613401</v>
      </c>
      <c r="AS179">
        <v>137.3921472372686</v>
      </c>
      <c r="AT179">
        <v>5.8406250924646841</v>
      </c>
      <c r="AU179">
        <v>-6.7491793734118133</v>
      </c>
      <c r="AV179"/>
      <c r="AW179"/>
      <c r="AX179" s="146"/>
      <c r="AY179" s="76">
        <f t="shared" ca="1" si="245"/>
        <v>0.68931345320343729</v>
      </c>
      <c r="AZ179">
        <v>2</v>
      </c>
      <c r="BA179" s="129">
        <f t="shared" ref="BA179:BA187" si="321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46"/>
        <v>0.68748429103221032</v>
      </c>
      <c r="CL179" s="179">
        <f t="shared" si="247"/>
        <v>2</v>
      </c>
      <c r="CM179" s="180">
        <f t="shared" si="248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317"/>
        <v>9.6000000000000002E-2</v>
      </c>
      <c r="DB179" s="146"/>
      <c r="DC179" s="76">
        <f t="shared" ca="1" si="249"/>
        <v>0.99282733090980724</v>
      </c>
      <c r="DD179">
        <f t="shared" si="250"/>
        <v>2</v>
      </c>
      <c r="DE179" s="129">
        <f t="shared" si="320"/>
        <v>39987</v>
      </c>
      <c r="DF179" s="161">
        <f t="shared" si="252"/>
        <v>0</v>
      </c>
      <c r="DG179" s="161">
        <f t="shared" si="253"/>
        <v>0</v>
      </c>
      <c r="DH179" s="161">
        <f t="shared" si="254"/>
        <v>0</v>
      </c>
      <c r="DI179" s="161">
        <f t="shared" si="255"/>
        <v>0</v>
      </c>
      <c r="DJ179" s="161">
        <f t="shared" si="256"/>
        <v>0</v>
      </c>
      <c r="DK179" s="161">
        <f t="shared" si="257"/>
        <v>0</v>
      </c>
      <c r="DL179" s="161">
        <f t="shared" si="258"/>
        <v>0</v>
      </c>
      <c r="DM179" s="161">
        <f t="shared" si="259"/>
        <v>0</v>
      </c>
      <c r="DN179" s="161">
        <f t="shared" si="260"/>
        <v>0</v>
      </c>
      <c r="DO179" s="161">
        <f t="shared" si="261"/>
        <v>0</v>
      </c>
      <c r="DP179" s="161">
        <f t="shared" si="262"/>
        <v>0</v>
      </c>
      <c r="DQ179" s="161">
        <f t="shared" si="263"/>
        <v>0</v>
      </c>
      <c r="DR179" s="161">
        <f t="shared" si="264"/>
        <v>0</v>
      </c>
      <c r="DS179" s="161">
        <f t="shared" si="265"/>
        <v>0</v>
      </c>
      <c r="DT179" s="161">
        <f t="shared" si="266"/>
        <v>0</v>
      </c>
      <c r="DU179" s="161">
        <f t="shared" si="267"/>
        <v>0</v>
      </c>
      <c r="DV179" s="161">
        <f t="shared" si="268"/>
        <v>0</v>
      </c>
      <c r="DW179" s="161">
        <f t="shared" si="269"/>
        <v>0</v>
      </c>
      <c r="DX179" s="161">
        <f t="shared" si="270"/>
        <v>0</v>
      </c>
      <c r="DY179" s="161">
        <f t="shared" si="271"/>
        <v>0</v>
      </c>
      <c r="DZ179" s="161">
        <f t="shared" si="272"/>
        <v>0</v>
      </c>
      <c r="EA179" s="161">
        <f t="shared" si="273"/>
        <v>0</v>
      </c>
      <c r="EB179" s="161">
        <f t="shared" si="274"/>
        <v>0</v>
      </c>
      <c r="EC179" s="161">
        <f t="shared" si="275"/>
        <v>0</v>
      </c>
      <c r="ED179" s="161">
        <f t="shared" si="276"/>
        <v>0</v>
      </c>
      <c r="EE179" s="161">
        <f t="shared" si="277"/>
        <v>0</v>
      </c>
      <c r="EF179" s="161">
        <f t="shared" si="278"/>
        <v>0</v>
      </c>
      <c r="EG179" s="161">
        <f t="shared" si="279"/>
        <v>0</v>
      </c>
      <c r="EH179" s="161">
        <f t="shared" si="280"/>
        <v>0</v>
      </c>
      <c r="EI179" s="161">
        <f t="shared" si="281"/>
        <v>0</v>
      </c>
      <c r="EJ179" s="161">
        <f t="shared" si="282"/>
        <v>0</v>
      </c>
      <c r="EK179" s="147">
        <f t="shared" si="283"/>
        <v>0</v>
      </c>
      <c r="EL179" s="149"/>
      <c r="EN179" s="146"/>
      <c r="EO179" s="146"/>
      <c r="EP179" s="139">
        <f t="shared" si="284"/>
        <v>0</v>
      </c>
      <c r="EQ179" s="139">
        <f t="shared" si="285"/>
        <v>0</v>
      </c>
      <c r="ER179" s="139">
        <f t="shared" si="286"/>
        <v>0</v>
      </c>
      <c r="ES179" s="139">
        <f t="shared" si="287"/>
        <v>0</v>
      </c>
      <c r="ET179" s="139">
        <f t="shared" si="288"/>
        <v>0</v>
      </c>
      <c r="EU179" s="139">
        <f t="shared" si="289"/>
        <v>0</v>
      </c>
      <c r="EV179" s="139">
        <f t="shared" si="290"/>
        <v>0</v>
      </c>
      <c r="EW179" s="139">
        <f t="shared" si="291"/>
        <v>0</v>
      </c>
      <c r="EX179" s="139">
        <f t="shared" si="292"/>
        <v>0</v>
      </c>
      <c r="EY179" s="139">
        <f t="shared" si="293"/>
        <v>0</v>
      </c>
      <c r="EZ179" s="139">
        <f t="shared" si="294"/>
        <v>0</v>
      </c>
      <c r="FA179" s="139">
        <f t="shared" si="295"/>
        <v>0</v>
      </c>
      <c r="FB179" s="139">
        <f t="shared" si="296"/>
        <v>0</v>
      </c>
      <c r="FC179" s="139">
        <f t="shared" si="297"/>
        <v>0</v>
      </c>
      <c r="FD179" s="139">
        <f t="shared" si="298"/>
        <v>0</v>
      </c>
      <c r="FE179" s="139">
        <f t="shared" si="299"/>
        <v>0</v>
      </c>
      <c r="FF179" s="139">
        <f t="shared" si="300"/>
        <v>0</v>
      </c>
      <c r="FG179" s="139">
        <f t="shared" si="301"/>
        <v>0</v>
      </c>
      <c r="FH179" s="139">
        <f t="shared" si="302"/>
        <v>0</v>
      </c>
      <c r="FI179" s="139">
        <f t="shared" si="303"/>
        <v>0</v>
      </c>
      <c r="FJ179" s="139">
        <f t="shared" si="304"/>
        <v>0</v>
      </c>
      <c r="FK179" s="139">
        <f t="shared" si="305"/>
        <v>0</v>
      </c>
      <c r="FL179" s="139">
        <f t="shared" si="306"/>
        <v>0</v>
      </c>
      <c r="FM179" s="139">
        <f t="shared" si="307"/>
        <v>0</v>
      </c>
      <c r="FN179" s="139">
        <f t="shared" si="308"/>
        <v>0</v>
      </c>
      <c r="FO179" s="139">
        <f t="shared" si="309"/>
        <v>0</v>
      </c>
      <c r="FP179" s="139">
        <f t="shared" si="310"/>
        <v>0</v>
      </c>
      <c r="FQ179" s="139">
        <f t="shared" si="311"/>
        <v>0</v>
      </c>
      <c r="FR179" s="139">
        <f t="shared" si="312"/>
        <v>0</v>
      </c>
      <c r="FS179" s="139">
        <f t="shared" si="313"/>
        <v>0</v>
      </c>
      <c r="FT179" s="139">
        <f t="shared" si="314"/>
        <v>0</v>
      </c>
      <c r="FU179" s="148">
        <f t="shared" si="315"/>
        <v>0</v>
      </c>
      <c r="FV179" s="149"/>
      <c r="FY179" s="210">
        <v>174</v>
      </c>
      <c r="FZ179">
        <v>6.9550822932873491</v>
      </c>
      <c r="GA179">
        <v>19.951228947263168</v>
      </c>
      <c r="GB179">
        <v>22.474165007663846</v>
      </c>
      <c r="GC179">
        <v>11.888723178582062</v>
      </c>
      <c r="GD179">
        <v>4.5800663900396152</v>
      </c>
      <c r="GE179">
        <v>8.8522641048518391</v>
      </c>
      <c r="GF179">
        <v>7.7530499512624287</v>
      </c>
      <c r="GG179">
        <v>2.2895030166357651</v>
      </c>
      <c r="GH179">
        <v>3.2263017071743878</v>
      </c>
      <c r="GI179">
        <v>11.303815773539789</v>
      </c>
      <c r="GJ179"/>
      <c r="GK179"/>
      <c r="GL179"/>
      <c r="GM179"/>
    </row>
    <row r="180" spans="1:195" s="7" customFormat="1">
      <c r="A180" s="1"/>
      <c r="B180" s="76">
        <f ca="1">IF(C180="", "", RAND())</f>
        <v>0.74973575459329389</v>
      </c>
      <c r="C180">
        <v>2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226.23503015283222</v>
      </c>
      <c r="AO180">
        <v>17.073532207869867</v>
      </c>
      <c r="AP180">
        <v>140.64599288649356</v>
      </c>
      <c r="AQ180">
        <v>111.5939648397227</v>
      </c>
      <c r="AR180">
        <v>15.91631451542734</v>
      </c>
      <c r="AS180">
        <v>150.26072113161041</v>
      </c>
      <c r="AT180">
        <v>8.0906049674860565</v>
      </c>
      <c r="AU180">
        <v>-21.963958461957446</v>
      </c>
      <c r="AV180"/>
      <c r="AW180"/>
      <c r="AX180" s="146"/>
      <c r="AY180" s="76">
        <f t="shared" ca="1" si="245"/>
        <v>0.86482223717535955</v>
      </c>
      <c r="AZ180">
        <v>3</v>
      </c>
      <c r="BA180" s="129">
        <f t="shared" si="321"/>
        <v>39987</v>
      </c>
      <c r="BB180">
        <v>0</v>
      </c>
      <c r="BC180"/>
      <c r="BD180"/>
      <c r="BE180"/>
      <c r="BF180"/>
      <c r="BG180"/>
      <c r="BH180">
        <v>1</v>
      </c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46"/>
        <v>0.72809713519923291</v>
      </c>
      <c r="CL180" s="179">
        <f t="shared" si="247"/>
        <v>3</v>
      </c>
      <c r="CM180" s="180">
        <f t="shared" si="248"/>
        <v>39987</v>
      </c>
      <c r="CN180">
        <v>0</v>
      </c>
      <c r="CO180"/>
      <c r="CP180"/>
      <c r="CQ180">
        <v>1</v>
      </c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317"/>
        <v>9.6000000000000002E-2</v>
      </c>
      <c r="DB180" s="146"/>
      <c r="DC180" s="76">
        <f t="shared" ca="1" si="249"/>
        <v>0.78395446136558444</v>
      </c>
      <c r="DD180">
        <f t="shared" si="250"/>
        <v>3</v>
      </c>
      <c r="DE180" s="129">
        <f t="shared" si="320"/>
        <v>39987</v>
      </c>
      <c r="DF180" s="161">
        <f t="shared" si="252"/>
        <v>0</v>
      </c>
      <c r="DG180" s="161">
        <f t="shared" si="253"/>
        <v>0</v>
      </c>
      <c r="DH180" s="161">
        <f t="shared" si="254"/>
        <v>0</v>
      </c>
      <c r="DI180" s="161">
        <f t="shared" si="255"/>
        <v>67.51543209876543</v>
      </c>
      <c r="DJ180" s="161">
        <f t="shared" si="256"/>
        <v>0</v>
      </c>
      <c r="DK180" s="161">
        <f t="shared" si="257"/>
        <v>0</v>
      </c>
      <c r="DL180" s="161">
        <f t="shared" si="258"/>
        <v>10.416666666666666</v>
      </c>
      <c r="DM180" s="161">
        <f t="shared" si="259"/>
        <v>0</v>
      </c>
      <c r="DN180" s="161">
        <f t="shared" si="260"/>
        <v>0</v>
      </c>
      <c r="DO180" s="161">
        <f t="shared" si="261"/>
        <v>0</v>
      </c>
      <c r="DP180" s="161">
        <f t="shared" si="262"/>
        <v>0</v>
      </c>
      <c r="DQ180" s="161">
        <f t="shared" si="263"/>
        <v>0</v>
      </c>
      <c r="DR180" s="161">
        <f t="shared" si="264"/>
        <v>0</v>
      </c>
      <c r="DS180" s="161">
        <f t="shared" si="265"/>
        <v>0</v>
      </c>
      <c r="DT180" s="161">
        <f t="shared" si="266"/>
        <v>0</v>
      </c>
      <c r="DU180" s="161">
        <f t="shared" si="267"/>
        <v>0</v>
      </c>
      <c r="DV180" s="161">
        <f t="shared" si="268"/>
        <v>0</v>
      </c>
      <c r="DW180" s="161">
        <f t="shared" si="269"/>
        <v>0</v>
      </c>
      <c r="DX180" s="161">
        <f t="shared" si="270"/>
        <v>0</v>
      </c>
      <c r="DY180" s="161">
        <f t="shared" si="271"/>
        <v>0</v>
      </c>
      <c r="DZ180" s="161">
        <f t="shared" si="272"/>
        <v>0</v>
      </c>
      <c r="EA180" s="161">
        <f t="shared" si="273"/>
        <v>0</v>
      </c>
      <c r="EB180" s="161">
        <f t="shared" si="274"/>
        <v>0</v>
      </c>
      <c r="EC180" s="161">
        <f t="shared" si="275"/>
        <v>0</v>
      </c>
      <c r="ED180" s="161">
        <f t="shared" si="276"/>
        <v>0</v>
      </c>
      <c r="EE180" s="161">
        <f t="shared" si="277"/>
        <v>0</v>
      </c>
      <c r="EF180" s="161">
        <f t="shared" si="278"/>
        <v>0</v>
      </c>
      <c r="EG180" s="161">
        <f t="shared" si="279"/>
        <v>0</v>
      </c>
      <c r="EH180" s="161">
        <f t="shared" si="280"/>
        <v>0</v>
      </c>
      <c r="EI180" s="161">
        <f t="shared" si="281"/>
        <v>0</v>
      </c>
      <c r="EJ180" s="161">
        <f t="shared" si="282"/>
        <v>0</v>
      </c>
      <c r="EK180" s="147">
        <f t="shared" si="283"/>
        <v>77.932098765432102</v>
      </c>
      <c r="EL180" s="149"/>
      <c r="EN180" s="146"/>
      <c r="EO180" s="146"/>
      <c r="EP180" s="139">
        <f t="shared" si="284"/>
        <v>0</v>
      </c>
      <c r="EQ180" s="139">
        <f t="shared" si="285"/>
        <v>0</v>
      </c>
      <c r="ER180" s="139">
        <f t="shared" si="286"/>
        <v>0</v>
      </c>
      <c r="ES180" s="139">
        <f t="shared" si="287"/>
        <v>5.8555568545312067</v>
      </c>
      <c r="ET180" s="139">
        <f t="shared" si="288"/>
        <v>0</v>
      </c>
      <c r="EU180" s="139">
        <f t="shared" si="289"/>
        <v>0</v>
      </c>
      <c r="EV180" s="139">
        <f t="shared" si="290"/>
        <v>6.828093271595435</v>
      </c>
      <c r="EW180" s="139">
        <f t="shared" si="291"/>
        <v>0</v>
      </c>
      <c r="EX180" s="139">
        <f t="shared" si="292"/>
        <v>0</v>
      </c>
      <c r="EY180" s="139">
        <f t="shared" si="293"/>
        <v>0</v>
      </c>
      <c r="EZ180" s="139">
        <f t="shared" si="294"/>
        <v>0</v>
      </c>
      <c r="FA180" s="139">
        <f t="shared" si="295"/>
        <v>0</v>
      </c>
      <c r="FB180" s="139">
        <f t="shared" si="296"/>
        <v>0</v>
      </c>
      <c r="FC180" s="139">
        <f t="shared" si="297"/>
        <v>0</v>
      </c>
      <c r="FD180" s="139">
        <f t="shared" si="298"/>
        <v>0</v>
      </c>
      <c r="FE180" s="139">
        <f t="shared" si="299"/>
        <v>0</v>
      </c>
      <c r="FF180" s="139">
        <f t="shared" si="300"/>
        <v>0</v>
      </c>
      <c r="FG180" s="139">
        <f t="shared" si="301"/>
        <v>0</v>
      </c>
      <c r="FH180" s="139">
        <f t="shared" si="302"/>
        <v>0</v>
      </c>
      <c r="FI180" s="139">
        <f t="shared" si="303"/>
        <v>0</v>
      </c>
      <c r="FJ180" s="139">
        <f t="shared" si="304"/>
        <v>0</v>
      </c>
      <c r="FK180" s="139">
        <f t="shared" si="305"/>
        <v>0</v>
      </c>
      <c r="FL180" s="139">
        <f t="shared" si="306"/>
        <v>0</v>
      </c>
      <c r="FM180" s="139">
        <f t="shared" si="307"/>
        <v>0</v>
      </c>
      <c r="FN180" s="139">
        <f t="shared" si="308"/>
        <v>0</v>
      </c>
      <c r="FO180" s="139">
        <f t="shared" si="309"/>
        <v>0</v>
      </c>
      <c r="FP180" s="139">
        <f t="shared" si="310"/>
        <v>0</v>
      </c>
      <c r="FQ180" s="139">
        <f t="shared" si="311"/>
        <v>0</v>
      </c>
      <c r="FR180" s="139">
        <f t="shared" si="312"/>
        <v>0</v>
      </c>
      <c r="FS180" s="139">
        <f t="shared" si="313"/>
        <v>0</v>
      </c>
      <c r="FT180" s="139">
        <f t="shared" si="314"/>
        <v>0</v>
      </c>
      <c r="FU180" s="148">
        <f t="shared" si="315"/>
        <v>12.683650126126642</v>
      </c>
      <c r="FV180" s="149"/>
      <c r="FY180" s="210">
        <v>175</v>
      </c>
      <c r="FZ180">
        <v>4.4521257153259857</v>
      </c>
      <c r="GA180">
        <v>30.429448907502742</v>
      </c>
      <c r="GB180">
        <v>20.863975092970904</v>
      </c>
      <c r="GC180">
        <v>6.079715060006242</v>
      </c>
      <c r="GD180">
        <v>3.3286274415042589</v>
      </c>
      <c r="GE180">
        <v>4.1880673782853099</v>
      </c>
      <c r="GF180">
        <v>1.2712533861649191</v>
      </c>
      <c r="GG180">
        <v>5.3904122025939269</v>
      </c>
      <c r="GH180">
        <v>7.3700806861208994</v>
      </c>
      <c r="GI180">
        <v>9.194897086336292</v>
      </c>
      <c r="GJ180"/>
      <c r="GK180"/>
      <c r="GL180"/>
      <c r="GM180"/>
    </row>
    <row r="181" spans="1:195" s="7" customFormat="1">
      <c r="A181" s="1"/>
      <c r="B181" s="76">
        <f ca="1">IF(C181="", "", RAND())</f>
        <v>0.59677248476421951</v>
      </c>
      <c r="C181">
        <v>9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255.53600347287912</v>
      </c>
      <c r="AO181">
        <v>14.679183415878185</v>
      </c>
      <c r="AP181">
        <v>118.9284881772202</v>
      </c>
      <c r="AQ181">
        <v>96.036180022458495</v>
      </c>
      <c r="AR181">
        <v>13.56346171043538</v>
      </c>
      <c r="AS181">
        <v>148.98304682373086</v>
      </c>
      <c r="AT181">
        <v>6.1566288084737453</v>
      </c>
      <c r="AU181">
        <v>-12.116925009928508</v>
      </c>
      <c r="AV181"/>
      <c r="AW181"/>
      <c r="AX181" s="146"/>
      <c r="AY181" s="76">
        <f t="shared" ca="1" si="245"/>
        <v>0.8841306642388187</v>
      </c>
      <c r="AZ181">
        <v>4</v>
      </c>
      <c r="BA181" s="129">
        <f t="shared" si="321"/>
        <v>39987</v>
      </c>
      <c r="BB181">
        <v>0</v>
      </c>
      <c r="BC181"/>
      <c r="BD181"/>
      <c r="BE181"/>
      <c r="BF181"/>
      <c r="BG181"/>
      <c r="BH181">
        <v>1</v>
      </c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46"/>
        <v>0.39728151471944928</v>
      </c>
      <c r="CL181" s="179">
        <f t="shared" si="247"/>
        <v>4</v>
      </c>
      <c r="CM181" s="180">
        <f t="shared" si="248"/>
        <v>39987</v>
      </c>
      <c r="CN181">
        <v>0</v>
      </c>
      <c r="CO181">
        <v>1</v>
      </c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317"/>
        <v>9.6000000000000002E-2</v>
      </c>
      <c r="DB181" s="146"/>
      <c r="DC181" s="76">
        <f t="shared" ca="1" si="249"/>
        <v>0.97339468197179535</v>
      </c>
      <c r="DD181">
        <f t="shared" si="250"/>
        <v>4</v>
      </c>
      <c r="DE181" s="129">
        <f t="shared" si="320"/>
        <v>39987</v>
      </c>
      <c r="DF181" s="161">
        <f t="shared" si="252"/>
        <v>0</v>
      </c>
      <c r="DG181" s="161">
        <f t="shared" si="253"/>
        <v>88.922764227642276</v>
      </c>
      <c r="DH181" s="161">
        <f t="shared" si="254"/>
        <v>0</v>
      </c>
      <c r="DI181" s="161">
        <f t="shared" si="255"/>
        <v>0</v>
      </c>
      <c r="DJ181" s="161">
        <f t="shared" si="256"/>
        <v>0</v>
      </c>
      <c r="DK181" s="161">
        <f t="shared" si="257"/>
        <v>0</v>
      </c>
      <c r="DL181" s="161">
        <f t="shared" si="258"/>
        <v>10.416666666666666</v>
      </c>
      <c r="DM181" s="161">
        <f t="shared" si="259"/>
        <v>0</v>
      </c>
      <c r="DN181" s="161">
        <f t="shared" si="260"/>
        <v>0</v>
      </c>
      <c r="DO181" s="161">
        <f t="shared" si="261"/>
        <v>0</v>
      </c>
      <c r="DP181" s="161">
        <f t="shared" si="262"/>
        <v>0</v>
      </c>
      <c r="DQ181" s="161">
        <f t="shared" si="263"/>
        <v>0</v>
      </c>
      <c r="DR181" s="161">
        <f t="shared" si="264"/>
        <v>0</v>
      </c>
      <c r="DS181" s="161">
        <f t="shared" si="265"/>
        <v>0</v>
      </c>
      <c r="DT181" s="161">
        <f t="shared" si="266"/>
        <v>0</v>
      </c>
      <c r="DU181" s="161">
        <f t="shared" si="267"/>
        <v>0</v>
      </c>
      <c r="DV181" s="161">
        <f t="shared" si="268"/>
        <v>0</v>
      </c>
      <c r="DW181" s="161">
        <f t="shared" si="269"/>
        <v>0</v>
      </c>
      <c r="DX181" s="161">
        <f t="shared" si="270"/>
        <v>0</v>
      </c>
      <c r="DY181" s="161">
        <f t="shared" si="271"/>
        <v>0</v>
      </c>
      <c r="DZ181" s="161">
        <f t="shared" si="272"/>
        <v>0</v>
      </c>
      <c r="EA181" s="161">
        <f t="shared" si="273"/>
        <v>0</v>
      </c>
      <c r="EB181" s="161">
        <f t="shared" si="274"/>
        <v>0</v>
      </c>
      <c r="EC181" s="161">
        <f t="shared" si="275"/>
        <v>0</v>
      </c>
      <c r="ED181" s="161">
        <f t="shared" si="276"/>
        <v>0</v>
      </c>
      <c r="EE181" s="161">
        <f t="shared" si="277"/>
        <v>0</v>
      </c>
      <c r="EF181" s="161">
        <f t="shared" si="278"/>
        <v>0</v>
      </c>
      <c r="EG181" s="161">
        <f t="shared" si="279"/>
        <v>0</v>
      </c>
      <c r="EH181" s="161">
        <f t="shared" si="280"/>
        <v>0</v>
      </c>
      <c r="EI181" s="161">
        <f t="shared" si="281"/>
        <v>0</v>
      </c>
      <c r="EJ181" s="161">
        <f t="shared" si="282"/>
        <v>0</v>
      </c>
      <c r="EK181" s="147">
        <f t="shared" si="283"/>
        <v>99.339430894308947</v>
      </c>
      <c r="EL181" s="149"/>
      <c r="EN181" s="146"/>
      <c r="EO181" s="146"/>
      <c r="EP181" s="139">
        <f t="shared" si="284"/>
        <v>0</v>
      </c>
      <c r="EQ181" s="139">
        <f t="shared" si="285"/>
        <v>0.31256351626016265</v>
      </c>
      <c r="ER181" s="139">
        <f t="shared" si="286"/>
        <v>0</v>
      </c>
      <c r="ES181" s="139">
        <f t="shared" si="287"/>
        <v>0</v>
      </c>
      <c r="ET181" s="139">
        <f t="shared" si="288"/>
        <v>0</v>
      </c>
      <c r="EU181" s="139">
        <f t="shared" si="289"/>
        <v>0</v>
      </c>
      <c r="EV181" s="139">
        <f t="shared" si="290"/>
        <v>6.828093271595435</v>
      </c>
      <c r="EW181" s="139">
        <f t="shared" si="291"/>
        <v>0</v>
      </c>
      <c r="EX181" s="139">
        <f t="shared" si="292"/>
        <v>0</v>
      </c>
      <c r="EY181" s="139">
        <f t="shared" si="293"/>
        <v>0</v>
      </c>
      <c r="EZ181" s="139">
        <f t="shared" si="294"/>
        <v>0</v>
      </c>
      <c r="FA181" s="139">
        <f t="shared" si="295"/>
        <v>0</v>
      </c>
      <c r="FB181" s="139">
        <f t="shared" si="296"/>
        <v>0</v>
      </c>
      <c r="FC181" s="139">
        <f t="shared" si="297"/>
        <v>0</v>
      </c>
      <c r="FD181" s="139">
        <f t="shared" si="298"/>
        <v>0</v>
      </c>
      <c r="FE181" s="139">
        <f t="shared" si="299"/>
        <v>0</v>
      </c>
      <c r="FF181" s="139">
        <f t="shared" si="300"/>
        <v>0</v>
      </c>
      <c r="FG181" s="139">
        <f t="shared" si="301"/>
        <v>0</v>
      </c>
      <c r="FH181" s="139">
        <f t="shared" si="302"/>
        <v>0</v>
      </c>
      <c r="FI181" s="139">
        <f t="shared" si="303"/>
        <v>0</v>
      </c>
      <c r="FJ181" s="139">
        <f t="shared" si="304"/>
        <v>0</v>
      </c>
      <c r="FK181" s="139">
        <f t="shared" si="305"/>
        <v>0</v>
      </c>
      <c r="FL181" s="139">
        <f t="shared" si="306"/>
        <v>0</v>
      </c>
      <c r="FM181" s="139">
        <f t="shared" si="307"/>
        <v>0</v>
      </c>
      <c r="FN181" s="139">
        <f t="shared" si="308"/>
        <v>0</v>
      </c>
      <c r="FO181" s="139">
        <f t="shared" si="309"/>
        <v>0</v>
      </c>
      <c r="FP181" s="139">
        <f t="shared" si="310"/>
        <v>0</v>
      </c>
      <c r="FQ181" s="139">
        <f t="shared" si="311"/>
        <v>0</v>
      </c>
      <c r="FR181" s="139">
        <f t="shared" si="312"/>
        <v>0</v>
      </c>
      <c r="FS181" s="139">
        <f t="shared" si="313"/>
        <v>0</v>
      </c>
      <c r="FT181" s="139">
        <f t="shared" si="314"/>
        <v>0</v>
      </c>
      <c r="FU181" s="148">
        <f t="shared" si="315"/>
        <v>7.1406567878555975</v>
      </c>
      <c r="FV181" s="149"/>
      <c r="FY181" s="210">
        <v>176</v>
      </c>
      <c r="FZ181">
        <v>4.0788522836608827</v>
      </c>
      <c r="GA181">
        <v>21.317907083481654</v>
      </c>
      <c r="GB181">
        <v>13.123497430831142</v>
      </c>
      <c r="GC181">
        <v>5.7548241782987803</v>
      </c>
      <c r="GD181">
        <v>3.4852815308355733</v>
      </c>
      <c r="GE181">
        <v>4.9569734680294077</v>
      </c>
      <c r="GF181">
        <v>6.2196432163917761</v>
      </c>
      <c r="GG181">
        <v>1.9741102061044287</v>
      </c>
      <c r="GH181">
        <v>1.0359447447366277</v>
      </c>
      <c r="GI181">
        <v>7.2578495254372601</v>
      </c>
      <c r="GJ181"/>
      <c r="GK181"/>
      <c r="GL181"/>
      <c r="GM181"/>
    </row>
    <row r="182" spans="1:195" s="7" customFormat="1">
      <c r="A182" s="1"/>
      <c r="B182" s="76">
        <f ca="1">IF(C182="", "", RAND())</f>
        <v>0.77266663082199383</v>
      </c>
      <c r="C182">
        <v>10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189.68715351293082</v>
      </c>
      <c r="AO182">
        <v>17.296758064089794</v>
      </c>
      <c r="AP182">
        <v>143.8580287706408</v>
      </c>
      <c r="AQ182">
        <v>110.61664256491656</v>
      </c>
      <c r="AR182">
        <v>15.935196927572667</v>
      </c>
      <c r="AS182">
        <v>155.97829648898147</v>
      </c>
      <c r="AT182">
        <v>6.8815377508176248</v>
      </c>
      <c r="AU182">
        <v>-16.008459176572337</v>
      </c>
      <c r="AV182"/>
      <c r="AW182"/>
      <c r="AX182" s="146"/>
      <c r="AY182" s="76">
        <f t="shared" ca="1" si="245"/>
        <v>0.11535664193353945</v>
      </c>
      <c r="AZ182">
        <v>5</v>
      </c>
      <c r="BA182" s="129">
        <f t="shared" si="321"/>
        <v>39987</v>
      </c>
      <c r="BB182">
        <v>0</v>
      </c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46"/>
        <v>0.43615463715886538</v>
      </c>
      <c r="CL182" s="179">
        <f t="shared" si="247"/>
        <v>5</v>
      </c>
      <c r="CM182" s="180">
        <f t="shared" si="248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317"/>
        <v>9.6000000000000002E-2</v>
      </c>
      <c r="DB182" s="146"/>
      <c r="DC182" s="76">
        <f t="shared" ca="1" si="249"/>
        <v>0.34932927054695662</v>
      </c>
      <c r="DD182">
        <f t="shared" si="250"/>
        <v>5</v>
      </c>
      <c r="DE182" s="129">
        <f t="shared" si="320"/>
        <v>39987</v>
      </c>
      <c r="DF182" s="161">
        <f t="shared" si="252"/>
        <v>0</v>
      </c>
      <c r="DG182" s="161">
        <f t="shared" si="253"/>
        <v>0</v>
      </c>
      <c r="DH182" s="161">
        <f t="shared" si="254"/>
        <v>0</v>
      </c>
      <c r="DI182" s="161">
        <f t="shared" si="255"/>
        <v>0</v>
      </c>
      <c r="DJ182" s="161">
        <f t="shared" si="256"/>
        <v>0</v>
      </c>
      <c r="DK182" s="161">
        <f t="shared" si="257"/>
        <v>0</v>
      </c>
      <c r="DL182" s="161">
        <f t="shared" si="258"/>
        <v>0</v>
      </c>
      <c r="DM182" s="161">
        <f t="shared" si="259"/>
        <v>0</v>
      </c>
      <c r="DN182" s="161">
        <f t="shared" si="260"/>
        <v>0</v>
      </c>
      <c r="DO182" s="161">
        <f t="shared" si="261"/>
        <v>0</v>
      </c>
      <c r="DP182" s="161">
        <f t="shared" si="262"/>
        <v>0</v>
      </c>
      <c r="DQ182" s="161">
        <f t="shared" si="263"/>
        <v>0</v>
      </c>
      <c r="DR182" s="161">
        <f t="shared" si="264"/>
        <v>0</v>
      </c>
      <c r="DS182" s="161">
        <f t="shared" si="265"/>
        <v>0</v>
      </c>
      <c r="DT182" s="161">
        <f t="shared" si="266"/>
        <v>0</v>
      </c>
      <c r="DU182" s="161">
        <f t="shared" si="267"/>
        <v>0</v>
      </c>
      <c r="DV182" s="161">
        <f t="shared" si="268"/>
        <v>0</v>
      </c>
      <c r="DW182" s="161">
        <f t="shared" si="269"/>
        <v>0</v>
      </c>
      <c r="DX182" s="161">
        <f t="shared" si="270"/>
        <v>0</v>
      </c>
      <c r="DY182" s="161">
        <f t="shared" si="271"/>
        <v>0</v>
      </c>
      <c r="DZ182" s="161">
        <f t="shared" si="272"/>
        <v>0</v>
      </c>
      <c r="EA182" s="161">
        <f t="shared" si="273"/>
        <v>0</v>
      </c>
      <c r="EB182" s="161">
        <f t="shared" si="274"/>
        <v>0</v>
      </c>
      <c r="EC182" s="161">
        <f t="shared" si="275"/>
        <v>0</v>
      </c>
      <c r="ED182" s="161">
        <f t="shared" si="276"/>
        <v>0</v>
      </c>
      <c r="EE182" s="161">
        <f t="shared" si="277"/>
        <v>0</v>
      </c>
      <c r="EF182" s="161">
        <f t="shared" si="278"/>
        <v>0</v>
      </c>
      <c r="EG182" s="161">
        <f t="shared" si="279"/>
        <v>0</v>
      </c>
      <c r="EH182" s="161">
        <f t="shared" si="280"/>
        <v>0</v>
      </c>
      <c r="EI182" s="161">
        <f t="shared" si="281"/>
        <v>0</v>
      </c>
      <c r="EJ182" s="161">
        <f t="shared" si="282"/>
        <v>0</v>
      </c>
      <c r="EK182" s="147">
        <f t="shared" si="283"/>
        <v>0</v>
      </c>
      <c r="EL182" s="149"/>
      <c r="EN182" s="146"/>
      <c r="EO182" s="146"/>
      <c r="EP182" s="139">
        <f t="shared" si="284"/>
        <v>0</v>
      </c>
      <c r="EQ182" s="139">
        <f t="shared" si="285"/>
        <v>0</v>
      </c>
      <c r="ER182" s="139">
        <f t="shared" si="286"/>
        <v>0</v>
      </c>
      <c r="ES182" s="139">
        <f t="shared" si="287"/>
        <v>0</v>
      </c>
      <c r="ET182" s="139">
        <f t="shared" si="288"/>
        <v>0</v>
      </c>
      <c r="EU182" s="139">
        <f t="shared" si="289"/>
        <v>0</v>
      </c>
      <c r="EV182" s="139">
        <f t="shared" si="290"/>
        <v>0</v>
      </c>
      <c r="EW182" s="139">
        <f t="shared" si="291"/>
        <v>0</v>
      </c>
      <c r="EX182" s="139">
        <f t="shared" si="292"/>
        <v>0</v>
      </c>
      <c r="EY182" s="139">
        <f t="shared" si="293"/>
        <v>0</v>
      </c>
      <c r="EZ182" s="139">
        <f t="shared" si="294"/>
        <v>0</v>
      </c>
      <c r="FA182" s="139">
        <f t="shared" si="295"/>
        <v>0</v>
      </c>
      <c r="FB182" s="139">
        <f t="shared" si="296"/>
        <v>0</v>
      </c>
      <c r="FC182" s="139">
        <f t="shared" si="297"/>
        <v>0</v>
      </c>
      <c r="FD182" s="139">
        <f t="shared" si="298"/>
        <v>0</v>
      </c>
      <c r="FE182" s="139">
        <f t="shared" si="299"/>
        <v>0</v>
      </c>
      <c r="FF182" s="139">
        <f t="shared" si="300"/>
        <v>0</v>
      </c>
      <c r="FG182" s="139">
        <f t="shared" si="301"/>
        <v>0</v>
      </c>
      <c r="FH182" s="139">
        <f t="shared" si="302"/>
        <v>0</v>
      </c>
      <c r="FI182" s="139">
        <f t="shared" si="303"/>
        <v>0</v>
      </c>
      <c r="FJ182" s="139">
        <f t="shared" si="304"/>
        <v>0</v>
      </c>
      <c r="FK182" s="139">
        <f t="shared" si="305"/>
        <v>0</v>
      </c>
      <c r="FL182" s="139">
        <f t="shared" si="306"/>
        <v>0</v>
      </c>
      <c r="FM182" s="139">
        <f t="shared" si="307"/>
        <v>0</v>
      </c>
      <c r="FN182" s="139">
        <f t="shared" si="308"/>
        <v>0</v>
      </c>
      <c r="FO182" s="139">
        <f t="shared" si="309"/>
        <v>0</v>
      </c>
      <c r="FP182" s="139">
        <f t="shared" si="310"/>
        <v>0</v>
      </c>
      <c r="FQ182" s="139">
        <f t="shared" si="311"/>
        <v>0</v>
      </c>
      <c r="FR182" s="139">
        <f t="shared" si="312"/>
        <v>0</v>
      </c>
      <c r="FS182" s="139">
        <f t="shared" si="313"/>
        <v>0</v>
      </c>
      <c r="FT182" s="139">
        <f t="shared" si="314"/>
        <v>0</v>
      </c>
      <c r="FU182" s="148">
        <f t="shared" si="315"/>
        <v>0</v>
      </c>
      <c r="FV182" s="149"/>
      <c r="FY182" s="210">
        <v>177</v>
      </c>
      <c r="FZ182">
        <v>1.4316077367828441</v>
      </c>
      <c r="GA182">
        <v>13.51545092213461</v>
      </c>
      <c r="GB182">
        <v>16.354872467986645</v>
      </c>
      <c r="GC182">
        <v>8.3484537912967003</v>
      </c>
      <c r="GD182">
        <v>3.8663248958704219</v>
      </c>
      <c r="GE182">
        <v>5.5222329749300938</v>
      </c>
      <c r="GF182">
        <v>4.8326462422246159</v>
      </c>
      <c r="GG182">
        <v>3.7119076625463934</v>
      </c>
      <c r="GH182">
        <v>3.9403851630144526</v>
      </c>
      <c r="GI182">
        <v>8.0337007251327339</v>
      </c>
      <c r="GJ182"/>
      <c r="GK182"/>
      <c r="GL182"/>
      <c r="GM182"/>
    </row>
    <row r="183" spans="1:195" s="7" customFormat="1">
      <c r="A183" s="1"/>
      <c r="B183" s="76">
        <f ca="1">IF(C183="", "", RAND())</f>
        <v>0.64441094658266218</v>
      </c>
      <c r="C183">
        <v>5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183.12334175199899</v>
      </c>
      <c r="AO183">
        <v>13.125737119145551</v>
      </c>
      <c r="AP183">
        <v>98.585272419056196</v>
      </c>
      <c r="AQ183">
        <v>76.337301926406326</v>
      </c>
      <c r="AR183">
        <v>12.095110390566497</v>
      </c>
      <c r="AS183">
        <v>127.50350206968217</v>
      </c>
      <c r="AT183" t="e">
        <v>#DIV/0!</v>
      </c>
      <c r="AU183" t="e">
        <v>#DIV/0!</v>
      </c>
      <c r="AV183"/>
      <c r="AW183"/>
      <c r="AX183" s="146"/>
      <c r="AY183" s="76">
        <f t="shared" ca="1" si="245"/>
        <v>0.68319211542614133</v>
      </c>
      <c r="AZ183">
        <v>6</v>
      </c>
      <c r="BA183" s="129">
        <f t="shared" si="321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46"/>
        <v>0.17843267188655365</v>
      </c>
      <c r="CL183" s="179">
        <f t="shared" si="247"/>
        <v>6</v>
      </c>
      <c r="CM183" s="180">
        <f t="shared" si="248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317"/>
        <v>9.6000000000000002E-2</v>
      </c>
      <c r="DB183" s="146"/>
      <c r="DC183" s="76">
        <f t="shared" ca="1" si="249"/>
        <v>0.68122967803689072</v>
      </c>
      <c r="DD183">
        <f t="shared" si="250"/>
        <v>6</v>
      </c>
      <c r="DE183" s="129">
        <f t="shared" si="320"/>
        <v>39987</v>
      </c>
      <c r="DF183" s="161">
        <f t="shared" si="252"/>
        <v>0</v>
      </c>
      <c r="DG183" s="161">
        <f t="shared" si="253"/>
        <v>0</v>
      </c>
      <c r="DH183" s="161">
        <f t="shared" si="254"/>
        <v>0</v>
      </c>
      <c r="DI183" s="161">
        <f t="shared" si="255"/>
        <v>0</v>
      </c>
      <c r="DJ183" s="161">
        <f t="shared" si="256"/>
        <v>0</v>
      </c>
      <c r="DK183" s="161">
        <f t="shared" si="257"/>
        <v>0</v>
      </c>
      <c r="DL183" s="161">
        <f t="shared" si="258"/>
        <v>0</v>
      </c>
      <c r="DM183" s="161">
        <f t="shared" si="259"/>
        <v>0</v>
      </c>
      <c r="DN183" s="161">
        <f t="shared" si="260"/>
        <v>0</v>
      </c>
      <c r="DO183" s="161">
        <f t="shared" si="261"/>
        <v>0</v>
      </c>
      <c r="DP183" s="161">
        <f t="shared" si="262"/>
        <v>0</v>
      </c>
      <c r="DQ183" s="161">
        <f t="shared" si="263"/>
        <v>0</v>
      </c>
      <c r="DR183" s="161">
        <f t="shared" si="264"/>
        <v>0</v>
      </c>
      <c r="DS183" s="161">
        <f t="shared" si="265"/>
        <v>0</v>
      </c>
      <c r="DT183" s="161">
        <f t="shared" si="266"/>
        <v>0</v>
      </c>
      <c r="DU183" s="161">
        <f t="shared" si="267"/>
        <v>0</v>
      </c>
      <c r="DV183" s="161">
        <f t="shared" si="268"/>
        <v>0</v>
      </c>
      <c r="DW183" s="161">
        <f t="shared" si="269"/>
        <v>0</v>
      </c>
      <c r="DX183" s="161">
        <f t="shared" si="270"/>
        <v>0</v>
      </c>
      <c r="DY183" s="161">
        <f t="shared" si="271"/>
        <v>0</v>
      </c>
      <c r="DZ183" s="161">
        <f t="shared" si="272"/>
        <v>0</v>
      </c>
      <c r="EA183" s="161">
        <f t="shared" si="273"/>
        <v>0</v>
      </c>
      <c r="EB183" s="161">
        <f t="shared" si="274"/>
        <v>0</v>
      </c>
      <c r="EC183" s="161">
        <f t="shared" si="275"/>
        <v>0</v>
      </c>
      <c r="ED183" s="161">
        <f t="shared" si="276"/>
        <v>0</v>
      </c>
      <c r="EE183" s="161">
        <f t="shared" si="277"/>
        <v>0</v>
      </c>
      <c r="EF183" s="161">
        <f t="shared" si="278"/>
        <v>0</v>
      </c>
      <c r="EG183" s="161">
        <f t="shared" si="279"/>
        <v>0</v>
      </c>
      <c r="EH183" s="161">
        <f t="shared" si="280"/>
        <v>0</v>
      </c>
      <c r="EI183" s="161">
        <f t="shared" si="281"/>
        <v>0</v>
      </c>
      <c r="EJ183" s="161">
        <f t="shared" si="282"/>
        <v>0</v>
      </c>
      <c r="EK183" s="147">
        <f t="shared" si="283"/>
        <v>0</v>
      </c>
      <c r="EL183" s="149"/>
      <c r="EN183" s="146"/>
      <c r="EO183" s="146"/>
      <c r="EP183" s="139">
        <f t="shared" si="284"/>
        <v>0</v>
      </c>
      <c r="EQ183" s="139">
        <f t="shared" si="285"/>
        <v>0</v>
      </c>
      <c r="ER183" s="139">
        <f t="shared" si="286"/>
        <v>0</v>
      </c>
      <c r="ES183" s="139">
        <f t="shared" si="287"/>
        <v>0</v>
      </c>
      <c r="ET183" s="139">
        <f t="shared" si="288"/>
        <v>0</v>
      </c>
      <c r="EU183" s="139">
        <f t="shared" si="289"/>
        <v>0</v>
      </c>
      <c r="EV183" s="139">
        <f t="shared" si="290"/>
        <v>0</v>
      </c>
      <c r="EW183" s="139">
        <f t="shared" si="291"/>
        <v>0</v>
      </c>
      <c r="EX183" s="139">
        <f t="shared" si="292"/>
        <v>0</v>
      </c>
      <c r="EY183" s="139">
        <f t="shared" si="293"/>
        <v>0</v>
      </c>
      <c r="EZ183" s="139">
        <f t="shared" si="294"/>
        <v>0</v>
      </c>
      <c r="FA183" s="139">
        <f t="shared" si="295"/>
        <v>0</v>
      </c>
      <c r="FB183" s="139">
        <f t="shared" si="296"/>
        <v>0</v>
      </c>
      <c r="FC183" s="139">
        <f t="shared" si="297"/>
        <v>0</v>
      </c>
      <c r="FD183" s="139">
        <f t="shared" si="298"/>
        <v>0</v>
      </c>
      <c r="FE183" s="139">
        <f t="shared" si="299"/>
        <v>0</v>
      </c>
      <c r="FF183" s="139">
        <f t="shared" si="300"/>
        <v>0</v>
      </c>
      <c r="FG183" s="139">
        <f t="shared" si="301"/>
        <v>0</v>
      </c>
      <c r="FH183" s="139">
        <f t="shared" si="302"/>
        <v>0</v>
      </c>
      <c r="FI183" s="139">
        <f t="shared" si="303"/>
        <v>0</v>
      </c>
      <c r="FJ183" s="139">
        <f t="shared" si="304"/>
        <v>0</v>
      </c>
      <c r="FK183" s="139">
        <f t="shared" si="305"/>
        <v>0</v>
      </c>
      <c r="FL183" s="139">
        <f t="shared" si="306"/>
        <v>0</v>
      </c>
      <c r="FM183" s="139">
        <f t="shared" si="307"/>
        <v>0</v>
      </c>
      <c r="FN183" s="139">
        <f t="shared" si="308"/>
        <v>0</v>
      </c>
      <c r="FO183" s="139">
        <f t="shared" si="309"/>
        <v>0</v>
      </c>
      <c r="FP183" s="139">
        <f t="shared" si="310"/>
        <v>0</v>
      </c>
      <c r="FQ183" s="139">
        <f t="shared" si="311"/>
        <v>0</v>
      </c>
      <c r="FR183" s="139">
        <f t="shared" si="312"/>
        <v>0</v>
      </c>
      <c r="FS183" s="139">
        <f t="shared" si="313"/>
        <v>0</v>
      </c>
      <c r="FT183" s="139">
        <f t="shared" si="314"/>
        <v>0</v>
      </c>
      <c r="FU183" s="148">
        <f t="shared" si="315"/>
        <v>0</v>
      </c>
      <c r="FV183" s="149"/>
      <c r="FY183" s="210">
        <v>178</v>
      </c>
      <c r="FZ183">
        <v>7.1451856041313881</v>
      </c>
      <c r="GA183">
        <v>34.259495247051213</v>
      </c>
      <c r="GB183">
        <v>26.409439593857808</v>
      </c>
      <c r="GC183">
        <v>10.008283382126359</v>
      </c>
      <c r="GD183">
        <v>3.6935453542615466</v>
      </c>
      <c r="GE183">
        <v>5.5037109704943612</v>
      </c>
      <c r="GF183">
        <v>5.5925529725218732</v>
      </c>
      <c r="GG183">
        <v>2.0695819953317161</v>
      </c>
      <c r="GH183">
        <v>1.6183093455241906</v>
      </c>
      <c r="GI183">
        <v>11.085528104783064</v>
      </c>
      <c r="GJ183"/>
      <c r="GK183"/>
      <c r="GL183"/>
      <c r="GM183"/>
    </row>
    <row r="184" spans="1:195" s="7" customFormat="1">
      <c r="A184" s="1"/>
      <c r="B184" s="76">
        <f ca="1">IF(C184="", "", RAND())</f>
        <v>0.81199391825105227</v>
      </c>
      <c r="C184">
        <v>3</v>
      </c>
      <c r="D184">
        <v>39987</v>
      </c>
      <c r="E184">
        <v>0</v>
      </c>
      <c r="F184">
        <v>0</v>
      </c>
      <c r="G184">
        <v>0</v>
      </c>
      <c r="H184">
        <v>67.51543209876543</v>
      </c>
      <c r="I184">
        <v>0</v>
      </c>
      <c r="J184">
        <v>0</v>
      </c>
      <c r="K184">
        <v>10.416666666666666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167.3516184154891</v>
      </c>
      <c r="AO184">
        <v>11.154434858390895</v>
      </c>
      <c r="AP184">
        <v>85.286653222154399</v>
      </c>
      <c r="AQ184">
        <v>68.840564332669032</v>
      </c>
      <c r="AR184">
        <v>10.389424432346663</v>
      </c>
      <c r="AS184">
        <v>114.01889824741657</v>
      </c>
      <c r="AT184" t="e">
        <v>#DIV/0!</v>
      </c>
      <c r="AU184" t="e">
        <v>#DIV/0!</v>
      </c>
      <c r="AV184"/>
      <c r="AW184"/>
      <c r="AX184" s="146"/>
      <c r="AY184" s="76">
        <f t="shared" ca="1" si="245"/>
        <v>9.5162668506187487E-2</v>
      </c>
      <c r="AZ184">
        <v>7</v>
      </c>
      <c r="BA184" s="129">
        <f t="shared" si="321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46"/>
        <v>0.17983514857970206</v>
      </c>
      <c r="CL184" s="179">
        <f t="shared" si="247"/>
        <v>7</v>
      </c>
      <c r="CM184" s="180">
        <f t="shared" si="248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317"/>
        <v>9.6000000000000002E-2</v>
      </c>
      <c r="DB184" s="146"/>
      <c r="DC184" s="76">
        <f t="shared" ca="1" si="249"/>
        <v>0.59283768336092701</v>
      </c>
      <c r="DD184">
        <f t="shared" si="250"/>
        <v>7</v>
      </c>
      <c r="DE184" s="129">
        <f t="shared" si="320"/>
        <v>39987</v>
      </c>
      <c r="DF184" s="161">
        <f t="shared" si="252"/>
        <v>0</v>
      </c>
      <c r="DG184" s="161">
        <f t="shared" si="253"/>
        <v>0</v>
      </c>
      <c r="DH184" s="161">
        <f t="shared" si="254"/>
        <v>0</v>
      </c>
      <c r="DI184" s="161">
        <f t="shared" si="255"/>
        <v>0</v>
      </c>
      <c r="DJ184" s="161">
        <f t="shared" si="256"/>
        <v>0</v>
      </c>
      <c r="DK184" s="161">
        <f t="shared" si="257"/>
        <v>0</v>
      </c>
      <c r="DL184" s="161">
        <f t="shared" si="258"/>
        <v>0</v>
      </c>
      <c r="DM184" s="161">
        <f t="shared" si="259"/>
        <v>0</v>
      </c>
      <c r="DN184" s="161">
        <f t="shared" si="260"/>
        <v>0</v>
      </c>
      <c r="DO184" s="161">
        <f t="shared" si="261"/>
        <v>0</v>
      </c>
      <c r="DP184" s="161">
        <f t="shared" si="262"/>
        <v>0</v>
      </c>
      <c r="DQ184" s="161">
        <f t="shared" si="263"/>
        <v>0</v>
      </c>
      <c r="DR184" s="161">
        <f t="shared" si="264"/>
        <v>0</v>
      </c>
      <c r="DS184" s="161">
        <f t="shared" si="265"/>
        <v>0</v>
      </c>
      <c r="DT184" s="161">
        <f t="shared" si="266"/>
        <v>0</v>
      </c>
      <c r="DU184" s="161">
        <f t="shared" si="267"/>
        <v>0</v>
      </c>
      <c r="DV184" s="161">
        <f t="shared" si="268"/>
        <v>0</v>
      </c>
      <c r="DW184" s="161">
        <f t="shared" si="269"/>
        <v>0</v>
      </c>
      <c r="DX184" s="161">
        <f t="shared" si="270"/>
        <v>0</v>
      </c>
      <c r="DY184" s="161">
        <f t="shared" si="271"/>
        <v>0</v>
      </c>
      <c r="DZ184" s="161">
        <f t="shared" si="272"/>
        <v>0</v>
      </c>
      <c r="EA184" s="161">
        <f t="shared" si="273"/>
        <v>0</v>
      </c>
      <c r="EB184" s="161">
        <f t="shared" si="274"/>
        <v>0</v>
      </c>
      <c r="EC184" s="161">
        <f t="shared" si="275"/>
        <v>0</v>
      </c>
      <c r="ED184" s="161">
        <f t="shared" si="276"/>
        <v>0</v>
      </c>
      <c r="EE184" s="161">
        <f t="shared" si="277"/>
        <v>0</v>
      </c>
      <c r="EF184" s="161">
        <f t="shared" si="278"/>
        <v>0</v>
      </c>
      <c r="EG184" s="161">
        <f t="shared" si="279"/>
        <v>0</v>
      </c>
      <c r="EH184" s="161">
        <f t="shared" si="280"/>
        <v>0</v>
      </c>
      <c r="EI184" s="161">
        <f t="shared" si="281"/>
        <v>0</v>
      </c>
      <c r="EJ184" s="161">
        <f t="shared" si="282"/>
        <v>0</v>
      </c>
      <c r="EK184" s="147">
        <f t="shared" ref="EK184:EK207" si="322">IF(DF184="", "", SUM(DF184:EJ184))</f>
        <v>0</v>
      </c>
      <c r="EL184" s="149"/>
      <c r="EN184" s="146"/>
      <c r="EO184" s="146"/>
      <c r="EP184" s="139">
        <f t="shared" ref="EP184:EP207" si="323">IF(DF184="", "", DF184*G$36)</f>
        <v>0</v>
      </c>
      <c r="EQ184" s="139">
        <f t="shared" ref="EQ184:EQ207" si="324">IF(DG184="", "", DG184*H$36)</f>
        <v>0</v>
      </c>
      <c r="ER184" s="139">
        <f t="shared" ref="ER184:ER207" si="325">IF(DH184="", "", DH184*I$36)</f>
        <v>0</v>
      </c>
      <c r="ES184" s="139">
        <f t="shared" ref="ES184:ES207" si="326">IF(DI184="", "", DI184*J$36)</f>
        <v>0</v>
      </c>
      <c r="ET184" s="139">
        <f t="shared" ref="ET184:ET207" si="327">IF(DJ184="", "", DJ184*K$36)</f>
        <v>0</v>
      </c>
      <c r="EU184" s="139">
        <f t="shared" ref="EU184:EU207" si="328">IF(DK184="", "", DK184*L$36)</f>
        <v>0</v>
      </c>
      <c r="EV184" s="139">
        <f t="shared" ref="EV184:EV207" si="329">IF(DL184="", "", DL184*M$36)</f>
        <v>0</v>
      </c>
      <c r="EW184" s="139">
        <f t="shared" ref="EW184:EW207" si="330">IF(DM184="", "", DM184*N$36)</f>
        <v>0</v>
      </c>
      <c r="EX184" s="139">
        <f t="shared" ref="EX184:EX207" si="331">IF(DN184="", "", DN184*O$36)</f>
        <v>0</v>
      </c>
      <c r="EY184" s="139">
        <f t="shared" ref="EY184:EY207" si="332">IF(DO184="", "", DO184*P$36)</f>
        <v>0</v>
      </c>
      <c r="EZ184" s="139">
        <f t="shared" ref="EZ184:EZ207" si="333">IF(DP184="", "", DP184*Q$36)</f>
        <v>0</v>
      </c>
      <c r="FA184" s="139">
        <f t="shared" ref="FA184:FA207" si="334">IF(DQ184="", "", DQ184*R$36)</f>
        <v>0</v>
      </c>
      <c r="FB184" s="139">
        <f t="shared" ref="FB184:FB207" si="335">IF(DR184="", "", DR184*S$36)</f>
        <v>0</v>
      </c>
      <c r="FC184" s="139">
        <f t="shared" ref="FC184:FC207" si="336">IF(DS184="", "", DS184*T$36)</f>
        <v>0</v>
      </c>
      <c r="FD184" s="139">
        <f t="shared" ref="FD184:FD207" si="337">IF(DT184="", "", DT184*U$36)</f>
        <v>0</v>
      </c>
      <c r="FE184" s="139">
        <f t="shared" ref="FE184:FE207" si="338">IF(DU184="", "", DU184*V$36)</f>
        <v>0</v>
      </c>
      <c r="FF184" s="139">
        <f t="shared" ref="FF184:FF207" si="339">IF(DV184="", "", DV184*W$36)</f>
        <v>0</v>
      </c>
      <c r="FG184" s="139">
        <f t="shared" ref="FG184:FG207" si="340">IF(DW184="", "", DW184*X$36)</f>
        <v>0</v>
      </c>
      <c r="FH184" s="139">
        <f t="shared" ref="FH184:FH207" si="341">IF(DX184="", "", DX184*Y$36)</f>
        <v>0</v>
      </c>
      <c r="FI184" s="139">
        <f t="shared" ref="FI184:FI207" si="342">IF(DY184="", "", DY184*Z$36)</f>
        <v>0</v>
      </c>
      <c r="FJ184" s="139">
        <f t="shared" ref="FJ184:FJ207" si="343">IF(DZ184="", "", DZ184*AA$36)</f>
        <v>0</v>
      </c>
      <c r="FK184" s="139">
        <f t="shared" ref="FK184:FK207" si="344">IF(EA184="", "", EA184*AB$36)</f>
        <v>0</v>
      </c>
      <c r="FL184" s="139">
        <f t="shared" ref="FL184:FL207" si="345">IF(EB184="", "", EB184*AC$36)</f>
        <v>0</v>
      </c>
      <c r="FM184" s="139">
        <f t="shared" ref="FM184:FM207" si="346">IF(EC184="", "", EC184*AD$36)</f>
        <v>0</v>
      </c>
      <c r="FN184" s="139">
        <f t="shared" ref="FN184:FN207" si="347">IF(ED184="", "", ED184*AE$36)</f>
        <v>0</v>
      </c>
      <c r="FO184" s="139">
        <f t="shared" ref="FO184:FO207" si="348">IF(EE184="", "", EE184*AF$36)</f>
        <v>0</v>
      </c>
      <c r="FP184" s="139">
        <f t="shared" ref="FP184:FP207" si="349">IF(EF184="", "", EF184*AG$36)</f>
        <v>0</v>
      </c>
      <c r="FQ184" s="139">
        <f t="shared" ref="FQ184:FQ207" si="350">IF(EG184="", "", EG184*AH$36)</f>
        <v>0</v>
      </c>
      <c r="FR184" s="139">
        <f t="shared" ref="FR184:FR207" si="351">IF(EH184="", "", EH184*AI$36)</f>
        <v>0</v>
      </c>
      <c r="FS184" s="139">
        <f t="shared" ref="FS184:FS207" si="352">IF(EI184="", "", EI184*AJ$36)</f>
        <v>0</v>
      </c>
      <c r="FT184" s="139">
        <f t="shared" ref="FT184:FT207" si="353">IF(EJ184="", "", EJ184*AK$36)</f>
        <v>0</v>
      </c>
      <c r="FU184" s="148">
        <f t="shared" ref="FU184:FU207" si="354">IF(EP184="","",SUM(EP184:FT184))</f>
        <v>0</v>
      </c>
      <c r="FV184" s="149"/>
      <c r="FY184" s="210">
        <v>179</v>
      </c>
      <c r="FZ184">
        <v>6.7105710680480506</v>
      </c>
      <c r="GA184">
        <v>25.0431761925852</v>
      </c>
      <c r="GB184">
        <v>14.962595270516136</v>
      </c>
      <c r="GC184">
        <v>5.5766617597811301</v>
      </c>
      <c r="GD184">
        <v>3.9831822899427292</v>
      </c>
      <c r="GE184">
        <v>5.590246690002096</v>
      </c>
      <c r="GF184">
        <v>3.0847748477720831</v>
      </c>
      <c r="GG184">
        <v>3.616435873319106</v>
      </c>
      <c r="GH184">
        <v>4.5227497638020155</v>
      </c>
      <c r="GI184">
        <v>8.3062735087892516</v>
      </c>
      <c r="GJ184"/>
      <c r="GK184"/>
      <c r="GL184"/>
      <c r="GM184"/>
    </row>
    <row r="185" spans="1:195" s="7" customFormat="1">
      <c r="A185" s="1"/>
      <c r="B185" s="76">
        <f ca="1">IF(C185="", "", RAND())</f>
        <v>0.65908174110315443</v>
      </c>
      <c r="C185">
        <v>4</v>
      </c>
      <c r="D185">
        <v>39987</v>
      </c>
      <c r="E185">
        <v>0</v>
      </c>
      <c r="F185">
        <v>88.922764227642276</v>
      </c>
      <c r="G185">
        <v>0</v>
      </c>
      <c r="H185">
        <v>0</v>
      </c>
      <c r="I185">
        <v>0</v>
      </c>
      <c r="J185">
        <v>0</v>
      </c>
      <c r="K185">
        <v>10.416666666666666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199.38909026374296</v>
      </c>
      <c r="AO185">
        <v>16.178931898763551</v>
      </c>
      <c r="AP185">
        <v>127.98475145858721</v>
      </c>
      <c r="AQ185">
        <v>101.72363003918613</v>
      </c>
      <c r="AR185">
        <v>14.895291115018132</v>
      </c>
      <c r="AS185">
        <v>137.15349490497496</v>
      </c>
      <c r="AT185">
        <v>7.4942633614987626</v>
      </c>
      <c r="AU185">
        <v>-38.821834831670081</v>
      </c>
      <c r="AV185"/>
      <c r="AW185"/>
      <c r="AX185" s="146"/>
      <c r="AY185" s="76">
        <f t="shared" ca="1" si="245"/>
        <v>0.43480897833371035</v>
      </c>
      <c r="AZ185">
        <v>8</v>
      </c>
      <c r="BA185" s="129">
        <f t="shared" si="321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46"/>
        <v>0.24805022169316282</v>
      </c>
      <c r="CL185" s="179">
        <f t="shared" si="247"/>
        <v>8</v>
      </c>
      <c r="CM185" s="180">
        <f t="shared" si="248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317"/>
        <v>9.6000000000000002E-2</v>
      </c>
      <c r="DB185" s="146"/>
      <c r="DC185" s="76">
        <f t="shared" ca="1" si="249"/>
        <v>0.56605655154760659</v>
      </c>
      <c r="DD185">
        <f t="shared" si="250"/>
        <v>8</v>
      </c>
      <c r="DE185" s="129">
        <f t="shared" si="320"/>
        <v>39987</v>
      </c>
      <c r="DF185" s="161">
        <f t="shared" si="252"/>
        <v>0</v>
      </c>
      <c r="DG185" s="161">
        <f t="shared" si="253"/>
        <v>0</v>
      </c>
      <c r="DH185" s="161">
        <f t="shared" si="254"/>
        <v>0</v>
      </c>
      <c r="DI185" s="161">
        <f t="shared" si="255"/>
        <v>0</v>
      </c>
      <c r="DJ185" s="161">
        <f t="shared" si="256"/>
        <v>0</v>
      </c>
      <c r="DK185" s="161">
        <f t="shared" si="257"/>
        <v>0</v>
      </c>
      <c r="DL185" s="161">
        <f t="shared" si="258"/>
        <v>0</v>
      </c>
      <c r="DM185" s="161">
        <f t="shared" si="259"/>
        <v>0</v>
      </c>
      <c r="DN185" s="161">
        <f t="shared" si="260"/>
        <v>0</v>
      </c>
      <c r="DO185" s="161">
        <f t="shared" si="261"/>
        <v>0</v>
      </c>
      <c r="DP185" s="161">
        <f t="shared" si="262"/>
        <v>0</v>
      </c>
      <c r="DQ185" s="161">
        <f t="shared" si="263"/>
        <v>0</v>
      </c>
      <c r="DR185" s="161">
        <f t="shared" si="264"/>
        <v>0</v>
      </c>
      <c r="DS185" s="161">
        <f t="shared" si="265"/>
        <v>0</v>
      </c>
      <c r="DT185" s="161">
        <f t="shared" si="266"/>
        <v>0</v>
      </c>
      <c r="DU185" s="161">
        <f t="shared" si="267"/>
        <v>0</v>
      </c>
      <c r="DV185" s="161">
        <f t="shared" si="268"/>
        <v>0</v>
      </c>
      <c r="DW185" s="161">
        <f t="shared" si="269"/>
        <v>0</v>
      </c>
      <c r="DX185" s="161">
        <f t="shared" si="270"/>
        <v>0</v>
      </c>
      <c r="DY185" s="161">
        <f t="shared" si="271"/>
        <v>0</v>
      </c>
      <c r="DZ185" s="161">
        <f t="shared" si="272"/>
        <v>0</v>
      </c>
      <c r="EA185" s="161">
        <f t="shared" si="273"/>
        <v>0</v>
      </c>
      <c r="EB185" s="161">
        <f t="shared" si="274"/>
        <v>0</v>
      </c>
      <c r="EC185" s="161">
        <f t="shared" si="275"/>
        <v>0</v>
      </c>
      <c r="ED185" s="161">
        <f t="shared" si="276"/>
        <v>0</v>
      </c>
      <c r="EE185" s="161">
        <f t="shared" si="277"/>
        <v>0</v>
      </c>
      <c r="EF185" s="161">
        <f t="shared" si="278"/>
        <v>0</v>
      </c>
      <c r="EG185" s="161">
        <f t="shared" si="279"/>
        <v>0</v>
      </c>
      <c r="EH185" s="161">
        <f t="shared" si="280"/>
        <v>0</v>
      </c>
      <c r="EI185" s="161">
        <f t="shared" si="281"/>
        <v>0</v>
      </c>
      <c r="EJ185" s="161">
        <f t="shared" si="282"/>
        <v>0</v>
      </c>
      <c r="EK185" s="147">
        <f t="shared" si="322"/>
        <v>0</v>
      </c>
      <c r="EL185" s="149"/>
      <c r="EN185" s="146"/>
      <c r="EO185" s="146"/>
      <c r="EP185" s="139">
        <f t="shared" si="323"/>
        <v>0</v>
      </c>
      <c r="EQ185" s="139">
        <f t="shared" si="324"/>
        <v>0</v>
      </c>
      <c r="ER185" s="139">
        <f t="shared" si="325"/>
        <v>0</v>
      </c>
      <c r="ES185" s="139">
        <f t="shared" si="326"/>
        <v>0</v>
      </c>
      <c r="ET185" s="139">
        <f t="shared" si="327"/>
        <v>0</v>
      </c>
      <c r="EU185" s="139">
        <f t="shared" si="328"/>
        <v>0</v>
      </c>
      <c r="EV185" s="139">
        <f t="shared" si="329"/>
        <v>0</v>
      </c>
      <c r="EW185" s="139">
        <f t="shared" si="330"/>
        <v>0</v>
      </c>
      <c r="EX185" s="139">
        <f t="shared" si="331"/>
        <v>0</v>
      </c>
      <c r="EY185" s="139">
        <f t="shared" si="332"/>
        <v>0</v>
      </c>
      <c r="EZ185" s="139">
        <f t="shared" si="333"/>
        <v>0</v>
      </c>
      <c r="FA185" s="139">
        <f t="shared" si="334"/>
        <v>0</v>
      </c>
      <c r="FB185" s="139">
        <f t="shared" si="335"/>
        <v>0</v>
      </c>
      <c r="FC185" s="139">
        <f t="shared" si="336"/>
        <v>0</v>
      </c>
      <c r="FD185" s="139">
        <f t="shared" si="337"/>
        <v>0</v>
      </c>
      <c r="FE185" s="139">
        <f t="shared" si="338"/>
        <v>0</v>
      </c>
      <c r="FF185" s="139">
        <f t="shared" si="339"/>
        <v>0</v>
      </c>
      <c r="FG185" s="139">
        <f t="shared" si="340"/>
        <v>0</v>
      </c>
      <c r="FH185" s="139">
        <f t="shared" si="341"/>
        <v>0</v>
      </c>
      <c r="FI185" s="139">
        <f t="shared" si="342"/>
        <v>0</v>
      </c>
      <c r="FJ185" s="139">
        <f t="shared" si="343"/>
        <v>0</v>
      </c>
      <c r="FK185" s="139">
        <f t="shared" si="344"/>
        <v>0</v>
      </c>
      <c r="FL185" s="139">
        <f t="shared" si="345"/>
        <v>0</v>
      </c>
      <c r="FM185" s="139">
        <f t="shared" si="346"/>
        <v>0</v>
      </c>
      <c r="FN185" s="139">
        <f t="shared" si="347"/>
        <v>0</v>
      </c>
      <c r="FO185" s="139">
        <f t="shared" si="348"/>
        <v>0</v>
      </c>
      <c r="FP185" s="139">
        <f t="shared" si="349"/>
        <v>0</v>
      </c>
      <c r="FQ185" s="139">
        <f t="shared" si="350"/>
        <v>0</v>
      </c>
      <c r="FR185" s="139">
        <f t="shared" si="351"/>
        <v>0</v>
      </c>
      <c r="FS185" s="139">
        <f t="shared" si="352"/>
        <v>0</v>
      </c>
      <c r="FT185" s="139">
        <f t="shared" si="353"/>
        <v>0</v>
      </c>
      <c r="FU185" s="148">
        <f t="shared" si="354"/>
        <v>0</v>
      </c>
      <c r="FV185" s="149"/>
      <c r="FY185" s="210">
        <v>180</v>
      </c>
      <c r="FZ185">
        <v>3.8106100490408936</v>
      </c>
      <c r="GA185">
        <v>22.890678504189609</v>
      </c>
      <c r="GB185">
        <v>29.136324077562385</v>
      </c>
      <c r="GC185">
        <v>12.584222555582333</v>
      </c>
      <c r="GD185">
        <v>4.3550314555905372</v>
      </c>
      <c r="GE185">
        <v>9.5730401056386931</v>
      </c>
      <c r="GF185">
        <v>7.1057128136942822</v>
      </c>
      <c r="GG185">
        <v>2.1958315849043233</v>
      </c>
      <c r="GH185">
        <v>4.0054344328500111</v>
      </c>
      <c r="GI185">
        <v>12.354454604738445</v>
      </c>
      <c r="GJ185"/>
      <c r="GK185"/>
      <c r="GL185"/>
      <c r="GM185"/>
    </row>
    <row r="186" spans="1:195" s="7" customFormat="1">
      <c r="A186" s="1"/>
      <c r="B186" s="76">
        <f ca="1">IF(C186="", "", RAND())</f>
        <v>0.42193724002716881</v>
      </c>
      <c r="C186">
        <v>8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138.43624149340482</v>
      </c>
      <c r="AO186">
        <v>14.009647194408313</v>
      </c>
      <c r="AP186">
        <v>116.27121638515379</v>
      </c>
      <c r="AQ186">
        <v>85.969723231516852</v>
      </c>
      <c r="AR186">
        <v>13.086016682085114</v>
      </c>
      <c r="AS186">
        <v>116.46865732862018</v>
      </c>
      <c r="AT186">
        <v>5.6338474483777041</v>
      </c>
      <c r="AU186">
        <v>0.38388870968908728</v>
      </c>
      <c r="AV186"/>
      <c r="AW186"/>
      <c r="AX186" s="146"/>
      <c r="AY186" s="76">
        <f t="shared" ca="1" si="245"/>
        <v>0.45798474680685874</v>
      </c>
      <c r="AZ186">
        <v>9</v>
      </c>
      <c r="BA186" s="129">
        <f t="shared" si="321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46"/>
        <v>0.39435553956665981</v>
      </c>
      <c r="CL186" s="179">
        <f t="shared" si="247"/>
        <v>9</v>
      </c>
      <c r="CM186" s="180">
        <f t="shared" si="248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317"/>
        <v>9.6000000000000002E-2</v>
      </c>
      <c r="DB186" s="146"/>
      <c r="DC186" s="76">
        <f t="shared" ca="1" si="249"/>
        <v>0.31138263956650025</v>
      </c>
      <c r="DD186">
        <f t="shared" si="250"/>
        <v>9</v>
      </c>
      <c r="DE186" s="129">
        <f t="shared" si="320"/>
        <v>39987</v>
      </c>
      <c r="DF186" s="161">
        <f t="shared" si="252"/>
        <v>0</v>
      </c>
      <c r="DG186" s="161">
        <f t="shared" si="253"/>
        <v>0</v>
      </c>
      <c r="DH186" s="161">
        <f t="shared" si="254"/>
        <v>0</v>
      </c>
      <c r="DI186" s="161">
        <f t="shared" si="255"/>
        <v>0</v>
      </c>
      <c r="DJ186" s="161">
        <f t="shared" si="256"/>
        <v>0</v>
      </c>
      <c r="DK186" s="161">
        <f t="shared" si="257"/>
        <v>0</v>
      </c>
      <c r="DL186" s="161">
        <f t="shared" si="258"/>
        <v>0</v>
      </c>
      <c r="DM186" s="161">
        <f t="shared" si="259"/>
        <v>0</v>
      </c>
      <c r="DN186" s="161">
        <f t="shared" si="260"/>
        <v>0</v>
      </c>
      <c r="DO186" s="161">
        <f t="shared" si="261"/>
        <v>0</v>
      </c>
      <c r="DP186" s="161">
        <f t="shared" si="262"/>
        <v>0</v>
      </c>
      <c r="DQ186" s="161">
        <f t="shared" si="263"/>
        <v>0</v>
      </c>
      <c r="DR186" s="161">
        <f t="shared" si="264"/>
        <v>0</v>
      </c>
      <c r="DS186" s="161">
        <f t="shared" si="265"/>
        <v>0</v>
      </c>
      <c r="DT186" s="161">
        <f t="shared" si="266"/>
        <v>0</v>
      </c>
      <c r="DU186" s="161">
        <f t="shared" si="267"/>
        <v>0</v>
      </c>
      <c r="DV186" s="161">
        <f t="shared" si="268"/>
        <v>0</v>
      </c>
      <c r="DW186" s="161">
        <f t="shared" si="269"/>
        <v>0</v>
      </c>
      <c r="DX186" s="161">
        <f t="shared" si="270"/>
        <v>0</v>
      </c>
      <c r="DY186" s="161">
        <f t="shared" si="271"/>
        <v>0</v>
      </c>
      <c r="DZ186" s="161">
        <f t="shared" si="272"/>
        <v>0</v>
      </c>
      <c r="EA186" s="161">
        <f t="shared" si="273"/>
        <v>0</v>
      </c>
      <c r="EB186" s="161">
        <f t="shared" si="274"/>
        <v>0</v>
      </c>
      <c r="EC186" s="161">
        <f t="shared" si="275"/>
        <v>0</v>
      </c>
      <c r="ED186" s="161">
        <f t="shared" si="276"/>
        <v>0</v>
      </c>
      <c r="EE186" s="161">
        <f t="shared" si="277"/>
        <v>0</v>
      </c>
      <c r="EF186" s="161">
        <f t="shared" si="278"/>
        <v>0</v>
      </c>
      <c r="EG186" s="161">
        <f t="shared" si="279"/>
        <v>0</v>
      </c>
      <c r="EH186" s="161">
        <f t="shared" si="280"/>
        <v>0</v>
      </c>
      <c r="EI186" s="161">
        <f t="shared" si="281"/>
        <v>0</v>
      </c>
      <c r="EJ186" s="161">
        <f t="shared" si="282"/>
        <v>0</v>
      </c>
      <c r="EK186" s="147">
        <f t="shared" si="322"/>
        <v>0</v>
      </c>
      <c r="EL186" s="149"/>
      <c r="EN186" s="146"/>
      <c r="EO186" s="146"/>
      <c r="EP186" s="139">
        <f t="shared" si="323"/>
        <v>0</v>
      </c>
      <c r="EQ186" s="139">
        <f t="shared" si="324"/>
        <v>0</v>
      </c>
      <c r="ER186" s="139">
        <f t="shared" si="325"/>
        <v>0</v>
      </c>
      <c r="ES186" s="139">
        <f t="shared" si="326"/>
        <v>0</v>
      </c>
      <c r="ET186" s="139">
        <f t="shared" si="327"/>
        <v>0</v>
      </c>
      <c r="EU186" s="139">
        <f t="shared" si="328"/>
        <v>0</v>
      </c>
      <c r="EV186" s="139">
        <f t="shared" si="329"/>
        <v>0</v>
      </c>
      <c r="EW186" s="139">
        <f t="shared" si="330"/>
        <v>0</v>
      </c>
      <c r="EX186" s="139">
        <f t="shared" si="331"/>
        <v>0</v>
      </c>
      <c r="EY186" s="139">
        <f t="shared" si="332"/>
        <v>0</v>
      </c>
      <c r="EZ186" s="139">
        <f t="shared" si="333"/>
        <v>0</v>
      </c>
      <c r="FA186" s="139">
        <f t="shared" si="334"/>
        <v>0</v>
      </c>
      <c r="FB186" s="139">
        <f t="shared" si="335"/>
        <v>0</v>
      </c>
      <c r="FC186" s="139">
        <f t="shared" si="336"/>
        <v>0</v>
      </c>
      <c r="FD186" s="139">
        <f t="shared" si="337"/>
        <v>0</v>
      </c>
      <c r="FE186" s="139">
        <f t="shared" si="338"/>
        <v>0</v>
      </c>
      <c r="FF186" s="139">
        <f t="shared" si="339"/>
        <v>0</v>
      </c>
      <c r="FG186" s="139">
        <f t="shared" si="340"/>
        <v>0</v>
      </c>
      <c r="FH186" s="139">
        <f t="shared" si="341"/>
        <v>0</v>
      </c>
      <c r="FI186" s="139">
        <f t="shared" si="342"/>
        <v>0</v>
      </c>
      <c r="FJ186" s="139">
        <f t="shared" si="343"/>
        <v>0</v>
      </c>
      <c r="FK186" s="139">
        <f t="shared" si="344"/>
        <v>0</v>
      </c>
      <c r="FL186" s="139">
        <f t="shared" si="345"/>
        <v>0</v>
      </c>
      <c r="FM186" s="139">
        <f t="shared" si="346"/>
        <v>0</v>
      </c>
      <c r="FN186" s="139">
        <f t="shared" si="347"/>
        <v>0</v>
      </c>
      <c r="FO186" s="139">
        <f t="shared" si="348"/>
        <v>0</v>
      </c>
      <c r="FP186" s="139">
        <f t="shared" si="349"/>
        <v>0</v>
      </c>
      <c r="FQ186" s="139">
        <f t="shared" si="350"/>
        <v>0</v>
      </c>
      <c r="FR186" s="139">
        <f t="shared" si="351"/>
        <v>0</v>
      </c>
      <c r="FS186" s="139">
        <f t="shared" si="352"/>
        <v>0</v>
      </c>
      <c r="FT186" s="139">
        <f t="shared" si="353"/>
        <v>0</v>
      </c>
      <c r="FU186" s="148">
        <f t="shared" si="354"/>
        <v>0</v>
      </c>
      <c r="FV186" s="149"/>
      <c r="FY186" s="210">
        <v>181</v>
      </c>
      <c r="FZ186">
        <v>3.9533740818326448</v>
      </c>
      <c r="GA186">
        <v>24.926089773613814</v>
      </c>
      <c r="GB186">
        <v>15.350183291526827</v>
      </c>
      <c r="GC186">
        <v>5.104570019785311</v>
      </c>
      <c r="GD186">
        <v>3.6883071107216705</v>
      </c>
      <c r="GE186">
        <v>5.0839597189210846</v>
      </c>
      <c r="GF186">
        <v>5.7611728989544861</v>
      </c>
      <c r="GG186">
        <v>3.0449431686508643</v>
      </c>
      <c r="GH186">
        <v>1.4865904904716891</v>
      </c>
      <c r="GI186">
        <v>7.8338522657502274</v>
      </c>
      <c r="GJ186"/>
      <c r="GK186"/>
      <c r="GL186"/>
      <c r="GM186"/>
    </row>
    <row r="187" spans="1:195" s="7" customFormat="1">
      <c r="A187" s="1"/>
      <c r="B187" s="76">
        <f ca="1">IF(C187="", "", RAND())</f>
        <v>0.58850677147768238</v>
      </c>
      <c r="C187">
        <v>7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136.4335865408737</v>
      </c>
      <c r="AO187">
        <v>12.127249980191133</v>
      </c>
      <c r="AP187">
        <v>95.013660994125743</v>
      </c>
      <c r="AQ187">
        <v>74.404919429422321</v>
      </c>
      <c r="AR187">
        <v>11.333968107415082</v>
      </c>
      <c r="AS187">
        <v>98.796833811074535</v>
      </c>
      <c r="AT187" t="e">
        <v>#DIV/0!</v>
      </c>
      <c r="AU187" t="e">
        <v>#DIV/0!</v>
      </c>
      <c r="AV187"/>
      <c r="AW187"/>
      <c r="AX187" s="146"/>
      <c r="AY187" s="76">
        <f t="shared" ca="1" si="245"/>
        <v>0.83948521667480525</v>
      </c>
      <c r="AZ187">
        <v>10</v>
      </c>
      <c r="BA187" s="129">
        <f t="shared" si="321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46"/>
        <v>0.96831309770056961</v>
      </c>
      <c r="CL187" s="179">
        <f t="shared" si="247"/>
        <v>10</v>
      </c>
      <c r="CM187" s="180">
        <f t="shared" si="248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317"/>
        <v>9.6000000000000002E-2</v>
      </c>
      <c r="DB187" s="146"/>
      <c r="DC187" s="76">
        <f t="shared" ca="1" si="249"/>
        <v>0.47554959098597727</v>
      </c>
      <c r="DD187">
        <f t="shared" si="250"/>
        <v>10</v>
      </c>
      <c r="DE187" s="129">
        <f t="shared" si="320"/>
        <v>39987</v>
      </c>
      <c r="DF187" s="161">
        <f t="shared" si="252"/>
        <v>0</v>
      </c>
      <c r="DG187" s="161">
        <f t="shared" si="253"/>
        <v>0</v>
      </c>
      <c r="DH187" s="161">
        <f t="shared" si="254"/>
        <v>0</v>
      </c>
      <c r="DI187" s="161">
        <f t="shared" si="255"/>
        <v>0</v>
      </c>
      <c r="DJ187" s="161">
        <f t="shared" si="256"/>
        <v>0</v>
      </c>
      <c r="DK187" s="161">
        <f t="shared" si="257"/>
        <v>0</v>
      </c>
      <c r="DL187" s="161">
        <f t="shared" si="258"/>
        <v>0</v>
      </c>
      <c r="DM187" s="161">
        <f t="shared" si="259"/>
        <v>0</v>
      </c>
      <c r="DN187" s="161">
        <f t="shared" si="260"/>
        <v>0</v>
      </c>
      <c r="DO187" s="161">
        <f t="shared" si="261"/>
        <v>0</v>
      </c>
      <c r="DP187" s="161">
        <f t="shared" si="262"/>
        <v>0</v>
      </c>
      <c r="DQ187" s="161">
        <f t="shared" si="263"/>
        <v>0</v>
      </c>
      <c r="DR187" s="161">
        <f t="shared" si="264"/>
        <v>0</v>
      </c>
      <c r="DS187" s="161">
        <f t="shared" si="265"/>
        <v>0</v>
      </c>
      <c r="DT187" s="161">
        <f t="shared" si="266"/>
        <v>0</v>
      </c>
      <c r="DU187" s="161">
        <f t="shared" si="267"/>
        <v>0</v>
      </c>
      <c r="DV187" s="161">
        <f t="shared" si="268"/>
        <v>0</v>
      </c>
      <c r="DW187" s="161">
        <f t="shared" si="269"/>
        <v>0</v>
      </c>
      <c r="DX187" s="161">
        <f t="shared" si="270"/>
        <v>0</v>
      </c>
      <c r="DY187" s="161">
        <f t="shared" si="271"/>
        <v>0</v>
      </c>
      <c r="DZ187" s="161">
        <f t="shared" si="272"/>
        <v>0</v>
      </c>
      <c r="EA187" s="161">
        <f t="shared" si="273"/>
        <v>0</v>
      </c>
      <c r="EB187" s="161">
        <f t="shared" si="274"/>
        <v>0</v>
      </c>
      <c r="EC187" s="161">
        <f t="shared" si="275"/>
        <v>0</v>
      </c>
      <c r="ED187" s="161">
        <f t="shared" si="276"/>
        <v>0</v>
      </c>
      <c r="EE187" s="161">
        <f t="shared" si="277"/>
        <v>0</v>
      </c>
      <c r="EF187" s="161">
        <f t="shared" si="278"/>
        <v>0</v>
      </c>
      <c r="EG187" s="161">
        <f t="shared" si="279"/>
        <v>0</v>
      </c>
      <c r="EH187" s="161">
        <f t="shared" si="280"/>
        <v>0</v>
      </c>
      <c r="EI187" s="161">
        <f t="shared" si="281"/>
        <v>0</v>
      </c>
      <c r="EJ187" s="161">
        <f t="shared" si="282"/>
        <v>0</v>
      </c>
      <c r="EK187" s="147">
        <f t="shared" si="322"/>
        <v>0</v>
      </c>
      <c r="EL187" s="149"/>
      <c r="EN187" s="146"/>
      <c r="EO187" s="146"/>
      <c r="EP187" s="139">
        <f t="shared" si="323"/>
        <v>0</v>
      </c>
      <c r="EQ187" s="139">
        <f t="shared" si="324"/>
        <v>0</v>
      </c>
      <c r="ER187" s="139">
        <f t="shared" si="325"/>
        <v>0</v>
      </c>
      <c r="ES187" s="139">
        <f t="shared" si="326"/>
        <v>0</v>
      </c>
      <c r="ET187" s="139">
        <f t="shared" si="327"/>
        <v>0</v>
      </c>
      <c r="EU187" s="139">
        <f t="shared" si="328"/>
        <v>0</v>
      </c>
      <c r="EV187" s="139">
        <f t="shared" si="329"/>
        <v>0</v>
      </c>
      <c r="EW187" s="139">
        <f t="shared" si="330"/>
        <v>0</v>
      </c>
      <c r="EX187" s="139">
        <f t="shared" si="331"/>
        <v>0</v>
      </c>
      <c r="EY187" s="139">
        <f t="shared" si="332"/>
        <v>0</v>
      </c>
      <c r="EZ187" s="139">
        <f t="shared" si="333"/>
        <v>0</v>
      </c>
      <c r="FA187" s="139">
        <f t="shared" si="334"/>
        <v>0</v>
      </c>
      <c r="FB187" s="139">
        <f t="shared" si="335"/>
        <v>0</v>
      </c>
      <c r="FC187" s="139">
        <f t="shared" si="336"/>
        <v>0</v>
      </c>
      <c r="FD187" s="139">
        <f t="shared" si="337"/>
        <v>0</v>
      </c>
      <c r="FE187" s="139">
        <f t="shared" si="338"/>
        <v>0</v>
      </c>
      <c r="FF187" s="139">
        <f t="shared" si="339"/>
        <v>0</v>
      </c>
      <c r="FG187" s="139">
        <f t="shared" si="340"/>
        <v>0</v>
      </c>
      <c r="FH187" s="139">
        <f t="shared" si="341"/>
        <v>0</v>
      </c>
      <c r="FI187" s="139">
        <f t="shared" si="342"/>
        <v>0</v>
      </c>
      <c r="FJ187" s="139">
        <f t="shared" si="343"/>
        <v>0</v>
      </c>
      <c r="FK187" s="139">
        <f t="shared" si="344"/>
        <v>0</v>
      </c>
      <c r="FL187" s="139">
        <f t="shared" si="345"/>
        <v>0</v>
      </c>
      <c r="FM187" s="139">
        <f t="shared" si="346"/>
        <v>0</v>
      </c>
      <c r="FN187" s="139">
        <f t="shared" si="347"/>
        <v>0</v>
      </c>
      <c r="FO187" s="139">
        <f t="shared" si="348"/>
        <v>0</v>
      </c>
      <c r="FP187" s="139">
        <f t="shared" si="349"/>
        <v>0</v>
      </c>
      <c r="FQ187" s="139">
        <f t="shared" si="350"/>
        <v>0</v>
      </c>
      <c r="FR187" s="139">
        <f t="shared" si="351"/>
        <v>0</v>
      </c>
      <c r="FS187" s="139">
        <f t="shared" si="352"/>
        <v>0</v>
      </c>
      <c r="FT187" s="139">
        <f t="shared" si="353"/>
        <v>0</v>
      </c>
      <c r="FU187" s="148">
        <f t="shared" si="354"/>
        <v>0</v>
      </c>
      <c r="FV187" s="149"/>
      <c r="FY187" s="210">
        <v>182</v>
      </c>
      <c r="FZ187">
        <v>9.7646594542225209</v>
      </c>
      <c r="GA187">
        <v>30.75327212554549</v>
      </c>
      <c r="GB187">
        <v>17.330713368400033</v>
      </c>
      <c r="GC187">
        <v>6.4934546603580117</v>
      </c>
      <c r="GD187">
        <v>3.4308047774365829</v>
      </c>
      <c r="GE187">
        <v>4.5164927249833884</v>
      </c>
      <c r="GF187">
        <v>3.8446815780693395</v>
      </c>
      <c r="GG187">
        <v>4.674477822498817</v>
      </c>
      <c r="GH187">
        <v>5.226516235768087</v>
      </c>
      <c r="GI187">
        <v>9.2696084790303921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241.25783014355505</v>
      </c>
      <c r="AO188">
        <v>13.844448053066866</v>
      </c>
      <c r="AP188">
        <v>104.04447974034035</v>
      </c>
      <c r="AQ188">
        <v>85.458347575660881</v>
      </c>
      <c r="AR188">
        <v>12.775301095152557</v>
      </c>
      <c r="AS188">
        <v>151.49047368556151</v>
      </c>
      <c r="AT188">
        <v>6.1582562442190749</v>
      </c>
      <c r="AU188">
        <v>-19.523381121545391</v>
      </c>
      <c r="AV188"/>
      <c r="AW188"/>
      <c r="AX188" s="128"/>
      <c r="AY188" s="76" t="str">
        <f t="shared" ca="1" si="245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46"/>
        <v/>
      </c>
      <c r="CL188" s="179" t="str">
        <f t="shared" si="247"/>
        <v/>
      </c>
      <c r="CM188" s="180" t="str">
        <f t="shared" si="248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317"/>
        <v/>
      </c>
      <c r="DB188" s="128"/>
      <c r="DC188" s="76" t="str">
        <f t="shared" ca="1" si="249"/>
        <v/>
      </c>
      <c r="DD188" t="str">
        <f t="shared" si="250"/>
        <v/>
      </c>
      <c r="DE188" s="129" t="str">
        <f t="shared" ref="DE188:DE197" si="355">IF((DD188)="", "", $C$14)</f>
        <v/>
      </c>
      <c r="DF188" s="161" t="str">
        <f t="shared" ref="DF188:DF207" si="356">IF($AZ188="", "", ((BB188*$CW188)+(CN188*$CX188))/$CZ188)</f>
        <v/>
      </c>
      <c r="DG188" s="161" t="str">
        <f t="shared" ref="DG188:DG207" si="357">IF($AZ188="", "", ((BC188*$CW188)+(CO188*$CX188))/$CZ188)</f>
        <v/>
      </c>
      <c r="DH188" s="161" t="str">
        <f t="shared" ref="DH188:DH207" si="358">IF($AZ188="", "", ((BD188*$CW188)+(CP188*$CX188))/$CZ188)</f>
        <v/>
      </c>
      <c r="DI188" s="161" t="str">
        <f t="shared" ref="DI188:DI207" si="359">IF($AZ188="", "", ((BE188*$CW188)+(CQ188*$CX188))/$CZ188)</f>
        <v/>
      </c>
      <c r="DJ188" s="161" t="str">
        <f t="shared" ref="DJ188:DJ207" si="360">IF($AZ188="", "", ((BF188*$CW188)+(CR188*$CX188))/$CZ188)</f>
        <v/>
      </c>
      <c r="DK188" s="161" t="str">
        <f t="shared" ref="DK188:DK207" si="361">IF($AZ188="", "", ((BG188*$CW188)+(CS188*$CX188))/$CZ188)</f>
        <v/>
      </c>
      <c r="DL188" s="161" t="str">
        <f t="shared" ref="DL188:DL207" si="362">IF($AZ188="", "", ((BH188*$CW188)+(CT188*$CX188))/$CZ188)</f>
        <v/>
      </c>
      <c r="DM188" s="161" t="str">
        <f t="shared" ref="DM188:DM207" si="363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364">IF($AZ188="", "", (BK187*$CW188)/$CZ188)</f>
        <v/>
      </c>
      <c r="DP188" s="161" t="str">
        <f t="shared" ref="DP188:DP193" si="365">IF($AZ188="", "", (BL187*$CW188)/$CZ188)</f>
        <v/>
      </c>
      <c r="DQ188" s="161" t="str">
        <f t="shared" ref="DQ188:DQ193" si="366">IF($AZ188="", "", (BM187*$CW188)/$CZ188)</f>
        <v/>
      </c>
      <c r="DR188" s="161" t="str">
        <f t="shared" ref="DR188:DR193" si="367">IF($AZ188="", "", (BN187*$CW188)/$CZ188)</f>
        <v/>
      </c>
      <c r="DS188" s="161" t="str">
        <f t="shared" ref="DS188:DS193" si="368">IF($AZ188="", "", (BO187*$CW188)/$CZ188)</f>
        <v/>
      </c>
      <c r="DT188" s="161" t="str">
        <f t="shared" ref="DT188:DT193" si="369">IF($AZ188="", "", (BP187*$CW188)/$CZ188)</f>
        <v/>
      </c>
      <c r="DU188" s="161" t="str">
        <f t="shared" ref="DU188:DU193" si="370">IF($AZ188="", "", (BQ187*$CW188)/$CZ188)</f>
        <v/>
      </c>
      <c r="DV188" s="161" t="str">
        <f t="shared" ref="DV188:DV193" si="371">IF($AZ188="", "", (BR187*$CW188)/$CZ188)</f>
        <v/>
      </c>
      <c r="DW188" s="161" t="str">
        <f t="shared" ref="DW188:DW193" si="372">IF($AZ188="", "", (BS187*$CW188)/$CZ188)</f>
        <v/>
      </c>
      <c r="DX188" s="161" t="str">
        <f t="shared" ref="DX188:DX193" si="373">IF($AZ188="", "", (BT187*$CW188)/$CZ188)</f>
        <v/>
      </c>
      <c r="DY188" s="161" t="str">
        <f t="shared" ref="DY188:DY193" si="374">IF($AZ188="", "", (BU187*$CW188)/$CZ188)</f>
        <v/>
      </c>
      <c r="DZ188" s="161" t="str">
        <f t="shared" ref="DZ188:DZ193" si="375">IF($AZ188="", "", (BV187*$CW188)/$CZ188)</f>
        <v/>
      </c>
      <c r="EA188" s="161" t="str">
        <f t="shared" ref="EA188:EA193" si="376">IF($AZ188="", "", (BW187*$CW188)/$CZ188)</f>
        <v/>
      </c>
      <c r="EB188" s="161" t="str">
        <f t="shared" ref="EB188:EB193" si="377">IF($AZ188="", "", (BX187*$CW188)/$CZ188)</f>
        <v/>
      </c>
      <c r="EC188" s="161" t="str">
        <f t="shared" ref="EC188:EC193" si="378">IF($AZ188="", "", (BY187*$CW188)/$CZ188)</f>
        <v/>
      </c>
      <c r="ED188" s="161" t="str">
        <f t="shared" ref="ED188:ED193" si="379">IF($AZ188="", "", (BZ187*$CW188)/$CZ188)</f>
        <v/>
      </c>
      <c r="EE188" s="161" t="str">
        <f t="shared" ref="EE188:EE193" si="380">IF($AZ188="", "", (CA187*$CW188)/$CZ188)</f>
        <v/>
      </c>
      <c r="EF188" s="161" t="str">
        <f t="shared" ref="EF188:EF193" si="381">IF($AZ188="", "", (CB187*$CW188)/$CZ188)</f>
        <v/>
      </c>
      <c r="EG188" s="161" t="str">
        <f t="shared" ref="EG188:EG193" si="382">IF($AZ188="", "", (CC187*$CW188)/$CZ188)</f>
        <v/>
      </c>
      <c r="EH188" s="161" t="str">
        <f t="shared" ref="EH188:EH193" si="383">IF($AZ188="", "", (CD187*$CW188)/$CZ188)</f>
        <v/>
      </c>
      <c r="EI188" s="161" t="str">
        <f t="shared" ref="EI188:EI193" si="384">IF($AZ188="", "", (CE187*$CW188)/$CZ188)</f>
        <v/>
      </c>
      <c r="EJ188" s="161" t="str">
        <f t="shared" ref="EJ188:EJ193" si="385">IF($AZ188="", "", (CF187*$CW188)/$CZ188)</f>
        <v/>
      </c>
      <c r="EK188" s="147" t="str">
        <f t="shared" si="322"/>
        <v/>
      </c>
      <c r="EL188" s="149"/>
      <c r="EN188" s="146"/>
      <c r="EO188" s="146"/>
      <c r="EP188" s="139" t="str">
        <f t="shared" si="323"/>
        <v/>
      </c>
      <c r="EQ188" s="139" t="str">
        <f t="shared" si="324"/>
        <v/>
      </c>
      <c r="ER188" s="139" t="str">
        <f t="shared" si="325"/>
        <v/>
      </c>
      <c r="ES188" s="139" t="str">
        <f t="shared" si="326"/>
        <v/>
      </c>
      <c r="ET188" s="139" t="str">
        <f t="shared" si="327"/>
        <v/>
      </c>
      <c r="EU188" s="139" t="str">
        <f t="shared" si="328"/>
        <v/>
      </c>
      <c r="EV188" s="139" t="str">
        <f t="shared" si="329"/>
        <v/>
      </c>
      <c r="EW188" s="139" t="str">
        <f t="shared" si="330"/>
        <v/>
      </c>
      <c r="EX188" s="139" t="str">
        <f t="shared" si="331"/>
        <v/>
      </c>
      <c r="EY188" s="139" t="str">
        <f t="shared" si="332"/>
        <v/>
      </c>
      <c r="EZ188" s="139" t="str">
        <f t="shared" si="333"/>
        <v/>
      </c>
      <c r="FA188" s="139" t="str">
        <f t="shared" si="334"/>
        <v/>
      </c>
      <c r="FB188" s="139" t="str">
        <f t="shared" si="335"/>
        <v/>
      </c>
      <c r="FC188" s="139" t="str">
        <f t="shared" si="336"/>
        <v/>
      </c>
      <c r="FD188" s="139" t="str">
        <f t="shared" si="337"/>
        <v/>
      </c>
      <c r="FE188" s="139" t="str">
        <f t="shared" si="338"/>
        <v/>
      </c>
      <c r="FF188" s="139" t="str">
        <f t="shared" si="339"/>
        <v/>
      </c>
      <c r="FG188" s="139" t="str">
        <f t="shared" si="340"/>
        <v/>
      </c>
      <c r="FH188" s="139" t="str">
        <f t="shared" si="341"/>
        <v/>
      </c>
      <c r="FI188" s="139" t="str">
        <f t="shared" si="342"/>
        <v/>
      </c>
      <c r="FJ188" s="139" t="str">
        <f t="shared" si="343"/>
        <v/>
      </c>
      <c r="FK188" s="139" t="str">
        <f t="shared" si="344"/>
        <v/>
      </c>
      <c r="FL188" s="139" t="str">
        <f t="shared" si="345"/>
        <v/>
      </c>
      <c r="FM188" s="139" t="str">
        <f t="shared" si="346"/>
        <v/>
      </c>
      <c r="FN188" s="139" t="str">
        <f t="shared" si="347"/>
        <v/>
      </c>
      <c r="FO188" s="139" t="str">
        <f t="shared" si="348"/>
        <v/>
      </c>
      <c r="FP188" s="139" t="str">
        <f t="shared" si="349"/>
        <v/>
      </c>
      <c r="FQ188" s="139" t="str">
        <f t="shared" si="350"/>
        <v/>
      </c>
      <c r="FR188" s="139" t="str">
        <f t="shared" si="351"/>
        <v/>
      </c>
      <c r="FS188" s="139" t="str">
        <f t="shared" si="352"/>
        <v/>
      </c>
      <c r="FT188" s="139" t="str">
        <f t="shared" si="353"/>
        <v/>
      </c>
      <c r="FU188" s="148" t="str">
        <f t="shared" si="354"/>
        <v/>
      </c>
      <c r="FV188" s="149"/>
      <c r="FY188" s="210">
        <v>183</v>
      </c>
      <c r="FZ188">
        <v>6.7361944158186606</v>
      </c>
      <c r="GA188">
        <v>23.597842057852965</v>
      </c>
      <c r="GB188">
        <v>23.294623434059378</v>
      </c>
      <c r="GC188">
        <v>12.565648127244009</v>
      </c>
      <c r="GD188">
        <v>5.0243254648034466</v>
      </c>
      <c r="GE188">
        <v>4.0476757376331651</v>
      </c>
      <c r="GF188">
        <v>1.8135214616071638</v>
      </c>
      <c r="GG188">
        <v>1.4206042884147827</v>
      </c>
      <c r="GH188">
        <v>3.6132122659065091</v>
      </c>
      <c r="GI188">
        <v>10.623494340088984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188.09729916700843</v>
      </c>
      <c r="AO189">
        <v>16.433991521262755</v>
      </c>
      <c r="AP189">
        <v>139.52718138297053</v>
      </c>
      <c r="AQ189">
        <v>106.14347447449698</v>
      </c>
      <c r="AR189">
        <v>15.292745719618956</v>
      </c>
      <c r="AS189">
        <v>145.30017327702558</v>
      </c>
      <c r="AT189">
        <v>6.916789437092298</v>
      </c>
      <c r="AU189">
        <v>-15.623999952468907</v>
      </c>
      <c r="AV189"/>
      <c r="AW189"/>
      <c r="AX189" s="146"/>
      <c r="AY189" s="76" t="str">
        <f t="shared" ca="1" si="245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46"/>
        <v/>
      </c>
      <c r="CL189" s="179" t="str">
        <f t="shared" si="247"/>
        <v/>
      </c>
      <c r="CM189" s="180" t="str">
        <f t="shared" si="248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317"/>
        <v/>
      </c>
      <c r="DB189" s="146"/>
      <c r="DC189" s="76" t="str">
        <f t="shared" ca="1" si="249"/>
        <v/>
      </c>
      <c r="DD189" t="str">
        <f t="shared" si="250"/>
        <v/>
      </c>
      <c r="DE189" s="129" t="str">
        <f t="shared" si="355"/>
        <v/>
      </c>
      <c r="DF189" s="161" t="str">
        <f t="shared" si="356"/>
        <v/>
      </c>
      <c r="DG189" s="161" t="str">
        <f t="shared" si="357"/>
        <v/>
      </c>
      <c r="DH189" s="161" t="str">
        <f t="shared" si="358"/>
        <v/>
      </c>
      <c r="DI189" s="161" t="str">
        <f t="shared" si="359"/>
        <v/>
      </c>
      <c r="DJ189" s="161" t="str">
        <f t="shared" si="360"/>
        <v/>
      </c>
      <c r="DK189" s="161" t="str">
        <f t="shared" si="361"/>
        <v/>
      </c>
      <c r="DL189" s="161" t="str">
        <f t="shared" si="362"/>
        <v/>
      </c>
      <c r="DM189" s="161" t="str">
        <f t="shared" si="363"/>
        <v/>
      </c>
      <c r="DN189" s="161" t="str">
        <f>IF($AZ189="", "", (BJ189*$CW189)/$CZ189)</f>
        <v/>
      </c>
      <c r="DO189" s="161" t="str">
        <f t="shared" si="364"/>
        <v/>
      </c>
      <c r="DP189" s="161" t="str">
        <f t="shared" si="365"/>
        <v/>
      </c>
      <c r="DQ189" s="161" t="str">
        <f t="shared" si="366"/>
        <v/>
      </c>
      <c r="DR189" s="161" t="str">
        <f t="shared" si="367"/>
        <v/>
      </c>
      <c r="DS189" s="161" t="str">
        <f t="shared" si="368"/>
        <v/>
      </c>
      <c r="DT189" s="161" t="str">
        <f t="shared" si="369"/>
        <v/>
      </c>
      <c r="DU189" s="161" t="str">
        <f t="shared" si="370"/>
        <v/>
      </c>
      <c r="DV189" s="161" t="str">
        <f t="shared" si="371"/>
        <v/>
      </c>
      <c r="DW189" s="161" t="str">
        <f t="shared" si="372"/>
        <v/>
      </c>
      <c r="DX189" s="161" t="str">
        <f t="shared" si="373"/>
        <v/>
      </c>
      <c r="DY189" s="161" t="str">
        <f t="shared" si="374"/>
        <v/>
      </c>
      <c r="DZ189" s="161" t="str">
        <f t="shared" si="375"/>
        <v/>
      </c>
      <c r="EA189" s="161" t="str">
        <f t="shared" si="376"/>
        <v/>
      </c>
      <c r="EB189" s="161" t="str">
        <f t="shared" si="377"/>
        <v/>
      </c>
      <c r="EC189" s="161" t="str">
        <f t="shared" si="378"/>
        <v/>
      </c>
      <c r="ED189" s="161" t="str">
        <f t="shared" si="379"/>
        <v/>
      </c>
      <c r="EE189" s="161" t="str">
        <f t="shared" si="380"/>
        <v/>
      </c>
      <c r="EF189" s="161" t="str">
        <f t="shared" si="381"/>
        <v/>
      </c>
      <c r="EG189" s="161" t="str">
        <f t="shared" si="382"/>
        <v/>
      </c>
      <c r="EH189" s="161" t="str">
        <f t="shared" si="383"/>
        <v/>
      </c>
      <c r="EI189" s="161" t="str">
        <f t="shared" si="384"/>
        <v/>
      </c>
      <c r="EJ189" s="161" t="str">
        <f t="shared" si="385"/>
        <v/>
      </c>
      <c r="EK189" s="147" t="str">
        <f t="shared" si="322"/>
        <v/>
      </c>
      <c r="EL189" s="149"/>
      <c r="EN189" s="146"/>
      <c r="EO189" s="146"/>
      <c r="EP189" s="139" t="str">
        <f t="shared" si="323"/>
        <v/>
      </c>
      <c r="EQ189" s="139" t="str">
        <f t="shared" si="324"/>
        <v/>
      </c>
      <c r="ER189" s="139" t="str">
        <f t="shared" si="325"/>
        <v/>
      </c>
      <c r="ES189" s="139" t="str">
        <f t="shared" si="326"/>
        <v/>
      </c>
      <c r="ET189" s="139" t="str">
        <f t="shared" si="327"/>
        <v/>
      </c>
      <c r="EU189" s="139" t="str">
        <f t="shared" si="328"/>
        <v/>
      </c>
      <c r="EV189" s="139" t="str">
        <f t="shared" si="329"/>
        <v/>
      </c>
      <c r="EW189" s="139" t="str">
        <f t="shared" si="330"/>
        <v/>
      </c>
      <c r="EX189" s="139" t="str">
        <f t="shared" si="331"/>
        <v/>
      </c>
      <c r="EY189" s="139" t="str">
        <f t="shared" si="332"/>
        <v/>
      </c>
      <c r="EZ189" s="139" t="str">
        <f t="shared" si="333"/>
        <v/>
      </c>
      <c r="FA189" s="139" t="str">
        <f t="shared" si="334"/>
        <v/>
      </c>
      <c r="FB189" s="139" t="str">
        <f t="shared" si="335"/>
        <v/>
      </c>
      <c r="FC189" s="139" t="str">
        <f t="shared" si="336"/>
        <v/>
      </c>
      <c r="FD189" s="139" t="str">
        <f t="shared" si="337"/>
        <v/>
      </c>
      <c r="FE189" s="139" t="str">
        <f t="shared" si="338"/>
        <v/>
      </c>
      <c r="FF189" s="139" t="str">
        <f t="shared" si="339"/>
        <v/>
      </c>
      <c r="FG189" s="139" t="str">
        <f t="shared" si="340"/>
        <v/>
      </c>
      <c r="FH189" s="139" t="str">
        <f t="shared" si="341"/>
        <v/>
      </c>
      <c r="FI189" s="139" t="str">
        <f t="shared" si="342"/>
        <v/>
      </c>
      <c r="FJ189" s="139" t="str">
        <f t="shared" si="343"/>
        <v/>
      </c>
      <c r="FK189" s="139" t="str">
        <f t="shared" si="344"/>
        <v/>
      </c>
      <c r="FL189" s="139" t="str">
        <f t="shared" si="345"/>
        <v/>
      </c>
      <c r="FM189" s="139" t="str">
        <f t="shared" si="346"/>
        <v/>
      </c>
      <c r="FN189" s="139" t="str">
        <f t="shared" si="347"/>
        <v/>
      </c>
      <c r="FO189" s="139" t="str">
        <f t="shared" si="348"/>
        <v/>
      </c>
      <c r="FP189" s="139" t="str">
        <f t="shared" si="349"/>
        <v/>
      </c>
      <c r="FQ189" s="139" t="str">
        <f t="shared" si="350"/>
        <v/>
      </c>
      <c r="FR189" s="139" t="str">
        <f t="shared" si="351"/>
        <v/>
      </c>
      <c r="FS189" s="139" t="str">
        <f t="shared" si="352"/>
        <v/>
      </c>
      <c r="FT189" s="139" t="str">
        <f t="shared" si="353"/>
        <v/>
      </c>
      <c r="FU189" s="148" t="str">
        <f t="shared" si="354"/>
        <v/>
      </c>
      <c r="FV189" s="149"/>
      <c r="FY189" s="210">
        <v>184</v>
      </c>
      <c r="FZ189">
        <v>6.8578848545331876</v>
      </c>
      <c r="GA189">
        <v>28.97849243885328</v>
      </c>
      <c r="GB189">
        <v>18.643954965315899</v>
      </c>
      <c r="GC189">
        <v>7.3344104362280866</v>
      </c>
      <c r="GD189">
        <v>4.0443454015054829</v>
      </c>
      <c r="GE189">
        <v>4.8051722897077305</v>
      </c>
      <c r="GF189">
        <v>3.119945055045009</v>
      </c>
      <c r="GG189">
        <v>3.160202102352593</v>
      </c>
      <c r="GH189">
        <v>3.9403851630144526</v>
      </c>
      <c r="GI189">
        <v>9.2136841663960283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245.80046917704561</v>
      </c>
      <c r="AO190">
        <v>16.973017271722391</v>
      </c>
      <c r="AP190">
        <v>121.86148143446755</v>
      </c>
      <c r="AQ190">
        <v>99.274200370300235</v>
      </c>
      <c r="AR190">
        <v>15.524479607799316</v>
      </c>
      <c r="AS190">
        <v>158.20111054435375</v>
      </c>
      <c r="AT190">
        <v>6.9355835606893992</v>
      </c>
      <c r="AU190">
        <v>-7.2628195912152442</v>
      </c>
      <c r="AV190"/>
      <c r="AW190"/>
      <c r="AX190" s="146"/>
      <c r="AY190" s="76" t="str">
        <f t="shared" ca="1" si="245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46"/>
        <v/>
      </c>
      <c r="CL190" s="179" t="str">
        <f t="shared" si="247"/>
        <v/>
      </c>
      <c r="CM190" s="180" t="str">
        <f t="shared" si="248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317"/>
        <v/>
      </c>
      <c r="DB190" s="146"/>
      <c r="DC190" s="76" t="str">
        <f t="shared" ca="1" si="249"/>
        <v/>
      </c>
      <c r="DD190" t="str">
        <f t="shared" si="250"/>
        <v/>
      </c>
      <c r="DE190" s="129" t="str">
        <f t="shared" si="355"/>
        <v/>
      </c>
      <c r="DF190" s="161" t="str">
        <f t="shared" si="356"/>
        <v/>
      </c>
      <c r="DG190" s="161" t="str">
        <f t="shared" si="357"/>
        <v/>
      </c>
      <c r="DH190" s="161" t="str">
        <f t="shared" si="358"/>
        <v/>
      </c>
      <c r="DI190" s="161" t="str">
        <f t="shared" si="359"/>
        <v/>
      </c>
      <c r="DJ190" s="161" t="str">
        <f t="shared" si="360"/>
        <v/>
      </c>
      <c r="DK190" s="161" t="str">
        <f t="shared" si="361"/>
        <v/>
      </c>
      <c r="DL190" s="161" t="str">
        <f t="shared" si="362"/>
        <v/>
      </c>
      <c r="DM190" s="161" t="str">
        <f t="shared" si="363"/>
        <v/>
      </c>
      <c r="DN190" s="161" t="str">
        <f>IF($AZ190="", "", (BJ190*$CW190)/$CZ190)</f>
        <v/>
      </c>
      <c r="DO190" s="161" t="str">
        <f t="shared" si="364"/>
        <v/>
      </c>
      <c r="DP190" s="161" t="str">
        <f t="shared" si="365"/>
        <v/>
      </c>
      <c r="DQ190" s="161" t="str">
        <f t="shared" si="366"/>
        <v/>
      </c>
      <c r="DR190" s="161" t="str">
        <f t="shared" si="367"/>
        <v/>
      </c>
      <c r="DS190" s="161" t="str">
        <f t="shared" si="368"/>
        <v/>
      </c>
      <c r="DT190" s="161" t="str">
        <f t="shared" si="369"/>
        <v/>
      </c>
      <c r="DU190" s="161" t="str">
        <f t="shared" si="370"/>
        <v/>
      </c>
      <c r="DV190" s="161" t="str">
        <f t="shared" si="371"/>
        <v/>
      </c>
      <c r="DW190" s="161" t="str">
        <f t="shared" si="372"/>
        <v/>
      </c>
      <c r="DX190" s="161" t="str">
        <f t="shared" si="373"/>
        <v/>
      </c>
      <c r="DY190" s="161" t="str">
        <f t="shared" si="374"/>
        <v/>
      </c>
      <c r="DZ190" s="161" t="str">
        <f t="shared" si="375"/>
        <v/>
      </c>
      <c r="EA190" s="161" t="str">
        <f t="shared" si="376"/>
        <v/>
      </c>
      <c r="EB190" s="161" t="str">
        <f t="shared" si="377"/>
        <v/>
      </c>
      <c r="EC190" s="161" t="str">
        <f t="shared" si="378"/>
        <v/>
      </c>
      <c r="ED190" s="161" t="str">
        <f t="shared" si="379"/>
        <v/>
      </c>
      <c r="EE190" s="161" t="str">
        <f t="shared" si="380"/>
        <v/>
      </c>
      <c r="EF190" s="161" t="str">
        <f t="shared" si="381"/>
        <v/>
      </c>
      <c r="EG190" s="161" t="str">
        <f t="shared" si="382"/>
        <v/>
      </c>
      <c r="EH190" s="161" t="str">
        <f t="shared" si="383"/>
        <v/>
      </c>
      <c r="EI190" s="161" t="str">
        <f t="shared" si="384"/>
        <v/>
      </c>
      <c r="EJ190" s="161" t="str">
        <f t="shared" si="385"/>
        <v/>
      </c>
      <c r="EK190" s="147" t="str">
        <f t="shared" si="322"/>
        <v/>
      </c>
      <c r="EL190" s="149"/>
      <c r="EN190" s="146"/>
      <c r="EO190" s="146"/>
      <c r="EP190" s="139" t="str">
        <f t="shared" si="323"/>
        <v/>
      </c>
      <c r="EQ190" s="139" t="str">
        <f t="shared" si="324"/>
        <v/>
      </c>
      <c r="ER190" s="139" t="str">
        <f t="shared" si="325"/>
        <v/>
      </c>
      <c r="ES190" s="139" t="str">
        <f t="shared" si="326"/>
        <v/>
      </c>
      <c r="ET190" s="139" t="str">
        <f t="shared" si="327"/>
        <v/>
      </c>
      <c r="EU190" s="139" t="str">
        <f t="shared" si="328"/>
        <v/>
      </c>
      <c r="EV190" s="139" t="str">
        <f t="shared" si="329"/>
        <v/>
      </c>
      <c r="EW190" s="139" t="str">
        <f t="shared" si="330"/>
        <v/>
      </c>
      <c r="EX190" s="139" t="str">
        <f t="shared" si="331"/>
        <v/>
      </c>
      <c r="EY190" s="139" t="str">
        <f t="shared" si="332"/>
        <v/>
      </c>
      <c r="EZ190" s="139" t="str">
        <f t="shared" si="333"/>
        <v/>
      </c>
      <c r="FA190" s="139" t="str">
        <f t="shared" si="334"/>
        <v/>
      </c>
      <c r="FB190" s="139" t="str">
        <f t="shared" si="335"/>
        <v/>
      </c>
      <c r="FC190" s="139" t="str">
        <f t="shared" si="336"/>
        <v/>
      </c>
      <c r="FD190" s="139" t="str">
        <f t="shared" si="337"/>
        <v/>
      </c>
      <c r="FE190" s="139" t="str">
        <f t="shared" si="338"/>
        <v/>
      </c>
      <c r="FF190" s="139" t="str">
        <f t="shared" si="339"/>
        <v/>
      </c>
      <c r="FG190" s="139" t="str">
        <f t="shared" si="340"/>
        <v/>
      </c>
      <c r="FH190" s="139" t="str">
        <f t="shared" si="341"/>
        <v/>
      </c>
      <c r="FI190" s="139" t="str">
        <f t="shared" si="342"/>
        <v/>
      </c>
      <c r="FJ190" s="139" t="str">
        <f t="shared" si="343"/>
        <v/>
      </c>
      <c r="FK190" s="139" t="str">
        <f t="shared" si="344"/>
        <v/>
      </c>
      <c r="FL190" s="139" t="str">
        <f t="shared" si="345"/>
        <v/>
      </c>
      <c r="FM190" s="139" t="str">
        <f t="shared" si="346"/>
        <v/>
      </c>
      <c r="FN190" s="139" t="str">
        <f t="shared" si="347"/>
        <v/>
      </c>
      <c r="FO190" s="139" t="str">
        <f t="shared" si="348"/>
        <v/>
      </c>
      <c r="FP190" s="139" t="str">
        <f t="shared" si="349"/>
        <v/>
      </c>
      <c r="FQ190" s="139" t="str">
        <f t="shared" si="350"/>
        <v/>
      </c>
      <c r="FR190" s="139" t="str">
        <f t="shared" si="351"/>
        <v/>
      </c>
      <c r="FS190" s="139" t="str">
        <f t="shared" si="352"/>
        <v/>
      </c>
      <c r="FT190" s="139" t="str">
        <f t="shared" si="353"/>
        <v/>
      </c>
      <c r="FU190" s="148" t="str">
        <f t="shared" si="354"/>
        <v/>
      </c>
      <c r="FV190" s="149"/>
      <c r="FY190" s="210">
        <v>185</v>
      </c>
      <c r="FZ190">
        <v>6.5448190481077759</v>
      </c>
      <c r="GA190">
        <v>20.905377367586734</v>
      </c>
      <c r="GB190">
        <v>22.961091714328983</v>
      </c>
      <c r="GC190">
        <v>11.72839803605811</v>
      </c>
      <c r="GD190">
        <v>4.1916493904555168</v>
      </c>
      <c r="GE190">
        <v>5.9360625903207858</v>
      </c>
      <c r="GF190">
        <v>4.1884830999296012</v>
      </c>
      <c r="GG190">
        <v>1.3269328566833409</v>
      </c>
      <c r="GH190">
        <v>2.7830385470993173</v>
      </c>
      <c r="GI190">
        <v>10.37862790831195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160.97496773138587</v>
      </c>
      <c r="AO191">
        <v>13.69597790793531</v>
      </c>
      <c r="AP191">
        <v>118.14957837249878</v>
      </c>
      <c r="AQ191">
        <v>92.568602956811475</v>
      </c>
      <c r="AR191">
        <v>12.850361898591681</v>
      </c>
      <c r="AS191">
        <v>123.98831307469194</v>
      </c>
      <c r="AT191">
        <v>5.8604028883951882</v>
      </c>
      <c r="AU191">
        <v>115.88635882383372</v>
      </c>
      <c r="AV191"/>
      <c r="AW191"/>
      <c r="AX191" s="146"/>
      <c r="AY191" s="76" t="str">
        <f t="shared" ca="1" si="245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46"/>
        <v/>
      </c>
      <c r="CL191" s="179" t="str">
        <f t="shared" si="247"/>
        <v/>
      </c>
      <c r="CM191" s="180" t="str">
        <f t="shared" si="248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317"/>
        <v/>
      </c>
      <c r="DB191" s="146"/>
      <c r="DC191" s="76" t="str">
        <f t="shared" ca="1" si="249"/>
        <v/>
      </c>
      <c r="DD191" t="str">
        <f t="shared" si="250"/>
        <v/>
      </c>
      <c r="DE191" s="129" t="str">
        <f t="shared" si="355"/>
        <v/>
      </c>
      <c r="DF191" s="161" t="str">
        <f t="shared" si="356"/>
        <v/>
      </c>
      <c r="DG191" s="161" t="str">
        <f t="shared" si="357"/>
        <v/>
      </c>
      <c r="DH191" s="161" t="str">
        <f t="shared" si="358"/>
        <v/>
      </c>
      <c r="DI191" s="161" t="str">
        <f t="shared" si="359"/>
        <v/>
      </c>
      <c r="DJ191" s="161" t="str">
        <f t="shared" si="360"/>
        <v/>
      </c>
      <c r="DK191" s="161" t="str">
        <f t="shared" si="361"/>
        <v/>
      </c>
      <c r="DL191" s="161" t="str">
        <f t="shared" si="362"/>
        <v/>
      </c>
      <c r="DM191" s="161" t="str">
        <f t="shared" si="363"/>
        <v/>
      </c>
      <c r="DN191" s="161" t="str">
        <f>IF($AZ191="", "", (BJ191*$CW191)/$CZ191)</f>
        <v/>
      </c>
      <c r="DO191" s="161" t="str">
        <f t="shared" si="364"/>
        <v/>
      </c>
      <c r="DP191" s="161" t="str">
        <f t="shared" si="365"/>
        <v/>
      </c>
      <c r="DQ191" s="161" t="str">
        <f t="shared" si="366"/>
        <v/>
      </c>
      <c r="DR191" s="161" t="str">
        <f t="shared" si="367"/>
        <v/>
      </c>
      <c r="DS191" s="161" t="str">
        <f t="shared" si="368"/>
        <v/>
      </c>
      <c r="DT191" s="161" t="str">
        <f t="shared" si="369"/>
        <v/>
      </c>
      <c r="DU191" s="161" t="str">
        <f t="shared" si="370"/>
        <v/>
      </c>
      <c r="DV191" s="161" t="str">
        <f t="shared" si="371"/>
        <v/>
      </c>
      <c r="DW191" s="161" t="str">
        <f t="shared" si="372"/>
        <v/>
      </c>
      <c r="DX191" s="161" t="str">
        <f t="shared" si="373"/>
        <v/>
      </c>
      <c r="DY191" s="161" t="str">
        <f t="shared" si="374"/>
        <v/>
      </c>
      <c r="DZ191" s="161" t="str">
        <f t="shared" si="375"/>
        <v/>
      </c>
      <c r="EA191" s="161" t="str">
        <f t="shared" si="376"/>
        <v/>
      </c>
      <c r="EB191" s="161" t="str">
        <f t="shared" si="377"/>
        <v/>
      </c>
      <c r="EC191" s="161" t="str">
        <f t="shared" si="378"/>
        <v/>
      </c>
      <c r="ED191" s="161" t="str">
        <f t="shared" si="379"/>
        <v/>
      </c>
      <c r="EE191" s="161" t="str">
        <f t="shared" si="380"/>
        <v/>
      </c>
      <c r="EF191" s="161" t="str">
        <f t="shared" si="381"/>
        <v/>
      </c>
      <c r="EG191" s="161" t="str">
        <f t="shared" si="382"/>
        <v/>
      </c>
      <c r="EH191" s="161" t="str">
        <f t="shared" si="383"/>
        <v/>
      </c>
      <c r="EI191" s="161" t="str">
        <f t="shared" si="384"/>
        <v/>
      </c>
      <c r="EJ191" s="161" t="str">
        <f t="shared" si="385"/>
        <v/>
      </c>
      <c r="EK191" s="147" t="str">
        <f t="shared" si="322"/>
        <v/>
      </c>
      <c r="EL191" s="149"/>
      <c r="EN191" s="146"/>
      <c r="EO191" s="146"/>
      <c r="EP191" s="139" t="str">
        <f t="shared" si="323"/>
        <v/>
      </c>
      <c r="EQ191" s="139" t="str">
        <f t="shared" si="324"/>
        <v/>
      </c>
      <c r="ER191" s="139" t="str">
        <f t="shared" si="325"/>
        <v/>
      </c>
      <c r="ES191" s="139" t="str">
        <f t="shared" si="326"/>
        <v/>
      </c>
      <c r="ET191" s="139" t="str">
        <f t="shared" si="327"/>
        <v/>
      </c>
      <c r="EU191" s="139" t="str">
        <f t="shared" si="328"/>
        <v/>
      </c>
      <c r="EV191" s="139" t="str">
        <f t="shared" si="329"/>
        <v/>
      </c>
      <c r="EW191" s="139" t="str">
        <f t="shared" si="330"/>
        <v/>
      </c>
      <c r="EX191" s="139" t="str">
        <f t="shared" si="331"/>
        <v/>
      </c>
      <c r="EY191" s="139" t="str">
        <f t="shared" si="332"/>
        <v/>
      </c>
      <c r="EZ191" s="139" t="str">
        <f t="shared" si="333"/>
        <v/>
      </c>
      <c r="FA191" s="139" t="str">
        <f t="shared" si="334"/>
        <v/>
      </c>
      <c r="FB191" s="139" t="str">
        <f t="shared" si="335"/>
        <v/>
      </c>
      <c r="FC191" s="139" t="str">
        <f t="shared" si="336"/>
        <v/>
      </c>
      <c r="FD191" s="139" t="str">
        <f t="shared" si="337"/>
        <v/>
      </c>
      <c r="FE191" s="139" t="str">
        <f t="shared" si="338"/>
        <v/>
      </c>
      <c r="FF191" s="139" t="str">
        <f t="shared" si="339"/>
        <v/>
      </c>
      <c r="FG191" s="139" t="str">
        <f t="shared" si="340"/>
        <v/>
      </c>
      <c r="FH191" s="139" t="str">
        <f t="shared" si="341"/>
        <v/>
      </c>
      <c r="FI191" s="139" t="str">
        <f t="shared" si="342"/>
        <v/>
      </c>
      <c r="FJ191" s="139" t="str">
        <f t="shared" si="343"/>
        <v/>
      </c>
      <c r="FK191" s="139" t="str">
        <f t="shared" si="344"/>
        <v/>
      </c>
      <c r="FL191" s="139" t="str">
        <f t="shared" si="345"/>
        <v/>
      </c>
      <c r="FM191" s="139" t="str">
        <f t="shared" si="346"/>
        <v/>
      </c>
      <c r="FN191" s="139" t="str">
        <f t="shared" si="347"/>
        <v/>
      </c>
      <c r="FO191" s="139" t="str">
        <f t="shared" si="348"/>
        <v/>
      </c>
      <c r="FP191" s="139" t="str">
        <f t="shared" si="349"/>
        <v/>
      </c>
      <c r="FQ191" s="139" t="str">
        <f t="shared" si="350"/>
        <v/>
      </c>
      <c r="FR191" s="139" t="str">
        <f t="shared" si="351"/>
        <v/>
      </c>
      <c r="FS191" s="139" t="str">
        <f t="shared" si="352"/>
        <v/>
      </c>
      <c r="FT191" s="139" t="str">
        <f t="shared" si="353"/>
        <v/>
      </c>
      <c r="FU191" s="148" t="str">
        <f t="shared" si="354"/>
        <v/>
      </c>
      <c r="FV191" s="149"/>
      <c r="FY191" s="210">
        <v>186</v>
      </c>
      <c r="FZ191">
        <v>1.2692751227257109</v>
      </c>
      <c r="GA191">
        <v>13.444272598124929</v>
      </c>
      <c r="GB191">
        <v>20.068997238106373</v>
      </c>
      <c r="GC191">
        <v>10.99963161548164</v>
      </c>
      <c r="GD191">
        <v>3.4201123642692188</v>
      </c>
      <c r="GE191">
        <v>3.5201980067024805</v>
      </c>
      <c r="GF191">
        <v>4.289303374357158</v>
      </c>
      <c r="GG191">
        <v>3.0647303131253056</v>
      </c>
      <c r="GH191">
        <v>3.9403851630144526</v>
      </c>
      <c r="GI191">
        <v>8.5813307290062415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124.2180846497253</v>
      </c>
      <c r="AO192">
        <v>10.91369421177219</v>
      </c>
      <c r="AP192">
        <v>85.022388691449137</v>
      </c>
      <c r="AQ192">
        <v>69.204883667807536</v>
      </c>
      <c r="AR192">
        <v>9.9233697385806234</v>
      </c>
      <c r="AS192">
        <v>91.094520689054789</v>
      </c>
      <c r="AT192" t="e">
        <v>#DIV/0!</v>
      </c>
      <c r="AU192" t="e">
        <v>#DIV/0!</v>
      </c>
      <c r="AV192"/>
      <c r="AW192"/>
      <c r="AX192" s="146"/>
      <c r="AY192" s="76" t="str">
        <f t="shared" ca="1" si="245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46"/>
        <v/>
      </c>
      <c r="CL192" s="179" t="str">
        <f t="shared" si="247"/>
        <v/>
      </c>
      <c r="CM192" s="180" t="str">
        <f t="shared" si="248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317"/>
        <v/>
      </c>
      <c r="DB192" s="146"/>
      <c r="DC192" s="76" t="str">
        <f t="shared" ca="1" si="249"/>
        <v/>
      </c>
      <c r="DD192" t="str">
        <f t="shared" si="250"/>
        <v/>
      </c>
      <c r="DE192" s="129" t="str">
        <f t="shared" si="355"/>
        <v/>
      </c>
      <c r="DF192" s="161" t="str">
        <f t="shared" si="356"/>
        <v/>
      </c>
      <c r="DG192" s="161" t="str">
        <f t="shared" si="357"/>
        <v/>
      </c>
      <c r="DH192" s="161" t="str">
        <f t="shared" si="358"/>
        <v/>
      </c>
      <c r="DI192" s="161" t="str">
        <f t="shared" si="359"/>
        <v/>
      </c>
      <c r="DJ192" s="161" t="str">
        <f t="shared" si="360"/>
        <v/>
      </c>
      <c r="DK192" s="161" t="str">
        <f t="shared" si="361"/>
        <v/>
      </c>
      <c r="DL192" s="161" t="str">
        <f t="shared" si="362"/>
        <v/>
      </c>
      <c r="DM192" s="161" t="str">
        <f t="shared" si="363"/>
        <v/>
      </c>
      <c r="DN192" s="161" t="str">
        <f>IF($AZ192="", "", (BJ192*$CW192)/$CZ192)</f>
        <v/>
      </c>
      <c r="DO192" s="161" t="str">
        <f t="shared" si="364"/>
        <v/>
      </c>
      <c r="DP192" s="161" t="str">
        <f t="shared" si="365"/>
        <v/>
      </c>
      <c r="DQ192" s="161" t="str">
        <f t="shared" si="366"/>
        <v/>
      </c>
      <c r="DR192" s="161" t="str">
        <f t="shared" si="367"/>
        <v/>
      </c>
      <c r="DS192" s="161" t="str">
        <f t="shared" si="368"/>
        <v/>
      </c>
      <c r="DT192" s="161" t="str">
        <f t="shared" si="369"/>
        <v/>
      </c>
      <c r="DU192" s="161" t="str">
        <f t="shared" si="370"/>
        <v/>
      </c>
      <c r="DV192" s="161" t="str">
        <f t="shared" si="371"/>
        <v/>
      </c>
      <c r="DW192" s="161" t="str">
        <f t="shared" si="372"/>
        <v/>
      </c>
      <c r="DX192" s="161" t="str">
        <f t="shared" si="373"/>
        <v/>
      </c>
      <c r="DY192" s="161" t="str">
        <f t="shared" si="374"/>
        <v/>
      </c>
      <c r="DZ192" s="161" t="str">
        <f t="shared" si="375"/>
        <v/>
      </c>
      <c r="EA192" s="161" t="str">
        <f t="shared" si="376"/>
        <v/>
      </c>
      <c r="EB192" s="161" t="str">
        <f t="shared" si="377"/>
        <v/>
      </c>
      <c r="EC192" s="161" t="str">
        <f t="shared" si="378"/>
        <v/>
      </c>
      <c r="ED192" s="161" t="str">
        <f t="shared" si="379"/>
        <v/>
      </c>
      <c r="EE192" s="161" t="str">
        <f t="shared" si="380"/>
        <v/>
      </c>
      <c r="EF192" s="161" t="str">
        <f t="shared" si="381"/>
        <v/>
      </c>
      <c r="EG192" s="161" t="str">
        <f t="shared" si="382"/>
        <v/>
      </c>
      <c r="EH192" s="161" t="str">
        <f t="shared" si="383"/>
        <v/>
      </c>
      <c r="EI192" s="161" t="str">
        <f t="shared" si="384"/>
        <v/>
      </c>
      <c r="EJ192" s="161" t="str">
        <f t="shared" si="385"/>
        <v/>
      </c>
      <c r="EK192" s="147" t="str">
        <f t="shared" si="322"/>
        <v/>
      </c>
      <c r="EL192" s="149"/>
      <c r="EN192" s="146"/>
      <c r="EO192" s="146"/>
      <c r="EP192" s="139" t="str">
        <f t="shared" si="323"/>
        <v/>
      </c>
      <c r="EQ192" s="139" t="str">
        <f t="shared" si="324"/>
        <v/>
      </c>
      <c r="ER192" s="139" t="str">
        <f t="shared" si="325"/>
        <v/>
      </c>
      <c r="ES192" s="139" t="str">
        <f t="shared" si="326"/>
        <v/>
      </c>
      <c r="ET192" s="139" t="str">
        <f t="shared" si="327"/>
        <v/>
      </c>
      <c r="EU192" s="139" t="str">
        <f t="shared" si="328"/>
        <v/>
      </c>
      <c r="EV192" s="139" t="str">
        <f t="shared" si="329"/>
        <v/>
      </c>
      <c r="EW192" s="139" t="str">
        <f t="shared" si="330"/>
        <v/>
      </c>
      <c r="EX192" s="139" t="str">
        <f t="shared" si="331"/>
        <v/>
      </c>
      <c r="EY192" s="139" t="str">
        <f t="shared" si="332"/>
        <v/>
      </c>
      <c r="EZ192" s="139" t="str">
        <f t="shared" si="333"/>
        <v/>
      </c>
      <c r="FA192" s="139" t="str">
        <f t="shared" si="334"/>
        <v/>
      </c>
      <c r="FB192" s="139" t="str">
        <f t="shared" si="335"/>
        <v/>
      </c>
      <c r="FC192" s="139" t="str">
        <f t="shared" si="336"/>
        <v/>
      </c>
      <c r="FD192" s="139" t="str">
        <f t="shared" si="337"/>
        <v/>
      </c>
      <c r="FE192" s="139" t="str">
        <f t="shared" si="338"/>
        <v/>
      </c>
      <c r="FF192" s="139" t="str">
        <f t="shared" si="339"/>
        <v/>
      </c>
      <c r="FG192" s="139" t="str">
        <f t="shared" si="340"/>
        <v/>
      </c>
      <c r="FH192" s="139" t="str">
        <f t="shared" si="341"/>
        <v/>
      </c>
      <c r="FI192" s="139" t="str">
        <f t="shared" si="342"/>
        <v/>
      </c>
      <c r="FJ192" s="139" t="str">
        <f t="shared" si="343"/>
        <v/>
      </c>
      <c r="FK192" s="139" t="str">
        <f t="shared" si="344"/>
        <v/>
      </c>
      <c r="FL192" s="139" t="str">
        <f t="shared" si="345"/>
        <v/>
      </c>
      <c r="FM192" s="139" t="str">
        <f t="shared" si="346"/>
        <v/>
      </c>
      <c r="FN192" s="139" t="str">
        <f t="shared" si="347"/>
        <v/>
      </c>
      <c r="FO192" s="139" t="str">
        <f t="shared" si="348"/>
        <v/>
      </c>
      <c r="FP192" s="139" t="str">
        <f t="shared" si="349"/>
        <v/>
      </c>
      <c r="FQ192" s="139" t="str">
        <f t="shared" si="350"/>
        <v/>
      </c>
      <c r="FR192" s="139" t="str">
        <f t="shared" si="351"/>
        <v/>
      </c>
      <c r="FS192" s="139" t="str">
        <f t="shared" si="352"/>
        <v/>
      </c>
      <c r="FT192" s="139" t="str">
        <f t="shared" si="353"/>
        <v/>
      </c>
      <c r="FU192" s="148" t="str">
        <f t="shared" si="354"/>
        <v/>
      </c>
      <c r="FV192" s="149"/>
      <c r="FY192" s="210">
        <v>187</v>
      </c>
      <c r="FZ192">
        <v>9.1754074846846976</v>
      </c>
      <c r="GA192">
        <v>40.005795363253576</v>
      </c>
      <c r="GB192">
        <v>34.576630868915231</v>
      </c>
      <c r="GC192">
        <v>13.622773084657618</v>
      </c>
      <c r="GD192">
        <v>3.535559094895826</v>
      </c>
      <c r="GE192">
        <v>5.0617393996576459</v>
      </c>
      <c r="GF192">
        <v>4.2034064135042861</v>
      </c>
      <c r="GG192">
        <v>2.3256818894686209</v>
      </c>
      <c r="GH192">
        <v>4.0120601238940088</v>
      </c>
      <c r="GI192">
        <v>13.496155371818823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184.62213174131836</v>
      </c>
      <c r="AO193">
        <v>11.976635644045007</v>
      </c>
      <c r="AP193">
        <v>85.266755430450559</v>
      </c>
      <c r="AQ193">
        <v>69.557582581919505</v>
      </c>
      <c r="AR193">
        <v>11.046830477104528</v>
      </c>
      <c r="AS193">
        <v>107.81053107513469</v>
      </c>
      <c r="AT193">
        <v>5.3193458798107729</v>
      </c>
      <c r="AU193">
        <v>-18.252755942911818</v>
      </c>
      <c r="AV193"/>
      <c r="AW193"/>
      <c r="AX193" s="146"/>
      <c r="AY193" s="76" t="str">
        <f t="shared" ca="1" si="245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46"/>
        <v/>
      </c>
      <c r="CL193" s="179" t="str">
        <f t="shared" si="247"/>
        <v/>
      </c>
      <c r="CM193" s="180" t="str">
        <f t="shared" si="248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317"/>
        <v/>
      </c>
      <c r="DB193" s="146"/>
      <c r="DC193" s="76" t="str">
        <f t="shared" ca="1" si="249"/>
        <v/>
      </c>
      <c r="DD193" t="str">
        <f t="shared" si="250"/>
        <v/>
      </c>
      <c r="DE193" s="129" t="str">
        <f t="shared" si="355"/>
        <v/>
      </c>
      <c r="DF193" s="161" t="str">
        <f t="shared" si="356"/>
        <v/>
      </c>
      <c r="DG193" s="161" t="str">
        <f t="shared" si="357"/>
        <v/>
      </c>
      <c r="DH193" s="161" t="str">
        <f t="shared" si="358"/>
        <v/>
      </c>
      <c r="DI193" s="161" t="str">
        <f t="shared" si="359"/>
        <v/>
      </c>
      <c r="DJ193" s="161" t="str">
        <f t="shared" si="360"/>
        <v/>
      </c>
      <c r="DK193" s="161" t="str">
        <f t="shared" si="361"/>
        <v/>
      </c>
      <c r="DL193" s="161" t="str">
        <f t="shared" si="362"/>
        <v/>
      </c>
      <c r="DM193" s="161" t="str">
        <f t="shared" si="363"/>
        <v/>
      </c>
      <c r="DN193" s="161" t="str">
        <f t="shared" ref="DN193:DN207" si="386">IF($AZ193="", "", (BJ193*$CW193)/$CZ193)</f>
        <v/>
      </c>
      <c r="DO193" s="161" t="str">
        <f t="shared" si="364"/>
        <v/>
      </c>
      <c r="DP193" s="161" t="str">
        <f t="shared" si="365"/>
        <v/>
      </c>
      <c r="DQ193" s="161" t="str">
        <f t="shared" si="366"/>
        <v/>
      </c>
      <c r="DR193" s="161" t="str">
        <f t="shared" si="367"/>
        <v/>
      </c>
      <c r="DS193" s="161" t="str">
        <f t="shared" si="368"/>
        <v/>
      </c>
      <c r="DT193" s="161" t="str">
        <f t="shared" si="369"/>
        <v/>
      </c>
      <c r="DU193" s="161" t="str">
        <f t="shared" si="370"/>
        <v/>
      </c>
      <c r="DV193" s="161" t="str">
        <f t="shared" si="371"/>
        <v/>
      </c>
      <c r="DW193" s="161" t="str">
        <f t="shared" si="372"/>
        <v/>
      </c>
      <c r="DX193" s="161" t="str">
        <f t="shared" si="373"/>
        <v/>
      </c>
      <c r="DY193" s="161" t="str">
        <f t="shared" si="374"/>
        <v/>
      </c>
      <c r="DZ193" s="161" t="str">
        <f t="shared" si="375"/>
        <v/>
      </c>
      <c r="EA193" s="161" t="str">
        <f t="shared" si="376"/>
        <v/>
      </c>
      <c r="EB193" s="161" t="str">
        <f t="shared" si="377"/>
        <v/>
      </c>
      <c r="EC193" s="161" t="str">
        <f t="shared" si="378"/>
        <v/>
      </c>
      <c r="ED193" s="161" t="str">
        <f t="shared" si="379"/>
        <v/>
      </c>
      <c r="EE193" s="161" t="str">
        <f t="shared" si="380"/>
        <v/>
      </c>
      <c r="EF193" s="161" t="str">
        <f t="shared" si="381"/>
        <v/>
      </c>
      <c r="EG193" s="161" t="str">
        <f t="shared" si="382"/>
        <v/>
      </c>
      <c r="EH193" s="161" t="str">
        <f t="shared" si="383"/>
        <v/>
      </c>
      <c r="EI193" s="161" t="str">
        <f t="shared" si="384"/>
        <v/>
      </c>
      <c r="EJ193" s="161" t="str">
        <f t="shared" si="385"/>
        <v/>
      </c>
      <c r="EK193" s="147" t="str">
        <f t="shared" si="322"/>
        <v/>
      </c>
      <c r="EL193" s="149"/>
      <c r="EN193" s="146"/>
      <c r="EO193" s="146"/>
      <c r="EP193" s="139" t="str">
        <f t="shared" si="323"/>
        <v/>
      </c>
      <c r="EQ193" s="139" t="str">
        <f t="shared" si="324"/>
        <v/>
      </c>
      <c r="ER193" s="139" t="str">
        <f t="shared" si="325"/>
        <v/>
      </c>
      <c r="ES193" s="139" t="str">
        <f t="shared" si="326"/>
        <v/>
      </c>
      <c r="ET193" s="139" t="str">
        <f t="shared" si="327"/>
        <v/>
      </c>
      <c r="EU193" s="139" t="str">
        <f t="shared" si="328"/>
        <v/>
      </c>
      <c r="EV193" s="139" t="str">
        <f t="shared" si="329"/>
        <v/>
      </c>
      <c r="EW193" s="139" t="str">
        <f t="shared" si="330"/>
        <v/>
      </c>
      <c r="EX193" s="139" t="str">
        <f t="shared" si="331"/>
        <v/>
      </c>
      <c r="EY193" s="139" t="str">
        <f t="shared" si="332"/>
        <v/>
      </c>
      <c r="EZ193" s="139" t="str">
        <f t="shared" si="333"/>
        <v/>
      </c>
      <c r="FA193" s="139" t="str">
        <f t="shared" si="334"/>
        <v/>
      </c>
      <c r="FB193" s="139" t="str">
        <f t="shared" si="335"/>
        <v/>
      </c>
      <c r="FC193" s="139" t="str">
        <f t="shared" si="336"/>
        <v/>
      </c>
      <c r="FD193" s="139" t="str">
        <f t="shared" si="337"/>
        <v/>
      </c>
      <c r="FE193" s="139" t="str">
        <f t="shared" si="338"/>
        <v/>
      </c>
      <c r="FF193" s="139" t="str">
        <f t="shared" si="339"/>
        <v/>
      </c>
      <c r="FG193" s="139" t="str">
        <f t="shared" si="340"/>
        <v/>
      </c>
      <c r="FH193" s="139" t="str">
        <f t="shared" si="341"/>
        <v/>
      </c>
      <c r="FI193" s="139" t="str">
        <f t="shared" si="342"/>
        <v/>
      </c>
      <c r="FJ193" s="139" t="str">
        <f t="shared" si="343"/>
        <v/>
      </c>
      <c r="FK193" s="139" t="str">
        <f t="shared" si="344"/>
        <v/>
      </c>
      <c r="FL193" s="139" t="str">
        <f t="shared" si="345"/>
        <v/>
      </c>
      <c r="FM193" s="139" t="str">
        <f t="shared" si="346"/>
        <v/>
      </c>
      <c r="FN193" s="139" t="str">
        <f t="shared" si="347"/>
        <v/>
      </c>
      <c r="FO193" s="139" t="str">
        <f t="shared" si="348"/>
        <v/>
      </c>
      <c r="FP193" s="139" t="str">
        <f t="shared" si="349"/>
        <v/>
      </c>
      <c r="FQ193" s="139" t="str">
        <f t="shared" si="350"/>
        <v/>
      </c>
      <c r="FR193" s="139" t="str">
        <f t="shared" si="351"/>
        <v/>
      </c>
      <c r="FS193" s="139" t="str">
        <f t="shared" si="352"/>
        <v/>
      </c>
      <c r="FT193" s="139" t="str">
        <f t="shared" si="353"/>
        <v/>
      </c>
      <c r="FU193" s="148" t="str">
        <f t="shared" si="354"/>
        <v/>
      </c>
      <c r="FV193" s="149"/>
      <c r="FY193" s="210">
        <v>188</v>
      </c>
      <c r="FZ193">
        <v>4.7366557030165195</v>
      </c>
      <c r="GA193">
        <v>30.018631548741418</v>
      </c>
      <c r="GB193">
        <v>32.525841498393099</v>
      </c>
      <c r="GC193">
        <v>12.419594279308061</v>
      </c>
      <c r="GD193">
        <v>3.1316479401480408</v>
      </c>
      <c r="GE193">
        <v>6.8956478806871448</v>
      </c>
      <c r="GF193">
        <v>6.0211766628097934</v>
      </c>
      <c r="GG193">
        <v>2.1021601531728811</v>
      </c>
      <c r="GH193">
        <v>3.2979766680539448</v>
      </c>
      <c r="GI193">
        <v>12.339624659275202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199.08224554122862</v>
      </c>
      <c r="AO194">
        <v>16.661868800457231</v>
      </c>
      <c r="AP194">
        <v>137.59755422957565</v>
      </c>
      <c r="AQ194">
        <v>107.38563257008354</v>
      </c>
      <c r="AR194">
        <v>15.353690716447204</v>
      </c>
      <c r="AS194">
        <v>155.43650250884428</v>
      </c>
      <c r="AT194">
        <v>7.3895376565812958</v>
      </c>
      <c r="AU194">
        <v>-21.654100542679849</v>
      </c>
      <c r="AV194"/>
      <c r="AW194"/>
      <c r="AX194" s="146"/>
      <c r="AY194" s="76" t="str">
        <f t="shared" ca="1" si="245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46"/>
        <v/>
      </c>
      <c r="CL194" s="179" t="str">
        <f t="shared" si="247"/>
        <v/>
      </c>
      <c r="CM194" s="180" t="str">
        <f t="shared" si="248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317"/>
        <v/>
      </c>
      <c r="DB194" s="146"/>
      <c r="DC194" s="76" t="str">
        <f t="shared" ca="1" si="249"/>
        <v/>
      </c>
      <c r="DD194" t="str">
        <f t="shared" si="250"/>
        <v/>
      </c>
      <c r="DE194" s="129" t="str">
        <f t="shared" si="355"/>
        <v/>
      </c>
      <c r="DF194" s="161" t="str">
        <f t="shared" si="356"/>
        <v/>
      </c>
      <c r="DG194" s="161" t="str">
        <f t="shared" si="357"/>
        <v/>
      </c>
      <c r="DH194" s="161" t="str">
        <f t="shared" si="358"/>
        <v/>
      </c>
      <c r="DI194" s="161" t="str">
        <f t="shared" si="359"/>
        <v/>
      </c>
      <c r="DJ194" s="161" t="str">
        <f t="shared" si="360"/>
        <v/>
      </c>
      <c r="DK194" s="161" t="str">
        <f t="shared" si="361"/>
        <v/>
      </c>
      <c r="DL194" s="161" t="str">
        <f t="shared" si="362"/>
        <v/>
      </c>
      <c r="DM194" s="161" t="str">
        <f t="shared" si="363"/>
        <v/>
      </c>
      <c r="DN194" s="161" t="str">
        <f t="shared" si="386"/>
        <v/>
      </c>
      <c r="DO194" s="161" t="str">
        <f t="shared" ref="DO194:DO206" si="387">IF($AZ194="", "", (BK193*$CW194)/$CZ194)</f>
        <v/>
      </c>
      <c r="DP194" s="161" t="str">
        <f t="shared" ref="DP194:DP206" si="388">IF($AZ194="", "", (BL193*$CW194)/$CZ194)</f>
        <v/>
      </c>
      <c r="DQ194" s="161" t="str">
        <f t="shared" ref="DQ194:DQ206" si="389">IF($AZ194="", "", (BM193*$CW194)/$CZ194)</f>
        <v/>
      </c>
      <c r="DR194" s="161" t="str">
        <f t="shared" ref="DR194:DR206" si="390">IF($AZ194="", "", (BN193*$CW194)/$CZ194)</f>
        <v/>
      </c>
      <c r="DS194" s="161" t="str">
        <f t="shared" ref="DS194:DS206" si="391">IF($AZ194="", "", (BO193*$CW194)/$CZ194)</f>
        <v/>
      </c>
      <c r="DT194" s="161" t="str">
        <f t="shared" ref="DT194:DT206" si="392">IF($AZ194="", "", (BP193*$CW194)/$CZ194)</f>
        <v/>
      </c>
      <c r="DU194" s="161" t="str">
        <f t="shared" ref="DU194:DU206" si="393">IF($AZ194="", "", (BQ193*$CW194)/$CZ194)</f>
        <v/>
      </c>
      <c r="DV194" s="161" t="str">
        <f t="shared" ref="DV194:DV206" si="394">IF($AZ194="", "", (BR193*$CW194)/$CZ194)</f>
        <v/>
      </c>
      <c r="DW194" s="161" t="str">
        <f t="shared" ref="DW194:DW206" si="395">IF($AZ194="", "", (BS193*$CW194)/$CZ194)</f>
        <v/>
      </c>
      <c r="DX194" s="161" t="str">
        <f t="shared" ref="DX194:DX206" si="396">IF($AZ194="", "", (BT193*$CW194)/$CZ194)</f>
        <v/>
      </c>
      <c r="DY194" s="161" t="str">
        <f t="shared" ref="DY194:DY206" si="397">IF($AZ194="", "", (BU193*$CW194)/$CZ194)</f>
        <v/>
      </c>
      <c r="DZ194" s="161" t="str">
        <f t="shared" ref="DZ194:DZ206" si="398">IF($AZ194="", "", (BV193*$CW194)/$CZ194)</f>
        <v/>
      </c>
      <c r="EA194" s="161" t="str">
        <f t="shared" ref="EA194:EA206" si="399">IF($AZ194="", "", (BW193*$CW194)/$CZ194)</f>
        <v/>
      </c>
      <c r="EB194" s="161" t="str">
        <f t="shared" ref="EB194:EB206" si="400">IF($AZ194="", "", (BX193*$CW194)/$CZ194)</f>
        <v/>
      </c>
      <c r="EC194" s="161" t="str">
        <f t="shared" ref="EC194:EC206" si="401">IF($AZ194="", "", (BY193*$CW194)/$CZ194)</f>
        <v/>
      </c>
      <c r="ED194" s="161" t="str">
        <f t="shared" ref="ED194:ED206" si="402">IF($AZ194="", "", (BZ193*$CW194)/$CZ194)</f>
        <v/>
      </c>
      <c r="EE194" s="161" t="str">
        <f t="shared" ref="EE194:EE206" si="403">IF($AZ194="", "", (CA193*$CW194)/$CZ194)</f>
        <v/>
      </c>
      <c r="EF194" s="161" t="str">
        <f t="shared" ref="EF194:EF206" si="404">IF($AZ194="", "", (CB193*$CW194)/$CZ194)</f>
        <v/>
      </c>
      <c r="EG194" s="161" t="str">
        <f t="shared" ref="EG194:EG206" si="405">IF($AZ194="", "", (CC193*$CW194)/$CZ194)</f>
        <v/>
      </c>
      <c r="EH194" s="161" t="str">
        <f t="shared" ref="EH194:EH206" si="406">IF($AZ194="", "", (CD193*$CW194)/$CZ194)</f>
        <v/>
      </c>
      <c r="EI194" s="161" t="str">
        <f t="shared" ref="EI194:EI206" si="407">IF($AZ194="", "", (CE193*$CW194)/$CZ194)</f>
        <v/>
      </c>
      <c r="EJ194" s="161" t="str">
        <f t="shared" ref="EJ194:EJ206" si="408">IF($AZ194="", "", (CF193*$CW194)/$CZ194)</f>
        <v/>
      </c>
      <c r="EK194" s="147" t="str">
        <f t="shared" si="322"/>
        <v/>
      </c>
      <c r="EL194" s="149"/>
      <c r="EN194" s="146"/>
      <c r="EO194" s="146"/>
      <c r="EP194" s="139" t="str">
        <f t="shared" si="323"/>
        <v/>
      </c>
      <c r="EQ194" s="139" t="str">
        <f t="shared" si="324"/>
        <v/>
      </c>
      <c r="ER194" s="139" t="str">
        <f t="shared" si="325"/>
        <v/>
      </c>
      <c r="ES194" s="139" t="str">
        <f t="shared" si="326"/>
        <v/>
      </c>
      <c r="ET194" s="139" t="str">
        <f t="shared" si="327"/>
        <v/>
      </c>
      <c r="EU194" s="139" t="str">
        <f t="shared" si="328"/>
        <v/>
      </c>
      <c r="EV194" s="139" t="str">
        <f t="shared" si="329"/>
        <v/>
      </c>
      <c r="EW194" s="139" t="str">
        <f t="shared" si="330"/>
        <v/>
      </c>
      <c r="EX194" s="139" t="str">
        <f t="shared" si="331"/>
        <v/>
      </c>
      <c r="EY194" s="139" t="str">
        <f t="shared" si="332"/>
        <v/>
      </c>
      <c r="EZ194" s="139" t="str">
        <f t="shared" si="333"/>
        <v/>
      </c>
      <c r="FA194" s="139" t="str">
        <f t="shared" si="334"/>
        <v/>
      </c>
      <c r="FB194" s="139" t="str">
        <f t="shared" si="335"/>
        <v/>
      </c>
      <c r="FC194" s="139" t="str">
        <f t="shared" si="336"/>
        <v/>
      </c>
      <c r="FD194" s="139" t="str">
        <f t="shared" si="337"/>
        <v/>
      </c>
      <c r="FE194" s="139" t="str">
        <f t="shared" si="338"/>
        <v/>
      </c>
      <c r="FF194" s="139" t="str">
        <f t="shared" si="339"/>
        <v/>
      </c>
      <c r="FG194" s="139" t="str">
        <f t="shared" si="340"/>
        <v/>
      </c>
      <c r="FH194" s="139" t="str">
        <f t="shared" si="341"/>
        <v/>
      </c>
      <c r="FI194" s="139" t="str">
        <f t="shared" si="342"/>
        <v/>
      </c>
      <c r="FJ194" s="139" t="str">
        <f t="shared" si="343"/>
        <v/>
      </c>
      <c r="FK194" s="139" t="str">
        <f t="shared" si="344"/>
        <v/>
      </c>
      <c r="FL194" s="139" t="str">
        <f t="shared" si="345"/>
        <v/>
      </c>
      <c r="FM194" s="139" t="str">
        <f t="shared" si="346"/>
        <v/>
      </c>
      <c r="FN194" s="139" t="str">
        <f t="shared" si="347"/>
        <v/>
      </c>
      <c r="FO194" s="139" t="str">
        <f t="shared" si="348"/>
        <v/>
      </c>
      <c r="FP194" s="139" t="str">
        <f t="shared" si="349"/>
        <v/>
      </c>
      <c r="FQ194" s="139" t="str">
        <f t="shared" si="350"/>
        <v/>
      </c>
      <c r="FR194" s="139" t="str">
        <f t="shared" si="351"/>
        <v/>
      </c>
      <c r="FS194" s="139" t="str">
        <f t="shared" si="352"/>
        <v/>
      </c>
      <c r="FT194" s="139" t="str">
        <f t="shared" si="353"/>
        <v/>
      </c>
      <c r="FU194" s="148" t="str">
        <f t="shared" si="354"/>
        <v/>
      </c>
      <c r="FV194" s="149"/>
      <c r="FY194" s="210">
        <v>189</v>
      </c>
      <c r="FZ194">
        <v>6.7218021325063351</v>
      </c>
      <c r="GA194">
        <v>30.062099919651484</v>
      </c>
      <c r="GB194">
        <v>24.763806766228569</v>
      </c>
      <c r="GC194">
        <v>10.911917930954681</v>
      </c>
      <c r="GD194">
        <v>5.2376878375229481</v>
      </c>
      <c r="GE194">
        <v>9.0508672026724106</v>
      </c>
      <c r="GF194">
        <v>7.323351468549296</v>
      </c>
      <c r="GG194">
        <v>2.2913033741316107</v>
      </c>
      <c r="GH194">
        <v>2.1969826534817587</v>
      </c>
      <c r="GI194">
        <v>11.939912837296102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191.0486420918821</v>
      </c>
      <c r="AO195">
        <v>12.288340299198733</v>
      </c>
      <c r="AP195">
        <v>98.245973482893731</v>
      </c>
      <c r="AQ195">
        <v>81.396667264557792</v>
      </c>
      <c r="AR195">
        <v>11.482771558824929</v>
      </c>
      <c r="AS195">
        <v>120.74672335982937</v>
      </c>
      <c r="AT195">
        <v>5.8999104900581516</v>
      </c>
      <c r="AU195">
        <v>-9.9117966900457084</v>
      </c>
      <c r="AV195"/>
      <c r="AW195"/>
      <c r="AX195" s="146"/>
      <c r="AY195" s="76" t="str">
        <f t="shared" ca="1" si="245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46"/>
        <v/>
      </c>
      <c r="CL195" s="179" t="str">
        <f t="shared" si="247"/>
        <v/>
      </c>
      <c r="CM195" s="180" t="str">
        <f t="shared" si="248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317"/>
        <v/>
      </c>
      <c r="DB195" s="146"/>
      <c r="DC195" s="76" t="str">
        <f t="shared" ca="1" si="249"/>
        <v/>
      </c>
      <c r="DD195" t="str">
        <f t="shared" si="250"/>
        <v/>
      </c>
      <c r="DE195" s="129" t="str">
        <f t="shared" si="355"/>
        <v/>
      </c>
      <c r="DF195" s="161" t="str">
        <f t="shared" si="356"/>
        <v/>
      </c>
      <c r="DG195" s="161" t="str">
        <f t="shared" si="357"/>
        <v/>
      </c>
      <c r="DH195" s="161" t="str">
        <f t="shared" si="358"/>
        <v/>
      </c>
      <c r="DI195" s="161" t="str">
        <f t="shared" si="359"/>
        <v/>
      </c>
      <c r="DJ195" s="161" t="str">
        <f t="shared" si="360"/>
        <v/>
      </c>
      <c r="DK195" s="161" t="str">
        <f t="shared" si="361"/>
        <v/>
      </c>
      <c r="DL195" s="161" t="str">
        <f t="shared" si="362"/>
        <v/>
      </c>
      <c r="DM195" s="161" t="str">
        <f t="shared" si="363"/>
        <v/>
      </c>
      <c r="DN195" s="161" t="str">
        <f t="shared" si="386"/>
        <v/>
      </c>
      <c r="DO195" s="161" t="str">
        <f t="shared" si="387"/>
        <v/>
      </c>
      <c r="DP195" s="161" t="str">
        <f t="shared" si="388"/>
        <v/>
      </c>
      <c r="DQ195" s="161" t="str">
        <f t="shared" si="389"/>
        <v/>
      </c>
      <c r="DR195" s="161" t="str">
        <f t="shared" si="390"/>
        <v/>
      </c>
      <c r="DS195" s="161" t="str">
        <f t="shared" si="391"/>
        <v/>
      </c>
      <c r="DT195" s="161" t="str">
        <f t="shared" si="392"/>
        <v/>
      </c>
      <c r="DU195" s="161" t="str">
        <f t="shared" si="393"/>
        <v/>
      </c>
      <c r="DV195" s="161" t="str">
        <f t="shared" si="394"/>
        <v/>
      </c>
      <c r="DW195" s="161" t="str">
        <f t="shared" si="395"/>
        <v/>
      </c>
      <c r="DX195" s="161" t="str">
        <f t="shared" si="396"/>
        <v/>
      </c>
      <c r="DY195" s="161" t="str">
        <f t="shared" si="397"/>
        <v/>
      </c>
      <c r="DZ195" s="161" t="str">
        <f t="shared" si="398"/>
        <v/>
      </c>
      <c r="EA195" s="161" t="str">
        <f t="shared" si="399"/>
        <v/>
      </c>
      <c r="EB195" s="161" t="str">
        <f t="shared" si="400"/>
        <v/>
      </c>
      <c r="EC195" s="161" t="str">
        <f t="shared" si="401"/>
        <v/>
      </c>
      <c r="ED195" s="161" t="str">
        <f t="shared" si="402"/>
        <v/>
      </c>
      <c r="EE195" s="161" t="str">
        <f t="shared" si="403"/>
        <v/>
      </c>
      <c r="EF195" s="161" t="str">
        <f t="shared" si="404"/>
        <v/>
      </c>
      <c r="EG195" s="161" t="str">
        <f t="shared" si="405"/>
        <v/>
      </c>
      <c r="EH195" s="161" t="str">
        <f t="shared" si="406"/>
        <v/>
      </c>
      <c r="EI195" s="161" t="str">
        <f t="shared" si="407"/>
        <v/>
      </c>
      <c r="EJ195" s="161" t="str">
        <f t="shared" si="408"/>
        <v/>
      </c>
      <c r="EK195" s="147" t="str">
        <f t="shared" si="322"/>
        <v/>
      </c>
      <c r="EL195" s="149"/>
      <c r="EN195" s="146"/>
      <c r="EO195" s="146"/>
      <c r="EP195" s="139" t="str">
        <f t="shared" si="323"/>
        <v/>
      </c>
      <c r="EQ195" s="139" t="str">
        <f t="shared" si="324"/>
        <v/>
      </c>
      <c r="ER195" s="139" t="str">
        <f t="shared" si="325"/>
        <v/>
      </c>
      <c r="ES195" s="139" t="str">
        <f t="shared" si="326"/>
        <v/>
      </c>
      <c r="ET195" s="139" t="str">
        <f t="shared" si="327"/>
        <v/>
      </c>
      <c r="EU195" s="139" t="str">
        <f t="shared" si="328"/>
        <v/>
      </c>
      <c r="EV195" s="139" t="str">
        <f t="shared" si="329"/>
        <v/>
      </c>
      <c r="EW195" s="139" t="str">
        <f t="shared" si="330"/>
        <v/>
      </c>
      <c r="EX195" s="139" t="str">
        <f t="shared" si="331"/>
        <v/>
      </c>
      <c r="EY195" s="139" t="str">
        <f t="shared" si="332"/>
        <v/>
      </c>
      <c r="EZ195" s="139" t="str">
        <f t="shared" si="333"/>
        <v/>
      </c>
      <c r="FA195" s="139" t="str">
        <f t="shared" si="334"/>
        <v/>
      </c>
      <c r="FB195" s="139" t="str">
        <f t="shared" si="335"/>
        <v/>
      </c>
      <c r="FC195" s="139" t="str">
        <f t="shared" si="336"/>
        <v/>
      </c>
      <c r="FD195" s="139" t="str">
        <f t="shared" si="337"/>
        <v/>
      </c>
      <c r="FE195" s="139" t="str">
        <f t="shared" si="338"/>
        <v/>
      </c>
      <c r="FF195" s="139" t="str">
        <f t="shared" si="339"/>
        <v/>
      </c>
      <c r="FG195" s="139" t="str">
        <f t="shared" si="340"/>
        <v/>
      </c>
      <c r="FH195" s="139" t="str">
        <f t="shared" si="341"/>
        <v/>
      </c>
      <c r="FI195" s="139" t="str">
        <f t="shared" si="342"/>
        <v/>
      </c>
      <c r="FJ195" s="139" t="str">
        <f t="shared" si="343"/>
        <v/>
      </c>
      <c r="FK195" s="139" t="str">
        <f t="shared" si="344"/>
        <v/>
      </c>
      <c r="FL195" s="139" t="str">
        <f t="shared" si="345"/>
        <v/>
      </c>
      <c r="FM195" s="139" t="str">
        <f t="shared" si="346"/>
        <v/>
      </c>
      <c r="FN195" s="139" t="str">
        <f t="shared" si="347"/>
        <v/>
      </c>
      <c r="FO195" s="139" t="str">
        <f t="shared" si="348"/>
        <v/>
      </c>
      <c r="FP195" s="139" t="str">
        <f t="shared" si="349"/>
        <v/>
      </c>
      <c r="FQ195" s="139" t="str">
        <f t="shared" si="350"/>
        <v/>
      </c>
      <c r="FR195" s="139" t="str">
        <f t="shared" si="351"/>
        <v/>
      </c>
      <c r="FS195" s="139" t="str">
        <f t="shared" si="352"/>
        <v/>
      </c>
      <c r="FT195" s="139" t="str">
        <f t="shared" si="353"/>
        <v/>
      </c>
      <c r="FU195" s="148" t="str">
        <f t="shared" si="354"/>
        <v/>
      </c>
      <c r="FV195" s="149"/>
      <c r="FY195" s="210">
        <v>190</v>
      </c>
      <c r="FZ195">
        <v>4.2127876566714431</v>
      </c>
      <c r="GA195">
        <v>21.78653431696647</v>
      </c>
      <c r="GB195">
        <v>20.840102536777888</v>
      </c>
      <c r="GC195">
        <v>10.075252279071119</v>
      </c>
      <c r="GD195">
        <v>3.8353309201254149</v>
      </c>
      <c r="GE195">
        <v>5.5352050187218698</v>
      </c>
      <c r="GF195">
        <v>6.0211766628097934</v>
      </c>
      <c r="GG195">
        <v>2.9710588813938639</v>
      </c>
      <c r="GH195">
        <v>4.4590145767990759</v>
      </c>
      <c r="GI195">
        <v>9.9027323842187478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228.74678361133556</v>
      </c>
      <c r="AO196">
        <v>18.497693768861438</v>
      </c>
      <c r="AP196">
        <v>137.51500769211719</v>
      </c>
      <c r="AQ196">
        <v>108.01134018379152</v>
      </c>
      <c r="AR196">
        <v>17.068752205941244</v>
      </c>
      <c r="AS196">
        <v>157.76185600060333</v>
      </c>
      <c r="AT196">
        <v>7.0839253212354114</v>
      </c>
      <c r="AU196">
        <v>-8.1599699012446436</v>
      </c>
      <c r="AV196"/>
      <c r="AW196"/>
      <c r="AX196" s="146"/>
      <c r="AY196" s="76" t="str">
        <f t="shared" ca="1" si="245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46"/>
        <v/>
      </c>
      <c r="CL196" s="179" t="str">
        <f t="shared" si="247"/>
        <v/>
      </c>
      <c r="CM196" s="180" t="str">
        <f t="shared" si="248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317"/>
        <v/>
      </c>
      <c r="DB196" s="146"/>
      <c r="DC196" s="76" t="str">
        <f t="shared" ca="1" si="249"/>
        <v/>
      </c>
      <c r="DD196" t="str">
        <f t="shared" si="250"/>
        <v/>
      </c>
      <c r="DE196" s="129" t="str">
        <f t="shared" si="355"/>
        <v/>
      </c>
      <c r="DF196" s="161" t="str">
        <f t="shared" si="356"/>
        <v/>
      </c>
      <c r="DG196" s="161" t="str">
        <f t="shared" si="357"/>
        <v/>
      </c>
      <c r="DH196" s="161" t="str">
        <f t="shared" si="358"/>
        <v/>
      </c>
      <c r="DI196" s="161" t="str">
        <f t="shared" si="359"/>
        <v/>
      </c>
      <c r="DJ196" s="161" t="str">
        <f t="shared" si="360"/>
        <v/>
      </c>
      <c r="DK196" s="161" t="str">
        <f t="shared" si="361"/>
        <v/>
      </c>
      <c r="DL196" s="161" t="str">
        <f t="shared" si="362"/>
        <v/>
      </c>
      <c r="DM196" s="161" t="str">
        <f t="shared" si="363"/>
        <v/>
      </c>
      <c r="DN196" s="161" t="str">
        <f t="shared" si="386"/>
        <v/>
      </c>
      <c r="DO196" s="161" t="str">
        <f t="shared" si="387"/>
        <v/>
      </c>
      <c r="DP196" s="161" t="str">
        <f t="shared" si="388"/>
        <v/>
      </c>
      <c r="DQ196" s="161" t="str">
        <f t="shared" si="389"/>
        <v/>
      </c>
      <c r="DR196" s="161" t="str">
        <f t="shared" si="390"/>
        <v/>
      </c>
      <c r="DS196" s="161" t="str">
        <f t="shared" si="391"/>
        <v/>
      </c>
      <c r="DT196" s="161" t="str">
        <f t="shared" si="392"/>
        <v/>
      </c>
      <c r="DU196" s="161" t="str">
        <f t="shared" si="393"/>
        <v/>
      </c>
      <c r="DV196" s="161" t="str">
        <f t="shared" si="394"/>
        <v/>
      </c>
      <c r="DW196" s="161" t="str">
        <f t="shared" si="395"/>
        <v/>
      </c>
      <c r="DX196" s="161" t="str">
        <f t="shared" si="396"/>
        <v/>
      </c>
      <c r="DY196" s="161" t="str">
        <f t="shared" si="397"/>
        <v/>
      </c>
      <c r="DZ196" s="161" t="str">
        <f t="shared" si="398"/>
        <v/>
      </c>
      <c r="EA196" s="161" t="str">
        <f t="shared" si="399"/>
        <v/>
      </c>
      <c r="EB196" s="161" t="str">
        <f t="shared" si="400"/>
        <v/>
      </c>
      <c r="EC196" s="161" t="str">
        <f t="shared" si="401"/>
        <v/>
      </c>
      <c r="ED196" s="161" t="str">
        <f t="shared" si="402"/>
        <v/>
      </c>
      <c r="EE196" s="161" t="str">
        <f t="shared" si="403"/>
        <v/>
      </c>
      <c r="EF196" s="161" t="str">
        <f t="shared" si="404"/>
        <v/>
      </c>
      <c r="EG196" s="161" t="str">
        <f t="shared" si="405"/>
        <v/>
      </c>
      <c r="EH196" s="161" t="str">
        <f t="shared" si="406"/>
        <v/>
      </c>
      <c r="EI196" s="161" t="str">
        <f t="shared" si="407"/>
        <v/>
      </c>
      <c r="EJ196" s="161" t="str">
        <f t="shared" si="408"/>
        <v/>
      </c>
      <c r="EK196" s="147" t="str">
        <f t="shared" si="322"/>
        <v/>
      </c>
      <c r="EL196" s="149"/>
      <c r="EN196" s="146"/>
      <c r="EO196" s="146"/>
      <c r="EP196" s="139" t="str">
        <f t="shared" si="323"/>
        <v/>
      </c>
      <c r="EQ196" s="139" t="str">
        <f t="shared" si="324"/>
        <v/>
      </c>
      <c r="ER196" s="139" t="str">
        <f t="shared" si="325"/>
        <v/>
      </c>
      <c r="ES196" s="139" t="str">
        <f t="shared" si="326"/>
        <v/>
      </c>
      <c r="ET196" s="139" t="str">
        <f t="shared" si="327"/>
        <v/>
      </c>
      <c r="EU196" s="139" t="str">
        <f t="shared" si="328"/>
        <v/>
      </c>
      <c r="EV196" s="139" t="str">
        <f t="shared" si="329"/>
        <v/>
      </c>
      <c r="EW196" s="139" t="str">
        <f t="shared" si="330"/>
        <v/>
      </c>
      <c r="EX196" s="139" t="str">
        <f t="shared" si="331"/>
        <v/>
      </c>
      <c r="EY196" s="139" t="str">
        <f t="shared" si="332"/>
        <v/>
      </c>
      <c r="EZ196" s="139" t="str">
        <f t="shared" si="333"/>
        <v/>
      </c>
      <c r="FA196" s="139" t="str">
        <f t="shared" si="334"/>
        <v/>
      </c>
      <c r="FB196" s="139" t="str">
        <f t="shared" si="335"/>
        <v/>
      </c>
      <c r="FC196" s="139" t="str">
        <f t="shared" si="336"/>
        <v/>
      </c>
      <c r="FD196" s="139" t="str">
        <f t="shared" si="337"/>
        <v/>
      </c>
      <c r="FE196" s="139" t="str">
        <f t="shared" si="338"/>
        <v/>
      </c>
      <c r="FF196" s="139" t="str">
        <f t="shared" si="339"/>
        <v/>
      </c>
      <c r="FG196" s="139" t="str">
        <f t="shared" si="340"/>
        <v/>
      </c>
      <c r="FH196" s="139" t="str">
        <f t="shared" si="341"/>
        <v/>
      </c>
      <c r="FI196" s="139" t="str">
        <f t="shared" si="342"/>
        <v/>
      </c>
      <c r="FJ196" s="139" t="str">
        <f t="shared" si="343"/>
        <v/>
      </c>
      <c r="FK196" s="139" t="str">
        <f t="shared" si="344"/>
        <v/>
      </c>
      <c r="FL196" s="139" t="str">
        <f t="shared" si="345"/>
        <v/>
      </c>
      <c r="FM196" s="139" t="str">
        <f t="shared" si="346"/>
        <v/>
      </c>
      <c r="FN196" s="139" t="str">
        <f t="shared" si="347"/>
        <v/>
      </c>
      <c r="FO196" s="139" t="str">
        <f t="shared" si="348"/>
        <v/>
      </c>
      <c r="FP196" s="139" t="str">
        <f t="shared" si="349"/>
        <v/>
      </c>
      <c r="FQ196" s="139" t="str">
        <f t="shared" si="350"/>
        <v/>
      </c>
      <c r="FR196" s="139" t="str">
        <f t="shared" si="351"/>
        <v/>
      </c>
      <c r="FS196" s="139" t="str">
        <f t="shared" si="352"/>
        <v/>
      </c>
      <c r="FT196" s="139" t="str">
        <f t="shared" si="353"/>
        <v/>
      </c>
      <c r="FU196" s="148" t="str">
        <f t="shared" si="354"/>
        <v/>
      </c>
      <c r="FV196" s="149"/>
      <c r="FY196" s="210">
        <v>191</v>
      </c>
      <c r="FZ196">
        <v>2.0249025250951789</v>
      </c>
      <c r="GA196">
        <v>15.537585988760359</v>
      </c>
      <c r="GB196">
        <v>23.023358721003788</v>
      </c>
      <c r="GC196">
        <v>11.10814594766914</v>
      </c>
      <c r="GD196">
        <v>2.9302805356320327</v>
      </c>
      <c r="GE196">
        <v>3.9006667559958705</v>
      </c>
      <c r="GF196">
        <v>3.6462150244873559</v>
      </c>
      <c r="GG196">
        <v>1.3269328566833409</v>
      </c>
      <c r="GH196">
        <v>3.6872644367834426</v>
      </c>
      <c r="GI196">
        <v>9.0182216920189386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148.58040641711398</v>
      </c>
      <c r="AO197">
        <v>11.566804719522391</v>
      </c>
      <c r="AP197">
        <v>94.279205483656639</v>
      </c>
      <c r="AQ197">
        <v>76.233042820228619</v>
      </c>
      <c r="AR197">
        <v>10.807342751476314</v>
      </c>
      <c r="AS197">
        <v>113.52219097360441</v>
      </c>
      <c r="AT197" t="e">
        <v>#DIV/0!</v>
      </c>
      <c r="AU197" t="e">
        <v>#DIV/0!</v>
      </c>
      <c r="AV197"/>
      <c r="AW197"/>
      <c r="AX197" s="146"/>
      <c r="AY197" s="76" t="str">
        <f t="shared" ca="1" si="245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46"/>
        <v/>
      </c>
      <c r="CL197" s="179" t="str">
        <f t="shared" si="247"/>
        <v/>
      </c>
      <c r="CM197" s="180" t="str">
        <f t="shared" si="248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317"/>
        <v/>
      </c>
      <c r="DB197" s="146"/>
      <c r="DC197" s="76" t="str">
        <f t="shared" ca="1" si="249"/>
        <v/>
      </c>
      <c r="DD197" t="str">
        <f t="shared" si="250"/>
        <v/>
      </c>
      <c r="DE197" s="129" t="str">
        <f t="shared" si="355"/>
        <v/>
      </c>
      <c r="DF197" s="161" t="str">
        <f t="shared" si="356"/>
        <v/>
      </c>
      <c r="DG197" s="161" t="str">
        <f t="shared" si="357"/>
        <v/>
      </c>
      <c r="DH197" s="161" t="str">
        <f t="shared" si="358"/>
        <v/>
      </c>
      <c r="DI197" s="161" t="str">
        <f t="shared" si="359"/>
        <v/>
      </c>
      <c r="DJ197" s="161" t="str">
        <f t="shared" si="360"/>
        <v/>
      </c>
      <c r="DK197" s="161" t="str">
        <f t="shared" si="361"/>
        <v/>
      </c>
      <c r="DL197" s="161" t="str">
        <f t="shared" si="362"/>
        <v/>
      </c>
      <c r="DM197" s="161" t="str">
        <f t="shared" si="363"/>
        <v/>
      </c>
      <c r="DN197" s="161" t="str">
        <f t="shared" si="386"/>
        <v/>
      </c>
      <c r="DO197" s="161" t="str">
        <f t="shared" si="387"/>
        <v/>
      </c>
      <c r="DP197" s="161" t="str">
        <f t="shared" si="388"/>
        <v/>
      </c>
      <c r="DQ197" s="161" t="str">
        <f t="shared" si="389"/>
        <v/>
      </c>
      <c r="DR197" s="161" t="str">
        <f t="shared" si="390"/>
        <v/>
      </c>
      <c r="DS197" s="161" t="str">
        <f t="shared" si="391"/>
        <v/>
      </c>
      <c r="DT197" s="161" t="str">
        <f t="shared" si="392"/>
        <v/>
      </c>
      <c r="DU197" s="161" t="str">
        <f t="shared" si="393"/>
        <v/>
      </c>
      <c r="DV197" s="161" t="str">
        <f t="shared" si="394"/>
        <v/>
      </c>
      <c r="DW197" s="161" t="str">
        <f t="shared" si="395"/>
        <v/>
      </c>
      <c r="DX197" s="161" t="str">
        <f t="shared" si="396"/>
        <v/>
      </c>
      <c r="DY197" s="161" t="str">
        <f t="shared" si="397"/>
        <v/>
      </c>
      <c r="DZ197" s="161" t="str">
        <f t="shared" si="398"/>
        <v/>
      </c>
      <c r="EA197" s="161" t="str">
        <f t="shared" si="399"/>
        <v/>
      </c>
      <c r="EB197" s="161" t="str">
        <f t="shared" si="400"/>
        <v/>
      </c>
      <c r="EC197" s="161" t="str">
        <f t="shared" si="401"/>
        <v/>
      </c>
      <c r="ED197" s="161" t="str">
        <f t="shared" si="402"/>
        <v/>
      </c>
      <c r="EE197" s="161" t="str">
        <f t="shared" si="403"/>
        <v/>
      </c>
      <c r="EF197" s="161" t="str">
        <f t="shared" si="404"/>
        <v/>
      </c>
      <c r="EG197" s="161" t="str">
        <f t="shared" si="405"/>
        <v/>
      </c>
      <c r="EH197" s="161" t="str">
        <f t="shared" si="406"/>
        <v/>
      </c>
      <c r="EI197" s="161" t="str">
        <f t="shared" si="407"/>
        <v/>
      </c>
      <c r="EJ197" s="161" t="str">
        <f t="shared" si="408"/>
        <v/>
      </c>
      <c r="EK197" s="147" t="str">
        <f t="shared" si="322"/>
        <v/>
      </c>
      <c r="EL197" s="149"/>
      <c r="EN197" s="146"/>
      <c r="EO197" s="146"/>
      <c r="EP197" s="139" t="str">
        <f t="shared" si="323"/>
        <v/>
      </c>
      <c r="EQ197" s="139" t="str">
        <f t="shared" si="324"/>
        <v/>
      </c>
      <c r="ER197" s="139" t="str">
        <f t="shared" si="325"/>
        <v/>
      </c>
      <c r="ES197" s="139" t="str">
        <f t="shared" si="326"/>
        <v/>
      </c>
      <c r="ET197" s="139" t="str">
        <f t="shared" si="327"/>
        <v/>
      </c>
      <c r="EU197" s="139" t="str">
        <f t="shared" si="328"/>
        <v/>
      </c>
      <c r="EV197" s="139" t="str">
        <f t="shared" si="329"/>
        <v/>
      </c>
      <c r="EW197" s="139" t="str">
        <f t="shared" si="330"/>
        <v/>
      </c>
      <c r="EX197" s="139" t="str">
        <f t="shared" si="331"/>
        <v/>
      </c>
      <c r="EY197" s="139" t="str">
        <f t="shared" si="332"/>
        <v/>
      </c>
      <c r="EZ197" s="139" t="str">
        <f t="shared" si="333"/>
        <v/>
      </c>
      <c r="FA197" s="139" t="str">
        <f t="shared" si="334"/>
        <v/>
      </c>
      <c r="FB197" s="139" t="str">
        <f t="shared" si="335"/>
        <v/>
      </c>
      <c r="FC197" s="139" t="str">
        <f t="shared" si="336"/>
        <v/>
      </c>
      <c r="FD197" s="139" t="str">
        <f t="shared" si="337"/>
        <v/>
      </c>
      <c r="FE197" s="139" t="str">
        <f t="shared" si="338"/>
        <v/>
      </c>
      <c r="FF197" s="139" t="str">
        <f t="shared" si="339"/>
        <v/>
      </c>
      <c r="FG197" s="139" t="str">
        <f t="shared" si="340"/>
        <v/>
      </c>
      <c r="FH197" s="139" t="str">
        <f t="shared" si="341"/>
        <v/>
      </c>
      <c r="FI197" s="139" t="str">
        <f t="shared" si="342"/>
        <v/>
      </c>
      <c r="FJ197" s="139" t="str">
        <f t="shared" si="343"/>
        <v/>
      </c>
      <c r="FK197" s="139" t="str">
        <f t="shared" si="344"/>
        <v/>
      </c>
      <c r="FL197" s="139" t="str">
        <f t="shared" si="345"/>
        <v/>
      </c>
      <c r="FM197" s="139" t="str">
        <f t="shared" si="346"/>
        <v/>
      </c>
      <c r="FN197" s="139" t="str">
        <f t="shared" si="347"/>
        <v/>
      </c>
      <c r="FO197" s="139" t="str">
        <f t="shared" si="348"/>
        <v/>
      </c>
      <c r="FP197" s="139" t="str">
        <f t="shared" si="349"/>
        <v/>
      </c>
      <c r="FQ197" s="139" t="str">
        <f t="shared" si="350"/>
        <v/>
      </c>
      <c r="FR197" s="139" t="str">
        <f t="shared" si="351"/>
        <v/>
      </c>
      <c r="FS197" s="139" t="str">
        <f t="shared" si="352"/>
        <v/>
      </c>
      <c r="FT197" s="139" t="str">
        <f t="shared" si="353"/>
        <v/>
      </c>
      <c r="FU197" s="148" t="str">
        <f t="shared" si="354"/>
        <v/>
      </c>
      <c r="FV197" s="149"/>
      <c r="FY197" s="210">
        <v>192</v>
      </c>
      <c r="FZ197">
        <v>4.0360627593019842</v>
      </c>
      <c r="GA197">
        <v>17.380687615373315</v>
      </c>
      <c r="GB197">
        <v>32.815701140660842</v>
      </c>
      <c r="GC197">
        <v>17.122987905600358</v>
      </c>
      <c r="GD197">
        <v>4.2583863280792871</v>
      </c>
      <c r="GE197">
        <v>6.0091051564499196</v>
      </c>
      <c r="GF197">
        <v>6.3066149696698623</v>
      </c>
      <c r="GG197">
        <v>3.1729931157193176</v>
      </c>
      <c r="GH197">
        <v>2.8443965241048801</v>
      </c>
      <c r="GI197">
        <v>12.896818911953137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192.38748338486167</v>
      </c>
      <c r="AO198">
        <v>13.822222086809656</v>
      </c>
      <c r="AP198">
        <v>117.17538938530707</v>
      </c>
      <c r="AQ198">
        <v>95.304681226312667</v>
      </c>
      <c r="AR198">
        <v>12.80328044075468</v>
      </c>
      <c r="AS198">
        <v>132.33151610459748</v>
      </c>
      <c r="AT198">
        <v>6.6980517688138237</v>
      </c>
      <c r="AU198">
        <v>-11.555163343563706</v>
      </c>
      <c r="AV198"/>
      <c r="AW198"/>
      <c r="AX198" s="128"/>
      <c r="AY198" s="76" t="str">
        <f t="shared" ca="1" si="245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46"/>
        <v/>
      </c>
      <c r="CL198" s="179" t="str">
        <f t="shared" si="247"/>
        <v/>
      </c>
      <c r="CM198" s="180" t="str">
        <f t="shared" si="248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317"/>
        <v/>
      </c>
      <c r="DB198" s="128"/>
      <c r="DC198" s="76" t="str">
        <f t="shared" ca="1" si="249"/>
        <v/>
      </c>
      <c r="DD198" t="str">
        <f t="shared" si="250"/>
        <v/>
      </c>
      <c r="DE198" s="129" t="str">
        <f t="shared" ref="DE198:DE207" si="409">IF((DD198)="", "", $C$15)</f>
        <v/>
      </c>
      <c r="DF198" s="161" t="str">
        <f t="shared" si="356"/>
        <v/>
      </c>
      <c r="DG198" s="161" t="str">
        <f t="shared" si="357"/>
        <v/>
      </c>
      <c r="DH198" s="161" t="str">
        <f t="shared" si="358"/>
        <v/>
      </c>
      <c r="DI198" s="161" t="str">
        <f t="shared" si="359"/>
        <v/>
      </c>
      <c r="DJ198" s="161" t="str">
        <f t="shared" si="360"/>
        <v/>
      </c>
      <c r="DK198" s="161" t="str">
        <f t="shared" si="361"/>
        <v/>
      </c>
      <c r="DL198" s="161" t="str">
        <f t="shared" si="362"/>
        <v/>
      </c>
      <c r="DM198" s="161" t="str">
        <f t="shared" si="363"/>
        <v/>
      </c>
      <c r="DN198" s="161" t="str">
        <f t="shared" si="386"/>
        <v/>
      </c>
      <c r="DO198" s="161" t="str">
        <f t="shared" si="387"/>
        <v/>
      </c>
      <c r="DP198" s="161" t="str">
        <f t="shared" si="388"/>
        <v/>
      </c>
      <c r="DQ198" s="161" t="str">
        <f t="shared" si="389"/>
        <v/>
      </c>
      <c r="DR198" s="161" t="str">
        <f t="shared" si="390"/>
        <v/>
      </c>
      <c r="DS198" s="161" t="str">
        <f t="shared" si="391"/>
        <v/>
      </c>
      <c r="DT198" s="161" t="str">
        <f t="shared" si="392"/>
        <v/>
      </c>
      <c r="DU198" s="161" t="str">
        <f t="shared" si="393"/>
        <v/>
      </c>
      <c r="DV198" s="161" t="str">
        <f t="shared" si="394"/>
        <v/>
      </c>
      <c r="DW198" s="161" t="str">
        <f t="shared" si="395"/>
        <v/>
      </c>
      <c r="DX198" s="161" t="str">
        <f t="shared" si="396"/>
        <v/>
      </c>
      <c r="DY198" s="161" t="str">
        <f t="shared" si="397"/>
        <v/>
      </c>
      <c r="DZ198" s="161" t="str">
        <f t="shared" si="398"/>
        <v/>
      </c>
      <c r="EA198" s="161" t="str">
        <f t="shared" si="399"/>
        <v/>
      </c>
      <c r="EB198" s="161" t="str">
        <f t="shared" si="400"/>
        <v/>
      </c>
      <c r="EC198" s="161" t="str">
        <f t="shared" si="401"/>
        <v/>
      </c>
      <c r="ED198" s="161" t="str">
        <f t="shared" si="402"/>
        <v/>
      </c>
      <c r="EE198" s="161" t="str">
        <f t="shared" si="403"/>
        <v/>
      </c>
      <c r="EF198" s="161" t="str">
        <f t="shared" si="404"/>
        <v/>
      </c>
      <c r="EG198" s="161" t="str">
        <f t="shared" si="405"/>
        <v/>
      </c>
      <c r="EH198" s="161" t="str">
        <f t="shared" si="406"/>
        <v/>
      </c>
      <c r="EI198" s="161" t="str">
        <f t="shared" si="407"/>
        <v/>
      </c>
      <c r="EJ198" s="161" t="str">
        <f t="shared" si="408"/>
        <v/>
      </c>
      <c r="EK198" s="147" t="str">
        <f t="shared" si="322"/>
        <v/>
      </c>
      <c r="EL198" s="149"/>
      <c r="EN198" s="146"/>
      <c r="EO198" s="146"/>
      <c r="EP198" s="139" t="str">
        <f t="shared" si="323"/>
        <v/>
      </c>
      <c r="EQ198" s="139" t="str">
        <f t="shared" si="324"/>
        <v/>
      </c>
      <c r="ER198" s="139" t="str">
        <f t="shared" si="325"/>
        <v/>
      </c>
      <c r="ES198" s="139" t="str">
        <f t="shared" si="326"/>
        <v/>
      </c>
      <c r="ET198" s="139" t="str">
        <f t="shared" si="327"/>
        <v/>
      </c>
      <c r="EU198" s="139" t="str">
        <f t="shared" si="328"/>
        <v/>
      </c>
      <c r="EV198" s="139" t="str">
        <f t="shared" si="329"/>
        <v/>
      </c>
      <c r="EW198" s="139" t="str">
        <f t="shared" si="330"/>
        <v/>
      </c>
      <c r="EX198" s="139" t="str">
        <f t="shared" si="331"/>
        <v/>
      </c>
      <c r="EY198" s="139" t="str">
        <f t="shared" si="332"/>
        <v/>
      </c>
      <c r="EZ198" s="139" t="str">
        <f t="shared" si="333"/>
        <v/>
      </c>
      <c r="FA198" s="139" t="str">
        <f t="shared" si="334"/>
        <v/>
      </c>
      <c r="FB198" s="139" t="str">
        <f t="shared" si="335"/>
        <v/>
      </c>
      <c r="FC198" s="139" t="str">
        <f t="shared" si="336"/>
        <v/>
      </c>
      <c r="FD198" s="139" t="str">
        <f t="shared" si="337"/>
        <v/>
      </c>
      <c r="FE198" s="139" t="str">
        <f t="shared" si="338"/>
        <v/>
      </c>
      <c r="FF198" s="139" t="str">
        <f t="shared" si="339"/>
        <v/>
      </c>
      <c r="FG198" s="139" t="str">
        <f t="shared" si="340"/>
        <v/>
      </c>
      <c r="FH198" s="139" t="str">
        <f t="shared" si="341"/>
        <v/>
      </c>
      <c r="FI198" s="139" t="str">
        <f t="shared" si="342"/>
        <v/>
      </c>
      <c r="FJ198" s="139" t="str">
        <f t="shared" si="343"/>
        <v/>
      </c>
      <c r="FK198" s="139" t="str">
        <f t="shared" si="344"/>
        <v/>
      </c>
      <c r="FL198" s="139" t="str">
        <f t="shared" si="345"/>
        <v/>
      </c>
      <c r="FM198" s="139" t="str">
        <f t="shared" si="346"/>
        <v/>
      </c>
      <c r="FN198" s="139" t="str">
        <f t="shared" si="347"/>
        <v/>
      </c>
      <c r="FO198" s="139" t="str">
        <f t="shared" si="348"/>
        <v/>
      </c>
      <c r="FP198" s="139" t="str">
        <f t="shared" si="349"/>
        <v/>
      </c>
      <c r="FQ198" s="139" t="str">
        <f t="shared" si="350"/>
        <v/>
      </c>
      <c r="FR198" s="139" t="str">
        <f t="shared" si="351"/>
        <v/>
      </c>
      <c r="FS198" s="139" t="str">
        <f t="shared" si="352"/>
        <v/>
      </c>
      <c r="FT198" s="139" t="str">
        <f t="shared" si="353"/>
        <v/>
      </c>
      <c r="FU198" s="148" t="str">
        <f t="shared" si="354"/>
        <v/>
      </c>
      <c r="FV198" s="149"/>
      <c r="FY198" s="210">
        <v>193</v>
      </c>
      <c r="FZ198">
        <v>1.367357292768641</v>
      </c>
      <c r="GA198">
        <v>20.066323141555237</v>
      </c>
      <c r="GB198">
        <v>15.130353780787679</v>
      </c>
      <c r="GC198">
        <v>5.8639181444344599</v>
      </c>
      <c r="GD198">
        <v>4.3531434444774391</v>
      </c>
      <c r="GE198">
        <v>8.1763952164960134</v>
      </c>
      <c r="GF198">
        <v>9.2089213698598584</v>
      </c>
      <c r="GG198">
        <v>5.3688247006236409</v>
      </c>
      <c r="GH198">
        <v>4.1371532879025121</v>
      </c>
      <c r="GI198">
        <v>8.8937827113112924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212.6152324518244</v>
      </c>
      <c r="AO199">
        <v>15.738284778418105</v>
      </c>
      <c r="AP199">
        <v>114.39450896325428</v>
      </c>
      <c r="AQ199">
        <v>92.737141593429072</v>
      </c>
      <c r="AR199">
        <v>14.843650652118182</v>
      </c>
      <c r="AS199">
        <v>161.40467042598081</v>
      </c>
      <c r="AT199">
        <v>6.9099094171116837</v>
      </c>
      <c r="AU199">
        <v>-32.120953257718071</v>
      </c>
      <c r="AV199"/>
      <c r="AW199"/>
      <c r="AX199" s="146"/>
      <c r="AY199" s="76" t="str">
        <f t="shared" ca="1" si="245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46"/>
        <v/>
      </c>
      <c r="CL199" s="179" t="str">
        <f t="shared" si="247"/>
        <v/>
      </c>
      <c r="CM199" s="180" t="str">
        <f t="shared" si="248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317"/>
        <v/>
      </c>
      <c r="DB199" s="146"/>
      <c r="DC199" s="76" t="str">
        <f t="shared" ca="1" si="249"/>
        <v/>
      </c>
      <c r="DD199" t="str">
        <f t="shared" si="250"/>
        <v/>
      </c>
      <c r="DE199" s="129" t="str">
        <f t="shared" si="409"/>
        <v/>
      </c>
      <c r="DF199" s="161" t="str">
        <f t="shared" si="356"/>
        <v/>
      </c>
      <c r="DG199" s="161" t="str">
        <f t="shared" si="357"/>
        <v/>
      </c>
      <c r="DH199" s="161" t="str">
        <f t="shared" si="358"/>
        <v/>
      </c>
      <c r="DI199" s="161" t="str">
        <f t="shared" si="359"/>
        <v/>
      </c>
      <c r="DJ199" s="161" t="str">
        <f t="shared" si="360"/>
        <v/>
      </c>
      <c r="DK199" s="161" t="str">
        <f t="shared" si="361"/>
        <v/>
      </c>
      <c r="DL199" s="161" t="str">
        <f t="shared" si="362"/>
        <v/>
      </c>
      <c r="DM199" s="161" t="str">
        <f t="shared" si="363"/>
        <v/>
      </c>
      <c r="DN199" s="161" t="str">
        <f t="shared" si="386"/>
        <v/>
      </c>
      <c r="DO199" s="161" t="str">
        <f t="shared" si="387"/>
        <v/>
      </c>
      <c r="DP199" s="161" t="str">
        <f t="shared" si="388"/>
        <v/>
      </c>
      <c r="DQ199" s="161" t="str">
        <f t="shared" si="389"/>
        <v/>
      </c>
      <c r="DR199" s="161" t="str">
        <f t="shared" si="390"/>
        <v/>
      </c>
      <c r="DS199" s="161" t="str">
        <f t="shared" si="391"/>
        <v/>
      </c>
      <c r="DT199" s="161" t="str">
        <f t="shared" si="392"/>
        <v/>
      </c>
      <c r="DU199" s="161" t="str">
        <f t="shared" si="393"/>
        <v/>
      </c>
      <c r="DV199" s="161" t="str">
        <f t="shared" si="394"/>
        <v/>
      </c>
      <c r="DW199" s="161" t="str">
        <f t="shared" si="395"/>
        <v/>
      </c>
      <c r="DX199" s="161" t="str">
        <f t="shared" si="396"/>
        <v/>
      </c>
      <c r="DY199" s="161" t="str">
        <f t="shared" si="397"/>
        <v/>
      </c>
      <c r="DZ199" s="161" t="str">
        <f t="shared" si="398"/>
        <v/>
      </c>
      <c r="EA199" s="161" t="str">
        <f t="shared" si="399"/>
        <v/>
      </c>
      <c r="EB199" s="161" t="str">
        <f t="shared" si="400"/>
        <v/>
      </c>
      <c r="EC199" s="161" t="str">
        <f t="shared" si="401"/>
        <v/>
      </c>
      <c r="ED199" s="161" t="str">
        <f t="shared" si="402"/>
        <v/>
      </c>
      <c r="EE199" s="161" t="str">
        <f t="shared" si="403"/>
        <v/>
      </c>
      <c r="EF199" s="161" t="str">
        <f t="shared" si="404"/>
        <v/>
      </c>
      <c r="EG199" s="161" t="str">
        <f t="shared" si="405"/>
        <v/>
      </c>
      <c r="EH199" s="161" t="str">
        <f t="shared" si="406"/>
        <v/>
      </c>
      <c r="EI199" s="161" t="str">
        <f t="shared" si="407"/>
        <v/>
      </c>
      <c r="EJ199" s="161" t="str">
        <f t="shared" si="408"/>
        <v/>
      </c>
      <c r="EK199" s="147" t="str">
        <f t="shared" si="322"/>
        <v/>
      </c>
      <c r="EL199" s="149"/>
      <c r="EN199" s="146"/>
      <c r="EO199" s="146"/>
      <c r="EP199" s="139" t="str">
        <f t="shared" si="323"/>
        <v/>
      </c>
      <c r="EQ199" s="139" t="str">
        <f t="shared" si="324"/>
        <v/>
      </c>
      <c r="ER199" s="139" t="str">
        <f t="shared" si="325"/>
        <v/>
      </c>
      <c r="ES199" s="139" t="str">
        <f t="shared" si="326"/>
        <v/>
      </c>
      <c r="ET199" s="139" t="str">
        <f t="shared" si="327"/>
        <v/>
      </c>
      <c r="EU199" s="139" t="str">
        <f t="shared" si="328"/>
        <v/>
      </c>
      <c r="EV199" s="139" t="str">
        <f t="shared" si="329"/>
        <v/>
      </c>
      <c r="EW199" s="139" t="str">
        <f t="shared" si="330"/>
        <v/>
      </c>
      <c r="EX199" s="139" t="str">
        <f t="shared" si="331"/>
        <v/>
      </c>
      <c r="EY199" s="139" t="str">
        <f t="shared" si="332"/>
        <v/>
      </c>
      <c r="EZ199" s="139" t="str">
        <f t="shared" si="333"/>
        <v/>
      </c>
      <c r="FA199" s="139" t="str">
        <f t="shared" si="334"/>
        <v/>
      </c>
      <c r="FB199" s="139" t="str">
        <f t="shared" si="335"/>
        <v/>
      </c>
      <c r="FC199" s="139" t="str">
        <f t="shared" si="336"/>
        <v/>
      </c>
      <c r="FD199" s="139" t="str">
        <f t="shared" si="337"/>
        <v/>
      </c>
      <c r="FE199" s="139" t="str">
        <f t="shared" si="338"/>
        <v/>
      </c>
      <c r="FF199" s="139" t="str">
        <f t="shared" si="339"/>
        <v/>
      </c>
      <c r="FG199" s="139" t="str">
        <f t="shared" si="340"/>
        <v/>
      </c>
      <c r="FH199" s="139" t="str">
        <f t="shared" si="341"/>
        <v/>
      </c>
      <c r="FI199" s="139" t="str">
        <f t="shared" si="342"/>
        <v/>
      </c>
      <c r="FJ199" s="139" t="str">
        <f t="shared" si="343"/>
        <v/>
      </c>
      <c r="FK199" s="139" t="str">
        <f t="shared" si="344"/>
        <v/>
      </c>
      <c r="FL199" s="139" t="str">
        <f t="shared" si="345"/>
        <v/>
      </c>
      <c r="FM199" s="139" t="str">
        <f t="shared" si="346"/>
        <v/>
      </c>
      <c r="FN199" s="139" t="str">
        <f t="shared" si="347"/>
        <v/>
      </c>
      <c r="FO199" s="139" t="str">
        <f t="shared" si="348"/>
        <v/>
      </c>
      <c r="FP199" s="139" t="str">
        <f t="shared" si="349"/>
        <v/>
      </c>
      <c r="FQ199" s="139" t="str">
        <f t="shared" si="350"/>
        <v/>
      </c>
      <c r="FR199" s="139" t="str">
        <f t="shared" si="351"/>
        <v/>
      </c>
      <c r="FS199" s="139" t="str">
        <f t="shared" si="352"/>
        <v/>
      </c>
      <c r="FT199" s="139" t="str">
        <f t="shared" si="353"/>
        <v/>
      </c>
      <c r="FU199" s="148" t="str">
        <f t="shared" si="354"/>
        <v/>
      </c>
      <c r="FV199" s="149"/>
      <c r="FY199" s="210">
        <v>194</v>
      </c>
      <c r="FZ199">
        <v>7.1965677009581848</v>
      </c>
      <c r="GA199">
        <v>21.698338076059663</v>
      </c>
      <c r="GB199">
        <v>21.220997520351535</v>
      </c>
      <c r="GC199">
        <v>11.513068502787739</v>
      </c>
      <c r="GD199">
        <v>4.5598549466768281</v>
      </c>
      <c r="GE199">
        <v>5.3658632344004644</v>
      </c>
      <c r="GF199">
        <v>4.9334665166521727</v>
      </c>
      <c r="GG199">
        <v>2.843008934325411</v>
      </c>
      <c r="GH199">
        <v>3.3617118550568845</v>
      </c>
      <c r="GI199">
        <v>10.451439087840058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196.77840902461543</v>
      </c>
      <c r="AO200">
        <v>13.784615972698438</v>
      </c>
      <c r="AP200">
        <v>111.7017759186372</v>
      </c>
      <c r="AQ200">
        <v>90.09847687295175</v>
      </c>
      <c r="AR200">
        <v>12.780684732318168</v>
      </c>
      <c r="AS200">
        <v>137.16664141612438</v>
      </c>
      <c r="AT200">
        <v>6.3623544185982146</v>
      </c>
      <c r="AU200">
        <v>-18.801508360556557</v>
      </c>
      <c r="AV200"/>
      <c r="AW200"/>
      <c r="AX200" s="146"/>
      <c r="AY200" s="76" t="str">
        <f t="shared" ca="1" si="245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46"/>
        <v/>
      </c>
      <c r="CL200" s="179" t="str">
        <f t="shared" si="247"/>
        <v/>
      </c>
      <c r="CM200" s="180" t="str">
        <f t="shared" si="248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317"/>
        <v/>
      </c>
      <c r="DB200" s="146"/>
      <c r="DC200" s="76" t="str">
        <f t="shared" ca="1" si="249"/>
        <v/>
      </c>
      <c r="DD200" t="str">
        <f t="shared" si="250"/>
        <v/>
      </c>
      <c r="DE200" s="129" t="str">
        <f t="shared" si="409"/>
        <v/>
      </c>
      <c r="DF200" s="161" t="str">
        <f t="shared" si="356"/>
        <v/>
      </c>
      <c r="DG200" s="161" t="str">
        <f t="shared" si="357"/>
        <v/>
      </c>
      <c r="DH200" s="161" t="str">
        <f t="shared" si="358"/>
        <v/>
      </c>
      <c r="DI200" s="161" t="str">
        <f t="shared" si="359"/>
        <v/>
      </c>
      <c r="DJ200" s="161" t="str">
        <f t="shared" si="360"/>
        <v/>
      </c>
      <c r="DK200" s="161" t="str">
        <f t="shared" si="361"/>
        <v/>
      </c>
      <c r="DL200" s="161" t="str">
        <f t="shared" si="362"/>
        <v/>
      </c>
      <c r="DM200" s="161" t="str">
        <f t="shared" si="363"/>
        <v/>
      </c>
      <c r="DN200" s="161" t="str">
        <f t="shared" si="386"/>
        <v/>
      </c>
      <c r="DO200" s="161" t="str">
        <f t="shared" si="387"/>
        <v/>
      </c>
      <c r="DP200" s="161" t="str">
        <f t="shared" si="388"/>
        <v/>
      </c>
      <c r="DQ200" s="161" t="str">
        <f t="shared" si="389"/>
        <v/>
      </c>
      <c r="DR200" s="161" t="str">
        <f t="shared" si="390"/>
        <v/>
      </c>
      <c r="DS200" s="161" t="str">
        <f t="shared" si="391"/>
        <v/>
      </c>
      <c r="DT200" s="161" t="str">
        <f t="shared" si="392"/>
        <v/>
      </c>
      <c r="DU200" s="161" t="str">
        <f t="shared" si="393"/>
        <v/>
      </c>
      <c r="DV200" s="161" t="str">
        <f t="shared" si="394"/>
        <v/>
      </c>
      <c r="DW200" s="161" t="str">
        <f t="shared" si="395"/>
        <v/>
      </c>
      <c r="DX200" s="161" t="str">
        <f t="shared" si="396"/>
        <v/>
      </c>
      <c r="DY200" s="161" t="str">
        <f t="shared" si="397"/>
        <v/>
      </c>
      <c r="DZ200" s="161" t="str">
        <f t="shared" si="398"/>
        <v/>
      </c>
      <c r="EA200" s="161" t="str">
        <f t="shared" si="399"/>
        <v/>
      </c>
      <c r="EB200" s="161" t="str">
        <f t="shared" si="400"/>
        <v/>
      </c>
      <c r="EC200" s="161" t="str">
        <f t="shared" si="401"/>
        <v/>
      </c>
      <c r="ED200" s="161" t="str">
        <f t="shared" si="402"/>
        <v/>
      </c>
      <c r="EE200" s="161" t="str">
        <f t="shared" si="403"/>
        <v/>
      </c>
      <c r="EF200" s="161" t="str">
        <f t="shared" si="404"/>
        <v/>
      </c>
      <c r="EG200" s="161" t="str">
        <f t="shared" si="405"/>
        <v/>
      </c>
      <c r="EH200" s="161" t="str">
        <f t="shared" si="406"/>
        <v/>
      </c>
      <c r="EI200" s="161" t="str">
        <f t="shared" si="407"/>
        <v/>
      </c>
      <c r="EJ200" s="161" t="str">
        <f t="shared" si="408"/>
        <v/>
      </c>
      <c r="EK200" s="147" t="str">
        <f t="shared" si="322"/>
        <v/>
      </c>
      <c r="EL200" s="149"/>
      <c r="EN200" s="146"/>
      <c r="EO200" s="146"/>
      <c r="EP200" s="139" t="str">
        <f t="shared" si="323"/>
        <v/>
      </c>
      <c r="EQ200" s="139" t="str">
        <f t="shared" si="324"/>
        <v/>
      </c>
      <c r="ER200" s="139" t="str">
        <f t="shared" si="325"/>
        <v/>
      </c>
      <c r="ES200" s="139" t="str">
        <f t="shared" si="326"/>
        <v/>
      </c>
      <c r="ET200" s="139" t="str">
        <f t="shared" si="327"/>
        <v/>
      </c>
      <c r="EU200" s="139" t="str">
        <f t="shared" si="328"/>
        <v/>
      </c>
      <c r="EV200" s="139" t="str">
        <f t="shared" si="329"/>
        <v/>
      </c>
      <c r="EW200" s="139" t="str">
        <f t="shared" si="330"/>
        <v/>
      </c>
      <c r="EX200" s="139" t="str">
        <f t="shared" si="331"/>
        <v/>
      </c>
      <c r="EY200" s="139" t="str">
        <f t="shared" si="332"/>
        <v/>
      </c>
      <c r="EZ200" s="139" t="str">
        <f t="shared" si="333"/>
        <v/>
      </c>
      <c r="FA200" s="139" t="str">
        <f t="shared" si="334"/>
        <v/>
      </c>
      <c r="FB200" s="139" t="str">
        <f t="shared" si="335"/>
        <v/>
      </c>
      <c r="FC200" s="139" t="str">
        <f t="shared" si="336"/>
        <v/>
      </c>
      <c r="FD200" s="139" t="str">
        <f t="shared" si="337"/>
        <v/>
      </c>
      <c r="FE200" s="139" t="str">
        <f t="shared" si="338"/>
        <v/>
      </c>
      <c r="FF200" s="139" t="str">
        <f t="shared" si="339"/>
        <v/>
      </c>
      <c r="FG200" s="139" t="str">
        <f t="shared" si="340"/>
        <v/>
      </c>
      <c r="FH200" s="139" t="str">
        <f t="shared" si="341"/>
        <v/>
      </c>
      <c r="FI200" s="139" t="str">
        <f t="shared" si="342"/>
        <v/>
      </c>
      <c r="FJ200" s="139" t="str">
        <f t="shared" si="343"/>
        <v/>
      </c>
      <c r="FK200" s="139" t="str">
        <f t="shared" si="344"/>
        <v/>
      </c>
      <c r="FL200" s="139" t="str">
        <f t="shared" si="345"/>
        <v/>
      </c>
      <c r="FM200" s="139" t="str">
        <f t="shared" si="346"/>
        <v/>
      </c>
      <c r="FN200" s="139" t="str">
        <f t="shared" si="347"/>
        <v/>
      </c>
      <c r="FO200" s="139" t="str">
        <f t="shared" si="348"/>
        <v/>
      </c>
      <c r="FP200" s="139" t="str">
        <f t="shared" si="349"/>
        <v/>
      </c>
      <c r="FQ200" s="139" t="str">
        <f t="shared" si="350"/>
        <v/>
      </c>
      <c r="FR200" s="139" t="str">
        <f t="shared" si="351"/>
        <v/>
      </c>
      <c r="FS200" s="139" t="str">
        <f t="shared" si="352"/>
        <v/>
      </c>
      <c r="FT200" s="139" t="str">
        <f t="shared" si="353"/>
        <v/>
      </c>
      <c r="FU200" s="148" t="str">
        <f t="shared" si="354"/>
        <v/>
      </c>
      <c r="FV200" s="149"/>
      <c r="FY200" s="210">
        <v>195</v>
      </c>
      <c r="FZ200">
        <v>0.71246321300897308</v>
      </c>
      <c r="GA200">
        <v>22.72597928809104</v>
      </c>
      <c r="GB200">
        <v>24.77141293573958</v>
      </c>
      <c r="GC200">
        <v>10.790014323431684</v>
      </c>
      <c r="GD200">
        <v>3.5639032834297231</v>
      </c>
      <c r="GE200">
        <v>3.1119348309034578</v>
      </c>
      <c r="GF200">
        <v>3.3024135026270955</v>
      </c>
      <c r="GG200">
        <v>2.0677816378358704</v>
      </c>
      <c r="GH200">
        <v>2.3871250873258196</v>
      </c>
      <c r="GI200">
        <v>9.3012298750905824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203.93663318491392</v>
      </c>
      <c r="AO201">
        <v>15.495267264186021</v>
      </c>
      <c r="AP201">
        <v>112.85322491056455</v>
      </c>
      <c r="AQ201">
        <v>90.94448055888212</v>
      </c>
      <c r="AR201">
        <v>14.400876483469601</v>
      </c>
      <c r="AS201">
        <v>143.67428064067053</v>
      </c>
      <c r="AT201">
        <v>6.3276576747619266</v>
      </c>
      <c r="AU201">
        <v>-13.325982793870224</v>
      </c>
      <c r="AV201"/>
      <c r="AW201"/>
      <c r="AX201" s="146"/>
      <c r="AY201" s="76" t="str">
        <f t="shared" ca="1" si="245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46"/>
        <v/>
      </c>
      <c r="CL201" s="179" t="str">
        <f t="shared" si="247"/>
        <v/>
      </c>
      <c r="CM201" s="180" t="str">
        <f t="shared" si="248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317"/>
        <v/>
      </c>
      <c r="DB201" s="146"/>
      <c r="DC201" s="76" t="str">
        <f t="shared" ca="1" si="249"/>
        <v/>
      </c>
      <c r="DD201" t="str">
        <f t="shared" si="250"/>
        <v/>
      </c>
      <c r="DE201" s="129" t="str">
        <f t="shared" si="409"/>
        <v/>
      </c>
      <c r="DF201" s="161" t="str">
        <f t="shared" si="356"/>
        <v/>
      </c>
      <c r="DG201" s="161" t="str">
        <f t="shared" si="357"/>
        <v/>
      </c>
      <c r="DH201" s="161" t="str">
        <f t="shared" si="358"/>
        <v/>
      </c>
      <c r="DI201" s="161" t="str">
        <f t="shared" si="359"/>
        <v/>
      </c>
      <c r="DJ201" s="161" t="str">
        <f t="shared" si="360"/>
        <v/>
      </c>
      <c r="DK201" s="161" t="str">
        <f t="shared" si="361"/>
        <v/>
      </c>
      <c r="DL201" s="161" t="str">
        <f t="shared" si="362"/>
        <v/>
      </c>
      <c r="DM201" s="161" t="str">
        <f t="shared" si="363"/>
        <v/>
      </c>
      <c r="DN201" s="161" t="str">
        <f t="shared" si="386"/>
        <v/>
      </c>
      <c r="DO201" s="161" t="str">
        <f t="shared" si="387"/>
        <v/>
      </c>
      <c r="DP201" s="161" t="str">
        <f t="shared" si="388"/>
        <v/>
      </c>
      <c r="DQ201" s="161" t="str">
        <f t="shared" si="389"/>
        <v/>
      </c>
      <c r="DR201" s="161" t="str">
        <f t="shared" si="390"/>
        <v/>
      </c>
      <c r="DS201" s="161" t="str">
        <f t="shared" si="391"/>
        <v/>
      </c>
      <c r="DT201" s="161" t="str">
        <f t="shared" si="392"/>
        <v/>
      </c>
      <c r="DU201" s="161" t="str">
        <f t="shared" si="393"/>
        <v/>
      </c>
      <c r="DV201" s="161" t="str">
        <f t="shared" si="394"/>
        <v/>
      </c>
      <c r="DW201" s="161" t="str">
        <f t="shared" si="395"/>
        <v/>
      </c>
      <c r="DX201" s="161" t="str">
        <f t="shared" si="396"/>
        <v/>
      </c>
      <c r="DY201" s="161" t="str">
        <f t="shared" si="397"/>
        <v/>
      </c>
      <c r="DZ201" s="161" t="str">
        <f t="shared" si="398"/>
        <v/>
      </c>
      <c r="EA201" s="161" t="str">
        <f t="shared" si="399"/>
        <v/>
      </c>
      <c r="EB201" s="161" t="str">
        <f t="shared" si="400"/>
        <v/>
      </c>
      <c r="EC201" s="161" t="str">
        <f t="shared" si="401"/>
        <v/>
      </c>
      <c r="ED201" s="161" t="str">
        <f t="shared" si="402"/>
        <v/>
      </c>
      <c r="EE201" s="161" t="str">
        <f t="shared" si="403"/>
        <v/>
      </c>
      <c r="EF201" s="161" t="str">
        <f t="shared" si="404"/>
        <v/>
      </c>
      <c r="EG201" s="161" t="str">
        <f t="shared" si="405"/>
        <v/>
      </c>
      <c r="EH201" s="161" t="str">
        <f t="shared" si="406"/>
        <v/>
      </c>
      <c r="EI201" s="161" t="str">
        <f t="shared" si="407"/>
        <v/>
      </c>
      <c r="EJ201" s="161" t="str">
        <f t="shared" si="408"/>
        <v/>
      </c>
      <c r="EK201" s="147" t="str">
        <f t="shared" si="322"/>
        <v/>
      </c>
      <c r="EL201" s="149"/>
      <c r="EN201" s="146"/>
      <c r="EO201" s="146"/>
      <c r="EP201" s="139" t="str">
        <f t="shared" si="323"/>
        <v/>
      </c>
      <c r="EQ201" s="139" t="str">
        <f t="shared" si="324"/>
        <v/>
      </c>
      <c r="ER201" s="139" t="str">
        <f t="shared" si="325"/>
        <v/>
      </c>
      <c r="ES201" s="139" t="str">
        <f t="shared" si="326"/>
        <v/>
      </c>
      <c r="ET201" s="139" t="str">
        <f t="shared" si="327"/>
        <v/>
      </c>
      <c r="EU201" s="139" t="str">
        <f t="shared" si="328"/>
        <v/>
      </c>
      <c r="EV201" s="139" t="str">
        <f t="shared" si="329"/>
        <v/>
      </c>
      <c r="EW201" s="139" t="str">
        <f t="shared" si="330"/>
        <v/>
      </c>
      <c r="EX201" s="139" t="str">
        <f t="shared" si="331"/>
        <v/>
      </c>
      <c r="EY201" s="139" t="str">
        <f t="shared" si="332"/>
        <v/>
      </c>
      <c r="EZ201" s="139" t="str">
        <f t="shared" si="333"/>
        <v/>
      </c>
      <c r="FA201" s="139" t="str">
        <f t="shared" si="334"/>
        <v/>
      </c>
      <c r="FB201" s="139" t="str">
        <f t="shared" si="335"/>
        <v/>
      </c>
      <c r="FC201" s="139" t="str">
        <f t="shared" si="336"/>
        <v/>
      </c>
      <c r="FD201" s="139" t="str">
        <f t="shared" si="337"/>
        <v/>
      </c>
      <c r="FE201" s="139" t="str">
        <f t="shared" si="338"/>
        <v/>
      </c>
      <c r="FF201" s="139" t="str">
        <f t="shared" si="339"/>
        <v/>
      </c>
      <c r="FG201" s="139" t="str">
        <f t="shared" si="340"/>
        <v/>
      </c>
      <c r="FH201" s="139" t="str">
        <f t="shared" si="341"/>
        <v/>
      </c>
      <c r="FI201" s="139" t="str">
        <f t="shared" si="342"/>
        <v/>
      </c>
      <c r="FJ201" s="139" t="str">
        <f t="shared" si="343"/>
        <v/>
      </c>
      <c r="FK201" s="139" t="str">
        <f t="shared" si="344"/>
        <v/>
      </c>
      <c r="FL201" s="139" t="str">
        <f t="shared" si="345"/>
        <v/>
      </c>
      <c r="FM201" s="139" t="str">
        <f t="shared" si="346"/>
        <v/>
      </c>
      <c r="FN201" s="139" t="str">
        <f t="shared" si="347"/>
        <v/>
      </c>
      <c r="FO201" s="139" t="str">
        <f t="shared" si="348"/>
        <v/>
      </c>
      <c r="FP201" s="139" t="str">
        <f t="shared" si="349"/>
        <v/>
      </c>
      <c r="FQ201" s="139" t="str">
        <f t="shared" si="350"/>
        <v/>
      </c>
      <c r="FR201" s="139" t="str">
        <f t="shared" si="351"/>
        <v/>
      </c>
      <c r="FS201" s="139" t="str">
        <f t="shared" si="352"/>
        <v/>
      </c>
      <c r="FT201" s="139" t="str">
        <f t="shared" si="353"/>
        <v/>
      </c>
      <c r="FU201" s="148" t="str">
        <f t="shared" si="354"/>
        <v/>
      </c>
      <c r="FV201" s="149"/>
      <c r="FY201" s="210">
        <v>196</v>
      </c>
      <c r="FZ201">
        <v>6.6888520063980783</v>
      </c>
      <c r="GA201">
        <v>34.575700160912056</v>
      </c>
      <c r="GB201">
        <v>25.993986173087453</v>
      </c>
      <c r="GC201">
        <v>9.7756621019336318</v>
      </c>
      <c r="GD201">
        <v>4.1739991039074962</v>
      </c>
      <c r="GE201">
        <v>7.267246820928781</v>
      </c>
      <c r="GF201">
        <v>8.1542318461247412</v>
      </c>
      <c r="GG201">
        <v>4.3590850119674815</v>
      </c>
      <c r="GH201">
        <v>3.9403851630144526</v>
      </c>
      <c r="GI201">
        <v>12.033554286035363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191.26660253385674</v>
      </c>
      <c r="AO202">
        <v>12.799182659693358</v>
      </c>
      <c r="AP202">
        <v>91.593881543807356</v>
      </c>
      <c r="AQ202">
        <v>72.598236524913503</v>
      </c>
      <c r="AR202">
        <v>11.817151390210345</v>
      </c>
      <c r="AS202">
        <v>127.41925731607981</v>
      </c>
      <c r="AT202">
        <v>5.5547789953515894</v>
      </c>
      <c r="AU202">
        <v>-2.6215830135354952</v>
      </c>
      <c r="AV202"/>
      <c r="AW202"/>
      <c r="AX202" s="146"/>
      <c r="AY202" s="76" t="str">
        <f t="shared" ca="1" si="245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46"/>
        <v/>
      </c>
      <c r="CL202" s="179" t="str">
        <f t="shared" si="247"/>
        <v/>
      </c>
      <c r="CM202" s="180" t="str">
        <f t="shared" si="248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317"/>
        <v/>
      </c>
      <c r="DB202" s="146"/>
      <c r="DC202" s="76" t="str">
        <f t="shared" ca="1" si="249"/>
        <v/>
      </c>
      <c r="DD202" t="str">
        <f t="shared" si="250"/>
        <v/>
      </c>
      <c r="DE202" s="129" t="str">
        <f t="shared" si="409"/>
        <v/>
      </c>
      <c r="DF202" s="161" t="str">
        <f t="shared" si="356"/>
        <v/>
      </c>
      <c r="DG202" s="161" t="str">
        <f t="shared" si="357"/>
        <v/>
      </c>
      <c r="DH202" s="161" t="str">
        <f t="shared" si="358"/>
        <v/>
      </c>
      <c r="DI202" s="161" t="str">
        <f t="shared" si="359"/>
        <v/>
      </c>
      <c r="DJ202" s="161" t="str">
        <f t="shared" si="360"/>
        <v/>
      </c>
      <c r="DK202" s="161" t="str">
        <f t="shared" si="361"/>
        <v/>
      </c>
      <c r="DL202" s="161" t="str">
        <f t="shared" si="362"/>
        <v/>
      </c>
      <c r="DM202" s="161" t="str">
        <f t="shared" si="363"/>
        <v/>
      </c>
      <c r="DN202" s="161" t="str">
        <f t="shared" si="386"/>
        <v/>
      </c>
      <c r="DO202" s="161" t="str">
        <f t="shared" si="387"/>
        <v/>
      </c>
      <c r="DP202" s="161" t="str">
        <f t="shared" si="388"/>
        <v/>
      </c>
      <c r="DQ202" s="161" t="str">
        <f t="shared" si="389"/>
        <v/>
      </c>
      <c r="DR202" s="161" t="str">
        <f t="shared" si="390"/>
        <v/>
      </c>
      <c r="DS202" s="161" t="str">
        <f t="shared" si="391"/>
        <v/>
      </c>
      <c r="DT202" s="161" t="str">
        <f t="shared" si="392"/>
        <v/>
      </c>
      <c r="DU202" s="161" t="str">
        <f t="shared" si="393"/>
        <v/>
      </c>
      <c r="DV202" s="161" t="str">
        <f t="shared" si="394"/>
        <v/>
      </c>
      <c r="DW202" s="161" t="str">
        <f t="shared" si="395"/>
        <v/>
      </c>
      <c r="DX202" s="161" t="str">
        <f t="shared" si="396"/>
        <v/>
      </c>
      <c r="DY202" s="161" t="str">
        <f t="shared" si="397"/>
        <v/>
      </c>
      <c r="DZ202" s="161" t="str">
        <f t="shared" si="398"/>
        <v/>
      </c>
      <c r="EA202" s="161" t="str">
        <f t="shared" si="399"/>
        <v/>
      </c>
      <c r="EB202" s="161" t="str">
        <f t="shared" si="400"/>
        <v/>
      </c>
      <c r="EC202" s="161" t="str">
        <f t="shared" si="401"/>
        <v/>
      </c>
      <c r="ED202" s="161" t="str">
        <f t="shared" si="402"/>
        <v/>
      </c>
      <c r="EE202" s="161" t="str">
        <f t="shared" si="403"/>
        <v/>
      </c>
      <c r="EF202" s="161" t="str">
        <f t="shared" si="404"/>
        <v/>
      </c>
      <c r="EG202" s="161" t="str">
        <f t="shared" si="405"/>
        <v/>
      </c>
      <c r="EH202" s="161" t="str">
        <f t="shared" si="406"/>
        <v/>
      </c>
      <c r="EI202" s="161" t="str">
        <f t="shared" si="407"/>
        <v/>
      </c>
      <c r="EJ202" s="161" t="str">
        <f t="shared" si="408"/>
        <v/>
      </c>
      <c r="EK202" s="147" t="str">
        <f t="shared" si="322"/>
        <v/>
      </c>
      <c r="EL202" s="149"/>
      <c r="EN202" s="146"/>
      <c r="EO202" s="146"/>
      <c r="EP202" s="139" t="str">
        <f t="shared" si="323"/>
        <v/>
      </c>
      <c r="EQ202" s="139" t="str">
        <f t="shared" si="324"/>
        <v/>
      </c>
      <c r="ER202" s="139" t="str">
        <f t="shared" si="325"/>
        <v/>
      </c>
      <c r="ES202" s="139" t="str">
        <f t="shared" si="326"/>
        <v/>
      </c>
      <c r="ET202" s="139" t="str">
        <f t="shared" si="327"/>
        <v/>
      </c>
      <c r="EU202" s="139" t="str">
        <f t="shared" si="328"/>
        <v/>
      </c>
      <c r="EV202" s="139" t="str">
        <f t="shared" si="329"/>
        <v/>
      </c>
      <c r="EW202" s="139" t="str">
        <f t="shared" si="330"/>
        <v/>
      </c>
      <c r="EX202" s="139" t="str">
        <f t="shared" si="331"/>
        <v/>
      </c>
      <c r="EY202" s="139" t="str">
        <f t="shared" si="332"/>
        <v/>
      </c>
      <c r="EZ202" s="139" t="str">
        <f t="shared" si="333"/>
        <v/>
      </c>
      <c r="FA202" s="139" t="str">
        <f t="shared" si="334"/>
        <v/>
      </c>
      <c r="FB202" s="139" t="str">
        <f t="shared" si="335"/>
        <v/>
      </c>
      <c r="FC202" s="139" t="str">
        <f t="shared" si="336"/>
        <v/>
      </c>
      <c r="FD202" s="139" t="str">
        <f t="shared" si="337"/>
        <v/>
      </c>
      <c r="FE202" s="139" t="str">
        <f t="shared" si="338"/>
        <v/>
      </c>
      <c r="FF202" s="139" t="str">
        <f t="shared" si="339"/>
        <v/>
      </c>
      <c r="FG202" s="139" t="str">
        <f t="shared" si="340"/>
        <v/>
      </c>
      <c r="FH202" s="139" t="str">
        <f t="shared" si="341"/>
        <v/>
      </c>
      <c r="FI202" s="139" t="str">
        <f t="shared" si="342"/>
        <v/>
      </c>
      <c r="FJ202" s="139" t="str">
        <f t="shared" si="343"/>
        <v/>
      </c>
      <c r="FK202" s="139" t="str">
        <f t="shared" si="344"/>
        <v/>
      </c>
      <c r="FL202" s="139" t="str">
        <f t="shared" si="345"/>
        <v/>
      </c>
      <c r="FM202" s="139" t="str">
        <f t="shared" si="346"/>
        <v/>
      </c>
      <c r="FN202" s="139" t="str">
        <f t="shared" si="347"/>
        <v/>
      </c>
      <c r="FO202" s="139" t="str">
        <f t="shared" si="348"/>
        <v/>
      </c>
      <c r="FP202" s="139" t="str">
        <f t="shared" si="349"/>
        <v/>
      </c>
      <c r="FQ202" s="139" t="str">
        <f t="shared" si="350"/>
        <v/>
      </c>
      <c r="FR202" s="139" t="str">
        <f t="shared" si="351"/>
        <v/>
      </c>
      <c r="FS202" s="139" t="str">
        <f t="shared" si="352"/>
        <v/>
      </c>
      <c r="FT202" s="139" t="str">
        <f t="shared" si="353"/>
        <v/>
      </c>
      <c r="FU202" s="148" t="str">
        <f t="shared" si="354"/>
        <v/>
      </c>
      <c r="FV202" s="149"/>
      <c r="FY202" s="210">
        <v>197</v>
      </c>
      <c r="FZ202">
        <v>6.7835305625026496</v>
      </c>
      <c r="GA202">
        <v>27.586621822656205</v>
      </c>
      <c r="GB202">
        <v>29.846438053331006</v>
      </c>
      <c r="GC202">
        <v>14.327281640970554</v>
      </c>
      <c r="GD202">
        <v>5.7145403607653238</v>
      </c>
      <c r="GE202">
        <v>6.0009198860952706</v>
      </c>
      <c r="GF202">
        <v>4.7625337089228701</v>
      </c>
      <c r="GG202">
        <v>5.1471033218237459</v>
      </c>
      <c r="GH202">
        <v>3.8803412688415078</v>
      </c>
      <c r="GI202">
        <v>13.294354801362145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188.11672081462177</v>
      </c>
      <c r="AO203">
        <v>20.347718781912999</v>
      </c>
      <c r="AP203">
        <v>169.29582669791563</v>
      </c>
      <c r="AQ203">
        <v>130.01520909475033</v>
      </c>
      <c r="AR203">
        <v>18.797720049705958</v>
      </c>
      <c r="AS203">
        <v>168.96860118811662</v>
      </c>
      <c r="AT203" t="e">
        <v>#DIV/0!</v>
      </c>
      <c r="AU203" t="e">
        <v>#DIV/0!</v>
      </c>
      <c r="AV203"/>
      <c r="AW203"/>
      <c r="AX203" s="146"/>
      <c r="AY203" s="76" t="str">
        <f t="shared" ca="1" si="245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46"/>
        <v/>
      </c>
      <c r="CL203" s="179" t="str">
        <f t="shared" si="247"/>
        <v/>
      </c>
      <c r="CM203" s="180" t="str">
        <f t="shared" si="248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317"/>
        <v/>
      </c>
      <c r="DB203" s="146"/>
      <c r="DC203" s="76" t="str">
        <f t="shared" ca="1" si="249"/>
        <v/>
      </c>
      <c r="DD203" t="str">
        <f t="shared" si="250"/>
        <v/>
      </c>
      <c r="DE203" s="129" t="str">
        <f t="shared" si="409"/>
        <v/>
      </c>
      <c r="DF203" s="161" t="str">
        <f t="shared" si="356"/>
        <v/>
      </c>
      <c r="DG203" s="161" t="str">
        <f t="shared" si="357"/>
        <v/>
      </c>
      <c r="DH203" s="161" t="str">
        <f t="shared" si="358"/>
        <v/>
      </c>
      <c r="DI203" s="161" t="str">
        <f t="shared" si="359"/>
        <v/>
      </c>
      <c r="DJ203" s="161" t="str">
        <f t="shared" si="360"/>
        <v/>
      </c>
      <c r="DK203" s="161" t="str">
        <f t="shared" si="361"/>
        <v/>
      </c>
      <c r="DL203" s="161" t="str">
        <f t="shared" si="362"/>
        <v/>
      </c>
      <c r="DM203" s="161" t="str">
        <f t="shared" si="363"/>
        <v/>
      </c>
      <c r="DN203" s="161" t="str">
        <f t="shared" si="386"/>
        <v/>
      </c>
      <c r="DO203" s="161" t="str">
        <f t="shared" si="387"/>
        <v/>
      </c>
      <c r="DP203" s="161" t="str">
        <f t="shared" si="388"/>
        <v/>
      </c>
      <c r="DQ203" s="161" t="str">
        <f t="shared" si="389"/>
        <v/>
      </c>
      <c r="DR203" s="161" t="str">
        <f t="shared" si="390"/>
        <v/>
      </c>
      <c r="DS203" s="161" t="str">
        <f t="shared" si="391"/>
        <v/>
      </c>
      <c r="DT203" s="161" t="str">
        <f t="shared" si="392"/>
        <v/>
      </c>
      <c r="DU203" s="161" t="str">
        <f t="shared" si="393"/>
        <v/>
      </c>
      <c r="DV203" s="161" t="str">
        <f t="shared" si="394"/>
        <v/>
      </c>
      <c r="DW203" s="161" t="str">
        <f t="shared" si="395"/>
        <v/>
      </c>
      <c r="DX203" s="161" t="str">
        <f t="shared" si="396"/>
        <v/>
      </c>
      <c r="DY203" s="161" t="str">
        <f t="shared" si="397"/>
        <v/>
      </c>
      <c r="DZ203" s="161" t="str">
        <f t="shared" si="398"/>
        <v/>
      </c>
      <c r="EA203" s="161" t="str">
        <f t="shared" si="399"/>
        <v/>
      </c>
      <c r="EB203" s="161" t="str">
        <f t="shared" si="400"/>
        <v/>
      </c>
      <c r="EC203" s="161" t="str">
        <f t="shared" si="401"/>
        <v/>
      </c>
      <c r="ED203" s="161" t="str">
        <f t="shared" si="402"/>
        <v/>
      </c>
      <c r="EE203" s="161" t="str">
        <f t="shared" si="403"/>
        <v/>
      </c>
      <c r="EF203" s="161" t="str">
        <f t="shared" si="404"/>
        <v/>
      </c>
      <c r="EG203" s="161" t="str">
        <f t="shared" si="405"/>
        <v/>
      </c>
      <c r="EH203" s="161" t="str">
        <f t="shared" si="406"/>
        <v/>
      </c>
      <c r="EI203" s="161" t="str">
        <f t="shared" si="407"/>
        <v/>
      </c>
      <c r="EJ203" s="161" t="str">
        <f t="shared" si="408"/>
        <v/>
      </c>
      <c r="EK203" s="147" t="str">
        <f t="shared" si="322"/>
        <v/>
      </c>
      <c r="EL203" s="149"/>
      <c r="EN203" s="146"/>
      <c r="EO203" s="146"/>
      <c r="EP203" s="139" t="str">
        <f t="shared" si="323"/>
        <v/>
      </c>
      <c r="EQ203" s="139" t="str">
        <f t="shared" si="324"/>
        <v/>
      </c>
      <c r="ER203" s="139" t="str">
        <f t="shared" si="325"/>
        <v/>
      </c>
      <c r="ES203" s="139" t="str">
        <f t="shared" si="326"/>
        <v/>
      </c>
      <c r="ET203" s="139" t="str">
        <f t="shared" si="327"/>
        <v/>
      </c>
      <c r="EU203" s="139" t="str">
        <f t="shared" si="328"/>
        <v/>
      </c>
      <c r="EV203" s="139" t="str">
        <f t="shared" si="329"/>
        <v/>
      </c>
      <c r="EW203" s="139" t="str">
        <f t="shared" si="330"/>
        <v/>
      </c>
      <c r="EX203" s="139" t="str">
        <f t="shared" si="331"/>
        <v/>
      </c>
      <c r="EY203" s="139" t="str">
        <f t="shared" si="332"/>
        <v/>
      </c>
      <c r="EZ203" s="139" t="str">
        <f t="shared" si="333"/>
        <v/>
      </c>
      <c r="FA203" s="139" t="str">
        <f t="shared" si="334"/>
        <v/>
      </c>
      <c r="FB203" s="139" t="str">
        <f t="shared" si="335"/>
        <v/>
      </c>
      <c r="FC203" s="139" t="str">
        <f t="shared" si="336"/>
        <v/>
      </c>
      <c r="FD203" s="139" t="str">
        <f t="shared" si="337"/>
        <v/>
      </c>
      <c r="FE203" s="139" t="str">
        <f t="shared" si="338"/>
        <v/>
      </c>
      <c r="FF203" s="139" t="str">
        <f t="shared" si="339"/>
        <v/>
      </c>
      <c r="FG203" s="139" t="str">
        <f t="shared" si="340"/>
        <v/>
      </c>
      <c r="FH203" s="139" t="str">
        <f t="shared" si="341"/>
        <v/>
      </c>
      <c r="FI203" s="139" t="str">
        <f t="shared" si="342"/>
        <v/>
      </c>
      <c r="FJ203" s="139" t="str">
        <f t="shared" si="343"/>
        <v/>
      </c>
      <c r="FK203" s="139" t="str">
        <f t="shared" si="344"/>
        <v/>
      </c>
      <c r="FL203" s="139" t="str">
        <f t="shared" si="345"/>
        <v/>
      </c>
      <c r="FM203" s="139" t="str">
        <f t="shared" si="346"/>
        <v/>
      </c>
      <c r="FN203" s="139" t="str">
        <f t="shared" si="347"/>
        <v/>
      </c>
      <c r="FO203" s="139" t="str">
        <f t="shared" si="348"/>
        <v/>
      </c>
      <c r="FP203" s="139" t="str">
        <f t="shared" si="349"/>
        <v/>
      </c>
      <c r="FQ203" s="139" t="str">
        <f t="shared" si="350"/>
        <v/>
      </c>
      <c r="FR203" s="139" t="str">
        <f t="shared" si="351"/>
        <v/>
      </c>
      <c r="FS203" s="139" t="str">
        <f t="shared" si="352"/>
        <v/>
      </c>
      <c r="FT203" s="139" t="str">
        <f t="shared" si="353"/>
        <v/>
      </c>
      <c r="FU203" s="148" t="str">
        <f t="shared" si="354"/>
        <v/>
      </c>
      <c r="FV203" s="149"/>
      <c r="FY203" s="210">
        <v>198</v>
      </c>
      <c r="FZ203">
        <v>6.7141069519036876</v>
      </c>
      <c r="GA203">
        <v>24.039288951592482</v>
      </c>
      <c r="GB203">
        <v>20.421086724411577</v>
      </c>
      <c r="GC203">
        <v>10.54897653725115</v>
      </c>
      <c r="GD203">
        <v>4.4294911892039401</v>
      </c>
      <c r="GE203">
        <v>9.7539499604662563</v>
      </c>
      <c r="GF203">
        <v>13.345602923784302</v>
      </c>
      <c r="GG203">
        <v>3.396514852015057</v>
      </c>
      <c r="GH203">
        <v>2.715612067266381</v>
      </c>
      <c r="GI203">
        <v>11.591640223452535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191.52368653934232</v>
      </c>
      <c r="AO204">
        <v>18.590796616518528</v>
      </c>
      <c r="AP204">
        <v>149.75920625067215</v>
      </c>
      <c r="AQ204">
        <v>113.4889569936061</v>
      </c>
      <c r="AR204">
        <v>17.162645623364444</v>
      </c>
      <c r="AS204">
        <v>153.55250651893817</v>
      </c>
      <c r="AT204">
        <v>8.2349225377139827</v>
      </c>
      <c r="AU204">
        <v>-49.758219418754955</v>
      </c>
      <c r="AV204"/>
      <c r="AW204"/>
      <c r="AX204" s="146"/>
      <c r="AY204" s="76" t="str">
        <f t="shared" ca="1" si="245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46"/>
        <v/>
      </c>
      <c r="CL204" s="179" t="str">
        <f t="shared" si="247"/>
        <v/>
      </c>
      <c r="CM204" s="180" t="str">
        <f t="shared" si="248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317"/>
        <v/>
      </c>
      <c r="DB204" s="146"/>
      <c r="DC204" s="76" t="str">
        <f t="shared" ca="1" si="249"/>
        <v/>
      </c>
      <c r="DD204" t="str">
        <f t="shared" si="250"/>
        <v/>
      </c>
      <c r="DE204" s="129" t="str">
        <f t="shared" si="409"/>
        <v/>
      </c>
      <c r="DF204" s="161" t="str">
        <f t="shared" si="356"/>
        <v/>
      </c>
      <c r="DG204" s="161" t="str">
        <f t="shared" si="357"/>
        <v/>
      </c>
      <c r="DH204" s="161" t="str">
        <f t="shared" si="358"/>
        <v/>
      </c>
      <c r="DI204" s="161" t="str">
        <f t="shared" si="359"/>
        <v/>
      </c>
      <c r="DJ204" s="161" t="str">
        <f t="shared" si="360"/>
        <v/>
      </c>
      <c r="DK204" s="161" t="str">
        <f t="shared" si="361"/>
        <v/>
      </c>
      <c r="DL204" s="161" t="str">
        <f t="shared" si="362"/>
        <v/>
      </c>
      <c r="DM204" s="161" t="str">
        <f t="shared" si="363"/>
        <v/>
      </c>
      <c r="DN204" s="161" t="str">
        <f t="shared" si="386"/>
        <v/>
      </c>
      <c r="DO204" s="161" t="str">
        <f t="shared" si="387"/>
        <v/>
      </c>
      <c r="DP204" s="161" t="str">
        <f t="shared" si="388"/>
        <v/>
      </c>
      <c r="DQ204" s="161" t="str">
        <f t="shared" si="389"/>
        <v/>
      </c>
      <c r="DR204" s="161" t="str">
        <f t="shared" si="390"/>
        <v/>
      </c>
      <c r="DS204" s="161" t="str">
        <f t="shared" si="391"/>
        <v/>
      </c>
      <c r="DT204" s="161" t="str">
        <f t="shared" si="392"/>
        <v/>
      </c>
      <c r="DU204" s="161" t="str">
        <f t="shared" si="393"/>
        <v/>
      </c>
      <c r="DV204" s="161" t="str">
        <f t="shared" si="394"/>
        <v/>
      </c>
      <c r="DW204" s="161" t="str">
        <f t="shared" si="395"/>
        <v/>
      </c>
      <c r="DX204" s="161" t="str">
        <f t="shared" si="396"/>
        <v/>
      </c>
      <c r="DY204" s="161" t="str">
        <f t="shared" si="397"/>
        <v/>
      </c>
      <c r="DZ204" s="161" t="str">
        <f t="shared" si="398"/>
        <v/>
      </c>
      <c r="EA204" s="161" t="str">
        <f t="shared" si="399"/>
        <v/>
      </c>
      <c r="EB204" s="161" t="str">
        <f t="shared" si="400"/>
        <v/>
      </c>
      <c r="EC204" s="161" t="str">
        <f t="shared" si="401"/>
        <v/>
      </c>
      <c r="ED204" s="161" t="str">
        <f t="shared" si="402"/>
        <v/>
      </c>
      <c r="EE204" s="161" t="str">
        <f t="shared" si="403"/>
        <v/>
      </c>
      <c r="EF204" s="161" t="str">
        <f t="shared" si="404"/>
        <v/>
      </c>
      <c r="EG204" s="161" t="str">
        <f t="shared" si="405"/>
        <v/>
      </c>
      <c r="EH204" s="161" t="str">
        <f t="shared" si="406"/>
        <v/>
      </c>
      <c r="EI204" s="161" t="str">
        <f t="shared" si="407"/>
        <v/>
      </c>
      <c r="EJ204" s="161" t="str">
        <f t="shared" si="408"/>
        <v/>
      </c>
      <c r="EK204" s="147" t="str">
        <f t="shared" si="322"/>
        <v/>
      </c>
      <c r="EL204" s="149"/>
      <c r="EN204" s="146"/>
      <c r="EO204" s="146"/>
      <c r="EP204" s="139" t="str">
        <f t="shared" si="323"/>
        <v/>
      </c>
      <c r="EQ204" s="139" t="str">
        <f t="shared" si="324"/>
        <v/>
      </c>
      <c r="ER204" s="139" t="str">
        <f t="shared" si="325"/>
        <v/>
      </c>
      <c r="ES204" s="139" t="str">
        <f t="shared" si="326"/>
        <v/>
      </c>
      <c r="ET204" s="139" t="str">
        <f t="shared" si="327"/>
        <v/>
      </c>
      <c r="EU204" s="139" t="str">
        <f t="shared" si="328"/>
        <v/>
      </c>
      <c r="EV204" s="139" t="str">
        <f t="shared" si="329"/>
        <v/>
      </c>
      <c r="EW204" s="139" t="str">
        <f t="shared" si="330"/>
        <v/>
      </c>
      <c r="EX204" s="139" t="str">
        <f t="shared" si="331"/>
        <v/>
      </c>
      <c r="EY204" s="139" t="str">
        <f t="shared" si="332"/>
        <v/>
      </c>
      <c r="EZ204" s="139" t="str">
        <f t="shared" si="333"/>
        <v/>
      </c>
      <c r="FA204" s="139" t="str">
        <f t="shared" si="334"/>
        <v/>
      </c>
      <c r="FB204" s="139" t="str">
        <f t="shared" si="335"/>
        <v/>
      </c>
      <c r="FC204" s="139" t="str">
        <f t="shared" si="336"/>
        <v/>
      </c>
      <c r="FD204" s="139" t="str">
        <f t="shared" si="337"/>
        <v/>
      </c>
      <c r="FE204" s="139" t="str">
        <f t="shared" si="338"/>
        <v/>
      </c>
      <c r="FF204" s="139" t="str">
        <f t="shared" si="339"/>
        <v/>
      </c>
      <c r="FG204" s="139" t="str">
        <f t="shared" si="340"/>
        <v/>
      </c>
      <c r="FH204" s="139" t="str">
        <f t="shared" si="341"/>
        <v/>
      </c>
      <c r="FI204" s="139" t="str">
        <f t="shared" si="342"/>
        <v/>
      </c>
      <c r="FJ204" s="139" t="str">
        <f t="shared" si="343"/>
        <v/>
      </c>
      <c r="FK204" s="139" t="str">
        <f t="shared" si="344"/>
        <v/>
      </c>
      <c r="FL204" s="139" t="str">
        <f t="shared" si="345"/>
        <v/>
      </c>
      <c r="FM204" s="139" t="str">
        <f t="shared" si="346"/>
        <v/>
      </c>
      <c r="FN204" s="139" t="str">
        <f t="shared" si="347"/>
        <v/>
      </c>
      <c r="FO204" s="139" t="str">
        <f t="shared" si="348"/>
        <v/>
      </c>
      <c r="FP204" s="139" t="str">
        <f t="shared" si="349"/>
        <v/>
      </c>
      <c r="FQ204" s="139" t="str">
        <f t="shared" si="350"/>
        <v/>
      </c>
      <c r="FR204" s="139" t="str">
        <f t="shared" si="351"/>
        <v/>
      </c>
      <c r="FS204" s="139" t="str">
        <f t="shared" si="352"/>
        <v/>
      </c>
      <c r="FT204" s="139" t="str">
        <f t="shared" si="353"/>
        <v/>
      </c>
      <c r="FU204" s="148" t="str">
        <f t="shared" si="354"/>
        <v/>
      </c>
      <c r="FV204" s="149"/>
      <c r="FY204" s="210">
        <v>199</v>
      </c>
      <c r="FZ204">
        <v>6.6893652040535478</v>
      </c>
      <c r="GA204">
        <v>22.876286218834576</v>
      </c>
      <c r="GB204">
        <v>13.122271929942638</v>
      </c>
      <c r="GC204">
        <v>5.3845700028470809</v>
      </c>
      <c r="GD204">
        <v>2.9424257066583452</v>
      </c>
      <c r="GE204">
        <v>3.9453466033992299</v>
      </c>
      <c r="GF204">
        <v>3.6622131304872543</v>
      </c>
      <c r="GG204">
        <v>1.4224046459106283</v>
      </c>
      <c r="GH204">
        <v>2.2006739463117539</v>
      </c>
      <c r="GI204">
        <v>6.9812639528847189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227.19615740212811</v>
      </c>
      <c r="AO205">
        <v>18.032982634360842</v>
      </c>
      <c r="AP205">
        <v>136.4678075700798</v>
      </c>
      <c r="AQ205">
        <v>110.4997321229952</v>
      </c>
      <c r="AR205">
        <v>16.410714488476799</v>
      </c>
      <c r="AS205">
        <v>148.94306862028978</v>
      </c>
      <c r="AT205" t="e">
        <v>#DIV/0!</v>
      </c>
      <c r="AU205" t="e">
        <v>#DIV/0!</v>
      </c>
      <c r="AV205"/>
      <c r="AW205"/>
      <c r="AX205" s="146"/>
      <c r="AY205" s="76" t="str">
        <f t="shared" ca="1" si="245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46"/>
        <v/>
      </c>
      <c r="CL205" s="179" t="str">
        <f t="shared" si="247"/>
        <v/>
      </c>
      <c r="CM205" s="180" t="str">
        <f t="shared" si="248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317"/>
        <v/>
      </c>
      <c r="DB205" s="146"/>
      <c r="DC205" s="76" t="str">
        <f t="shared" ca="1" si="249"/>
        <v/>
      </c>
      <c r="DD205" t="str">
        <f t="shared" si="250"/>
        <v/>
      </c>
      <c r="DE205" s="129" t="str">
        <f t="shared" si="409"/>
        <v/>
      </c>
      <c r="DF205" s="161" t="str">
        <f t="shared" si="356"/>
        <v/>
      </c>
      <c r="DG205" s="161" t="str">
        <f t="shared" si="357"/>
        <v/>
      </c>
      <c r="DH205" s="161" t="str">
        <f t="shared" si="358"/>
        <v/>
      </c>
      <c r="DI205" s="161" t="str">
        <f t="shared" si="359"/>
        <v/>
      </c>
      <c r="DJ205" s="161" t="str">
        <f t="shared" si="360"/>
        <v/>
      </c>
      <c r="DK205" s="161" t="str">
        <f t="shared" si="361"/>
        <v/>
      </c>
      <c r="DL205" s="161" t="str">
        <f t="shared" si="362"/>
        <v/>
      </c>
      <c r="DM205" s="161" t="str">
        <f t="shared" si="363"/>
        <v/>
      </c>
      <c r="DN205" s="161" t="str">
        <f t="shared" si="386"/>
        <v/>
      </c>
      <c r="DO205" s="161" t="str">
        <f t="shared" si="387"/>
        <v/>
      </c>
      <c r="DP205" s="161" t="str">
        <f t="shared" si="388"/>
        <v/>
      </c>
      <c r="DQ205" s="161" t="str">
        <f t="shared" si="389"/>
        <v/>
      </c>
      <c r="DR205" s="161" t="str">
        <f t="shared" si="390"/>
        <v/>
      </c>
      <c r="DS205" s="161" t="str">
        <f t="shared" si="391"/>
        <v/>
      </c>
      <c r="DT205" s="161" t="str">
        <f t="shared" si="392"/>
        <v/>
      </c>
      <c r="DU205" s="161" t="str">
        <f t="shared" si="393"/>
        <v/>
      </c>
      <c r="DV205" s="161" t="str">
        <f t="shared" si="394"/>
        <v/>
      </c>
      <c r="DW205" s="161" t="str">
        <f t="shared" si="395"/>
        <v/>
      </c>
      <c r="DX205" s="161" t="str">
        <f t="shared" si="396"/>
        <v/>
      </c>
      <c r="DY205" s="161" t="str">
        <f t="shared" si="397"/>
        <v/>
      </c>
      <c r="DZ205" s="161" t="str">
        <f t="shared" si="398"/>
        <v/>
      </c>
      <c r="EA205" s="161" t="str">
        <f t="shared" si="399"/>
        <v/>
      </c>
      <c r="EB205" s="161" t="str">
        <f t="shared" si="400"/>
        <v/>
      </c>
      <c r="EC205" s="161" t="str">
        <f t="shared" si="401"/>
        <v/>
      </c>
      <c r="ED205" s="161" t="str">
        <f t="shared" si="402"/>
        <v/>
      </c>
      <c r="EE205" s="161" t="str">
        <f t="shared" si="403"/>
        <v/>
      </c>
      <c r="EF205" s="161" t="str">
        <f t="shared" si="404"/>
        <v/>
      </c>
      <c r="EG205" s="161" t="str">
        <f t="shared" si="405"/>
        <v/>
      </c>
      <c r="EH205" s="161" t="str">
        <f t="shared" si="406"/>
        <v/>
      </c>
      <c r="EI205" s="161" t="str">
        <f t="shared" si="407"/>
        <v/>
      </c>
      <c r="EJ205" s="161" t="str">
        <f t="shared" si="408"/>
        <v/>
      </c>
      <c r="EK205" s="147" t="str">
        <f t="shared" si="322"/>
        <v/>
      </c>
      <c r="EL205" s="149"/>
      <c r="EN205" s="146"/>
      <c r="EO205" s="146"/>
      <c r="EP205" s="139" t="str">
        <f t="shared" si="323"/>
        <v/>
      </c>
      <c r="EQ205" s="139" t="str">
        <f t="shared" si="324"/>
        <v/>
      </c>
      <c r="ER205" s="139" t="str">
        <f t="shared" si="325"/>
        <v/>
      </c>
      <c r="ES205" s="139" t="str">
        <f t="shared" si="326"/>
        <v/>
      </c>
      <c r="ET205" s="139" t="str">
        <f t="shared" si="327"/>
        <v/>
      </c>
      <c r="EU205" s="139" t="str">
        <f t="shared" si="328"/>
        <v/>
      </c>
      <c r="EV205" s="139" t="str">
        <f t="shared" si="329"/>
        <v/>
      </c>
      <c r="EW205" s="139" t="str">
        <f t="shared" si="330"/>
        <v/>
      </c>
      <c r="EX205" s="139" t="str">
        <f t="shared" si="331"/>
        <v/>
      </c>
      <c r="EY205" s="139" t="str">
        <f t="shared" si="332"/>
        <v/>
      </c>
      <c r="EZ205" s="139" t="str">
        <f t="shared" si="333"/>
        <v/>
      </c>
      <c r="FA205" s="139" t="str">
        <f t="shared" si="334"/>
        <v/>
      </c>
      <c r="FB205" s="139" t="str">
        <f t="shared" si="335"/>
        <v/>
      </c>
      <c r="FC205" s="139" t="str">
        <f t="shared" si="336"/>
        <v/>
      </c>
      <c r="FD205" s="139" t="str">
        <f t="shared" si="337"/>
        <v/>
      </c>
      <c r="FE205" s="139" t="str">
        <f t="shared" si="338"/>
        <v/>
      </c>
      <c r="FF205" s="139" t="str">
        <f t="shared" si="339"/>
        <v/>
      </c>
      <c r="FG205" s="139" t="str">
        <f t="shared" si="340"/>
        <v/>
      </c>
      <c r="FH205" s="139" t="str">
        <f t="shared" si="341"/>
        <v/>
      </c>
      <c r="FI205" s="139" t="str">
        <f t="shared" si="342"/>
        <v/>
      </c>
      <c r="FJ205" s="139" t="str">
        <f t="shared" si="343"/>
        <v/>
      </c>
      <c r="FK205" s="139" t="str">
        <f t="shared" si="344"/>
        <v/>
      </c>
      <c r="FL205" s="139" t="str">
        <f t="shared" si="345"/>
        <v/>
      </c>
      <c r="FM205" s="139" t="str">
        <f t="shared" si="346"/>
        <v/>
      </c>
      <c r="FN205" s="139" t="str">
        <f t="shared" si="347"/>
        <v/>
      </c>
      <c r="FO205" s="139" t="str">
        <f t="shared" si="348"/>
        <v/>
      </c>
      <c r="FP205" s="139" t="str">
        <f t="shared" si="349"/>
        <v/>
      </c>
      <c r="FQ205" s="139" t="str">
        <f t="shared" si="350"/>
        <v/>
      </c>
      <c r="FR205" s="139" t="str">
        <f t="shared" si="351"/>
        <v/>
      </c>
      <c r="FS205" s="139" t="str">
        <f t="shared" si="352"/>
        <v/>
      </c>
      <c r="FT205" s="139" t="str">
        <f t="shared" si="353"/>
        <v/>
      </c>
      <c r="FU205" s="148" t="str">
        <f t="shared" si="354"/>
        <v/>
      </c>
      <c r="FV205" s="149"/>
      <c r="FY205" s="210">
        <v>200</v>
      </c>
      <c r="FZ205">
        <v>0.87176687812934295</v>
      </c>
      <c r="GA205">
        <v>21.439290244942498</v>
      </c>
      <c r="GB205">
        <v>24.702460300016639</v>
      </c>
      <c r="GC205">
        <v>11.063673292998354</v>
      </c>
      <c r="GD205">
        <v>4.2039293984317281</v>
      </c>
      <c r="GE205">
        <v>5.4671437283136459</v>
      </c>
      <c r="GF205">
        <v>4.9334665166521727</v>
      </c>
      <c r="GG205">
        <v>1.9741102061044287</v>
      </c>
      <c r="GH205">
        <v>2.7830385470993173</v>
      </c>
      <c r="GI205">
        <v>10.093409983074931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201.33723684250384</v>
      </c>
      <c r="AO206">
        <v>14.788547826664985</v>
      </c>
      <c r="AP206">
        <v>112.61944651237232</v>
      </c>
      <c r="AQ206">
        <v>89.639195233555682</v>
      </c>
      <c r="AR206">
        <v>13.625509352594268</v>
      </c>
      <c r="AS206">
        <v>134.51662927634578</v>
      </c>
      <c r="AT206">
        <v>6.0593307609764091</v>
      </c>
      <c r="AU206">
        <v>-7.8528710515214222</v>
      </c>
      <c r="AV206"/>
      <c r="AW206"/>
      <c r="AX206" s="146"/>
      <c r="AY206" s="76" t="str">
        <f t="shared" ca="1" si="245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46"/>
        <v/>
      </c>
      <c r="CL206" s="179" t="str">
        <f t="shared" si="247"/>
        <v/>
      </c>
      <c r="CM206" s="180" t="str">
        <f t="shared" si="248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317"/>
        <v/>
      </c>
      <c r="DB206" s="146"/>
      <c r="DC206" s="76" t="str">
        <f t="shared" ca="1" si="249"/>
        <v/>
      </c>
      <c r="DD206" t="str">
        <f t="shared" si="250"/>
        <v/>
      </c>
      <c r="DE206" s="129" t="str">
        <f t="shared" si="409"/>
        <v/>
      </c>
      <c r="DF206" s="161" t="str">
        <f t="shared" si="356"/>
        <v/>
      </c>
      <c r="DG206" s="161" t="str">
        <f t="shared" si="357"/>
        <v/>
      </c>
      <c r="DH206" s="161" t="str">
        <f t="shared" si="358"/>
        <v/>
      </c>
      <c r="DI206" s="161" t="str">
        <f t="shared" si="359"/>
        <v/>
      </c>
      <c r="DJ206" s="161" t="str">
        <f t="shared" si="360"/>
        <v/>
      </c>
      <c r="DK206" s="161" t="str">
        <f t="shared" si="361"/>
        <v/>
      </c>
      <c r="DL206" s="161" t="str">
        <f t="shared" si="362"/>
        <v/>
      </c>
      <c r="DM206" s="161" t="str">
        <f t="shared" si="363"/>
        <v/>
      </c>
      <c r="DN206" s="161" t="str">
        <f t="shared" si="386"/>
        <v/>
      </c>
      <c r="DO206" s="161" t="str">
        <f t="shared" si="387"/>
        <v/>
      </c>
      <c r="DP206" s="161" t="str">
        <f t="shared" si="388"/>
        <v/>
      </c>
      <c r="DQ206" s="161" t="str">
        <f t="shared" si="389"/>
        <v/>
      </c>
      <c r="DR206" s="161" t="str">
        <f t="shared" si="390"/>
        <v/>
      </c>
      <c r="DS206" s="161" t="str">
        <f t="shared" si="391"/>
        <v/>
      </c>
      <c r="DT206" s="161" t="str">
        <f t="shared" si="392"/>
        <v/>
      </c>
      <c r="DU206" s="161" t="str">
        <f t="shared" si="393"/>
        <v/>
      </c>
      <c r="DV206" s="161" t="str">
        <f t="shared" si="394"/>
        <v/>
      </c>
      <c r="DW206" s="161" t="str">
        <f t="shared" si="395"/>
        <v/>
      </c>
      <c r="DX206" s="161" t="str">
        <f t="shared" si="396"/>
        <v/>
      </c>
      <c r="DY206" s="161" t="str">
        <f t="shared" si="397"/>
        <v/>
      </c>
      <c r="DZ206" s="161" t="str">
        <f t="shared" si="398"/>
        <v/>
      </c>
      <c r="EA206" s="161" t="str">
        <f t="shared" si="399"/>
        <v/>
      </c>
      <c r="EB206" s="161" t="str">
        <f t="shared" si="400"/>
        <v/>
      </c>
      <c r="EC206" s="161" t="str">
        <f t="shared" si="401"/>
        <v/>
      </c>
      <c r="ED206" s="161" t="str">
        <f t="shared" si="402"/>
        <v/>
      </c>
      <c r="EE206" s="161" t="str">
        <f t="shared" si="403"/>
        <v/>
      </c>
      <c r="EF206" s="161" t="str">
        <f t="shared" si="404"/>
        <v/>
      </c>
      <c r="EG206" s="161" t="str">
        <f t="shared" si="405"/>
        <v/>
      </c>
      <c r="EH206" s="161" t="str">
        <f t="shared" si="406"/>
        <v/>
      </c>
      <c r="EI206" s="161" t="str">
        <f t="shared" si="407"/>
        <v/>
      </c>
      <c r="EJ206" s="161" t="str">
        <f t="shared" si="408"/>
        <v/>
      </c>
      <c r="EK206" s="147" t="str">
        <f t="shared" si="322"/>
        <v/>
      </c>
      <c r="EL206" s="149"/>
      <c r="EN206" s="146"/>
      <c r="EO206" s="146"/>
      <c r="EP206" s="139" t="str">
        <f t="shared" si="323"/>
        <v/>
      </c>
      <c r="EQ206" s="139" t="str">
        <f t="shared" si="324"/>
        <v/>
      </c>
      <c r="ER206" s="139" t="str">
        <f t="shared" si="325"/>
        <v/>
      </c>
      <c r="ES206" s="139" t="str">
        <f t="shared" si="326"/>
        <v/>
      </c>
      <c r="ET206" s="139" t="str">
        <f t="shared" si="327"/>
        <v/>
      </c>
      <c r="EU206" s="139" t="str">
        <f t="shared" si="328"/>
        <v/>
      </c>
      <c r="EV206" s="139" t="str">
        <f t="shared" si="329"/>
        <v/>
      </c>
      <c r="EW206" s="139" t="str">
        <f t="shared" si="330"/>
        <v/>
      </c>
      <c r="EX206" s="139" t="str">
        <f t="shared" si="331"/>
        <v/>
      </c>
      <c r="EY206" s="139" t="str">
        <f t="shared" si="332"/>
        <v/>
      </c>
      <c r="EZ206" s="139" t="str">
        <f t="shared" si="333"/>
        <v/>
      </c>
      <c r="FA206" s="139" t="str">
        <f t="shared" si="334"/>
        <v/>
      </c>
      <c r="FB206" s="139" t="str">
        <f t="shared" si="335"/>
        <v/>
      </c>
      <c r="FC206" s="139" t="str">
        <f t="shared" si="336"/>
        <v/>
      </c>
      <c r="FD206" s="139" t="str">
        <f t="shared" si="337"/>
        <v/>
      </c>
      <c r="FE206" s="139" t="str">
        <f t="shared" si="338"/>
        <v/>
      </c>
      <c r="FF206" s="139" t="str">
        <f t="shared" si="339"/>
        <v/>
      </c>
      <c r="FG206" s="139" t="str">
        <f t="shared" si="340"/>
        <v/>
      </c>
      <c r="FH206" s="139" t="str">
        <f t="shared" si="341"/>
        <v/>
      </c>
      <c r="FI206" s="139" t="str">
        <f t="shared" si="342"/>
        <v/>
      </c>
      <c r="FJ206" s="139" t="str">
        <f t="shared" si="343"/>
        <v/>
      </c>
      <c r="FK206" s="139" t="str">
        <f t="shared" si="344"/>
        <v/>
      </c>
      <c r="FL206" s="139" t="str">
        <f t="shared" si="345"/>
        <v/>
      </c>
      <c r="FM206" s="139" t="str">
        <f t="shared" si="346"/>
        <v/>
      </c>
      <c r="FN206" s="139" t="str">
        <f t="shared" si="347"/>
        <v/>
      </c>
      <c r="FO206" s="139" t="str">
        <f t="shared" si="348"/>
        <v/>
      </c>
      <c r="FP206" s="139" t="str">
        <f t="shared" si="349"/>
        <v/>
      </c>
      <c r="FQ206" s="139" t="str">
        <f t="shared" si="350"/>
        <v/>
      </c>
      <c r="FR206" s="139" t="str">
        <f t="shared" si="351"/>
        <v/>
      </c>
      <c r="FS206" s="139" t="str">
        <f t="shared" si="352"/>
        <v/>
      </c>
      <c r="FT206" s="139" t="str">
        <f t="shared" si="353"/>
        <v/>
      </c>
      <c r="FU206" s="148" t="str">
        <f t="shared" si="354"/>
        <v/>
      </c>
      <c r="FV206" s="149"/>
      <c r="FY206" s="210">
        <v>201</v>
      </c>
      <c r="FZ206">
        <v>3.627188048961755</v>
      </c>
      <c r="GA206">
        <v>21.352002661967703</v>
      </c>
      <c r="GB206">
        <v>18.546235555215688</v>
      </c>
      <c r="GC206">
        <v>7.7992319514364912</v>
      </c>
      <c r="GD206">
        <v>2.7091976139080596</v>
      </c>
      <c r="GE206">
        <v>3.4151206212026364</v>
      </c>
      <c r="GF206">
        <v>5.2530002383599559</v>
      </c>
      <c r="GG206">
        <v>4.4545568011947685</v>
      </c>
      <c r="GH206">
        <v>3.6798818511234526</v>
      </c>
      <c r="GI206">
        <v>8.2654888027573303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157.06573602830005</v>
      </c>
      <c r="AO207">
        <v>13.320590523189225</v>
      </c>
      <c r="AP207">
        <v>98.98478436344719</v>
      </c>
      <c r="AQ207">
        <v>76.203574484129462</v>
      </c>
      <c r="AR207">
        <v>12.538180875713921</v>
      </c>
      <c r="AS207">
        <v>116.08152493071975</v>
      </c>
      <c r="AT207">
        <v>5.1834738445107229</v>
      </c>
      <c r="AU207">
        <v>-9.6787057261329696</v>
      </c>
      <c r="AV207"/>
      <c r="AW207"/>
      <c r="AX207" s="146"/>
      <c r="AY207" s="76" t="str">
        <f t="shared" ca="1" si="245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46"/>
        <v/>
      </c>
      <c r="CL207" s="179" t="str">
        <f t="shared" si="247"/>
        <v/>
      </c>
      <c r="CM207" s="180" t="str">
        <f t="shared" si="248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317"/>
        <v/>
      </c>
      <c r="DB207" s="146"/>
      <c r="DC207" s="76" t="str">
        <f t="shared" ca="1" si="249"/>
        <v/>
      </c>
      <c r="DD207" t="str">
        <f t="shared" si="250"/>
        <v/>
      </c>
      <c r="DE207" s="129" t="str">
        <f t="shared" si="409"/>
        <v/>
      </c>
      <c r="DF207" s="161" t="str">
        <f t="shared" si="356"/>
        <v/>
      </c>
      <c r="DG207" s="161" t="str">
        <f t="shared" si="357"/>
        <v/>
      </c>
      <c r="DH207" s="161" t="str">
        <f t="shared" si="358"/>
        <v/>
      </c>
      <c r="DI207" s="161" t="str">
        <f t="shared" si="359"/>
        <v/>
      </c>
      <c r="DJ207" s="161" t="str">
        <f t="shared" si="360"/>
        <v/>
      </c>
      <c r="DK207" s="161" t="str">
        <f t="shared" si="361"/>
        <v/>
      </c>
      <c r="DL207" s="161" t="str">
        <f t="shared" si="362"/>
        <v/>
      </c>
      <c r="DM207" s="161" t="str">
        <f t="shared" si="363"/>
        <v/>
      </c>
      <c r="DN207" s="161" t="str">
        <f t="shared" si="386"/>
        <v/>
      </c>
      <c r="DO207" s="161" t="str">
        <f t="shared" ref="DO207:EJ207" si="410">IF($AZ207="", "", (BK207*$CW207)/$CZ207)</f>
        <v/>
      </c>
      <c r="DP207" s="161" t="str">
        <f t="shared" si="410"/>
        <v/>
      </c>
      <c r="DQ207" s="161" t="str">
        <f t="shared" si="410"/>
        <v/>
      </c>
      <c r="DR207" s="161" t="str">
        <f t="shared" si="410"/>
        <v/>
      </c>
      <c r="DS207" s="161" t="str">
        <f t="shared" si="410"/>
        <v/>
      </c>
      <c r="DT207" s="161" t="str">
        <f t="shared" si="410"/>
        <v/>
      </c>
      <c r="DU207" s="161" t="str">
        <f t="shared" si="410"/>
        <v/>
      </c>
      <c r="DV207" s="161" t="str">
        <f t="shared" si="410"/>
        <v/>
      </c>
      <c r="DW207" s="161" t="str">
        <f t="shared" si="410"/>
        <v/>
      </c>
      <c r="DX207" s="161" t="str">
        <f t="shared" si="410"/>
        <v/>
      </c>
      <c r="DY207" s="161" t="str">
        <f t="shared" si="410"/>
        <v/>
      </c>
      <c r="DZ207" s="161" t="str">
        <f t="shared" si="410"/>
        <v/>
      </c>
      <c r="EA207" s="161" t="str">
        <f t="shared" si="410"/>
        <v/>
      </c>
      <c r="EB207" s="161" t="str">
        <f t="shared" si="410"/>
        <v/>
      </c>
      <c r="EC207" s="161" t="str">
        <f t="shared" si="410"/>
        <v/>
      </c>
      <c r="ED207" s="161" t="str">
        <f t="shared" si="410"/>
        <v/>
      </c>
      <c r="EE207" s="161" t="str">
        <f t="shared" si="410"/>
        <v/>
      </c>
      <c r="EF207" s="161" t="str">
        <f t="shared" si="410"/>
        <v/>
      </c>
      <c r="EG207" s="161" t="str">
        <f t="shared" si="410"/>
        <v/>
      </c>
      <c r="EH207" s="161" t="str">
        <f t="shared" si="410"/>
        <v/>
      </c>
      <c r="EI207" s="161" t="str">
        <f t="shared" si="410"/>
        <v/>
      </c>
      <c r="EJ207" s="161" t="str">
        <f t="shared" si="410"/>
        <v/>
      </c>
      <c r="EK207" s="147" t="str">
        <f t="shared" si="322"/>
        <v/>
      </c>
      <c r="EL207" s="149"/>
      <c r="EN207" s="146"/>
      <c r="EO207" s="146"/>
      <c r="EP207" s="139" t="str">
        <f t="shared" si="323"/>
        <v/>
      </c>
      <c r="EQ207" s="139" t="str">
        <f t="shared" si="324"/>
        <v/>
      </c>
      <c r="ER207" s="139" t="str">
        <f t="shared" si="325"/>
        <v/>
      </c>
      <c r="ES207" s="139" t="str">
        <f t="shared" si="326"/>
        <v/>
      </c>
      <c r="ET207" s="139" t="str">
        <f t="shared" si="327"/>
        <v/>
      </c>
      <c r="EU207" s="139" t="str">
        <f t="shared" si="328"/>
        <v/>
      </c>
      <c r="EV207" s="139" t="str">
        <f t="shared" si="329"/>
        <v/>
      </c>
      <c r="EW207" s="139" t="str">
        <f t="shared" si="330"/>
        <v/>
      </c>
      <c r="EX207" s="139" t="str">
        <f t="shared" si="331"/>
        <v/>
      </c>
      <c r="EY207" s="139" t="str">
        <f t="shared" si="332"/>
        <v/>
      </c>
      <c r="EZ207" s="139" t="str">
        <f t="shared" si="333"/>
        <v/>
      </c>
      <c r="FA207" s="139" t="str">
        <f t="shared" si="334"/>
        <v/>
      </c>
      <c r="FB207" s="139" t="str">
        <f t="shared" si="335"/>
        <v/>
      </c>
      <c r="FC207" s="139" t="str">
        <f t="shared" si="336"/>
        <v/>
      </c>
      <c r="FD207" s="139" t="str">
        <f t="shared" si="337"/>
        <v/>
      </c>
      <c r="FE207" s="139" t="str">
        <f t="shared" si="338"/>
        <v/>
      </c>
      <c r="FF207" s="139" t="str">
        <f t="shared" si="339"/>
        <v/>
      </c>
      <c r="FG207" s="139" t="str">
        <f t="shared" si="340"/>
        <v/>
      </c>
      <c r="FH207" s="139" t="str">
        <f t="shared" si="341"/>
        <v/>
      </c>
      <c r="FI207" s="139" t="str">
        <f t="shared" si="342"/>
        <v/>
      </c>
      <c r="FJ207" s="139" t="str">
        <f t="shared" si="343"/>
        <v/>
      </c>
      <c r="FK207" s="139" t="str">
        <f t="shared" si="344"/>
        <v/>
      </c>
      <c r="FL207" s="139" t="str">
        <f t="shared" si="345"/>
        <v/>
      </c>
      <c r="FM207" s="139" t="str">
        <f t="shared" si="346"/>
        <v/>
      </c>
      <c r="FN207" s="139" t="str">
        <f t="shared" si="347"/>
        <v/>
      </c>
      <c r="FO207" s="139" t="str">
        <f t="shared" si="348"/>
        <v/>
      </c>
      <c r="FP207" s="139" t="str">
        <f t="shared" si="349"/>
        <v/>
      </c>
      <c r="FQ207" s="139" t="str">
        <f t="shared" si="350"/>
        <v/>
      </c>
      <c r="FR207" s="139" t="str">
        <f t="shared" si="351"/>
        <v/>
      </c>
      <c r="FS207" s="139" t="str">
        <f t="shared" si="352"/>
        <v/>
      </c>
      <c r="FT207" s="139" t="str">
        <f t="shared" si="353"/>
        <v/>
      </c>
      <c r="FU207" s="148" t="str">
        <f t="shared" si="354"/>
        <v/>
      </c>
      <c r="FV207" s="149"/>
      <c r="FY207" s="210">
        <v>202</v>
      </c>
      <c r="FZ207">
        <v>3.8133808109485576</v>
      </c>
      <c r="GA207">
        <v>23.715063520461129</v>
      </c>
      <c r="GB207">
        <v>16.189735528671243</v>
      </c>
      <c r="GC207">
        <v>5.7552649219395215</v>
      </c>
      <c r="GD207">
        <v>3.2719127380901418</v>
      </c>
      <c r="GE207">
        <v>6.9301899789020656</v>
      </c>
      <c r="GF207">
        <v>9.7511894453021046</v>
      </c>
      <c r="GG207">
        <v>3.724698675913118</v>
      </c>
      <c r="GH207">
        <v>2.2006739463117539</v>
      </c>
      <c r="GI207">
        <v>8.6495205920450591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205.75688517316493</v>
      </c>
      <c r="AO208">
        <v>19.317283672500757</v>
      </c>
      <c r="AP208">
        <v>137.43654252732065</v>
      </c>
      <c r="AQ208">
        <v>106.84375442691289</v>
      </c>
      <c r="AR208">
        <v>17.985391212589342</v>
      </c>
      <c r="AS208">
        <v>169.55097272842397</v>
      </c>
      <c r="AT208">
        <v>7.9166352063898762</v>
      </c>
      <c r="AU208">
        <v>-25.480303121438979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2.3678832459554888</v>
      </c>
      <c r="GA208">
        <v>15.851942542020772</v>
      </c>
      <c r="GB208">
        <v>21.560609975567157</v>
      </c>
      <c r="GC208">
        <v>9.2498682014709086</v>
      </c>
      <c r="GD208">
        <v>2.5000916401783138</v>
      </c>
      <c r="GE208">
        <v>4.8535342005632511</v>
      </c>
      <c r="GF208">
        <v>4.3053014803570564</v>
      </c>
      <c r="GG208">
        <v>1.5160760776420703</v>
      </c>
      <c r="GH208">
        <v>2.0652637984292568</v>
      </c>
      <c r="GI208">
        <v>8.3085768679852876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208.41388192595932</v>
      </c>
      <c r="AO209">
        <v>13.326135767983178</v>
      </c>
      <c r="AP209">
        <v>101.71741517025131</v>
      </c>
      <c r="AQ209">
        <v>82.566173090216751</v>
      </c>
      <c r="AR209">
        <v>12.173052634558278</v>
      </c>
      <c r="AS209">
        <v>132.32072818949536</v>
      </c>
      <c r="AT209">
        <v>5.6180594432456887</v>
      </c>
      <c r="AU209">
        <v>-22.600385659323113</v>
      </c>
      <c r="AV209"/>
      <c r="AW209"/>
      <c r="FY209" s="210">
        <v>204</v>
      </c>
      <c r="FZ209">
        <v>7.1429217771425968</v>
      </c>
      <c r="GA209">
        <v>28.502394647304989</v>
      </c>
      <c r="GB209">
        <v>17.128478656934909</v>
      </c>
      <c r="GC209">
        <v>6.9362291318744376</v>
      </c>
      <c r="GD209">
        <v>5.2211647357391167</v>
      </c>
      <c r="GE209">
        <v>8.2581951927902573</v>
      </c>
      <c r="GF209">
        <v>6.868055146385136</v>
      </c>
      <c r="GG209">
        <v>4.1717421485045971</v>
      </c>
      <c r="GH209">
        <v>4.0120601238940088</v>
      </c>
      <c r="GI209">
        <v>10.249385127772987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213.2333584763052</v>
      </c>
      <c r="AO210">
        <v>15.564110885725947</v>
      </c>
      <c r="AP210">
        <v>114.15167197655263</v>
      </c>
      <c r="AQ210">
        <v>93.144316375108943</v>
      </c>
      <c r="AR210">
        <v>14.45619290018557</v>
      </c>
      <c r="AS210">
        <v>162.92344994083541</v>
      </c>
      <c r="AT210">
        <v>7.6165472169802451</v>
      </c>
      <c r="AU210">
        <v>-54.141934620464411</v>
      </c>
      <c r="AV210"/>
      <c r="AW210"/>
      <c r="FY210" s="210">
        <v>205</v>
      </c>
      <c r="FZ210">
        <v>3.9781189610510825</v>
      </c>
      <c r="GA210">
        <v>29.895652548754292</v>
      </c>
      <c r="GB210">
        <v>19.832388367852687</v>
      </c>
      <c r="GC210">
        <v>6.4796676839249319</v>
      </c>
      <c r="GD210">
        <v>4.665924864401287</v>
      </c>
      <c r="GE210">
        <v>5.4541093222265467</v>
      </c>
      <c r="GF210">
        <v>2.5435815647550508</v>
      </c>
      <c r="GG210">
        <v>3.4883859262506536</v>
      </c>
      <c r="GH210">
        <v>2.904440418277825</v>
      </c>
      <c r="GI210">
        <v>9.1671228392160842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173.16446663549203</v>
      </c>
      <c r="AO211">
        <v>13.83646970189238</v>
      </c>
      <c r="AP211">
        <v>107.20479731322925</v>
      </c>
      <c r="AQ211">
        <v>82.734257977483807</v>
      </c>
      <c r="AR211">
        <v>12.905137498225674</v>
      </c>
      <c r="AS211">
        <v>127.61907543860194</v>
      </c>
      <c r="AT211">
        <v>7.6833864960826128</v>
      </c>
      <c r="AU211">
        <v>-0.17259487032052978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0.99458766465411586</v>
      </c>
      <c r="GA211">
        <v>27.753106611855792</v>
      </c>
      <c r="GB211">
        <v>34.75192588162507</v>
      </c>
      <c r="GC211">
        <v>15.140918372594106</v>
      </c>
      <c r="GD211">
        <v>4.7131646738434272</v>
      </c>
      <c r="GE211">
        <v>6.6467096821075566</v>
      </c>
      <c r="GF211">
        <v>4.7456744889465305</v>
      </c>
      <c r="GG211">
        <v>2.6066961846629466</v>
      </c>
      <c r="GH211">
        <v>4.9697042167070826</v>
      </c>
      <c r="GI211">
        <v>13.258548665581012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246.44751048459779</v>
      </c>
      <c r="AO212">
        <v>18.080765277250997</v>
      </c>
      <c r="AP212">
        <v>148.45313233228546</v>
      </c>
      <c r="AQ212">
        <v>116.96270267430954</v>
      </c>
      <c r="AR212">
        <v>16.565866438063701</v>
      </c>
      <c r="AS212">
        <v>173.9518765224573</v>
      </c>
      <c r="AT212">
        <v>7.8258131195223477</v>
      </c>
      <c r="AU212">
        <v>-12.849274331927965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411">AVERAGE(DF88:DF97)</f>
        <v>0</v>
      </c>
      <c r="DG212" s="182">
        <f t="shared" si="411"/>
        <v>0</v>
      </c>
      <c r="DH212" s="182">
        <f t="shared" si="411"/>
        <v>12.499999999999998</v>
      </c>
      <c r="DI212" s="182">
        <f t="shared" si="411"/>
        <v>14.583333333333334</v>
      </c>
      <c r="DJ212" s="182">
        <f t="shared" si="411"/>
        <v>0</v>
      </c>
      <c r="DK212" s="182">
        <f t="shared" ref="DK212:DQ212" si="412">AVERAGE(DK88:DK97)</f>
        <v>0</v>
      </c>
      <c r="DL212" s="182">
        <f t="shared" si="412"/>
        <v>0</v>
      </c>
      <c r="DM212" s="182">
        <f t="shared" si="412"/>
        <v>0</v>
      </c>
      <c r="DN212" s="182">
        <f t="shared" si="412"/>
        <v>0</v>
      </c>
      <c r="DO212" s="182">
        <f t="shared" si="412"/>
        <v>0</v>
      </c>
      <c r="DP212" s="182">
        <f t="shared" si="412"/>
        <v>0</v>
      </c>
      <c r="DQ212" s="182">
        <f t="shared" si="412"/>
        <v>0</v>
      </c>
      <c r="DR212" s="182">
        <f t="shared" si="411"/>
        <v>0</v>
      </c>
      <c r="DS212" s="182">
        <f t="shared" si="411"/>
        <v>0</v>
      </c>
      <c r="DT212" s="182">
        <f t="shared" si="411"/>
        <v>0</v>
      </c>
      <c r="DU212" s="182">
        <f t="shared" si="411"/>
        <v>0</v>
      </c>
      <c r="DV212" s="182">
        <f t="shared" si="411"/>
        <v>0</v>
      </c>
      <c r="DW212" s="182">
        <f t="shared" si="411"/>
        <v>0</v>
      </c>
      <c r="DX212" s="182">
        <f t="shared" si="411"/>
        <v>0</v>
      </c>
      <c r="DY212" s="182">
        <f t="shared" si="411"/>
        <v>0</v>
      </c>
      <c r="DZ212" s="182">
        <f t="shared" si="411"/>
        <v>0</v>
      </c>
      <c r="EA212" s="182">
        <f t="shared" si="411"/>
        <v>0</v>
      </c>
      <c r="EB212" s="182">
        <f t="shared" si="411"/>
        <v>0</v>
      </c>
      <c r="EC212" s="182">
        <f t="shared" si="411"/>
        <v>0</v>
      </c>
      <c r="ED212" s="182">
        <f t="shared" si="411"/>
        <v>0</v>
      </c>
      <c r="EE212" s="182">
        <f t="shared" si="411"/>
        <v>0</v>
      </c>
      <c r="EF212" s="182">
        <f t="shared" si="411"/>
        <v>0</v>
      </c>
      <c r="EG212" s="182">
        <f t="shared" si="411"/>
        <v>0</v>
      </c>
      <c r="EH212" s="182">
        <f t="shared" si="411"/>
        <v>0</v>
      </c>
      <c r="EI212" s="182">
        <f t="shared" si="411"/>
        <v>0</v>
      </c>
      <c r="EJ212" s="182">
        <f t="shared" si="411"/>
        <v>0</v>
      </c>
      <c r="FY212" s="210">
        <v>207</v>
      </c>
      <c r="FZ212">
        <v>4.5060266948023742</v>
      </c>
      <c r="GA212">
        <v>24.704741477020978</v>
      </c>
      <c r="GB212">
        <v>21.525289521088151</v>
      </c>
      <c r="GC212">
        <v>7.973325610565368</v>
      </c>
      <c r="GD212">
        <v>3.6576027947449568</v>
      </c>
      <c r="GE212">
        <v>5.5970683017275675</v>
      </c>
      <c r="GF212">
        <v>4.5907397872171245</v>
      </c>
      <c r="GG212">
        <v>5.0062623613885693</v>
      </c>
      <c r="GH212">
        <v>3.9403851630144526</v>
      </c>
      <c r="GI212">
        <v>9.6349186351667875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238.75226506861469</v>
      </c>
      <c r="AO213">
        <v>19.887020008846008</v>
      </c>
      <c r="AP213">
        <v>147.58455224562545</v>
      </c>
      <c r="AQ213">
        <v>117.34366542727129</v>
      </c>
      <c r="AR213">
        <v>18.688564398309982</v>
      </c>
      <c r="AS213">
        <v>183.77109454136038</v>
      </c>
      <c r="AT213">
        <v>9.6264829415853281</v>
      </c>
      <c r="AU213">
        <v>104.8345336063192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413">AVERAGE(DF98:DF107)</f>
        <v>0</v>
      </c>
      <c r="DG213" s="185">
        <f t="shared" si="413"/>
        <v>0</v>
      </c>
      <c r="DH213" s="185">
        <f t="shared" si="413"/>
        <v>7.395833333333333</v>
      </c>
      <c r="DI213" s="185">
        <f t="shared" si="413"/>
        <v>30.803571428571434</v>
      </c>
      <c r="DJ213" s="185">
        <f t="shared" si="413"/>
        <v>19.047619047619047</v>
      </c>
      <c r="DK213" s="185">
        <f t="shared" ref="DK213:DQ213" si="414">AVERAGE(DK98:DK107)</f>
        <v>0</v>
      </c>
      <c r="DL213" s="185">
        <f t="shared" si="414"/>
        <v>0</v>
      </c>
      <c r="DM213" s="185">
        <f t="shared" si="414"/>
        <v>0</v>
      </c>
      <c r="DN213" s="185">
        <f t="shared" si="414"/>
        <v>0</v>
      </c>
      <c r="DO213" s="185">
        <f t="shared" si="414"/>
        <v>0</v>
      </c>
      <c r="DP213" s="185">
        <f t="shared" si="414"/>
        <v>0</v>
      </c>
      <c r="DQ213" s="185">
        <f t="shared" si="414"/>
        <v>0</v>
      </c>
      <c r="DR213" s="185">
        <f t="shared" si="413"/>
        <v>0</v>
      </c>
      <c r="DS213" s="185">
        <f t="shared" si="413"/>
        <v>0</v>
      </c>
      <c r="DT213" s="185">
        <f t="shared" si="413"/>
        <v>0</v>
      </c>
      <c r="DU213" s="185">
        <f t="shared" si="413"/>
        <v>0</v>
      </c>
      <c r="DV213" s="185">
        <f t="shared" si="413"/>
        <v>0</v>
      </c>
      <c r="DW213" s="185">
        <f t="shared" si="413"/>
        <v>0</v>
      </c>
      <c r="DX213" s="185">
        <f t="shared" si="413"/>
        <v>0</v>
      </c>
      <c r="DY213" s="185">
        <f t="shared" si="413"/>
        <v>0</v>
      </c>
      <c r="DZ213" s="185">
        <f t="shared" si="413"/>
        <v>0</v>
      </c>
      <c r="EA213" s="185">
        <f t="shared" si="413"/>
        <v>0</v>
      </c>
      <c r="EB213" s="185">
        <f t="shared" si="413"/>
        <v>0</v>
      </c>
      <c r="EC213" s="185">
        <f t="shared" si="413"/>
        <v>0</v>
      </c>
      <c r="ED213" s="185">
        <f t="shared" si="413"/>
        <v>0</v>
      </c>
      <c r="EE213" s="185">
        <f t="shared" si="413"/>
        <v>0</v>
      </c>
      <c r="EF213" s="185">
        <f t="shared" si="413"/>
        <v>0</v>
      </c>
      <c r="EG213" s="185">
        <f t="shared" si="413"/>
        <v>0</v>
      </c>
      <c r="EH213" s="185">
        <f t="shared" si="413"/>
        <v>0</v>
      </c>
      <c r="EI213" s="185">
        <f t="shared" si="413"/>
        <v>0</v>
      </c>
      <c r="EJ213" s="185">
        <f t="shared" si="413"/>
        <v>0</v>
      </c>
      <c r="FY213" s="210">
        <v>208</v>
      </c>
      <c r="FZ213">
        <v>6.5907760990917428</v>
      </c>
      <c r="GA213">
        <v>43.43364779312131</v>
      </c>
      <c r="GB213">
        <v>32.347117908514832</v>
      </c>
      <c r="GC213">
        <v>11.250229290316504</v>
      </c>
      <c r="GD213">
        <v>4.3695160491732219</v>
      </c>
      <c r="GE213">
        <v>5.3029604650882822</v>
      </c>
      <c r="GF213">
        <v>4.3053014803570564</v>
      </c>
      <c r="GG213">
        <v>1.5160760776420703</v>
      </c>
      <c r="GH213">
        <v>1.7434025095326939</v>
      </c>
      <c r="GI213">
        <v>12.717775301258484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278.25425225919531</v>
      </c>
      <c r="AO214">
        <v>17.380381148779882</v>
      </c>
      <c r="AP214">
        <v>131.07224821042246</v>
      </c>
      <c r="AQ214">
        <v>106.95627038134737</v>
      </c>
      <c r="AR214">
        <v>15.64090941504136</v>
      </c>
      <c r="AS214">
        <v>169.63356895561191</v>
      </c>
      <c r="AT214">
        <v>7.2939443858630488</v>
      </c>
      <c r="AU214">
        <v>-6.5776992947820956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415">AVERAGE(DF108:DF117)</f>
        <v>0</v>
      </c>
      <c r="DG214" s="182">
        <f t="shared" si="415"/>
        <v>17.857142857142854</v>
      </c>
      <c r="DH214" s="182">
        <f t="shared" si="415"/>
        <v>116.36904761904762</v>
      </c>
      <c r="DI214" s="182">
        <f t="shared" si="415"/>
        <v>23.177083333333336</v>
      </c>
      <c r="DJ214" s="182">
        <f t="shared" si="415"/>
        <v>21.874999999999996</v>
      </c>
      <c r="DK214" s="182">
        <f t="shared" si="415"/>
        <v>38.541666666666664</v>
      </c>
      <c r="DL214" s="182">
        <f t="shared" si="415"/>
        <v>14.583333333333332</v>
      </c>
      <c r="DM214" s="182">
        <f t="shared" si="415"/>
        <v>3.125</v>
      </c>
      <c r="DN214" s="182">
        <f t="shared" si="415"/>
        <v>0</v>
      </c>
      <c r="DO214" s="182">
        <f t="shared" si="415"/>
        <v>0</v>
      </c>
      <c r="DP214" s="182">
        <f t="shared" si="415"/>
        <v>0</v>
      </c>
      <c r="DQ214" s="182">
        <f t="shared" si="415"/>
        <v>0</v>
      </c>
      <c r="DR214" s="182">
        <f t="shared" si="415"/>
        <v>0</v>
      </c>
      <c r="DS214" s="182">
        <f t="shared" si="415"/>
        <v>0</v>
      </c>
      <c r="DT214" s="182">
        <f t="shared" si="415"/>
        <v>0</v>
      </c>
      <c r="DU214" s="182">
        <f t="shared" si="415"/>
        <v>0</v>
      </c>
      <c r="DV214" s="182">
        <f t="shared" si="415"/>
        <v>0</v>
      </c>
      <c r="DW214" s="182">
        <f t="shared" si="415"/>
        <v>0</v>
      </c>
      <c r="DX214" s="182">
        <f t="shared" si="415"/>
        <v>0</v>
      </c>
      <c r="DY214" s="182">
        <f t="shared" si="415"/>
        <v>0</v>
      </c>
      <c r="DZ214" s="182">
        <f t="shared" si="415"/>
        <v>0</v>
      </c>
      <c r="EA214" s="182">
        <f t="shared" si="415"/>
        <v>0</v>
      </c>
      <c r="EB214" s="182">
        <f t="shared" si="415"/>
        <v>0</v>
      </c>
      <c r="EC214" s="182">
        <f t="shared" si="415"/>
        <v>0</v>
      </c>
      <c r="ED214" s="182">
        <f t="shared" si="415"/>
        <v>0</v>
      </c>
      <c r="EE214" s="182">
        <f t="shared" si="415"/>
        <v>0</v>
      </c>
      <c r="EF214" s="182">
        <f t="shared" si="415"/>
        <v>0</v>
      </c>
      <c r="EG214" s="182">
        <f t="shared" si="415"/>
        <v>0</v>
      </c>
      <c r="EH214" s="182">
        <f t="shared" si="415"/>
        <v>0</v>
      </c>
      <c r="EI214" s="182">
        <f t="shared" si="415"/>
        <v>0</v>
      </c>
      <c r="EJ214" s="182">
        <f t="shared" si="415"/>
        <v>0</v>
      </c>
      <c r="FY214" s="210">
        <v>209</v>
      </c>
      <c r="FZ214">
        <v>1.9929725315612661</v>
      </c>
      <c r="GA214">
        <v>18.610635555698252</v>
      </c>
      <c r="GB214">
        <v>18.118777691584192</v>
      </c>
      <c r="GC214">
        <v>8.4017547809688597</v>
      </c>
      <c r="GD214">
        <v>4.5351618733154071</v>
      </c>
      <c r="GE214">
        <v>8.0676481127096196</v>
      </c>
      <c r="GF214">
        <v>7.1057128136942822</v>
      </c>
      <c r="GG214">
        <v>2.8773874496624217</v>
      </c>
      <c r="GH214">
        <v>3.4296955231064463</v>
      </c>
      <c r="GI214">
        <v>9.3145643424305593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171.70788096029139</v>
      </c>
      <c r="AO215">
        <v>10.327697116813564</v>
      </c>
      <c r="AP215">
        <v>84.517625466574245</v>
      </c>
      <c r="AQ215">
        <v>69.226821341329781</v>
      </c>
      <c r="AR215">
        <v>9.5781607667067998</v>
      </c>
      <c r="AS215">
        <v>107.85330878963919</v>
      </c>
      <c r="AT215">
        <v>4.9829145349459951</v>
      </c>
      <c r="AU215">
        <v>-15.789379281038281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416">AVERAGE(DF118:DF127)</f>
        <v>0</v>
      </c>
      <c r="DG215" s="182">
        <f t="shared" ref="DG215:DH215" si="417">AVERAGE(DG118:DG127)</f>
        <v>88.189468577399609</v>
      </c>
      <c r="DH215" s="182">
        <f t="shared" si="417"/>
        <v>178.7193888486992</v>
      </c>
      <c r="DI215" s="182">
        <f t="shared" si="416"/>
        <v>26.45067288741069</v>
      </c>
      <c r="DJ215" s="182">
        <f t="shared" si="416"/>
        <v>19.530122655122653</v>
      </c>
      <c r="DK215" s="182">
        <f t="shared" si="416"/>
        <v>14.858185513673316</v>
      </c>
      <c r="DL215" s="182">
        <f t="shared" si="416"/>
        <v>26.799242424242429</v>
      </c>
      <c r="DM215" s="182">
        <f t="shared" si="416"/>
        <v>8.5227272727272716</v>
      </c>
      <c r="DN215" s="182">
        <f t="shared" si="416"/>
        <v>0</v>
      </c>
      <c r="DO215" s="182">
        <f t="shared" si="416"/>
        <v>0</v>
      </c>
      <c r="DP215" s="182">
        <f t="shared" si="416"/>
        <v>0</v>
      </c>
      <c r="DQ215" s="182">
        <f t="shared" si="416"/>
        <v>0</v>
      </c>
      <c r="DR215" s="182">
        <f t="shared" si="416"/>
        <v>0</v>
      </c>
      <c r="DS215" s="182">
        <f t="shared" si="416"/>
        <v>0</v>
      </c>
      <c r="DT215" s="182">
        <f t="shared" si="416"/>
        <v>0</v>
      </c>
      <c r="DU215" s="182">
        <f t="shared" si="416"/>
        <v>0</v>
      </c>
      <c r="DV215" s="182">
        <f t="shared" si="416"/>
        <v>0</v>
      </c>
      <c r="DW215" s="182">
        <f t="shared" si="416"/>
        <v>0</v>
      </c>
      <c r="DX215" s="182">
        <f t="shared" si="416"/>
        <v>0</v>
      </c>
      <c r="DY215" s="182">
        <f t="shared" si="416"/>
        <v>0</v>
      </c>
      <c r="DZ215" s="182">
        <f t="shared" si="416"/>
        <v>0</v>
      </c>
      <c r="EA215" s="182">
        <f t="shared" si="416"/>
        <v>0</v>
      </c>
      <c r="EB215" s="182">
        <f t="shared" si="416"/>
        <v>0</v>
      </c>
      <c r="EC215" s="182">
        <f t="shared" si="416"/>
        <v>0</v>
      </c>
      <c r="ED215" s="182">
        <f t="shared" si="416"/>
        <v>0</v>
      </c>
      <c r="EE215" s="182">
        <f t="shared" si="416"/>
        <v>0</v>
      </c>
      <c r="EF215" s="182">
        <f t="shared" si="416"/>
        <v>0</v>
      </c>
      <c r="EG215" s="182">
        <f t="shared" si="416"/>
        <v>0</v>
      </c>
      <c r="EH215" s="182">
        <f t="shared" si="416"/>
        <v>0</v>
      </c>
      <c r="EI215" s="182">
        <f t="shared" si="416"/>
        <v>0</v>
      </c>
      <c r="EJ215" s="182">
        <f t="shared" si="416"/>
        <v>0</v>
      </c>
      <c r="FY215" s="210">
        <v>210</v>
      </c>
      <c r="FZ215">
        <v>0.76181443879197519</v>
      </c>
      <c r="GA215">
        <v>22.130698877175661</v>
      </c>
      <c r="GB215">
        <v>17.276963297663304</v>
      </c>
      <c r="GC215">
        <v>6.3700849767908148</v>
      </c>
      <c r="GD215">
        <v>3.1368455664325356</v>
      </c>
      <c r="GE215">
        <v>3.0316921784634521</v>
      </c>
      <c r="GF215">
        <v>3.813760158494758</v>
      </c>
      <c r="GG215">
        <v>4.1681414335129077</v>
      </c>
      <c r="GH215">
        <v>4.5227497638020155</v>
      </c>
      <c r="GI215">
        <v>7.6281549302103677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209.63647081958521</v>
      </c>
      <c r="AO216">
        <v>15.061095812007803</v>
      </c>
      <c r="AP216">
        <v>112.5892638593031</v>
      </c>
      <c r="AQ216">
        <v>87.532289095763062</v>
      </c>
      <c r="AR216">
        <v>14.011370270570779</v>
      </c>
      <c r="AS216">
        <v>141.03740930149792</v>
      </c>
      <c r="AT216">
        <v>7.3598924839582365</v>
      </c>
      <c r="AU216">
        <v>-101.87592295679605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418">AVERAGE(DF128:DF137)</f>
        <v>0</v>
      </c>
      <c r="DG216" s="182">
        <f t="shared" ref="DG216:DH216" si="419">AVERAGE(DG128:DG137)</f>
        <v>35.275735294117645</v>
      </c>
      <c r="DH216" s="182">
        <f t="shared" si="419"/>
        <v>389.45319794584509</v>
      </c>
      <c r="DI216" s="182">
        <f t="shared" si="418"/>
        <v>22.827584316554905</v>
      </c>
      <c r="DJ216" s="182">
        <f t="shared" si="418"/>
        <v>8.360852110852111</v>
      </c>
      <c r="DK216" s="182">
        <f t="shared" si="418"/>
        <v>3.503787878787878</v>
      </c>
      <c r="DL216" s="182">
        <f t="shared" si="418"/>
        <v>3.8825757575757569</v>
      </c>
      <c r="DM216" s="182">
        <f t="shared" si="418"/>
        <v>0</v>
      </c>
      <c r="DN216" s="182">
        <f t="shared" si="418"/>
        <v>0</v>
      </c>
      <c r="DO216" s="182">
        <f t="shared" si="418"/>
        <v>0</v>
      </c>
      <c r="DP216" s="182">
        <f t="shared" si="418"/>
        <v>0</v>
      </c>
      <c r="DQ216" s="182">
        <f t="shared" si="418"/>
        <v>0</v>
      </c>
      <c r="DR216" s="182">
        <f t="shared" si="418"/>
        <v>0</v>
      </c>
      <c r="DS216" s="182">
        <f t="shared" si="418"/>
        <v>0</v>
      </c>
      <c r="DT216" s="182">
        <f t="shared" si="418"/>
        <v>0</v>
      </c>
      <c r="DU216" s="182">
        <f t="shared" si="418"/>
        <v>0</v>
      </c>
      <c r="DV216" s="182">
        <f t="shared" si="418"/>
        <v>0</v>
      </c>
      <c r="DW216" s="182">
        <f t="shared" si="418"/>
        <v>0</v>
      </c>
      <c r="DX216" s="182">
        <f t="shared" si="418"/>
        <v>0</v>
      </c>
      <c r="DY216" s="182">
        <f t="shared" si="418"/>
        <v>0</v>
      </c>
      <c r="DZ216" s="182">
        <f t="shared" si="418"/>
        <v>0</v>
      </c>
      <c r="EA216" s="182">
        <f t="shared" si="418"/>
        <v>0</v>
      </c>
      <c r="EB216" s="182">
        <f t="shared" si="418"/>
        <v>0</v>
      </c>
      <c r="EC216" s="182">
        <f t="shared" si="418"/>
        <v>0</v>
      </c>
      <c r="ED216" s="182">
        <f t="shared" si="418"/>
        <v>0</v>
      </c>
      <c r="EE216" s="182">
        <f t="shared" si="418"/>
        <v>0</v>
      </c>
      <c r="EF216" s="182">
        <f t="shared" si="418"/>
        <v>0</v>
      </c>
      <c r="EG216" s="182">
        <f t="shared" si="418"/>
        <v>0</v>
      </c>
      <c r="EH216" s="182">
        <f t="shared" si="418"/>
        <v>0</v>
      </c>
      <c r="EI216" s="182">
        <f t="shared" si="418"/>
        <v>0</v>
      </c>
      <c r="EJ216" s="182">
        <f t="shared" si="418"/>
        <v>0</v>
      </c>
      <c r="FY216" s="210">
        <v>211</v>
      </c>
      <c r="FZ216">
        <v>1.7752118705345254</v>
      </c>
      <c r="GA216">
        <v>26.09931214147522</v>
      </c>
      <c r="GB216">
        <v>18.173598974314345</v>
      </c>
      <c r="GC216">
        <v>4.583418945454043</v>
      </c>
      <c r="GD216">
        <v>2.6240609633907757</v>
      </c>
      <c r="GE216">
        <v>4.7286471396431944</v>
      </c>
      <c r="GF216">
        <v>5.035361583504943</v>
      </c>
      <c r="GG216">
        <v>4.2654135802360393</v>
      </c>
      <c r="GH216">
        <v>3.2329273982183868</v>
      </c>
      <c r="GI216">
        <v>7.7651869245994698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177.67481568985821</v>
      </c>
      <c r="AO217">
        <v>12.400291599151116</v>
      </c>
      <c r="AP217">
        <v>101.04942304196223</v>
      </c>
      <c r="AQ217">
        <v>79.10190414612785</v>
      </c>
      <c r="AR217">
        <v>11.412459413144312</v>
      </c>
      <c r="AS217">
        <v>117.12688010393965</v>
      </c>
      <c r="AT217">
        <v>5.5721503728949919</v>
      </c>
      <c r="AU217">
        <v>-11.137991634606333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420">AVERAGE(DF138:DF147)</f>
        <v>30.286319073083781</v>
      </c>
      <c r="DG217" s="182">
        <f t="shared" ref="DG217:DH217" si="421">AVERAGE(DG138:DG147)</f>
        <v>106.88674071027012</v>
      </c>
      <c r="DH217" s="182">
        <f t="shared" si="421"/>
        <v>209.47731802511217</v>
      </c>
      <c r="DI217" s="182">
        <f t="shared" si="420"/>
        <v>3.125</v>
      </c>
      <c r="DJ217" s="182">
        <f t="shared" si="420"/>
        <v>8.3333333333333321</v>
      </c>
      <c r="DK217" s="182">
        <f t="shared" si="420"/>
        <v>1.0416666666666665</v>
      </c>
      <c r="DL217" s="182">
        <f t="shared" si="420"/>
        <v>4.8295454545454541</v>
      </c>
      <c r="DM217" s="182">
        <f t="shared" si="420"/>
        <v>1.0416666666666665</v>
      </c>
      <c r="DN217" s="182">
        <f t="shared" si="420"/>
        <v>0</v>
      </c>
      <c r="DO217" s="182">
        <f t="shared" si="420"/>
        <v>0</v>
      </c>
      <c r="DP217" s="182">
        <f t="shared" si="420"/>
        <v>0</v>
      </c>
      <c r="DQ217" s="182">
        <f t="shared" si="420"/>
        <v>0</v>
      </c>
      <c r="DR217" s="182">
        <f t="shared" si="420"/>
        <v>0</v>
      </c>
      <c r="DS217" s="182">
        <f t="shared" si="420"/>
        <v>0</v>
      </c>
      <c r="DT217" s="182">
        <f t="shared" si="420"/>
        <v>0</v>
      </c>
      <c r="DU217" s="182">
        <f t="shared" si="420"/>
        <v>0</v>
      </c>
      <c r="DV217" s="182">
        <f t="shared" si="420"/>
        <v>0</v>
      </c>
      <c r="DW217" s="182">
        <f t="shared" si="420"/>
        <v>0</v>
      </c>
      <c r="DX217" s="182">
        <f t="shared" si="420"/>
        <v>0</v>
      </c>
      <c r="DY217" s="182">
        <f t="shared" si="420"/>
        <v>0</v>
      </c>
      <c r="DZ217" s="182">
        <f t="shared" si="420"/>
        <v>0</v>
      </c>
      <c r="EA217" s="182">
        <f t="shared" si="420"/>
        <v>0</v>
      </c>
      <c r="EB217" s="182">
        <f t="shared" si="420"/>
        <v>0</v>
      </c>
      <c r="EC217" s="182">
        <f t="shared" si="420"/>
        <v>0</v>
      </c>
      <c r="ED217" s="182">
        <f t="shared" si="420"/>
        <v>0</v>
      </c>
      <c r="EE217" s="182">
        <f t="shared" si="420"/>
        <v>0</v>
      </c>
      <c r="EF217" s="182">
        <f t="shared" si="420"/>
        <v>0</v>
      </c>
      <c r="EG217" s="182">
        <f t="shared" si="420"/>
        <v>0</v>
      </c>
      <c r="EH217" s="182">
        <f t="shared" si="420"/>
        <v>0</v>
      </c>
      <c r="EI217" s="182">
        <f t="shared" si="420"/>
        <v>0</v>
      </c>
      <c r="EJ217" s="182">
        <f t="shared" si="420"/>
        <v>0</v>
      </c>
      <c r="FY217" s="210">
        <v>212</v>
      </c>
      <c r="FZ217">
        <v>9.2699506395036941</v>
      </c>
      <c r="GA217">
        <v>37.014125222161567</v>
      </c>
      <c r="GB217">
        <v>30.506920365258555</v>
      </c>
      <c r="GC217">
        <v>12.873788560691953</v>
      </c>
      <c r="GD217">
        <v>4.5428612588523274</v>
      </c>
      <c r="GE217">
        <v>5.626906092859528</v>
      </c>
      <c r="GF217">
        <v>4.9494646226520711</v>
      </c>
      <c r="GG217">
        <v>2.9384807235526984</v>
      </c>
      <c r="GH217">
        <v>3.6835731439534483</v>
      </c>
      <c r="GI217">
        <v>13.139324211005711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195.34028558421494</v>
      </c>
      <c r="AO218">
        <v>12.870585388162297</v>
      </c>
      <c r="AP218">
        <v>105.54214332333774</v>
      </c>
      <c r="AQ218">
        <v>84.001630158584703</v>
      </c>
      <c r="AR218">
        <v>11.773705785328769</v>
      </c>
      <c r="AS218">
        <v>121.72867248693458</v>
      </c>
      <c r="AT218">
        <v>6.6670806622088259</v>
      </c>
      <c r="AU218">
        <v>-24.851754176678114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422">AVERAGE(DF148:DF157)</f>
        <v>0</v>
      </c>
      <c r="DG218" s="182">
        <f t="shared" ref="DG218:DH218" si="423">AVERAGE(DG148:DG157)</f>
        <v>130.20833333333331</v>
      </c>
      <c r="DH218" s="182">
        <f t="shared" si="423"/>
        <v>56.966145833333329</v>
      </c>
      <c r="DI218" s="182">
        <f t="shared" si="422"/>
        <v>0</v>
      </c>
      <c r="DJ218" s="182">
        <f t="shared" si="422"/>
        <v>0</v>
      </c>
      <c r="DK218" s="182">
        <f t="shared" si="422"/>
        <v>1.3020833333333333</v>
      </c>
      <c r="DL218" s="182">
        <f t="shared" si="422"/>
        <v>3.90625</v>
      </c>
      <c r="DM218" s="182">
        <f t="shared" si="422"/>
        <v>4.3402777777777777</v>
      </c>
      <c r="DN218" s="182">
        <f t="shared" si="422"/>
        <v>0</v>
      </c>
      <c r="DO218" s="182">
        <f t="shared" si="422"/>
        <v>0</v>
      </c>
      <c r="DP218" s="182">
        <f t="shared" si="422"/>
        <v>0</v>
      </c>
      <c r="DQ218" s="182">
        <f t="shared" si="422"/>
        <v>0</v>
      </c>
      <c r="DR218" s="182">
        <f t="shared" si="422"/>
        <v>0</v>
      </c>
      <c r="DS218" s="182">
        <f t="shared" si="422"/>
        <v>0</v>
      </c>
      <c r="DT218" s="182">
        <f t="shared" si="422"/>
        <v>0</v>
      </c>
      <c r="DU218" s="182">
        <f t="shared" si="422"/>
        <v>0</v>
      </c>
      <c r="DV218" s="182">
        <f t="shared" si="422"/>
        <v>0</v>
      </c>
      <c r="DW218" s="182">
        <f t="shared" si="422"/>
        <v>0</v>
      </c>
      <c r="DX218" s="182">
        <f t="shared" si="422"/>
        <v>0</v>
      </c>
      <c r="DY218" s="182">
        <f t="shared" si="422"/>
        <v>0</v>
      </c>
      <c r="DZ218" s="182">
        <f t="shared" si="422"/>
        <v>0</v>
      </c>
      <c r="EA218" s="182">
        <f t="shared" si="422"/>
        <v>0</v>
      </c>
      <c r="EB218" s="182">
        <f t="shared" si="422"/>
        <v>0</v>
      </c>
      <c r="EC218" s="182">
        <f t="shared" si="422"/>
        <v>0</v>
      </c>
      <c r="ED218" s="182">
        <f t="shared" si="422"/>
        <v>0</v>
      </c>
      <c r="EE218" s="182">
        <f t="shared" si="422"/>
        <v>0</v>
      </c>
      <c r="EF218" s="182">
        <f t="shared" si="422"/>
        <v>0</v>
      </c>
      <c r="EG218" s="182">
        <f t="shared" si="422"/>
        <v>0</v>
      </c>
      <c r="EH218" s="182">
        <f t="shared" si="422"/>
        <v>0</v>
      </c>
      <c r="EI218" s="182">
        <f t="shared" si="422"/>
        <v>0</v>
      </c>
      <c r="EJ218" s="182">
        <f t="shared" si="422"/>
        <v>0</v>
      </c>
      <c r="FY218" s="210">
        <v>213</v>
      </c>
      <c r="FZ218">
        <v>1.3735443291911482</v>
      </c>
      <c r="GA218">
        <v>9.219054157432069</v>
      </c>
      <c r="GB218">
        <v>19.524158562124203</v>
      </c>
      <c r="GC218">
        <v>10.778720860154486</v>
      </c>
      <c r="GD218">
        <v>3.8167694333456126</v>
      </c>
      <c r="GE218">
        <v>6.2177819263753404</v>
      </c>
      <c r="GF218">
        <v>4.8315714497994025</v>
      </c>
      <c r="GG218">
        <v>2.1958315849043233</v>
      </c>
      <c r="GH218">
        <v>3.3617118550568845</v>
      </c>
      <c r="GI218">
        <v>8.7583811059565324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156.37222141635087</v>
      </c>
      <c r="AO219">
        <v>12.325588554963115</v>
      </c>
      <c r="AP219">
        <v>93.805475002588125</v>
      </c>
      <c r="AQ219">
        <v>72.579148030169563</v>
      </c>
      <c r="AR219">
        <v>11.47109793193572</v>
      </c>
      <c r="AS219">
        <v>122.1390288890741</v>
      </c>
      <c r="AT219">
        <v>5.2312642275831633</v>
      </c>
      <c r="AU219">
        <v>-14.752108702984978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424">AVERAGE(DF158:DF167)</f>
        <v>0</v>
      </c>
      <c r="DG219" s="182">
        <f t="shared" si="424"/>
        <v>0</v>
      </c>
      <c r="DH219" s="182">
        <f t="shared" si="424"/>
        <v>11.521464646464647</v>
      </c>
      <c r="DI219" s="182">
        <f t="shared" ref="DI219" si="425">AVERAGE(DI158:DI167)</f>
        <v>27.777777777777779</v>
      </c>
      <c r="DJ219" s="182">
        <f t="shared" si="424"/>
        <v>0</v>
      </c>
      <c r="DK219" s="182">
        <f t="shared" si="424"/>
        <v>0</v>
      </c>
      <c r="DL219" s="182">
        <f t="shared" si="424"/>
        <v>1.0416666666666665</v>
      </c>
      <c r="DM219" s="182">
        <f t="shared" si="424"/>
        <v>0</v>
      </c>
      <c r="DN219" s="182">
        <f t="shared" si="424"/>
        <v>0</v>
      </c>
      <c r="DO219" s="182">
        <f t="shared" si="424"/>
        <v>0</v>
      </c>
      <c r="DP219" s="182">
        <f t="shared" si="424"/>
        <v>0</v>
      </c>
      <c r="DQ219" s="182">
        <f t="shared" si="424"/>
        <v>0</v>
      </c>
      <c r="DR219" s="182">
        <f t="shared" si="424"/>
        <v>0</v>
      </c>
      <c r="DS219" s="182">
        <f t="shared" si="424"/>
        <v>0</v>
      </c>
      <c r="DT219" s="182">
        <f t="shared" si="424"/>
        <v>0</v>
      </c>
      <c r="DU219" s="182">
        <f t="shared" si="424"/>
        <v>0</v>
      </c>
      <c r="DV219" s="182">
        <f t="shared" si="424"/>
        <v>0</v>
      </c>
      <c r="DW219" s="182">
        <f t="shared" si="424"/>
        <v>0</v>
      </c>
      <c r="DX219" s="182">
        <f t="shared" si="424"/>
        <v>0</v>
      </c>
      <c r="DY219" s="182">
        <f t="shared" si="424"/>
        <v>0</v>
      </c>
      <c r="DZ219" s="182">
        <f t="shared" si="424"/>
        <v>0</v>
      </c>
      <c r="EA219" s="182">
        <f t="shared" si="424"/>
        <v>0</v>
      </c>
      <c r="EB219" s="182">
        <f t="shared" si="424"/>
        <v>0</v>
      </c>
      <c r="EC219" s="182">
        <f t="shared" si="424"/>
        <v>0</v>
      </c>
      <c r="ED219" s="182">
        <f t="shared" si="424"/>
        <v>0</v>
      </c>
      <c r="EE219" s="182">
        <f t="shared" si="424"/>
        <v>0</v>
      </c>
      <c r="EF219" s="182">
        <f t="shared" si="424"/>
        <v>0</v>
      </c>
      <c r="EG219" s="182">
        <f t="shared" si="424"/>
        <v>0</v>
      </c>
      <c r="EH219" s="182">
        <f t="shared" si="424"/>
        <v>0</v>
      </c>
      <c r="EI219" s="182">
        <f t="shared" si="424"/>
        <v>0</v>
      </c>
      <c r="EJ219" s="182">
        <f t="shared" si="424"/>
        <v>0</v>
      </c>
      <c r="FY219" s="210">
        <v>214</v>
      </c>
      <c r="FZ219">
        <v>4.5093043916289108</v>
      </c>
      <c r="GA219">
        <v>15.708138389096883</v>
      </c>
      <c r="GB219">
        <v>29.731427327784857</v>
      </c>
      <c r="GC219">
        <v>14.975966164198649</v>
      </c>
      <c r="GD219">
        <v>2.879342856960458</v>
      </c>
      <c r="GE219">
        <v>3.4012567278690868</v>
      </c>
      <c r="GF219">
        <v>4.0324736057749826</v>
      </c>
      <c r="GG219">
        <v>3.2666645474507594</v>
      </c>
      <c r="GH219">
        <v>1.4828991976416939</v>
      </c>
      <c r="GI219">
        <v>10.755857251228743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273.44220557588</v>
      </c>
      <c r="AO220">
        <v>15.229566476351923</v>
      </c>
      <c r="AP220">
        <v>118.35779187208956</v>
      </c>
      <c r="AQ220">
        <v>98.490626688343013</v>
      </c>
      <c r="AR220">
        <v>14.054719256579947</v>
      </c>
      <c r="AS220">
        <v>168.63591583805069</v>
      </c>
      <c r="AT220">
        <v>7.483777661456533</v>
      </c>
      <c r="AU220">
        <v>-26.122680176577791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426">AVERAGE(DF168:DF177)</f>
        <v>0</v>
      </c>
      <c r="DG220" s="182">
        <f t="shared" si="426"/>
        <v>0</v>
      </c>
      <c r="DH220" s="182">
        <f t="shared" si="426"/>
        <v>10.185185185185187</v>
      </c>
      <c r="DI220" s="182">
        <f t="shared" ref="DI220" si="427">AVERAGE(DI168:DI177)</f>
        <v>1.0416666666666665</v>
      </c>
      <c r="DJ220" s="182">
        <f t="shared" si="426"/>
        <v>0</v>
      </c>
      <c r="DK220" s="182">
        <f t="shared" si="426"/>
        <v>1.0416666666666665</v>
      </c>
      <c r="DL220" s="182">
        <f t="shared" si="426"/>
        <v>6.25</v>
      </c>
      <c r="DM220" s="182">
        <f t="shared" si="426"/>
        <v>0</v>
      </c>
      <c r="DN220" s="182">
        <f t="shared" si="426"/>
        <v>0</v>
      </c>
      <c r="DO220" s="182">
        <v>8</v>
      </c>
      <c r="DP220" s="182">
        <f t="shared" si="426"/>
        <v>0</v>
      </c>
      <c r="DQ220" s="182">
        <f t="shared" si="426"/>
        <v>0</v>
      </c>
      <c r="DR220" s="182">
        <f t="shared" si="426"/>
        <v>0</v>
      </c>
      <c r="DS220" s="182">
        <f t="shared" si="426"/>
        <v>0</v>
      </c>
      <c r="DT220" s="182">
        <f t="shared" si="426"/>
        <v>0</v>
      </c>
      <c r="DU220" s="182">
        <f t="shared" si="426"/>
        <v>0</v>
      </c>
      <c r="DV220" s="182">
        <f t="shared" si="426"/>
        <v>0</v>
      </c>
      <c r="DW220" s="182">
        <f t="shared" si="426"/>
        <v>0</v>
      </c>
      <c r="DX220" s="182">
        <f t="shared" si="426"/>
        <v>0</v>
      </c>
      <c r="DY220" s="182">
        <f t="shared" si="426"/>
        <v>0</v>
      </c>
      <c r="DZ220" s="182">
        <f t="shared" si="426"/>
        <v>0</v>
      </c>
      <c r="EA220" s="182">
        <f t="shared" si="426"/>
        <v>0</v>
      </c>
      <c r="EB220" s="182">
        <f t="shared" si="426"/>
        <v>0</v>
      </c>
      <c r="EC220" s="182">
        <f t="shared" si="426"/>
        <v>0</v>
      </c>
      <c r="ED220" s="182">
        <f t="shared" si="426"/>
        <v>0</v>
      </c>
      <c r="EE220" s="182">
        <f t="shared" si="426"/>
        <v>0</v>
      </c>
      <c r="EF220" s="182">
        <f t="shared" si="426"/>
        <v>0</v>
      </c>
      <c r="EG220" s="182">
        <f t="shared" si="426"/>
        <v>0</v>
      </c>
      <c r="EH220" s="182">
        <f t="shared" si="426"/>
        <v>0</v>
      </c>
      <c r="EI220" s="182">
        <f t="shared" si="426"/>
        <v>0</v>
      </c>
      <c r="EJ220" s="182">
        <f t="shared" si="426"/>
        <v>0</v>
      </c>
      <c r="FY220" s="210">
        <v>215</v>
      </c>
      <c r="FZ220">
        <v>4.1425957927562109</v>
      </c>
      <c r="GA220">
        <v>26.649773629472065</v>
      </c>
      <c r="GB220">
        <v>24.300714879555983</v>
      </c>
      <c r="GC220">
        <v>9.2623976818946403</v>
      </c>
      <c r="GD220">
        <v>2.8633377651742573</v>
      </c>
      <c r="GE220">
        <v>3.5573044113638499</v>
      </c>
      <c r="GF220">
        <v>3.9305785389222128</v>
      </c>
      <c r="GG220">
        <v>2.5258157662982295</v>
      </c>
      <c r="GH220">
        <v>2.8443965241048801</v>
      </c>
      <c r="GI220">
        <v>9.5227077119926609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189.23276943860679</v>
      </c>
      <c r="AO221">
        <v>13.742663199048829</v>
      </c>
      <c r="AP221">
        <v>110.45975965847678</v>
      </c>
      <c r="AQ221">
        <v>88.409392496710439</v>
      </c>
      <c r="AR221">
        <v>12.827572043137049</v>
      </c>
      <c r="AS221">
        <v>133.77155160502042</v>
      </c>
      <c r="AT221">
        <v>6.3548867880347997</v>
      </c>
      <c r="AU221">
        <v>-18.5332727260712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428">AVERAGE(DF178:DF187)</f>
        <v>0</v>
      </c>
      <c r="DG221" s="182">
        <f t="shared" si="428"/>
        <v>8.8922764227642279</v>
      </c>
      <c r="DH221" s="182">
        <f t="shared" si="428"/>
        <v>0</v>
      </c>
      <c r="DI221" s="182">
        <f t="shared" si="428"/>
        <v>6.7515432098765427</v>
      </c>
      <c r="DJ221" s="182">
        <f t="shared" si="428"/>
        <v>0</v>
      </c>
      <c r="DK221" s="182">
        <f t="shared" si="428"/>
        <v>0</v>
      </c>
      <c r="DL221" s="182">
        <f t="shared" si="428"/>
        <v>2.083333333333333</v>
      </c>
      <c r="DM221" s="182">
        <f t="shared" si="428"/>
        <v>0</v>
      </c>
      <c r="DN221" s="182">
        <f t="shared" si="428"/>
        <v>0</v>
      </c>
      <c r="DO221" s="182">
        <f t="shared" si="428"/>
        <v>0</v>
      </c>
      <c r="DP221" s="182">
        <f t="shared" si="428"/>
        <v>0</v>
      </c>
      <c r="DQ221" s="182">
        <f t="shared" si="428"/>
        <v>0</v>
      </c>
      <c r="DR221" s="182">
        <f t="shared" si="428"/>
        <v>0</v>
      </c>
      <c r="DS221" s="182">
        <f t="shared" si="428"/>
        <v>0</v>
      </c>
      <c r="DT221" s="182">
        <f t="shared" si="428"/>
        <v>0</v>
      </c>
      <c r="DU221" s="182">
        <f t="shared" si="428"/>
        <v>0</v>
      </c>
      <c r="DV221" s="182">
        <f t="shared" si="428"/>
        <v>0</v>
      </c>
      <c r="DW221" s="182">
        <f t="shared" si="428"/>
        <v>0</v>
      </c>
      <c r="DX221" s="182">
        <f t="shared" si="428"/>
        <v>0</v>
      </c>
      <c r="DY221" s="182">
        <f t="shared" si="428"/>
        <v>0</v>
      </c>
      <c r="DZ221" s="182">
        <f t="shared" si="428"/>
        <v>0</v>
      </c>
      <c r="EA221" s="182">
        <f t="shared" si="428"/>
        <v>0</v>
      </c>
      <c r="EB221" s="182">
        <f t="shared" si="428"/>
        <v>0</v>
      </c>
      <c r="EC221" s="182">
        <f t="shared" si="428"/>
        <v>0</v>
      </c>
      <c r="ED221" s="182">
        <f t="shared" si="428"/>
        <v>0</v>
      </c>
      <c r="EE221" s="182">
        <f t="shared" si="428"/>
        <v>0</v>
      </c>
      <c r="EF221" s="182">
        <f t="shared" si="428"/>
        <v>0</v>
      </c>
      <c r="EG221" s="182">
        <f t="shared" si="428"/>
        <v>0</v>
      </c>
      <c r="EH221" s="182">
        <f t="shared" si="428"/>
        <v>0</v>
      </c>
      <c r="EI221" s="182">
        <f t="shared" si="428"/>
        <v>0</v>
      </c>
      <c r="EJ221" s="182">
        <f t="shared" si="428"/>
        <v>0</v>
      </c>
      <c r="FY221" s="210">
        <v>216</v>
      </c>
      <c r="FZ221">
        <v>4.6375596631358409</v>
      </c>
      <c r="GA221">
        <v>25.001413156203931</v>
      </c>
      <c r="GB221">
        <v>30.406644648108802</v>
      </c>
      <c r="GC221">
        <v>14.06768796994001</v>
      </c>
      <c r="GD221">
        <v>4.1456900854074874</v>
      </c>
      <c r="GE221">
        <v>5.6699114054253679</v>
      </c>
      <c r="GF221">
        <v>4.4061217547846132</v>
      </c>
      <c r="GG221">
        <v>2.3849748058630524</v>
      </c>
      <c r="GH221">
        <v>2.6439371063868249</v>
      </c>
      <c r="GI221">
        <v>11.945716474785073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205.50679674408411</v>
      </c>
      <c r="AO222">
        <v>19.928327238913294</v>
      </c>
      <c r="AP222">
        <v>150.74702879724481</v>
      </c>
      <c r="AQ222">
        <v>115.58103644257764</v>
      </c>
      <c r="AR222">
        <v>18.443479938685726</v>
      </c>
      <c r="AS222">
        <v>195.58745721369047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4.1136916167907636</v>
      </c>
      <c r="GA222">
        <v>18.645186197516274</v>
      </c>
      <c r="GB222">
        <v>23.360484869305317</v>
      </c>
      <c r="GC222">
        <v>11.468954882573664</v>
      </c>
      <c r="GD222">
        <v>3.7268734546393842</v>
      </c>
      <c r="GE222">
        <v>6.4196895804935838</v>
      </c>
      <c r="GF222">
        <v>7.394325115827483</v>
      </c>
      <c r="GG222">
        <v>4.2636132227401937</v>
      </c>
      <c r="GH222">
        <v>3.3580205622268902</v>
      </c>
      <c r="GI222">
        <v>10.499219562931444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174.04288907753534</v>
      </c>
      <c r="AO223">
        <v>14.384379082780788</v>
      </c>
      <c r="AP223">
        <v>114.98809059044322</v>
      </c>
      <c r="AQ223">
        <v>91.136360346736325</v>
      </c>
      <c r="AR223">
        <v>13.409144312762393</v>
      </c>
      <c r="AS223">
        <v>128.38340906065881</v>
      </c>
      <c r="AT223">
        <v>6.6712708860536827</v>
      </c>
      <c r="AU223">
        <v>-30.572544831588921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4.6154721992208678</v>
      </c>
      <c r="GA223">
        <v>25.665507657832762</v>
      </c>
      <c r="GB223">
        <v>24.348912447479048</v>
      </c>
      <c r="GC223">
        <v>9.1829179087239599</v>
      </c>
      <c r="GD223">
        <v>3.1114647910956119</v>
      </c>
      <c r="GE223">
        <v>6.8960558989770231</v>
      </c>
      <c r="GF223">
        <v>6.6493416991049106</v>
      </c>
      <c r="GG223">
        <v>3.5227644415876638</v>
      </c>
      <c r="GH223">
        <v>4.3976565997935122</v>
      </c>
      <c r="GI223">
        <v>10.534366367294199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197.03124578017309</v>
      </c>
      <c r="AO224">
        <v>19.243399176292346</v>
      </c>
      <c r="AP224">
        <v>161.54084095615721</v>
      </c>
      <c r="AQ224">
        <v>123.57680297409621</v>
      </c>
      <c r="AR224">
        <v>17.7795520801706</v>
      </c>
      <c r="AS224">
        <v>136.69277047069019</v>
      </c>
      <c r="AT224">
        <v>7.8855494769576273</v>
      </c>
      <c r="AU224">
        <v>-24.073037545815509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4.1034586302254468</v>
      </c>
      <c r="GA224">
        <v>28.943553278540946</v>
      </c>
      <c r="GB224">
        <v>22.148898432013514</v>
      </c>
      <c r="GC224">
        <v>9.2578671868401834</v>
      </c>
      <c r="GD224">
        <v>3.8133687127153881</v>
      </c>
      <c r="GE224">
        <v>3.3445470622755655</v>
      </c>
      <c r="GF224">
        <v>4.8017248226500335</v>
      </c>
      <c r="GG224">
        <v>4.9433687300024474</v>
      </c>
      <c r="GH224">
        <v>4.9763299077510812</v>
      </c>
      <c r="GI224">
        <v>10.031853840664683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226.84415921524177</v>
      </c>
      <c r="AO225">
        <v>13.94704830403453</v>
      </c>
      <c r="AP225">
        <v>101.40934094256806</v>
      </c>
      <c r="AQ225">
        <v>82.454310674731303</v>
      </c>
      <c r="AR225">
        <v>12.721737004761103</v>
      </c>
      <c r="AS225">
        <v>130.31850111530005</v>
      </c>
      <c r="AT225">
        <v>5.8943395700150711</v>
      </c>
      <c r="AU225">
        <v>-19.531681200415171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5.8961681187295709E-2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3.93292703201509</v>
      </c>
      <c r="GA225">
        <v>18.093076452602553</v>
      </c>
      <c r="GB225">
        <v>18.348247318152467</v>
      </c>
      <c r="GC225">
        <v>9.0590189296067987</v>
      </c>
      <c r="GD225">
        <v>3.1658548642153752</v>
      </c>
      <c r="GE225">
        <v>2.3348501858925177</v>
      </c>
      <c r="GF225">
        <v>3.6230220167600908</v>
      </c>
      <c r="GG225">
        <v>3.3639366941738924</v>
      </c>
      <c r="GH225">
        <v>1.9401706344207539</v>
      </c>
      <c r="GI225">
        <v>7.9679627817072207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150.59908151920348</v>
      </c>
      <c r="AO226">
        <v>11.305646694577266</v>
      </c>
      <c r="AP226">
        <v>92.943700606654374</v>
      </c>
      <c r="AQ226">
        <v>72.840905621337797</v>
      </c>
      <c r="AR226">
        <v>10.538737595284854</v>
      </c>
      <c r="AS226">
        <v>116.5837451256688</v>
      </c>
      <c r="AT226">
        <v>5.5749149538609322</v>
      </c>
      <c r="AU226">
        <v>55.089278807076894</v>
      </c>
      <c r="AV226"/>
      <c r="AW226"/>
      <c r="DE226" s="187">
        <f>DE101</f>
        <v>39673</v>
      </c>
      <c r="DF226" s="205"/>
      <c r="DG226" s="205">
        <f t="shared" ref="DG226:DG234" si="429">((DG213*$H$372)+(DH213*$I$372)+(DI213*$J$372)+(DJ213*$K$372)+(DK213*$L$372)+(DL213*$M$372)+(DM213*$N$372)+(DN213*$O$372)+(DO213*$P$372)+(DP213*$Q$372)+(DQ213*$R$372)+(DR213*$S$372)+(DS213*$T$372)+(DT213*$U$372))/SUM(DG213:DT213)</f>
        <v>0.11690684675221057</v>
      </c>
      <c r="DH226" s="205">
        <f>(LN(DG226/DG225))/(DE213-DE212)</f>
        <v>2.5351469428361893E-2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4.0216704759896587</v>
      </c>
      <c r="GA226">
        <v>20.051313413466627</v>
      </c>
      <c r="GB226">
        <v>20.029436454116432</v>
      </c>
      <c r="GC226">
        <v>10.867011870055975</v>
      </c>
      <c r="GD226">
        <v>3.6923736940449623</v>
      </c>
      <c r="GE226">
        <v>2.5057095824202689</v>
      </c>
      <c r="GF226">
        <v>3.6462150244873559</v>
      </c>
      <c r="GG226">
        <v>4.6151849061043873</v>
      </c>
      <c r="GH226">
        <v>6.0736326294932717</v>
      </c>
      <c r="GI226">
        <v>9.3623324356318829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149.32811477914206</v>
      </c>
      <c r="AO227">
        <v>11.646646623431936</v>
      </c>
      <c r="AP227">
        <v>101.64381333464105</v>
      </c>
      <c r="AQ227">
        <v>78.283139521370956</v>
      </c>
      <c r="AR227">
        <v>10.735169343209025</v>
      </c>
      <c r="AS227">
        <v>105.02418689401124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429"/>
        <v>0.15780897031478744</v>
      </c>
      <c r="DH227" s="205">
        <f t="shared" ref="DH227:DH234" si="430">(LN(DG227/DG226))/(DE214-DE213)</f>
        <v>7.31726382501466E-3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3.6467566302271366</v>
      </c>
      <c r="GA227">
        <v>20.053266491081459</v>
      </c>
      <c r="GB227">
        <v>19.283478594578121</v>
      </c>
      <c r="GC227">
        <v>8.595675322899238</v>
      </c>
      <c r="GD227">
        <v>3.8658752551736959</v>
      </c>
      <c r="GE227">
        <v>5.6223164607820157</v>
      </c>
      <c r="GF227">
        <v>5.0193634775050455</v>
      </c>
      <c r="GG227">
        <v>4.1699417910087515</v>
      </c>
      <c r="GH227">
        <v>4.7195178886900759</v>
      </c>
      <c r="GI227">
        <v>9.3245777423987555</v>
      </c>
      <c r="GJ227"/>
      <c r="GK227"/>
      <c r="GL227"/>
      <c r="GM227"/>
    </row>
    <row r="228" spans="1:195" s="7" customFormat="1">
      <c r="A228" s="9" t="s">
        <v>60</v>
      </c>
      <c r="B228">
        <v>0.69401492722131208</v>
      </c>
      <c r="C228">
        <v>4</v>
      </c>
      <c r="D228">
        <v>39646</v>
      </c>
      <c r="E228">
        <v>0</v>
      </c>
      <c r="F228">
        <v>0</v>
      </c>
      <c r="G228">
        <v>31.25</v>
      </c>
      <c r="H228">
        <v>10.416666666666666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250.65823516262134</v>
      </c>
      <c r="AO228">
        <v>19.706820795009286</v>
      </c>
      <c r="AP228">
        <v>158.09152535720213</v>
      </c>
      <c r="AQ228">
        <v>124.54539484049155</v>
      </c>
      <c r="AR228">
        <v>18.283212816258946</v>
      </c>
      <c r="AS228">
        <v>167.88471163870045</v>
      </c>
      <c r="AT228">
        <v>8.2120054316718427</v>
      </c>
      <c r="AU228">
        <v>-25.837494057563688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429"/>
        <v>0.11931937243831903</v>
      </c>
      <c r="DH228" s="205">
        <f t="shared" si="430"/>
        <v>-8.4721682651246449E-3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4.222255521288786</v>
      </c>
      <c r="GA228">
        <v>30.152712618155704</v>
      </c>
      <c r="GB228">
        <v>24.547239399400684</v>
      </c>
      <c r="GC228">
        <v>9.2518615137669808</v>
      </c>
      <c r="GD228">
        <v>3.9177258180990764</v>
      </c>
      <c r="GE228">
        <v>5.1514479789480614</v>
      </c>
      <c r="GF228">
        <v>5.5616315529472908</v>
      </c>
      <c r="GG228">
        <v>3.3947144945192114</v>
      </c>
      <c r="GH228">
        <v>3.1012085431658845</v>
      </c>
      <c r="GI228">
        <v>10.544675588901908</v>
      </c>
      <c r="GJ228"/>
      <c r="GK228"/>
      <c r="GL228"/>
      <c r="GM228"/>
    </row>
    <row r="229" spans="1:195" s="7" customFormat="1">
      <c r="A229" s="90"/>
      <c r="B229">
        <v>0.42935169863176537</v>
      </c>
      <c r="C229">
        <v>8</v>
      </c>
      <c r="D229">
        <v>39646</v>
      </c>
      <c r="E229">
        <v>0</v>
      </c>
      <c r="F229">
        <v>0</v>
      </c>
      <c r="G229">
        <v>41.666666666666664</v>
      </c>
      <c r="H229">
        <v>10.416666666666666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186.93178103897947</v>
      </c>
      <c r="AO229">
        <v>13.086144895597295</v>
      </c>
      <c r="AP229">
        <v>87.481657598796289</v>
      </c>
      <c r="AQ229">
        <v>70.077525264340011</v>
      </c>
      <c r="AR229">
        <v>12.127215907870736</v>
      </c>
      <c r="AS229">
        <v>118.07752415936389</v>
      </c>
      <c r="AT229">
        <v>4.8414873770511635</v>
      </c>
      <c r="AU229">
        <v>-2.7958221256097016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429"/>
        <v>3.8901151481551849E-2</v>
      </c>
      <c r="DH229" s="205">
        <f t="shared" si="430"/>
        <v>-4.0027851746208147E-2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6.7397302996742994</v>
      </c>
      <c r="GA229">
        <v>30.917449212004822</v>
      </c>
      <c r="GB229">
        <v>24.515704266443244</v>
      </c>
      <c r="GC229">
        <v>9.9483682556575115</v>
      </c>
      <c r="GD229">
        <v>3.95922053675495</v>
      </c>
      <c r="GE229">
        <v>3.5416273412356318</v>
      </c>
      <c r="GF229">
        <v>2.0322349088873888</v>
      </c>
      <c r="GG229">
        <v>2.9384807235526984</v>
      </c>
      <c r="GH229">
        <v>3.4230698320624482</v>
      </c>
      <c r="GI229">
        <v>10.309260403681625</v>
      </c>
      <c r="GJ229"/>
      <c r="GK229"/>
      <c r="GL229"/>
      <c r="GM229"/>
    </row>
    <row r="230" spans="1:195" s="7" customFormat="1">
      <c r="A230" s="77"/>
      <c r="B230">
        <v>0.12471835749335991</v>
      </c>
      <c r="C230">
        <v>7</v>
      </c>
      <c r="D230">
        <v>39646</v>
      </c>
      <c r="E230">
        <v>0</v>
      </c>
      <c r="F230">
        <v>0</v>
      </c>
      <c r="G230">
        <v>20.833333333333332</v>
      </c>
      <c r="H230">
        <v>62.5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143.50148385975106</v>
      </c>
      <c r="AO230">
        <v>16.203207925668757</v>
      </c>
      <c r="AP230">
        <v>118.53689389559914</v>
      </c>
      <c r="AQ230">
        <v>90.743330459635033</v>
      </c>
      <c r="AR230">
        <v>15.089533415879382</v>
      </c>
      <c r="AS230">
        <v>139.75672884135744</v>
      </c>
      <c r="AT230">
        <v>6.7540858875268839</v>
      </c>
      <c r="AU230">
        <v>36.509242783726812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429"/>
        <v>3.7410169409970093E-2</v>
      </c>
      <c r="DH230" s="205">
        <f t="shared" si="430"/>
        <v>-1.6283864348809463E-3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1.041678194816626</v>
      </c>
      <c r="GA230">
        <v>20.531721948253367</v>
      </c>
      <c r="GB230">
        <v>24.589258192536064</v>
      </c>
      <c r="GC230">
        <v>11.848381498458089</v>
      </c>
      <c r="GD230">
        <v>3.9315049726052296</v>
      </c>
      <c r="GE230">
        <v>3.9773955502616234</v>
      </c>
      <c r="GF230">
        <v>4.3053014803570564</v>
      </c>
      <c r="GG230">
        <v>1.4224046459106283</v>
      </c>
      <c r="GH230">
        <v>1.0359447447366277</v>
      </c>
      <c r="GI230">
        <v>9.5486135690522751</v>
      </c>
      <c r="GJ230"/>
      <c r="GK230"/>
      <c r="GL230"/>
      <c r="GM230"/>
    </row>
    <row r="231" spans="1:195" s="7" customFormat="1">
      <c r="A231" s="77"/>
      <c r="B231">
        <v>0.25183914587344702</v>
      </c>
      <c r="C231">
        <v>1</v>
      </c>
      <c r="D231">
        <v>39646</v>
      </c>
      <c r="E231">
        <v>0</v>
      </c>
      <c r="F231">
        <v>0</v>
      </c>
      <c r="G231">
        <v>20.833333333333332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155.71138182368006</v>
      </c>
      <c r="AO231">
        <v>14.166983882545324</v>
      </c>
      <c r="AP231">
        <v>116.86649569535646</v>
      </c>
      <c r="AQ231">
        <v>89.599622701534983</v>
      </c>
      <c r="AR231">
        <v>13.280834824243543</v>
      </c>
      <c r="AS231">
        <v>120.59094338753424</v>
      </c>
      <c r="AT231">
        <v>5.9580429158183703</v>
      </c>
      <c r="AU231">
        <v>37.439232636178787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429"/>
        <v>4.8260910521275992E-2</v>
      </c>
      <c r="DH231" s="205">
        <f t="shared" si="430"/>
        <v>5.3058197958040891E-3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4.2868837616728834</v>
      </c>
      <c r="GA231">
        <v>27.870869329397031</v>
      </c>
      <c r="GB231">
        <v>17.671877592629354</v>
      </c>
      <c r="GC231">
        <v>7.3428233704888752</v>
      </c>
      <c r="GD231">
        <v>4.3683491673222168</v>
      </c>
      <c r="GE231">
        <v>6.0633406782723087</v>
      </c>
      <c r="GF231">
        <v>5.9352797019569206</v>
      </c>
      <c r="GG231">
        <v>1.6441260247105225</v>
      </c>
      <c r="GH231">
        <v>3.1012085431658845</v>
      </c>
      <c r="GI231">
        <v>9.1391990677965751</v>
      </c>
      <c r="GJ231"/>
      <c r="GK231"/>
      <c r="GL231"/>
      <c r="GM231"/>
    </row>
    <row r="232" spans="1:195" s="7" customFormat="1">
      <c r="A232" s="77"/>
      <c r="B232">
        <v>0.73080106564217995</v>
      </c>
      <c r="C232">
        <v>4</v>
      </c>
      <c r="D232">
        <v>39646</v>
      </c>
      <c r="E232">
        <v>0</v>
      </c>
      <c r="F232">
        <v>0</v>
      </c>
      <c r="G232">
        <v>31.25</v>
      </c>
      <c r="H232">
        <v>10.416666666666666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208.93470552511795</v>
      </c>
      <c r="AO232">
        <v>18.013545786444627</v>
      </c>
      <c r="AP232">
        <v>135.52934080593707</v>
      </c>
      <c r="AQ232">
        <v>105.30965707004101</v>
      </c>
      <c r="AR232">
        <v>16.635610376302989</v>
      </c>
      <c r="AS232">
        <v>155.22890291613453</v>
      </c>
      <c r="AT232">
        <v>7.602894153188795</v>
      </c>
      <c r="AU232">
        <v>-38.033461159128677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429"/>
        <v>8.4232986548521169E-2</v>
      </c>
      <c r="DH232" s="205">
        <f t="shared" si="430"/>
        <v>8.8407092340794628E-3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7.4691078100134884</v>
      </c>
      <c r="GA232">
        <v>26.628005531828254</v>
      </c>
      <c r="GB232">
        <v>28.08738930030313</v>
      </c>
      <c r="GC232">
        <v>14.154340671545036</v>
      </c>
      <c r="GD232">
        <v>3.9492029864942051</v>
      </c>
      <c r="GE232">
        <v>3.4567653113511554</v>
      </c>
      <c r="GF232">
        <v>4.5080168216373835</v>
      </c>
      <c r="GG232">
        <v>3.7137080200422385</v>
      </c>
      <c r="GH232">
        <v>4.1985112649080749</v>
      </c>
      <c r="GI232">
        <v>11.926534464198486</v>
      </c>
      <c r="GJ232"/>
      <c r="GK232"/>
      <c r="GL232"/>
      <c r="GM232"/>
    </row>
    <row r="233" spans="1:195" s="7" customFormat="1">
      <c r="A233" s="77"/>
      <c r="B233">
        <v>0.48265829542504246</v>
      </c>
      <c r="C233">
        <v>7</v>
      </c>
      <c r="D233">
        <v>39646</v>
      </c>
      <c r="E233">
        <v>0</v>
      </c>
      <c r="F233">
        <v>0</v>
      </c>
      <c r="G233">
        <v>20.833333333333332</v>
      </c>
      <c r="H233">
        <v>62.5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238.29027096485828</v>
      </c>
      <c r="AO233">
        <v>15.805660128615429</v>
      </c>
      <c r="AP233">
        <v>117.50929560934976</v>
      </c>
      <c r="AQ233">
        <v>93.250059065044979</v>
      </c>
      <c r="AR233">
        <v>14.449092030259477</v>
      </c>
      <c r="AS233">
        <v>149.39317743014598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429"/>
        <v>0.82879934048457982</v>
      </c>
      <c r="DH233" s="205">
        <f t="shared" si="430"/>
        <v>5.8625422230630872E-2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7.3156038557375442</v>
      </c>
      <c r="GA233">
        <v>23.557521065320568</v>
      </c>
      <c r="GB233">
        <v>18.618227784473362</v>
      </c>
      <c r="GC233">
        <v>9.5465748167309208</v>
      </c>
      <c r="GD233">
        <v>5.1564294373276311</v>
      </c>
      <c r="GE233">
        <v>4.8521515475777024</v>
      </c>
      <c r="GF233">
        <v>1.915416528459934</v>
      </c>
      <c r="GG233">
        <v>1.9741102061044287</v>
      </c>
      <c r="GH233">
        <v>1.3578060336331905</v>
      </c>
      <c r="GI233">
        <v>9.3115917546358453</v>
      </c>
      <c r="GJ233"/>
      <c r="GK233"/>
      <c r="GL233"/>
      <c r="GM233"/>
    </row>
    <row r="234" spans="1:195" s="7" customFormat="1">
      <c r="A234" s="77"/>
      <c r="B234">
        <v>0.29708539891074626</v>
      </c>
      <c r="C234">
        <v>9</v>
      </c>
      <c r="D234">
        <v>39646</v>
      </c>
      <c r="E234">
        <v>0</v>
      </c>
      <c r="F234">
        <v>0</v>
      </c>
      <c r="G234">
        <v>10.416666666666666</v>
      </c>
      <c r="H234">
        <v>20.833333333333332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186.78132730609394</v>
      </c>
      <c r="AO234">
        <v>15.77952631640512</v>
      </c>
      <c r="AP234">
        <v>127.53531319048798</v>
      </c>
      <c r="AQ234">
        <v>98.924460011109545</v>
      </c>
      <c r="AR234">
        <v>14.551228522204937</v>
      </c>
      <c r="AS234">
        <v>150.34341899534795</v>
      </c>
      <c r="AT234">
        <v>7.0370915894262156</v>
      </c>
      <c r="AU234">
        <v>-21.004604537364681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429"/>
        <v>0.11183017911580873</v>
      </c>
      <c r="DH234" s="205">
        <f t="shared" si="430"/>
        <v>-5.2710437185244874E-2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6.727482234009968</v>
      </c>
      <c r="GA234">
        <v>33.859739978496563</v>
      </c>
      <c r="GB234">
        <v>26.226685906342087</v>
      </c>
      <c r="GC234">
        <v>10.276752287335809</v>
      </c>
      <c r="GD234">
        <v>4.2177176566103958</v>
      </c>
      <c r="GE234">
        <v>4.1349555381002716</v>
      </c>
      <c r="GF234">
        <v>2.5585048783297362</v>
      </c>
      <c r="GG234">
        <v>2.843008934325411</v>
      </c>
      <c r="GH234">
        <v>2.1969826534817587</v>
      </c>
      <c r="GI234">
        <v>10.813166373424737</v>
      </c>
      <c r="GJ234"/>
      <c r="GK234"/>
      <c r="GL234"/>
      <c r="GM234"/>
    </row>
    <row r="235" spans="1:195" s="7" customFormat="1">
      <c r="A235" s="77"/>
      <c r="B235">
        <v>0.37775993663205676</v>
      </c>
      <c r="C235">
        <v>2</v>
      </c>
      <c r="D235">
        <v>39646</v>
      </c>
      <c r="E235">
        <v>0</v>
      </c>
      <c r="F235">
        <v>0</v>
      </c>
      <c r="G235">
        <v>0</v>
      </c>
      <c r="H235">
        <v>31.25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189.80660368576588</v>
      </c>
      <c r="AO235">
        <v>15.112592753691374</v>
      </c>
      <c r="AP235">
        <v>123.7097493480137</v>
      </c>
      <c r="AQ235">
        <v>96.364970603679282</v>
      </c>
      <c r="AR235">
        <v>13.956651249133387</v>
      </c>
      <c r="AS235">
        <v>138.69391672902051</v>
      </c>
      <c r="AT235">
        <v>6.5355460419206146</v>
      </c>
      <c r="AU235">
        <v>-7.8895358841011873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4.2743869481187762</v>
      </c>
      <c r="GA235">
        <v>20.229284865172712</v>
      </c>
      <c r="GB235">
        <v>22.397758779023597</v>
      </c>
      <c r="GC235">
        <v>9.8864394364301376</v>
      </c>
      <c r="GD235">
        <v>4.4992263471205396</v>
      </c>
      <c r="GE235">
        <v>7.3105969721424042</v>
      </c>
      <c r="GF235">
        <v>3.0031266746175542</v>
      </c>
      <c r="GG235">
        <v>1.3269328566833409</v>
      </c>
      <c r="GH235">
        <v>1.9401706344207539</v>
      </c>
      <c r="GI235">
        <v>9.7078982706852877</v>
      </c>
      <c r="GJ235"/>
      <c r="GK235"/>
      <c r="GL235"/>
      <c r="GM235"/>
    </row>
    <row r="236" spans="1:195" s="7" customFormat="1">
      <c r="A236" s="77"/>
      <c r="B236">
        <v>0.13163703337775789</v>
      </c>
      <c r="C236">
        <v>5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138.71482549072891</v>
      </c>
      <c r="AO236">
        <v>11.880581505950541</v>
      </c>
      <c r="AP236">
        <v>90.523755756406672</v>
      </c>
      <c r="AQ236">
        <v>71.829066909546754</v>
      </c>
      <c r="AR236">
        <v>11.12313416079267</v>
      </c>
      <c r="AS236">
        <v>105.34195805634515</v>
      </c>
      <c r="AT236">
        <v>5.1109813730774487</v>
      </c>
      <c r="AU236">
        <v>31.278971614492548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4.1918305405667162</v>
      </c>
      <c r="GA236">
        <v>22.399677908676559</v>
      </c>
      <c r="GB236">
        <v>18.410952385075429</v>
      </c>
      <c r="GC236">
        <v>8.5585940225456056</v>
      </c>
      <c r="GD236">
        <v>3.4627029464993591</v>
      </c>
      <c r="GE236">
        <v>2.9425856527965468</v>
      </c>
      <c r="GF236">
        <v>4.4930935080626986</v>
      </c>
      <c r="GG236">
        <v>4.2654135802360393</v>
      </c>
      <c r="GH236">
        <v>4.1371532879025121</v>
      </c>
      <c r="GI236">
        <v>8.6698709851324924</v>
      </c>
      <c r="GJ236"/>
      <c r="GK236"/>
      <c r="GL236"/>
      <c r="GM236"/>
    </row>
    <row r="237" spans="1:195" s="7" customFormat="1">
      <c r="A237" s="77"/>
      <c r="B237">
        <v>0.95971592942231876</v>
      </c>
      <c r="C237">
        <v>9</v>
      </c>
      <c r="D237">
        <v>39646</v>
      </c>
      <c r="E237">
        <v>0</v>
      </c>
      <c r="F237">
        <v>0</v>
      </c>
      <c r="G237">
        <v>10.416666666666666</v>
      </c>
      <c r="H237">
        <v>20.833333333333332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185.97243174444964</v>
      </c>
      <c r="AO237">
        <v>14.028550575654279</v>
      </c>
      <c r="AP237">
        <v>107.1883861584044</v>
      </c>
      <c r="AQ237">
        <v>84.864880485810829</v>
      </c>
      <c r="AR237">
        <v>12.982449009033136</v>
      </c>
      <c r="AS237">
        <v>131.28314373416399</v>
      </c>
      <c r="AT237">
        <v>6.4421147188318209</v>
      </c>
      <c r="AU237">
        <v>-34.076794213830702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4.515869224421313</v>
      </c>
      <c r="GA237">
        <v>27.436284594520188</v>
      </c>
      <c r="GB237">
        <v>18.26354686883905</v>
      </c>
      <c r="GC237">
        <v>6.3637797231530291</v>
      </c>
      <c r="GD237">
        <v>2.8792882698575326</v>
      </c>
      <c r="GE237">
        <v>3.3899232895060019</v>
      </c>
      <c r="GF237">
        <v>5.1479311762340538</v>
      </c>
      <c r="GG237">
        <v>4.4545568011947685</v>
      </c>
      <c r="GH237">
        <v>4.3236044289165783</v>
      </c>
      <c r="GI237">
        <v>8.5199569340088726</v>
      </c>
      <c r="GJ237"/>
      <c r="GK237"/>
      <c r="GL237"/>
      <c r="GM237"/>
    </row>
    <row r="238" spans="1:195" s="7" customFormat="1">
      <c r="A238" s="77"/>
      <c r="B238">
        <v>0.83974517823278916</v>
      </c>
      <c r="C238">
        <v>5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139.78701388239045</v>
      </c>
      <c r="AO238">
        <v>13.962978498554573</v>
      </c>
      <c r="AP238">
        <v>106.16434504246925</v>
      </c>
      <c r="AQ238">
        <v>84.300769654344307</v>
      </c>
      <c r="AR238">
        <v>12.990682984502442</v>
      </c>
      <c r="AS238">
        <v>127.73574191277584</v>
      </c>
      <c r="AT238">
        <v>6.3666531156196031</v>
      </c>
      <c r="AU238">
        <v>-40.668675281370263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6.6079391443117332</v>
      </c>
      <c r="GA238">
        <v>26.901106796440114</v>
      </c>
      <c r="GB238">
        <v>18.465848466341988</v>
      </c>
      <c r="GC238">
        <v>8.0025504879162845</v>
      </c>
      <c r="GD238">
        <v>3.7507046965132163</v>
      </c>
      <c r="GE238">
        <v>5.9877459789570366</v>
      </c>
      <c r="GF238">
        <v>6.680263118679493</v>
      </c>
      <c r="GG238">
        <v>0.64717734942108796</v>
      </c>
      <c r="GH238">
        <v>0.32186128889656296</v>
      </c>
      <c r="GI238">
        <v>9.0412270090843041</v>
      </c>
      <c r="GJ238"/>
      <c r="GK238"/>
      <c r="GL238"/>
      <c r="GM238"/>
    </row>
    <row r="239" spans="1:195" s="7" customFormat="1">
      <c r="A239" s="77" t="s">
        <v>61</v>
      </c>
      <c r="B239">
        <v>0.29755463564358742</v>
      </c>
      <c r="C239">
        <v>8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20.833333333333332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201.19507793204139</v>
      </c>
      <c r="AO239">
        <v>15.759969655187504</v>
      </c>
      <c r="AP239">
        <v>128.33489096315165</v>
      </c>
      <c r="AQ239">
        <v>99.84547302919357</v>
      </c>
      <c r="AR239">
        <v>14.628252320511528</v>
      </c>
      <c r="AS239">
        <v>132.51112806634436</v>
      </c>
      <c r="AT239">
        <v>7.2493089941030187</v>
      </c>
      <c r="AU239">
        <v>-27.142497646282987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1.1393825684896626</v>
      </c>
      <c r="GA239">
        <v>19.436551344984881</v>
      </c>
      <c r="GB239">
        <v>29.210083939221064</v>
      </c>
      <c r="GC239">
        <v>13.303980093855216</v>
      </c>
      <c r="GD239">
        <v>2.6931832289624018</v>
      </c>
      <c r="GE239">
        <v>6.2328597545714013</v>
      </c>
      <c r="GF239">
        <v>9.1411217178548014</v>
      </c>
      <c r="GG239">
        <v>1.1988829096148885</v>
      </c>
      <c r="GH239">
        <v>0.90422588968412598</v>
      </c>
      <c r="GI239">
        <v>10.899409967228115</v>
      </c>
      <c r="GJ239"/>
      <c r="GK239"/>
      <c r="GL239"/>
      <c r="GM239"/>
    </row>
    <row r="240" spans="1:195" s="7" customFormat="1">
      <c r="A240" s="77" t="s">
        <v>62</v>
      </c>
      <c r="B240">
        <v>0.7319256457285821</v>
      </c>
      <c r="C240">
        <v>2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202.87515833391893</v>
      </c>
      <c r="AO240">
        <v>15.384703527863334</v>
      </c>
      <c r="AP240">
        <v>124.58289593802516</v>
      </c>
      <c r="AQ240">
        <v>98.32514577995461</v>
      </c>
      <c r="AR240">
        <v>14.417380074900398</v>
      </c>
      <c r="AS240">
        <v>149.32367774429602</v>
      </c>
      <c r="AT240">
        <v>6.6696411558254303</v>
      </c>
      <c r="AU240">
        <v>-26.623780351464433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12.499999999999998</v>
      </c>
      <c r="DI240" s="182">
        <v>14.583333333333334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4.2468649992216481</v>
      </c>
      <c r="GA240">
        <v>28.467037118525397</v>
      </c>
      <c r="GB240">
        <v>23.149224754078919</v>
      </c>
      <c r="GC240">
        <v>9.0385986070830668</v>
      </c>
      <c r="GD240">
        <v>3.9419856175629548</v>
      </c>
      <c r="GE240">
        <v>5.239154225589945</v>
      </c>
      <c r="GF240">
        <v>4.8326462422246159</v>
      </c>
      <c r="GG240">
        <v>3.5245647990835094</v>
      </c>
      <c r="GH240">
        <v>3.4296955231064463</v>
      </c>
      <c r="GI240">
        <v>10.13801869563542</v>
      </c>
      <c r="GJ240"/>
      <c r="GK240"/>
      <c r="GL240"/>
      <c r="GM240"/>
    </row>
    <row r="241" spans="1:195" s="7" customFormat="1">
      <c r="A241" s="77"/>
      <c r="B241">
        <v>0.10467725668682659</v>
      </c>
      <c r="C241">
        <v>10</v>
      </c>
      <c r="D241">
        <v>39673</v>
      </c>
      <c r="E241">
        <v>0</v>
      </c>
      <c r="F241">
        <v>0</v>
      </c>
      <c r="G241">
        <v>0</v>
      </c>
      <c r="H241">
        <v>297.61904761904765</v>
      </c>
      <c r="I241">
        <v>148.80952380952382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176.92433682068651</v>
      </c>
      <c r="AO241">
        <v>14.431041684651984</v>
      </c>
      <c r="AP241">
        <v>105.98169601038646</v>
      </c>
      <c r="AQ241">
        <v>82.232204796987588</v>
      </c>
      <c r="AR241">
        <v>13.246904871673497</v>
      </c>
      <c r="AS241">
        <v>126.57014482643298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7.395833333333333</v>
      </c>
      <c r="DI241" s="185">
        <v>30.803571428571434</v>
      </c>
      <c r="DJ241" s="185">
        <v>19.047619047619047</v>
      </c>
      <c r="DK241" s="185">
        <v>0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2.117688787844259</v>
      </c>
      <c r="GA241">
        <v>21.04410530702398</v>
      </c>
      <c r="GB241">
        <v>28.128926999556739</v>
      </c>
      <c r="GC241">
        <v>10.935943732218835</v>
      </c>
      <c r="GD241">
        <v>3.2872440261836511</v>
      </c>
      <c r="GE241">
        <v>7.4899387381088101</v>
      </c>
      <c r="GF241">
        <v>4.3042266879318429</v>
      </c>
      <c r="GG241">
        <v>1.6441260247105225</v>
      </c>
      <c r="GH241">
        <v>3.1012085431658845</v>
      </c>
      <c r="GI241">
        <v>10.551354958714176</v>
      </c>
      <c r="GJ241"/>
      <c r="GK241"/>
      <c r="GL241"/>
      <c r="GM241"/>
    </row>
    <row r="242" spans="1:195" s="7" customFormat="1">
      <c r="A242" s="1"/>
      <c r="B242">
        <v>0.8345650173294521</v>
      </c>
      <c r="C242">
        <v>4</v>
      </c>
      <c r="D242">
        <v>39673</v>
      </c>
      <c r="E242">
        <v>0</v>
      </c>
      <c r="F242">
        <v>0</v>
      </c>
      <c r="G242">
        <v>73.958333333333329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242.96272735563895</v>
      </c>
      <c r="AO242">
        <v>13.57671424631774</v>
      </c>
      <c r="AP242">
        <v>107.31869027107102</v>
      </c>
      <c r="AQ242">
        <v>87.423957237412537</v>
      </c>
      <c r="AR242">
        <v>12.425227212494828</v>
      </c>
      <c r="AS242">
        <v>145.6583388281918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17.857142857142854</v>
      </c>
      <c r="DH242" s="182">
        <v>116.36904761904762</v>
      </c>
      <c r="DI242" s="182">
        <v>23.177083333333336</v>
      </c>
      <c r="DJ242" s="182">
        <v>21.874999999999996</v>
      </c>
      <c r="DK242" s="182">
        <v>38.541666666666664</v>
      </c>
      <c r="DL242" s="182">
        <v>14.583333333333332</v>
      </c>
      <c r="DM242" s="182">
        <v>3.125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1.4389282523838949</v>
      </c>
      <c r="GA242">
        <v>12.639482230093211</v>
      </c>
      <c r="GB242">
        <v>12.589248255037448</v>
      </c>
      <c r="GC242">
        <v>6.2311596691074813</v>
      </c>
      <c r="GD242">
        <v>3.2108498668125836</v>
      </c>
      <c r="GE242">
        <v>4.5730517584993313</v>
      </c>
      <c r="GF242">
        <v>3.4594977892069263</v>
      </c>
      <c r="GG242">
        <v>1.7377974564419647</v>
      </c>
      <c r="GH242">
        <v>2.6439371063868249</v>
      </c>
      <c r="GI242">
        <v>6.2713353574304875</v>
      </c>
      <c r="GJ242"/>
      <c r="GK242"/>
      <c r="GL242"/>
      <c r="GM242"/>
    </row>
    <row r="243" spans="1:195" s="7" customFormat="1">
      <c r="A243" s="1"/>
      <c r="B243">
        <v>0.36983263853823045</v>
      </c>
      <c r="C243">
        <v>3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20.833333333333332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208.89479911460404</v>
      </c>
      <c r="AO243">
        <v>17.873523893202623</v>
      </c>
      <c r="AP243">
        <v>138.00290950428777</v>
      </c>
      <c r="AQ243">
        <v>108.09158218232143</v>
      </c>
      <c r="AR243">
        <v>16.61680081940785</v>
      </c>
      <c r="AS243">
        <v>171.71614156094341</v>
      </c>
      <c r="AT243">
        <v>7.634195383052556</v>
      </c>
      <c r="AU243">
        <v>-23.06098898099491</v>
      </c>
      <c r="AV243"/>
      <c r="AW243"/>
      <c r="DE243" s="187">
        <v>39747</v>
      </c>
      <c r="DF243" s="182">
        <v>0</v>
      </c>
      <c r="DG243" s="182">
        <v>88.189468577399609</v>
      </c>
      <c r="DH243" s="182">
        <v>178.7193888486992</v>
      </c>
      <c r="DI243" s="182">
        <v>26.45067288741069</v>
      </c>
      <c r="DJ243" s="182">
        <v>19.530122655122653</v>
      </c>
      <c r="DK243" s="182">
        <v>14.858185513673316</v>
      </c>
      <c r="DL243" s="182">
        <v>26.799242424242429</v>
      </c>
      <c r="DM243" s="182">
        <v>8.5227272727272716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13.030195592923837</v>
      </c>
      <c r="GA243">
        <v>27.55426415663041</v>
      </c>
      <c r="GB243">
        <v>21.9485239856451</v>
      </c>
      <c r="GC243">
        <v>9.6008032853991576</v>
      </c>
      <c r="GD243">
        <v>3.3002285107111575</v>
      </c>
      <c r="GE243">
        <v>5.9669440445552953</v>
      </c>
      <c r="GF243">
        <v>3.119945055045009</v>
      </c>
      <c r="GG243">
        <v>1.4224046459106283</v>
      </c>
      <c r="GH243">
        <v>1.0359447447366277</v>
      </c>
      <c r="GI243">
        <v>10.085238436055779</v>
      </c>
      <c r="GJ243"/>
      <c r="GK243"/>
      <c r="GL243"/>
      <c r="GM243"/>
    </row>
    <row r="244" spans="1:195" s="7" customFormat="1">
      <c r="A244" s="1"/>
      <c r="B244">
        <v>0.68490705173999089</v>
      </c>
      <c r="C244">
        <v>10</v>
      </c>
      <c r="D244">
        <v>39673</v>
      </c>
      <c r="E244">
        <v>0</v>
      </c>
      <c r="F244">
        <v>0</v>
      </c>
      <c r="G244">
        <v>0</v>
      </c>
      <c r="H244">
        <v>297.61904761904765</v>
      </c>
      <c r="I244">
        <v>148.80952380952382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177.58394383021559</v>
      </c>
      <c r="AO244">
        <v>13.963618823399287</v>
      </c>
      <c r="AP244">
        <v>100.49304143247966</v>
      </c>
      <c r="AQ244">
        <v>83.605433030001123</v>
      </c>
      <c r="AR244">
        <v>13.034539429366442</v>
      </c>
      <c r="AS244">
        <v>146.34828548728856</v>
      </c>
      <c r="AT244">
        <v>6.1055045188918706</v>
      </c>
      <c r="AU244">
        <v>-21.520477257206537</v>
      </c>
      <c r="AV244"/>
      <c r="AW244"/>
      <c r="DE244" s="187">
        <v>39775</v>
      </c>
      <c r="DF244" s="182">
        <v>0</v>
      </c>
      <c r="DG244" s="182">
        <v>35.275735294117645</v>
      </c>
      <c r="DH244" s="182">
        <v>389.45319794584509</v>
      </c>
      <c r="DI244" s="182">
        <v>22.827584316554905</v>
      </c>
      <c r="DJ244" s="182">
        <v>8.360852110852111</v>
      </c>
      <c r="DK244" s="182">
        <v>3.503787878787878</v>
      </c>
      <c r="DL244" s="182">
        <v>3.8825757575757569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7.1603430093916867</v>
      </c>
      <c r="GA244">
        <v>33.024749008787701</v>
      </c>
      <c r="GB244">
        <v>30.182825136166766</v>
      </c>
      <c r="GC244">
        <v>11.429501769698387</v>
      </c>
      <c r="GD244">
        <v>2.7465369339898134</v>
      </c>
      <c r="GE244">
        <v>2.9186787013457982</v>
      </c>
      <c r="GF244">
        <v>1.7127011871796063</v>
      </c>
      <c r="GG244">
        <v>3.933629041346288</v>
      </c>
      <c r="GH244">
        <v>5.1014230717595845</v>
      </c>
      <c r="GI244">
        <v>11.344182129496946</v>
      </c>
      <c r="GJ244"/>
      <c r="GK244"/>
      <c r="GL244"/>
      <c r="GM244"/>
    </row>
    <row r="245" spans="1:195" s="7" customFormat="1">
      <c r="A245" s="1"/>
      <c r="B245">
        <v>0.25638538090802498</v>
      </c>
      <c r="C245">
        <v>9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190.08552278758856</v>
      </c>
      <c r="AO245">
        <v>16.299723121496104</v>
      </c>
      <c r="AP245">
        <v>132.2479072354655</v>
      </c>
      <c r="AQ245">
        <v>103.85499644045673</v>
      </c>
      <c r="AR245">
        <v>15.119460809021209</v>
      </c>
      <c r="AS245">
        <v>153.67879362706466</v>
      </c>
      <c r="AT245" t="e">
        <v>#DIV/0!</v>
      </c>
      <c r="AU245" t="e">
        <v>#DIV/0!</v>
      </c>
      <c r="AV245"/>
      <c r="AW245"/>
      <c r="DE245" s="187">
        <v>39799</v>
      </c>
      <c r="DF245" s="182">
        <v>30.286319073083781</v>
      </c>
      <c r="DG245" s="182">
        <v>106.88674071027012</v>
      </c>
      <c r="DH245" s="182">
        <v>209.47731802511217</v>
      </c>
      <c r="DI245" s="182">
        <v>3.125</v>
      </c>
      <c r="DJ245" s="182">
        <v>8.3333333333333321</v>
      </c>
      <c r="DK245" s="182">
        <v>1.0416666666666665</v>
      </c>
      <c r="DL245" s="182">
        <v>4.8295454545454541</v>
      </c>
      <c r="DM245" s="182">
        <v>1.0416666666666665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1.176236980718558</v>
      </c>
      <c r="GA245">
        <v>26.782343663462413</v>
      </c>
      <c r="GB245">
        <v>25.559673850266538</v>
      </c>
      <c r="GC245">
        <v>10.934501376680094</v>
      </c>
      <c r="GD245">
        <v>3.8549247073045869</v>
      </c>
      <c r="GE245">
        <v>2.5499324981408478</v>
      </c>
      <c r="GF245">
        <v>2.6742484663319779</v>
      </c>
      <c r="GG245">
        <v>2.3849748058630524</v>
      </c>
      <c r="GH245">
        <v>2.322075817490262</v>
      </c>
      <c r="GI245">
        <v>9.6452280087242865</v>
      </c>
      <c r="GJ245"/>
      <c r="GK245"/>
      <c r="GL245"/>
      <c r="GM245"/>
    </row>
    <row r="246" spans="1:195" s="7" customFormat="1">
      <c r="A246" s="1"/>
      <c r="B246">
        <v>0.47744276268685604</v>
      </c>
      <c r="C246">
        <v>9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212.2606157162864</v>
      </c>
      <c r="AO246">
        <v>14.568641618451016</v>
      </c>
      <c r="AP246">
        <v>104.72923085627001</v>
      </c>
      <c r="AQ246">
        <v>84.575821784415098</v>
      </c>
      <c r="AR246">
        <v>13.520489344510787</v>
      </c>
      <c r="AS246">
        <v>128.1776392118777</v>
      </c>
      <c r="AT246">
        <v>5.9711370839036997</v>
      </c>
      <c r="AU246">
        <v>-24.559632920657009</v>
      </c>
      <c r="AV246"/>
      <c r="AW246"/>
      <c r="DE246" s="187">
        <v>39847</v>
      </c>
      <c r="DF246" s="182">
        <v>0</v>
      </c>
      <c r="DG246" s="182">
        <v>130.20833333333331</v>
      </c>
      <c r="DH246" s="182">
        <v>56.966145833333329</v>
      </c>
      <c r="DI246" s="182">
        <v>0</v>
      </c>
      <c r="DJ246" s="182">
        <v>0</v>
      </c>
      <c r="DK246" s="182">
        <v>1.3020833333333333</v>
      </c>
      <c r="DL246" s="182">
        <v>3.90625</v>
      </c>
      <c r="DM246" s="182">
        <v>4.3402777777777777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3.9816548449067204</v>
      </c>
      <c r="GA246">
        <v>21.102605751979219</v>
      </c>
      <c r="GB246">
        <v>25.326296540290887</v>
      </c>
      <c r="GC246">
        <v>11.869924621668266</v>
      </c>
      <c r="GD246">
        <v>3.9845582919408367</v>
      </c>
      <c r="GE246">
        <v>7.040736234727877</v>
      </c>
      <c r="GF246">
        <v>6.6653398051048081</v>
      </c>
      <c r="GG246">
        <v>2.0677816378358704</v>
      </c>
      <c r="GH246">
        <v>2.3257671103202568</v>
      </c>
      <c r="GI246">
        <v>10.865250253546396</v>
      </c>
      <c r="GJ246"/>
      <c r="GK246"/>
      <c r="GL246"/>
      <c r="GM246"/>
    </row>
    <row r="247" spans="1:195" s="7" customFormat="1">
      <c r="A247" s="77" t="s">
        <v>61</v>
      </c>
      <c r="B247">
        <v>0.75149541567341149</v>
      </c>
      <c r="C247">
        <v>2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211.15074141468003</v>
      </c>
      <c r="AO247">
        <v>12.877082729626323</v>
      </c>
      <c r="AP247">
        <v>102.31919741009932</v>
      </c>
      <c r="AQ247">
        <v>81.531874817493943</v>
      </c>
      <c r="AR247">
        <v>11.978015143423589</v>
      </c>
      <c r="AS247">
        <v>135.70274827556858</v>
      </c>
      <c r="AT247">
        <v>5.8819041860498098</v>
      </c>
      <c r="AU247">
        <v>-14.277598846776153</v>
      </c>
      <c r="AV247"/>
      <c r="AW247"/>
      <c r="DE247" s="187">
        <v>39910</v>
      </c>
      <c r="DF247" s="182">
        <v>0</v>
      </c>
      <c r="DG247" s="182">
        <v>0</v>
      </c>
      <c r="DH247" s="182">
        <v>11.521464646464647</v>
      </c>
      <c r="DI247" s="182">
        <v>27.777777777777779</v>
      </c>
      <c r="DJ247" s="182">
        <v>0</v>
      </c>
      <c r="DK247" s="182">
        <v>0</v>
      </c>
      <c r="DL247" s="182">
        <v>1.0416666666666665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4.1131846818718891</v>
      </c>
      <c r="GA247">
        <v>21.960883258890519</v>
      </c>
      <c r="GB247">
        <v>20.397100130703819</v>
      </c>
      <c r="GC247">
        <v>8.3567381671951946</v>
      </c>
      <c r="GD247">
        <v>2.9713466069975039</v>
      </c>
      <c r="GE247">
        <v>7.5938644026186992</v>
      </c>
      <c r="GF247">
        <v>10.002923515004831</v>
      </c>
      <c r="GG247">
        <v>4.5482282329262107</v>
      </c>
      <c r="GH247">
        <v>4.3873396159195188</v>
      </c>
      <c r="GI247">
        <v>9.9724654863298117</v>
      </c>
      <c r="GJ247"/>
      <c r="GK247"/>
      <c r="GL247"/>
      <c r="GM247"/>
    </row>
    <row r="248" spans="1:195" s="7" customFormat="1">
      <c r="A248" s="77" t="s">
        <v>62</v>
      </c>
      <c r="B248">
        <v>0.62960227105419664</v>
      </c>
      <c r="C248">
        <v>1</v>
      </c>
      <c r="D248">
        <v>39714</v>
      </c>
      <c r="E248">
        <v>0</v>
      </c>
      <c r="F248">
        <v>0</v>
      </c>
      <c r="G248">
        <v>260.41666666666669</v>
      </c>
      <c r="H248">
        <v>65.104166666666671</v>
      </c>
      <c r="I248">
        <v>10.416666666666666</v>
      </c>
      <c r="J248">
        <v>20.833333333333332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141.53338492963107</v>
      </c>
      <c r="AO248">
        <v>12.651782014951394</v>
      </c>
      <c r="AP248">
        <v>108.669327370549</v>
      </c>
      <c r="AQ248">
        <v>85.294741310651403</v>
      </c>
      <c r="AR248">
        <v>11.760401820892399</v>
      </c>
      <c r="AS248">
        <v>123.10057854472868</v>
      </c>
      <c r="AT248">
        <v>5.7755295336610217</v>
      </c>
      <c r="AU248">
        <v>-9.6609710970886677</v>
      </c>
      <c r="AV248"/>
      <c r="AW248"/>
      <c r="DE248" s="187">
        <v>39949</v>
      </c>
      <c r="DF248" s="182">
        <v>0</v>
      </c>
      <c r="DG248" s="182">
        <v>0</v>
      </c>
      <c r="DH248" s="182">
        <v>10.185185185185187</v>
      </c>
      <c r="DI248" s="182">
        <v>1.0416666666666665</v>
      </c>
      <c r="DJ248" s="182">
        <v>0</v>
      </c>
      <c r="DK248" s="182">
        <v>1.0416666666666665</v>
      </c>
      <c r="DL248" s="182">
        <v>6.25</v>
      </c>
      <c r="DM248" s="182">
        <v>0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1.221428909754551</v>
      </c>
      <c r="GA248">
        <v>24.657582238474621</v>
      </c>
      <c r="GB248">
        <v>19.929314549279436</v>
      </c>
      <c r="GC248">
        <v>8.4827078667276243</v>
      </c>
      <c r="GD248">
        <v>3.6732147167066067</v>
      </c>
      <c r="GE248">
        <v>2.1385239718601317</v>
      </c>
      <c r="GF248">
        <v>3.1007729537719806</v>
      </c>
      <c r="GG248">
        <v>3.6182362308149516</v>
      </c>
      <c r="GH248">
        <v>3.5547886871149497</v>
      </c>
      <c r="GI248">
        <v>8.3916760617322907</v>
      </c>
      <c r="GJ248"/>
      <c r="GK248"/>
      <c r="GL248"/>
      <c r="GM248"/>
    </row>
    <row r="249" spans="1:195" s="7" customFormat="1">
      <c r="A249" s="1"/>
      <c r="B249">
        <v>0.70116082644361111</v>
      </c>
      <c r="C249">
        <v>9</v>
      </c>
      <c r="D249">
        <v>39714</v>
      </c>
      <c r="E249">
        <v>0</v>
      </c>
      <c r="F249">
        <v>0</v>
      </c>
      <c r="G249">
        <v>0</v>
      </c>
      <c r="H249">
        <v>10.416666666666666</v>
      </c>
      <c r="I249">
        <v>10.416666666666666</v>
      </c>
      <c r="J249">
        <v>0</v>
      </c>
      <c r="K249">
        <v>83.333333333333329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218.3598499366779</v>
      </c>
      <c r="AO249">
        <v>13.552661508059412</v>
      </c>
      <c r="AP249">
        <v>107.22871538969976</v>
      </c>
      <c r="AQ249">
        <v>86.406424336561813</v>
      </c>
      <c r="AR249">
        <v>12.346312714446716</v>
      </c>
      <c r="AS249">
        <v>124.76600275944631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8.8922764227642279</v>
      </c>
      <c r="DH249" s="182">
        <v>0</v>
      </c>
      <c r="DI249" s="182">
        <v>6.7515432098765427</v>
      </c>
      <c r="DJ249" s="182">
        <v>0</v>
      </c>
      <c r="DK249" s="182">
        <v>0</v>
      </c>
      <c r="DL249" s="182">
        <v>2.083333333333333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9.1302155556487055</v>
      </c>
      <c r="GA249">
        <v>25.656886348217022</v>
      </c>
      <c r="GB249">
        <v>20.107848461566721</v>
      </c>
      <c r="GC249">
        <v>10.330687796529901</v>
      </c>
      <c r="GD249">
        <v>5.2160300054750932</v>
      </c>
      <c r="GE249">
        <v>5.5600950547245942</v>
      </c>
      <c r="GF249">
        <v>2.6753232587571909</v>
      </c>
      <c r="GG249">
        <v>3.7137080200422385</v>
      </c>
      <c r="GH249">
        <v>5.6237437783742017</v>
      </c>
      <c r="GI249">
        <v>10.778453657839592</v>
      </c>
      <c r="GJ249"/>
      <c r="GK249"/>
      <c r="GL249"/>
      <c r="GM249"/>
    </row>
    <row r="250" spans="1:195" s="7" customFormat="1">
      <c r="A250" s="1"/>
      <c r="B250">
        <v>0.43579968507151645</v>
      </c>
      <c r="C250">
        <v>8</v>
      </c>
      <c r="D250">
        <v>39714</v>
      </c>
      <c r="E250">
        <v>0</v>
      </c>
      <c r="F250">
        <v>0</v>
      </c>
      <c r="G250">
        <v>10.416666666666666</v>
      </c>
      <c r="H250">
        <v>0</v>
      </c>
      <c r="I250">
        <v>31.25</v>
      </c>
      <c r="J250">
        <v>104.16666666666667</v>
      </c>
      <c r="K250">
        <v>10.416666666666666</v>
      </c>
      <c r="L250">
        <v>31.25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181.96573538514147</v>
      </c>
      <c r="AO250">
        <v>16.389059897377596</v>
      </c>
      <c r="AP250">
        <v>124.78376772732349</v>
      </c>
      <c r="AQ250">
        <v>94.159681414466561</v>
      </c>
      <c r="AR250">
        <v>14.952128268764657</v>
      </c>
      <c r="AS250">
        <v>147.64537692436991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3.9623350115311138</v>
      </c>
      <c r="GA250">
        <v>24.569712277652847</v>
      </c>
      <c r="GB250">
        <v>23.674438850451356</v>
      </c>
      <c r="GC250">
        <v>10.250280929287033</v>
      </c>
      <c r="GD250">
        <v>3.8876580989286476</v>
      </c>
      <c r="GE250">
        <v>5.7594460115569817</v>
      </c>
      <c r="GF250">
        <v>4.8475695557993008</v>
      </c>
      <c r="GG250">
        <v>0.64717734942108796</v>
      </c>
      <c r="GH250">
        <v>0.32186128889656296</v>
      </c>
      <c r="GI250">
        <v>9.7066931854063423</v>
      </c>
      <c r="GJ250"/>
      <c r="GK250"/>
      <c r="GL250"/>
      <c r="GM250"/>
    </row>
    <row r="251" spans="1:195" s="7" customFormat="1">
      <c r="A251" s="1"/>
      <c r="B251">
        <v>0.11613735218963717</v>
      </c>
      <c r="C251">
        <v>5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31.25</v>
      </c>
      <c r="J251">
        <v>10.416666666666666</v>
      </c>
      <c r="K251">
        <v>20.833333333333332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228.24608780902173</v>
      </c>
      <c r="AO251">
        <v>15.260989412446666</v>
      </c>
      <c r="AP251">
        <v>122.38715380286546</v>
      </c>
      <c r="AQ251">
        <v>96.007790582111923</v>
      </c>
      <c r="AR251">
        <v>14.067151885837962</v>
      </c>
      <c r="AS251">
        <v>139.11983226358959</v>
      </c>
      <c r="AT251">
        <v>6.083914544985884</v>
      </c>
      <c r="AU251">
        <v>-19.521067417044158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3.9040228560496431</v>
      </c>
      <c r="GA251">
        <v>22.738604404250861</v>
      </c>
      <c r="GB251">
        <v>17.694898454911446</v>
      </c>
      <c r="GC251">
        <v>6.8021045031280689</v>
      </c>
      <c r="GD251">
        <v>2.8191340410086436</v>
      </c>
      <c r="GE251">
        <v>3.404822516798399</v>
      </c>
      <c r="GF251">
        <v>3.6590391352141225</v>
      </c>
      <c r="GG251">
        <v>5.357834044752761</v>
      </c>
      <c r="GH251">
        <v>5.7517713405967088</v>
      </c>
      <c r="GI251">
        <v>8.2028092100994776</v>
      </c>
      <c r="GJ251"/>
      <c r="GK251"/>
      <c r="GL251"/>
      <c r="GM251"/>
    </row>
    <row r="252" spans="1:195" s="7" customFormat="1">
      <c r="A252" s="1"/>
      <c r="B252">
        <v>0.95481344828192194</v>
      </c>
      <c r="C252">
        <v>7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161.84550466523467</v>
      </c>
      <c r="AO252">
        <v>15.814547414470203</v>
      </c>
      <c r="AP252">
        <v>120.53802920501894</v>
      </c>
      <c r="AQ252">
        <v>92.604763805458688</v>
      </c>
      <c r="AR252">
        <v>14.643573797497083</v>
      </c>
      <c r="AS252">
        <v>125.25513911534607</v>
      </c>
      <c r="AT252" t="e">
        <v>#DIV/0!</v>
      </c>
      <c r="AU252" t="e">
        <v>#DIV/0!</v>
      </c>
      <c r="AV252"/>
      <c r="AW252"/>
      <c r="FY252" s="210">
        <v>247</v>
      </c>
      <c r="FZ252">
        <v>4.0298725915111788</v>
      </c>
      <c r="GA252">
        <v>26.935741220858212</v>
      </c>
      <c r="GB252">
        <v>27.75853522444844</v>
      </c>
      <c r="GC252">
        <v>11.435981961144758</v>
      </c>
      <c r="GD252">
        <v>2.3187978690554263</v>
      </c>
      <c r="GE252">
        <v>2.7686601895802552</v>
      </c>
      <c r="GF252">
        <v>5.5616315529472908</v>
      </c>
      <c r="GG252">
        <v>2.5258157662982295</v>
      </c>
      <c r="GH252">
        <v>1.0359447447366277</v>
      </c>
      <c r="GI252">
        <v>10.074890895986435</v>
      </c>
      <c r="GJ252"/>
      <c r="GK252"/>
      <c r="GL252"/>
      <c r="GM252"/>
    </row>
    <row r="253" spans="1:195" s="7" customFormat="1">
      <c r="A253" s="1"/>
      <c r="B253">
        <v>0.74421485525934994</v>
      </c>
      <c r="C253">
        <v>5</v>
      </c>
      <c r="D253">
        <v>39714</v>
      </c>
      <c r="E253">
        <v>0</v>
      </c>
      <c r="F253">
        <v>0</v>
      </c>
      <c r="G253">
        <v>0</v>
      </c>
      <c r="H253">
        <v>10.416666666666666</v>
      </c>
      <c r="I253">
        <v>31.25</v>
      </c>
      <c r="J253">
        <v>10.416666666666666</v>
      </c>
      <c r="K253">
        <v>20.833333333333332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166.61742860654658</v>
      </c>
      <c r="AO253">
        <v>9.3324303604064145</v>
      </c>
      <c r="AP253">
        <v>66.785607269108723</v>
      </c>
      <c r="AQ253">
        <v>54.795287741400159</v>
      </c>
      <c r="AR253">
        <v>8.5839824626921004</v>
      </c>
      <c r="AS253">
        <v>93.599303956885947</v>
      </c>
      <c r="AT253" t="e">
        <v>#DIV/0!</v>
      </c>
      <c r="AU253" t="e">
        <v>#DIV/0!</v>
      </c>
      <c r="AV253"/>
      <c r="AW253"/>
      <c r="FY253" s="210">
        <v>248</v>
      </c>
      <c r="FZ253">
        <v>0.89272399423407012</v>
      </c>
      <c r="GA253">
        <v>11.233491337466608</v>
      </c>
      <c r="GB253">
        <v>22.519106798531105</v>
      </c>
      <c r="GC253">
        <v>11.772838462696599</v>
      </c>
      <c r="GD253">
        <v>3.1134558708912063</v>
      </c>
      <c r="GE253">
        <v>4.6955311624673923</v>
      </c>
      <c r="GF253">
        <v>5.1511051715071856</v>
      </c>
      <c r="GG253">
        <v>2.1632534270631583</v>
      </c>
      <c r="GH253">
        <v>2.3257671103202568</v>
      </c>
      <c r="GI253">
        <v>8.8851919578142908</v>
      </c>
      <c r="GJ253"/>
      <c r="GK253"/>
      <c r="GL253"/>
      <c r="GM253"/>
    </row>
    <row r="254" spans="1:195" s="7" customFormat="1">
      <c r="A254" s="1"/>
      <c r="B254">
        <v>0.63017827478884314</v>
      </c>
      <c r="C254">
        <v>3</v>
      </c>
      <c r="D254">
        <v>39714</v>
      </c>
      <c r="E254">
        <v>0</v>
      </c>
      <c r="F254">
        <v>0</v>
      </c>
      <c r="G254">
        <v>0</v>
      </c>
      <c r="H254">
        <v>10.416666666666666</v>
      </c>
      <c r="I254">
        <v>41.666666666666664</v>
      </c>
      <c r="J254">
        <v>72.916666666666671</v>
      </c>
      <c r="K254">
        <v>10.416666666666666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161.69747725683018</v>
      </c>
      <c r="AO254">
        <v>15.152218082725707</v>
      </c>
      <c r="AP254">
        <v>119.79500235613506</v>
      </c>
      <c r="AQ254">
        <v>97.064492457612985</v>
      </c>
      <c r="AR254">
        <v>14.036860630254086</v>
      </c>
      <c r="AS254">
        <v>146.11600605790292</v>
      </c>
      <c r="AT254" t="e">
        <v>#DIV/0!</v>
      </c>
      <c r="AU254" t="e">
        <v>#DIV/0!</v>
      </c>
      <c r="AV254"/>
      <c r="AW254"/>
      <c r="FY254" s="210">
        <v>249</v>
      </c>
      <c r="FZ254">
        <v>1.9153405427041885</v>
      </c>
      <c r="GA254">
        <v>24.580388437033537</v>
      </c>
      <c r="GB254">
        <v>30.443583442460088</v>
      </c>
      <c r="GC254">
        <v>11.985166207773961</v>
      </c>
      <c r="GD254">
        <v>2.3087452495022518</v>
      </c>
      <c r="GE254">
        <v>2.8444158331585161</v>
      </c>
      <c r="GF254">
        <v>5.5275361380995776</v>
      </c>
      <c r="GG254">
        <v>6.142251639617335</v>
      </c>
      <c r="GH254">
        <v>5.620052485544206</v>
      </c>
      <c r="GI254">
        <v>11.159274335715683</v>
      </c>
      <c r="GJ254"/>
      <c r="GK254"/>
      <c r="GL254"/>
      <c r="GM254"/>
    </row>
    <row r="255" spans="1:195" s="7" customFormat="1">
      <c r="A255" s="1"/>
      <c r="B255">
        <v>0.82268625274133811</v>
      </c>
      <c r="C255">
        <v>9</v>
      </c>
      <c r="D255">
        <v>39714</v>
      </c>
      <c r="E255">
        <v>0</v>
      </c>
      <c r="F255">
        <v>0</v>
      </c>
      <c r="G255">
        <v>0</v>
      </c>
      <c r="H255">
        <v>10.416666666666666</v>
      </c>
      <c r="I255">
        <v>10.416666666666666</v>
      </c>
      <c r="J255">
        <v>0</v>
      </c>
      <c r="K255">
        <v>83.333333333333329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153.06764335799897</v>
      </c>
      <c r="AO255">
        <v>17.106599949654136</v>
      </c>
      <c r="AP255">
        <v>144.53306867846655</v>
      </c>
      <c r="AQ255">
        <v>109.55456998916259</v>
      </c>
      <c r="AR255">
        <v>15.962815069733473</v>
      </c>
      <c r="AS255">
        <v>144.8661564774263</v>
      </c>
      <c r="AT255">
        <v>6.9879200660798366</v>
      </c>
      <c r="AU255">
        <v>-24.008278813152639</v>
      </c>
      <c r="AV255"/>
      <c r="AW255"/>
      <c r="FY255" s="210">
        <v>250</v>
      </c>
      <c r="FZ255">
        <v>1.5892709878057958</v>
      </c>
      <c r="GA255">
        <v>20.028190581479354</v>
      </c>
      <c r="GB255">
        <v>16.467285028664396</v>
      </c>
      <c r="GC255">
        <v>6.9426530083863334</v>
      </c>
      <c r="GD255">
        <v>5.169450938136638</v>
      </c>
      <c r="GE255">
        <v>9.3062243014563677</v>
      </c>
      <c r="GF255">
        <v>9.2937435382875204</v>
      </c>
      <c r="GG255">
        <v>5.4606957748592375</v>
      </c>
      <c r="GH255">
        <v>4.065478327022956</v>
      </c>
      <c r="GI255">
        <v>9.7060183996939902</v>
      </c>
      <c r="GJ255"/>
      <c r="GK255"/>
      <c r="GL255"/>
      <c r="GM255"/>
    </row>
    <row r="256" spans="1:195" s="7" customFormat="1">
      <c r="A256" s="1"/>
      <c r="B256">
        <v>0.13343559273962691</v>
      </c>
      <c r="C256">
        <v>6</v>
      </c>
      <c r="D256">
        <v>39714</v>
      </c>
      <c r="E256">
        <v>0</v>
      </c>
      <c r="F256">
        <v>0</v>
      </c>
      <c r="G256">
        <v>0</v>
      </c>
      <c r="H256">
        <v>20.833333333333332</v>
      </c>
      <c r="I256">
        <v>10.416666666666666</v>
      </c>
      <c r="J256">
        <v>52.083333333333336</v>
      </c>
      <c r="K256">
        <v>20.833333333333332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149.5028794658368</v>
      </c>
      <c r="AO256">
        <v>14.552630565629253</v>
      </c>
      <c r="AP256">
        <v>114.51917162159558</v>
      </c>
      <c r="AQ256">
        <v>87.884140174982605</v>
      </c>
      <c r="AR256">
        <v>13.447317023565596</v>
      </c>
      <c r="AS256">
        <v>131.97299249686719</v>
      </c>
      <c r="AT256" t="e">
        <v>#DIV/0!</v>
      </c>
      <c r="AU256" t="e">
        <v>#DIV/0!</v>
      </c>
      <c r="AV256"/>
      <c r="AW256"/>
      <c r="FY256" s="210">
        <v>251</v>
      </c>
      <c r="FZ256">
        <v>1.8004636846718378</v>
      </c>
      <c r="GA256">
        <v>11.469438458499623</v>
      </c>
      <c r="GB256">
        <v>17.74835867122718</v>
      </c>
      <c r="GC256">
        <v>9.5952981676655416</v>
      </c>
      <c r="GD256">
        <v>3.6003642151066924</v>
      </c>
      <c r="GE256">
        <v>3.8873726551692283</v>
      </c>
      <c r="GF256">
        <v>2.5734281919044211</v>
      </c>
      <c r="GG256">
        <v>3.160202102352593</v>
      </c>
      <c r="GH256">
        <v>4.5227497638020155</v>
      </c>
      <c r="GI256">
        <v>7.9610718994586023</v>
      </c>
      <c r="GJ256"/>
      <c r="GK256"/>
      <c r="GL256"/>
      <c r="GM256"/>
    </row>
    <row r="257" spans="1:195" s="7" customFormat="1">
      <c r="A257" s="1"/>
      <c r="B257">
        <v>0.84767434234079375</v>
      </c>
      <c r="C257">
        <v>5</v>
      </c>
      <c r="D257">
        <v>39714</v>
      </c>
      <c r="E257">
        <v>0</v>
      </c>
      <c r="F257">
        <v>0</v>
      </c>
      <c r="G257">
        <v>0</v>
      </c>
      <c r="H257">
        <v>10.416666666666666</v>
      </c>
      <c r="I257">
        <v>31.25</v>
      </c>
      <c r="J257">
        <v>10.416666666666666</v>
      </c>
      <c r="K257">
        <v>20.833333333333332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210.32605893864951</v>
      </c>
      <c r="AO257">
        <v>16.314663339491624</v>
      </c>
      <c r="AP257">
        <v>120.61445904428214</v>
      </c>
      <c r="AQ257">
        <v>95.229915092321122</v>
      </c>
      <c r="AR257">
        <v>15.008250087956213</v>
      </c>
      <c r="AS257">
        <v>147.13166627235847</v>
      </c>
      <c r="AT257">
        <v>6.4045336144777929</v>
      </c>
      <c r="AU257">
        <v>-12.81516963081288</v>
      </c>
      <c r="AV257"/>
      <c r="AW257"/>
      <c r="FY257" s="210">
        <v>252</v>
      </c>
      <c r="FZ257">
        <v>3.746359605026691</v>
      </c>
      <c r="GA257">
        <v>21.196075484870818</v>
      </c>
      <c r="GB257">
        <v>15.735646082201262</v>
      </c>
      <c r="GC257">
        <v>6.027632368049276</v>
      </c>
      <c r="GD257">
        <v>2.2317539123515724</v>
      </c>
      <c r="GE257">
        <v>1.3317718004681796</v>
      </c>
      <c r="GF257">
        <v>0.54226807544224453</v>
      </c>
      <c r="GG257">
        <v>0.77522729648954036</v>
      </c>
      <c r="GH257">
        <v>2.2006739463117539</v>
      </c>
      <c r="GI257">
        <v>6.1901496250845014</v>
      </c>
      <c r="GJ257"/>
      <c r="GK257"/>
      <c r="GL257"/>
      <c r="GM257"/>
    </row>
    <row r="258" spans="1:195" s="7" customFormat="1">
      <c r="A258" s="1"/>
      <c r="B258">
        <v>0.80990319500407182</v>
      </c>
      <c r="C258">
        <v>8</v>
      </c>
      <c r="D258">
        <v>39747</v>
      </c>
      <c r="E258">
        <v>0</v>
      </c>
      <c r="F258">
        <v>0</v>
      </c>
      <c r="G258">
        <v>420.67307692307696</v>
      </c>
      <c r="H258">
        <v>0</v>
      </c>
      <c r="I258">
        <v>10.416666666666666</v>
      </c>
      <c r="J258">
        <v>10.416666666666666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206.76042764435493</v>
      </c>
      <c r="AO258">
        <v>14.916333259346576</v>
      </c>
      <c r="AP258">
        <v>119.64591266335114</v>
      </c>
      <c r="AQ258">
        <v>94.304074098457988</v>
      </c>
      <c r="AR258">
        <v>13.570824566399562</v>
      </c>
      <c r="AS258">
        <v>138.83876444569259</v>
      </c>
      <c r="AT258">
        <v>7.4564541149470438</v>
      </c>
      <c r="AU258">
        <v>-48.126733062887212</v>
      </c>
      <c r="AV258"/>
      <c r="AW258"/>
      <c r="FY258" s="210">
        <v>253</v>
      </c>
      <c r="FZ258">
        <v>3.9837990625547146</v>
      </c>
      <c r="GA258">
        <v>24.426871705613486</v>
      </c>
      <c r="GB258">
        <v>27.579487043858993</v>
      </c>
      <c r="GC258">
        <v>12.052466424674163</v>
      </c>
      <c r="GD258">
        <v>4.4956351058915089</v>
      </c>
      <c r="GE258">
        <v>6.6401586515052502</v>
      </c>
      <c r="GF258">
        <v>3.5453947500597991</v>
      </c>
      <c r="GG258">
        <v>2.9710588813938639</v>
      </c>
      <c r="GH258">
        <v>4.1371532879025121</v>
      </c>
      <c r="GI258">
        <v>11.403269411048155</v>
      </c>
      <c r="GJ258"/>
      <c r="GK258"/>
      <c r="GL258"/>
      <c r="GM258"/>
    </row>
    <row r="259" spans="1:195" s="7" customFormat="1">
      <c r="A259" s="90"/>
      <c r="B259">
        <v>0.26733912506842428</v>
      </c>
      <c r="C259">
        <v>10</v>
      </c>
      <c r="D259">
        <v>39747</v>
      </c>
      <c r="E259">
        <v>0</v>
      </c>
      <c r="F259">
        <v>195.3125</v>
      </c>
      <c r="G259">
        <v>195.3125</v>
      </c>
      <c r="H259">
        <v>65.104166666666671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168.8810665396031</v>
      </c>
      <c r="AO259">
        <v>12.538577244136446</v>
      </c>
      <c r="AP259">
        <v>100.30611470033556</v>
      </c>
      <c r="AQ259">
        <v>78.76824618623715</v>
      </c>
      <c r="AR259">
        <v>11.619960610657712</v>
      </c>
      <c r="AS259">
        <v>124.7363773475646</v>
      </c>
      <c r="AT259">
        <v>5.5953035097652979</v>
      </c>
      <c r="AU259">
        <v>-11.175931929104104</v>
      </c>
      <c r="AV259"/>
      <c r="AW259"/>
      <c r="FY259" s="210">
        <v>254</v>
      </c>
      <c r="FZ259">
        <v>1.1188001173865314</v>
      </c>
      <c r="GA259">
        <v>17.415613323030197</v>
      </c>
      <c r="GB259">
        <v>20.224496866913682</v>
      </c>
      <c r="GC259">
        <v>8.0150839525382551</v>
      </c>
      <c r="GD259">
        <v>3.2887565365518614</v>
      </c>
      <c r="GE259">
        <v>6.5138113945743648</v>
      </c>
      <c r="GF259">
        <v>3.6611383380620408</v>
      </c>
      <c r="GG259">
        <v>0.77522729648954036</v>
      </c>
      <c r="GH259">
        <v>1.6183093455241906</v>
      </c>
      <c r="GI259">
        <v>8.0791033641583603</v>
      </c>
      <c r="GJ259"/>
      <c r="GK259"/>
      <c r="GL259"/>
      <c r="GM259"/>
    </row>
    <row r="260" spans="1:195" s="7" customFormat="1">
      <c r="A260" s="77" t="s">
        <v>61</v>
      </c>
      <c r="B260">
        <v>0.89340750726815266</v>
      </c>
      <c r="C260">
        <v>5</v>
      </c>
      <c r="D260">
        <v>39747</v>
      </c>
      <c r="E260">
        <v>0</v>
      </c>
      <c r="F260">
        <v>110.47979797979797</v>
      </c>
      <c r="G260">
        <v>331.43939393939394</v>
      </c>
      <c r="H260">
        <v>110.47979797979797</v>
      </c>
      <c r="I260">
        <v>110.47979797979797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214.00516730786711</v>
      </c>
      <c r="AO260">
        <v>15.9545167497301</v>
      </c>
      <c r="AP260">
        <v>119.10717031131476</v>
      </c>
      <c r="AQ260">
        <v>98.792991937175259</v>
      </c>
      <c r="AR260">
        <v>15.03391982741997</v>
      </c>
      <c r="AS260">
        <v>150.73975989791074</v>
      </c>
      <c r="AT260">
        <v>7.8694812920178068</v>
      </c>
      <c r="AU260">
        <v>-45.995566318639085</v>
      </c>
      <c r="AV260"/>
      <c r="AW260"/>
      <c r="FY260" s="210">
        <v>255</v>
      </c>
      <c r="FZ260">
        <v>1.7839240523432189</v>
      </c>
      <c r="GA260">
        <v>22.713446185321423</v>
      </c>
      <c r="GB260">
        <v>15.303361686763225</v>
      </c>
      <c r="GC260">
        <v>5.877404166630539</v>
      </c>
      <c r="GD260">
        <v>4.7669020599337184</v>
      </c>
      <c r="GE260">
        <v>6.9448030688084543</v>
      </c>
      <c r="GF260">
        <v>6.0879015223896369</v>
      </c>
      <c r="GG260">
        <v>2.5240154088023843</v>
      </c>
      <c r="GH260">
        <v>2.7089863762223829</v>
      </c>
      <c r="GI260">
        <v>8.4073880648601147</v>
      </c>
      <c r="GJ260"/>
      <c r="GK260"/>
      <c r="GL260"/>
      <c r="GM260"/>
    </row>
    <row r="261" spans="1:195" s="7" customFormat="1">
      <c r="A261" s="77" t="s">
        <v>62</v>
      </c>
      <c r="B261">
        <v>2.550686646748801E-2</v>
      </c>
      <c r="C261">
        <v>3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185.84964720237039</v>
      </c>
      <c r="AO261">
        <v>14.596294915806425</v>
      </c>
      <c r="AP261">
        <v>111.04486552703277</v>
      </c>
      <c r="AQ261">
        <v>87.62717255893125</v>
      </c>
      <c r="AR261">
        <v>13.408617900140399</v>
      </c>
      <c r="AS261">
        <v>131.43522520711943</v>
      </c>
      <c r="AT261" t="e">
        <v>#DIV/0!</v>
      </c>
      <c r="AU261" t="e">
        <v>#DIV/0!</v>
      </c>
      <c r="AV261"/>
      <c r="AW261"/>
      <c r="FY261" s="210">
        <v>256</v>
      </c>
      <c r="FZ261">
        <v>6.7938800270404638</v>
      </c>
      <c r="GA261">
        <v>25.503115360796464</v>
      </c>
      <c r="GB261">
        <v>22.079431857032262</v>
      </c>
      <c r="GC261">
        <v>10.371414364054495</v>
      </c>
      <c r="GD261">
        <v>4.6380654509089805</v>
      </c>
      <c r="GE261">
        <v>6.8697275086514171</v>
      </c>
      <c r="GF261">
        <v>8.241203599402823</v>
      </c>
      <c r="GG261">
        <v>5.4642964898509279</v>
      </c>
      <c r="GH261">
        <v>3.8152919990059497</v>
      </c>
      <c r="GI261">
        <v>11.368109719141071</v>
      </c>
      <c r="GJ261"/>
      <c r="GK261"/>
      <c r="GL261"/>
      <c r="GM261"/>
    </row>
    <row r="262" spans="1:195" s="7" customFormat="1" ht="12.75" customHeight="1">
      <c r="A262" s="77"/>
      <c r="B262">
        <v>0.34485498644933088</v>
      </c>
      <c r="C262">
        <v>4</v>
      </c>
      <c r="D262">
        <v>39747</v>
      </c>
      <c r="E262">
        <v>0</v>
      </c>
      <c r="F262">
        <v>188.57758620689654</v>
      </c>
      <c r="G262">
        <v>62.859195402298845</v>
      </c>
      <c r="H262">
        <v>0</v>
      </c>
      <c r="I262">
        <v>0</v>
      </c>
      <c r="J262">
        <v>28.409090909090907</v>
      </c>
      <c r="K262">
        <v>28.409090909090907</v>
      </c>
      <c r="L262">
        <v>85.22727272727272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140.11429015490393</v>
      </c>
      <c r="AO262">
        <v>12.284960710113339</v>
      </c>
      <c r="AP262">
        <v>102.05713512900223</v>
      </c>
      <c r="AQ262">
        <v>80.335040506810131</v>
      </c>
      <c r="AR262">
        <v>11.377373259959693</v>
      </c>
      <c r="AS262">
        <v>107.80016013305038</v>
      </c>
      <c r="AT262">
        <v>5.4810863554827707</v>
      </c>
      <c r="AU262">
        <v>-16.93222500766095</v>
      </c>
      <c r="AV262"/>
      <c r="AW262"/>
      <c r="FY262" s="210">
        <v>257</v>
      </c>
      <c r="FZ262">
        <v>11.71269959222537</v>
      </c>
      <c r="GA262">
        <v>34.913217712848677</v>
      </c>
      <c r="GB262">
        <v>18.697309458902971</v>
      </c>
      <c r="GC262">
        <v>6.3300874509852729</v>
      </c>
      <c r="GD262">
        <v>4.5797869944131548</v>
      </c>
      <c r="GE262">
        <v>6.4136837247760363</v>
      </c>
      <c r="GF262">
        <v>2.0322349088873888</v>
      </c>
      <c r="GG262">
        <v>2.0695819953317161</v>
      </c>
      <c r="GH262">
        <v>1.3578060336331905</v>
      </c>
      <c r="GI262">
        <v>9.6438781911050224</v>
      </c>
      <c r="GJ262"/>
      <c r="GK262"/>
      <c r="GL262"/>
      <c r="GM262"/>
    </row>
    <row r="263" spans="1:195" s="7" customFormat="1">
      <c r="A263" s="77"/>
      <c r="B263">
        <v>0.97662523039037819</v>
      </c>
      <c r="C263">
        <v>8</v>
      </c>
      <c r="D263">
        <v>39747</v>
      </c>
      <c r="E263">
        <v>0</v>
      </c>
      <c r="F263">
        <v>0</v>
      </c>
      <c r="G263">
        <v>420.67307692307696</v>
      </c>
      <c r="H263">
        <v>0</v>
      </c>
      <c r="I263">
        <v>10.416666666666666</v>
      </c>
      <c r="J263">
        <v>10.416666666666666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158.49596082622685</v>
      </c>
      <c r="AO263">
        <v>15.248982442061191</v>
      </c>
      <c r="AP263">
        <v>125.85450906633845</v>
      </c>
      <c r="AQ263">
        <v>94.445872016566852</v>
      </c>
      <c r="AR263">
        <v>14.011136376347782</v>
      </c>
      <c r="AS263">
        <v>124.60463663467871</v>
      </c>
      <c r="AT263" t="e">
        <v>#DIV/0!</v>
      </c>
      <c r="AU263" t="e">
        <v>#DIV/0!</v>
      </c>
      <c r="AV263"/>
      <c r="AW263"/>
      <c r="FY263" s="210">
        <v>258</v>
      </c>
      <c r="FZ263">
        <v>4.4897389417318276</v>
      </c>
      <c r="GA263">
        <v>30.469849483275922</v>
      </c>
      <c r="GB263">
        <v>23.314322897887063</v>
      </c>
      <c r="GC263">
        <v>7.5263527303703732</v>
      </c>
      <c r="GD263">
        <v>3.1895951716186155</v>
      </c>
      <c r="GE263">
        <v>4.9517436231826402</v>
      </c>
      <c r="GF263">
        <v>3.6312917109126719</v>
      </c>
      <c r="GG263">
        <v>2.7475371450981236</v>
      </c>
      <c r="GH263">
        <v>2.1969826534817587</v>
      </c>
      <c r="GI263">
        <v>9.3314159140769419</v>
      </c>
      <c r="GJ263"/>
      <c r="GK263"/>
      <c r="GL263"/>
      <c r="GM263"/>
    </row>
    <row r="264" spans="1:195" s="7" customFormat="1">
      <c r="A264" s="77"/>
      <c r="B264">
        <v>0.31074648046672326</v>
      </c>
      <c r="C264">
        <v>1</v>
      </c>
      <c r="D264">
        <v>39747</v>
      </c>
      <c r="E264">
        <v>0</v>
      </c>
      <c r="F264">
        <v>173.61111111111111</v>
      </c>
      <c r="G264">
        <v>347.22222222222223</v>
      </c>
      <c r="H264">
        <v>0</v>
      </c>
      <c r="I264">
        <v>0</v>
      </c>
      <c r="J264">
        <v>20.833333333333332</v>
      </c>
      <c r="K264">
        <v>20.833333333333332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147.55214398345939</v>
      </c>
      <c r="AO264">
        <v>13.301556946361433</v>
      </c>
      <c r="AP264">
        <v>93.535541593336148</v>
      </c>
      <c r="AQ264">
        <v>72.752465292991872</v>
      </c>
      <c r="AR264">
        <v>12.30368840773448</v>
      </c>
      <c r="AS264">
        <v>115.31580983451521</v>
      </c>
      <c r="AT264">
        <v>5.7016117828805077</v>
      </c>
      <c r="AU264">
        <v>-25.436113253823745</v>
      </c>
      <c r="AV264"/>
      <c r="AW264"/>
      <c r="FY264" s="210">
        <v>259</v>
      </c>
      <c r="FZ264">
        <v>3.7016746109095733</v>
      </c>
      <c r="GA264">
        <v>26.666579391121068</v>
      </c>
      <c r="GB264">
        <v>21.804435881323151</v>
      </c>
      <c r="GC264">
        <v>7.8083814304861452</v>
      </c>
      <c r="GD264">
        <v>3.3420313123353265</v>
      </c>
      <c r="GE264">
        <v>3.9200763136619368</v>
      </c>
      <c r="GF264">
        <v>2.5585048783297362</v>
      </c>
      <c r="GG264">
        <v>2.0677816378358704</v>
      </c>
      <c r="GH264">
        <v>1.161037908745131</v>
      </c>
      <c r="GI264">
        <v>8.5736894462103574</v>
      </c>
      <c r="GJ264"/>
      <c r="GK264"/>
      <c r="GL264"/>
      <c r="GM264"/>
    </row>
    <row r="265" spans="1:195" s="7" customFormat="1">
      <c r="A265" s="77"/>
      <c r="B265">
        <v>0.95931472184986077</v>
      </c>
      <c r="C265">
        <v>1</v>
      </c>
      <c r="D265">
        <v>39747</v>
      </c>
      <c r="E265">
        <v>0</v>
      </c>
      <c r="F265">
        <v>173.61111111111111</v>
      </c>
      <c r="G265">
        <v>347.22222222222223</v>
      </c>
      <c r="H265">
        <v>0</v>
      </c>
      <c r="I265">
        <v>0</v>
      </c>
      <c r="J265">
        <v>20.833333333333332</v>
      </c>
      <c r="K265">
        <v>20.833333333333332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140.45668807446236</v>
      </c>
      <c r="AO265">
        <v>16.734547870606836</v>
      </c>
      <c r="AP265">
        <v>138.62836350128026</v>
      </c>
      <c r="AQ265">
        <v>102.52675431160934</v>
      </c>
      <c r="AR265">
        <v>15.657301079594278</v>
      </c>
      <c r="AS265">
        <v>141.54758098713569</v>
      </c>
      <c r="AT265">
        <v>6.8959354360299514</v>
      </c>
      <c r="AU265">
        <v>-28.359058949345059</v>
      </c>
      <c r="AV265"/>
      <c r="AW265"/>
      <c r="FY265" s="210">
        <v>260</v>
      </c>
      <c r="FZ265">
        <v>1.2491996065414543</v>
      </c>
      <c r="GA265">
        <v>18.437014975464976</v>
      </c>
      <c r="GB265">
        <v>25.38985477333339</v>
      </c>
      <c r="GC265">
        <v>11.572691210463361</v>
      </c>
      <c r="GD265">
        <v>3.134747667530446</v>
      </c>
      <c r="GE265">
        <v>2.959426791338843</v>
      </c>
      <c r="GF265">
        <v>4.0484717117748801</v>
      </c>
      <c r="GG265">
        <v>4.1373636331675865</v>
      </c>
      <c r="GH265">
        <v>3.4230698320624482</v>
      </c>
      <c r="GI265">
        <v>9.6581438973633027</v>
      </c>
      <c r="GJ265"/>
      <c r="GK265"/>
      <c r="GL265"/>
      <c r="GM265"/>
    </row>
    <row r="266" spans="1:195" s="7" customFormat="1">
      <c r="A266" s="1"/>
      <c r="B266">
        <v>0.89205502919275959</v>
      </c>
      <c r="C266">
        <v>3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213.3448358643671</v>
      </c>
      <c r="AO266">
        <v>14.532399754900061</v>
      </c>
      <c r="AP266">
        <v>107.05987451122404</v>
      </c>
      <c r="AQ266">
        <v>88.029010885792573</v>
      </c>
      <c r="AR266">
        <v>13.276814303731598</v>
      </c>
      <c r="AS266">
        <v>131.25017665928937</v>
      </c>
      <c r="AT266">
        <v>6.9154823846093123</v>
      </c>
      <c r="AU266">
        <v>-6.4954459713066068</v>
      </c>
      <c r="AV266"/>
      <c r="AW266"/>
      <c r="FY266" s="210">
        <v>261</v>
      </c>
      <c r="FZ266">
        <v>1.5758925743312187</v>
      </c>
      <c r="GA266">
        <v>18.382023256008843</v>
      </c>
      <c r="GB266">
        <v>25.42979327613596</v>
      </c>
      <c r="GC266">
        <v>12.545983284917181</v>
      </c>
      <c r="GD266">
        <v>3.8512342842772109</v>
      </c>
      <c r="GE266">
        <v>3.2538655876333444</v>
      </c>
      <c r="GF266">
        <v>3.2175913341994358</v>
      </c>
      <c r="GG266">
        <v>2.0695819953317161</v>
      </c>
      <c r="GH266">
        <v>1.6183093455241906</v>
      </c>
      <c r="GI266">
        <v>9.6611955059460453</v>
      </c>
      <c r="GJ266"/>
      <c r="GK266"/>
      <c r="GL266"/>
      <c r="GM266"/>
    </row>
    <row r="267" spans="1:195" s="7" customFormat="1">
      <c r="A267" s="1"/>
      <c r="B267">
        <v>0.85863352338778687</v>
      </c>
      <c r="C267">
        <v>5</v>
      </c>
      <c r="D267">
        <v>39747</v>
      </c>
      <c r="E267">
        <v>0</v>
      </c>
      <c r="F267">
        <v>110.47979797979797</v>
      </c>
      <c r="G267">
        <v>331.43939393939394</v>
      </c>
      <c r="H267">
        <v>110.47979797979797</v>
      </c>
      <c r="I267">
        <v>110.47979797979797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172.80684160486643</v>
      </c>
      <c r="AO267">
        <v>11.790006502521294</v>
      </c>
      <c r="AP267">
        <v>82.511397007588783</v>
      </c>
      <c r="AQ267">
        <v>66.31874780985774</v>
      </c>
      <c r="AR267">
        <v>11.066853156135547</v>
      </c>
      <c r="AS267">
        <v>116.82608030617857</v>
      </c>
      <c r="AT267">
        <v>5.1908257290978979</v>
      </c>
      <c r="AU267">
        <v>-9.7845980390124243</v>
      </c>
      <c r="AV267"/>
      <c r="AW267"/>
      <c r="FY267" s="210">
        <v>262</v>
      </c>
      <c r="FZ267">
        <v>6.6316670223241232</v>
      </c>
      <c r="GA267">
        <v>30.271348405146334</v>
      </c>
      <c r="GB267">
        <v>28.895249990824428</v>
      </c>
      <c r="GC267">
        <v>12.694303573037356</v>
      </c>
      <c r="GD267">
        <v>4.1752839960891279</v>
      </c>
      <c r="GE267">
        <v>5.1273032068005326</v>
      </c>
      <c r="GF267">
        <v>3.5453947500597991</v>
      </c>
      <c r="GG267">
        <v>0.55170556019380068</v>
      </c>
      <c r="GH267">
        <v>1.164729201575126</v>
      </c>
      <c r="GI267">
        <v>11.437410425425455</v>
      </c>
      <c r="GJ267"/>
      <c r="GK267"/>
      <c r="GL267"/>
      <c r="GM267"/>
    </row>
    <row r="268" spans="1:195" s="7" customFormat="1">
      <c r="A268" s="1"/>
      <c r="B268">
        <v>0.13870035202820041</v>
      </c>
      <c r="C268">
        <v>4</v>
      </c>
      <c r="D268">
        <v>39775</v>
      </c>
      <c r="E268">
        <v>0</v>
      </c>
      <c r="F268">
        <v>20.833333333333332</v>
      </c>
      <c r="G268">
        <v>125</v>
      </c>
      <c r="H268">
        <v>10.416666666666666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141.23059702337528</v>
      </c>
      <c r="AO268">
        <v>9.0991770125448816</v>
      </c>
      <c r="AP268">
        <v>76.446674106928413</v>
      </c>
      <c r="AQ268">
        <v>59.977558196295838</v>
      </c>
      <c r="AR268">
        <v>8.5918110572856072</v>
      </c>
      <c r="AS268">
        <v>101.91552196373249</v>
      </c>
      <c r="AT268" t="e">
        <v>#DIV/0!</v>
      </c>
      <c r="AU268" t="e">
        <v>#DIV/0!</v>
      </c>
      <c r="AV268"/>
      <c r="AW268"/>
      <c r="FY268" s="210">
        <v>263</v>
      </c>
      <c r="FZ268">
        <v>6.7361912844503635</v>
      </c>
      <c r="GA268">
        <v>31.891286642389286</v>
      </c>
      <c r="GB268">
        <v>23.06647865504306</v>
      </c>
      <c r="GC268">
        <v>7.6710394330227523</v>
      </c>
      <c r="GD268">
        <v>3.1734714924414007</v>
      </c>
      <c r="GE268">
        <v>4.0672927055997494</v>
      </c>
      <c r="GF268">
        <v>2.4576846039021785</v>
      </c>
      <c r="GG268">
        <v>3.5245647990835094</v>
      </c>
      <c r="GH268">
        <v>4.2725634357850089</v>
      </c>
      <c r="GI268">
        <v>9.6865208437520902</v>
      </c>
      <c r="GJ268"/>
      <c r="GK268"/>
      <c r="GL268"/>
      <c r="GM268"/>
    </row>
    <row r="269" spans="1:195" s="7" customFormat="1">
      <c r="A269" s="1"/>
      <c r="B269">
        <v>0.94545647227857654</v>
      </c>
      <c r="C269">
        <v>5</v>
      </c>
      <c r="D269">
        <v>39775</v>
      </c>
      <c r="E269">
        <v>0</v>
      </c>
      <c r="F269">
        <v>20.833333333333332</v>
      </c>
      <c r="G269">
        <v>476.1904761904762</v>
      </c>
      <c r="H269">
        <v>40.178571428571431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213.41848236325831</v>
      </c>
      <c r="AO269">
        <v>17.100970789718939</v>
      </c>
      <c r="AP269">
        <v>128.35383018333326</v>
      </c>
      <c r="AQ269">
        <v>101.23529432450243</v>
      </c>
      <c r="AR269">
        <v>15.875841042279127</v>
      </c>
      <c r="AS269">
        <v>158.49251986542163</v>
      </c>
      <c r="AT269">
        <v>6.9358340421921385</v>
      </c>
      <c r="AU269">
        <v>-20.261680940559238</v>
      </c>
      <c r="AV269"/>
      <c r="AW269"/>
      <c r="FY269" s="210">
        <v>264</v>
      </c>
      <c r="FZ269">
        <v>6.9087600164411107</v>
      </c>
      <c r="GA269">
        <v>30.019003991286457</v>
      </c>
      <c r="GB269">
        <v>22.458828189413925</v>
      </c>
      <c r="GC269">
        <v>7.9083530387292011</v>
      </c>
      <c r="GD269">
        <v>2.9011550667281356</v>
      </c>
      <c r="GE269">
        <v>5.4932948266615647</v>
      </c>
      <c r="GF269">
        <v>6.9497033195396645</v>
      </c>
      <c r="GG269">
        <v>4.8171191404298401</v>
      </c>
      <c r="GH269">
        <v>3.8766499760115121</v>
      </c>
      <c r="GI269">
        <v>10.183908458348053</v>
      </c>
      <c r="GJ269"/>
      <c r="GK269"/>
      <c r="GL269"/>
      <c r="GM269"/>
    </row>
    <row r="270" spans="1:195" s="7" customFormat="1">
      <c r="A270" s="1"/>
      <c r="B270">
        <v>0.87995671182857915</v>
      </c>
      <c r="C270">
        <v>2</v>
      </c>
      <c r="D270">
        <v>39775</v>
      </c>
      <c r="E270">
        <v>0</v>
      </c>
      <c r="F270">
        <v>0</v>
      </c>
      <c r="G270">
        <v>113.63636363636363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143.74398251362646</v>
      </c>
      <c r="AO270">
        <v>12.148330244299128</v>
      </c>
      <c r="AP270">
        <v>89.846449917181332</v>
      </c>
      <c r="AQ270">
        <v>70.710340535229022</v>
      </c>
      <c r="AR270">
        <v>11.165071466426829</v>
      </c>
      <c r="AS270">
        <v>117.28446516962893</v>
      </c>
      <c r="AT270" t="e">
        <v>#DIV/0!</v>
      </c>
      <c r="AU270" t="e">
        <v>#DIV/0!</v>
      </c>
      <c r="AV270"/>
      <c r="AW270"/>
      <c r="FY270" s="210">
        <v>265</v>
      </c>
      <c r="FZ270">
        <v>9.6957365158058408</v>
      </c>
      <c r="GA270">
        <v>29.223332523182009</v>
      </c>
      <c r="GB270">
        <v>30.166898662721284</v>
      </c>
      <c r="GC270">
        <v>13.713656915655912</v>
      </c>
      <c r="GD270">
        <v>3.8301889091868593</v>
      </c>
      <c r="GE270">
        <v>5.765053864244325</v>
      </c>
      <c r="GF270">
        <v>5.1361818579325007</v>
      </c>
      <c r="GG270">
        <v>3.396514852015057</v>
      </c>
      <c r="GH270">
        <v>3.2979766680539448</v>
      </c>
      <c r="GI270">
        <v>12.660135004679292</v>
      </c>
      <c r="GJ270"/>
      <c r="GK270"/>
      <c r="GL270"/>
      <c r="GM270"/>
    </row>
    <row r="271" spans="1:195" s="7" customFormat="1">
      <c r="A271" s="77"/>
      <c r="B271">
        <v>0.829954770530696</v>
      </c>
      <c r="C271">
        <v>6</v>
      </c>
      <c r="D271">
        <v>39775</v>
      </c>
      <c r="E271">
        <v>0</v>
      </c>
      <c r="F271">
        <v>20.833333333333332</v>
      </c>
      <c r="G271">
        <v>52.083333333333336</v>
      </c>
      <c r="H271">
        <v>20.833333333333332</v>
      </c>
      <c r="I271">
        <v>0</v>
      </c>
      <c r="J271">
        <v>10.416666666666666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228.14235126707158</v>
      </c>
      <c r="AO271">
        <v>12.435074047843756</v>
      </c>
      <c r="AP271">
        <v>94.174500438761868</v>
      </c>
      <c r="AQ271">
        <v>77.118132592075099</v>
      </c>
      <c r="AR271">
        <v>11.541549278341197</v>
      </c>
      <c r="AS271">
        <v>148.72540619062198</v>
      </c>
      <c r="AT271">
        <v>5.4496155844247065</v>
      </c>
      <c r="AU271">
        <v>-9.0709986958312339</v>
      </c>
      <c r="AV271"/>
      <c r="AW271"/>
      <c r="FY271" s="210">
        <v>266</v>
      </c>
      <c r="FZ271">
        <v>0.64934311680501622</v>
      </c>
      <c r="GA271">
        <v>17.075836637316851</v>
      </c>
      <c r="GB271">
        <v>24.084467546869071</v>
      </c>
      <c r="GC271">
        <v>11.905828118376943</v>
      </c>
      <c r="GD271">
        <v>5.0635279679999137</v>
      </c>
      <c r="GE271">
        <v>5.8555050897720591</v>
      </c>
      <c r="GF271">
        <v>2.3717876430493057</v>
      </c>
      <c r="GG271">
        <v>2.2913033741316107</v>
      </c>
      <c r="GH271">
        <v>2.8407052312748844</v>
      </c>
      <c r="GI271">
        <v>9.9167827339944772</v>
      </c>
      <c r="GJ271"/>
      <c r="GK271"/>
      <c r="GL271"/>
      <c r="GM271"/>
    </row>
    <row r="272" spans="1:195" s="7" customFormat="1">
      <c r="A272" s="77"/>
      <c r="B272">
        <v>0.51434814703545872</v>
      </c>
      <c r="C272">
        <v>9</v>
      </c>
      <c r="D272">
        <v>39775</v>
      </c>
      <c r="E272">
        <v>0</v>
      </c>
      <c r="F272">
        <v>0</v>
      </c>
      <c r="G272">
        <v>83.333333333333329</v>
      </c>
      <c r="H272">
        <v>10.416666666666666</v>
      </c>
      <c r="I272">
        <v>0</v>
      </c>
      <c r="J272">
        <v>10.416666666666666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240.02705164530025</v>
      </c>
      <c r="AO272">
        <v>17.072321903566767</v>
      </c>
      <c r="AP272">
        <v>130.88062020046536</v>
      </c>
      <c r="AQ272">
        <v>105.14453637588487</v>
      </c>
      <c r="AR272">
        <v>15.732228364766568</v>
      </c>
      <c r="AS272">
        <v>168.89872591141656</v>
      </c>
      <c r="AT272">
        <v>7.5594111181650616</v>
      </c>
      <c r="AU272">
        <v>-23.681071277731238</v>
      </c>
      <c r="AV272"/>
      <c r="AW272"/>
      <c r="FY272" s="210">
        <v>267</v>
      </c>
      <c r="FZ272">
        <v>1.5372654780876265</v>
      </c>
      <c r="GA272">
        <v>21.890727014521179</v>
      </c>
      <c r="GB272">
        <v>18.801017807784998</v>
      </c>
      <c r="GC272">
        <v>6.4783902248278169</v>
      </c>
      <c r="GD272">
        <v>3.309462731306787</v>
      </c>
      <c r="GE272">
        <v>5.5558725936970106</v>
      </c>
      <c r="GF272">
        <v>7.2543137276727618</v>
      </c>
      <c r="GG272">
        <v>6.2051452710034569</v>
      </c>
      <c r="GH272">
        <v>5.1051143645895785</v>
      </c>
      <c r="GI272">
        <v>8.9627687801780134</v>
      </c>
      <c r="GJ272"/>
      <c r="GK272"/>
      <c r="GL272"/>
      <c r="GM272"/>
    </row>
    <row r="273" spans="1:195" s="7" customFormat="1">
      <c r="A273" s="1"/>
      <c r="B273">
        <v>6.3928946749265414E-2</v>
      </c>
      <c r="C273">
        <v>5</v>
      </c>
      <c r="D273">
        <v>39775</v>
      </c>
      <c r="E273">
        <v>0</v>
      </c>
      <c r="F273">
        <v>20.833333333333332</v>
      </c>
      <c r="G273">
        <v>476.1904761904762</v>
      </c>
      <c r="H273">
        <v>40.178571428571431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195.28773177701825</v>
      </c>
      <c r="AO273">
        <v>14.470124678536967</v>
      </c>
      <c r="AP273">
        <v>118.071776496526</v>
      </c>
      <c r="AQ273">
        <v>97.750286063108803</v>
      </c>
      <c r="AR273">
        <v>13.459926344955178</v>
      </c>
      <c r="AS273">
        <v>147.80052235663879</v>
      </c>
      <c r="AT273">
        <v>7.0024457610530391</v>
      </c>
      <c r="AU273">
        <v>-23.868736600247974</v>
      </c>
      <c r="AV273"/>
      <c r="AW273"/>
      <c r="FY273" s="210">
        <v>268</v>
      </c>
      <c r="FZ273">
        <v>4.1425926613879129</v>
      </c>
      <c r="GA273">
        <v>25.805516822911713</v>
      </c>
      <c r="GB273">
        <v>18.299368522890312</v>
      </c>
      <c r="GC273">
        <v>6.8128223384277868</v>
      </c>
      <c r="GD273">
        <v>4.3341109383750256</v>
      </c>
      <c r="GE273">
        <v>6.6174469808298815</v>
      </c>
      <c r="GF273">
        <v>4.8166481362247184</v>
      </c>
      <c r="GG273">
        <v>1.9723098486085839</v>
      </c>
      <c r="GH273">
        <v>2.1266217754348196</v>
      </c>
      <c r="GI273">
        <v>8.9259224176889056</v>
      </c>
      <c r="GJ273"/>
      <c r="GK273"/>
      <c r="GL273"/>
      <c r="GM273"/>
    </row>
    <row r="274" spans="1:195" s="7" customFormat="1">
      <c r="A274" s="1"/>
      <c r="B274">
        <v>0.5523921138819825</v>
      </c>
      <c r="C274">
        <v>3</v>
      </c>
      <c r="D274">
        <v>39775</v>
      </c>
      <c r="E274">
        <v>0</v>
      </c>
      <c r="F274">
        <v>0</v>
      </c>
      <c r="G274">
        <v>1354.1666666666667</v>
      </c>
      <c r="H274">
        <v>10.416666666666666</v>
      </c>
      <c r="I274">
        <v>0</v>
      </c>
      <c r="J274">
        <v>0</v>
      </c>
      <c r="K274">
        <v>10.416666666666666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178.72790663348803</v>
      </c>
      <c r="AO274">
        <v>14.02427355569127</v>
      </c>
      <c r="AP274">
        <v>118.18880867108881</v>
      </c>
      <c r="AQ274">
        <v>91.848830271635947</v>
      </c>
      <c r="AR274">
        <v>12.943492718650766</v>
      </c>
      <c r="AS274">
        <v>140.25865501029116</v>
      </c>
      <c r="AT274" t="e">
        <v>#DIV/0!</v>
      </c>
      <c r="AU274" t="e">
        <v>#DIV/0!</v>
      </c>
      <c r="AV274"/>
      <c r="AW274"/>
      <c r="FY274" s="210">
        <v>269</v>
      </c>
      <c r="FZ274">
        <v>3.8964441534194929</v>
      </c>
      <c r="GA274">
        <v>25.970133155548268</v>
      </c>
      <c r="GB274">
        <v>26.063471852667142</v>
      </c>
      <c r="GC274">
        <v>11.869787790445329</v>
      </c>
      <c r="GD274">
        <v>4.3748705702318542</v>
      </c>
      <c r="GE274">
        <v>9.2839542393416465</v>
      </c>
      <c r="GF274">
        <v>12.043428118044799</v>
      </c>
      <c r="GG274">
        <v>4.3572846544716359</v>
      </c>
      <c r="GH274">
        <v>3.4831137262353935</v>
      </c>
      <c r="GI274">
        <v>12.486944452832935</v>
      </c>
      <c r="GJ274"/>
      <c r="GK274"/>
      <c r="GL274"/>
      <c r="GM274"/>
    </row>
    <row r="275" spans="1:195" s="7" customFormat="1">
      <c r="A275" s="1"/>
      <c r="B275">
        <v>0.3453800749385163</v>
      </c>
      <c r="C275">
        <v>8</v>
      </c>
      <c r="D275">
        <v>39775</v>
      </c>
      <c r="E275">
        <v>0</v>
      </c>
      <c r="F275">
        <v>208.33333333333334</v>
      </c>
      <c r="G275">
        <v>711.80555555555554</v>
      </c>
      <c r="H275">
        <v>69.444444444444443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149.58434948172774</v>
      </c>
      <c r="AO275">
        <v>12.860473657249752</v>
      </c>
      <c r="AP275">
        <v>104.24912133059281</v>
      </c>
      <c r="AQ275">
        <v>81.604192810958295</v>
      </c>
      <c r="AR275">
        <v>11.939405899316375</v>
      </c>
      <c r="AS275">
        <v>116.46246202769386</v>
      </c>
      <c r="AT275" t="e">
        <v>#DIV/0!</v>
      </c>
      <c r="AU275" t="e">
        <v>#DIV/0!</v>
      </c>
      <c r="AV275"/>
      <c r="AW275"/>
      <c r="FY275" s="210">
        <v>270</v>
      </c>
      <c r="FZ275">
        <v>3.9791328308888314</v>
      </c>
      <c r="GA275">
        <v>27.010608622826787</v>
      </c>
      <c r="GB275">
        <v>19.643502627444114</v>
      </c>
      <c r="GC275">
        <v>6.6305805910502293</v>
      </c>
      <c r="GD275">
        <v>4.4309440514114247</v>
      </c>
      <c r="GE275">
        <v>10.070943010180834</v>
      </c>
      <c r="GF275">
        <v>10.296631516017481</v>
      </c>
      <c r="GG275">
        <v>4.7216473512025523</v>
      </c>
      <c r="GH275">
        <v>4.1371532879025121</v>
      </c>
      <c r="GI275">
        <v>10.647569793105323</v>
      </c>
      <c r="GJ275"/>
      <c r="GK275"/>
      <c r="GL275"/>
      <c r="GM275"/>
    </row>
    <row r="276" spans="1:195" s="7" customFormat="1">
      <c r="A276" s="1"/>
      <c r="B276">
        <v>0.44080684444265961</v>
      </c>
      <c r="C276">
        <v>6</v>
      </c>
      <c r="D276">
        <v>39775</v>
      </c>
      <c r="E276">
        <v>0</v>
      </c>
      <c r="F276">
        <v>20.833333333333332</v>
      </c>
      <c r="G276">
        <v>52.083333333333336</v>
      </c>
      <c r="H276">
        <v>20.833333333333332</v>
      </c>
      <c r="I276">
        <v>0</v>
      </c>
      <c r="J276">
        <v>10.416666666666666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145.62081383160282</v>
      </c>
      <c r="AO276">
        <v>14.50995811382036</v>
      </c>
      <c r="AP276">
        <v>110.78684761246258</v>
      </c>
      <c r="AQ276">
        <v>84.009984099040693</v>
      </c>
      <c r="AR276">
        <v>13.576224894979333</v>
      </c>
      <c r="AS276">
        <v>126.1049644810025</v>
      </c>
      <c r="AT276">
        <v>6.428284837949767</v>
      </c>
      <c r="AU276">
        <v>-69.096199495132751</v>
      </c>
      <c r="AV276"/>
      <c r="AW276"/>
      <c r="FY276" s="210">
        <v>271</v>
      </c>
      <c r="FZ276">
        <v>4.382440786329628</v>
      </c>
      <c r="GA276">
        <v>28.068606294907514</v>
      </c>
      <c r="GB276">
        <v>21.913652622906096</v>
      </c>
      <c r="GC276">
        <v>8.0464323424284316</v>
      </c>
      <c r="GD276">
        <v>2.3402207982027976</v>
      </c>
      <c r="GE276">
        <v>6.570253864212722</v>
      </c>
      <c r="GF276">
        <v>10.989813386734893</v>
      </c>
      <c r="GG276">
        <v>3.8073794517736808</v>
      </c>
      <c r="GH276">
        <v>4.5841077408075783</v>
      </c>
      <c r="GI276">
        <v>10.278930343247474</v>
      </c>
      <c r="GJ276"/>
      <c r="GK276"/>
      <c r="GL276"/>
      <c r="GM276"/>
    </row>
    <row r="277" spans="1:195" s="7" customFormat="1">
      <c r="A277" s="1"/>
      <c r="B277">
        <v>0.33109769103128706</v>
      </c>
      <c r="C277">
        <v>4</v>
      </c>
      <c r="D277">
        <v>39775</v>
      </c>
      <c r="E277">
        <v>0</v>
      </c>
      <c r="F277">
        <v>20.833333333333332</v>
      </c>
      <c r="G277">
        <v>125</v>
      </c>
      <c r="H277">
        <v>10.416666666666666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165.48348977760708</v>
      </c>
      <c r="AO277">
        <v>14.4902395071715</v>
      </c>
      <c r="AP277">
        <v>105.36037454069405</v>
      </c>
      <c r="AQ277">
        <v>81.605470444305155</v>
      </c>
      <c r="AR277">
        <v>13.497341264853301</v>
      </c>
      <c r="AS277">
        <v>132.47613683995158</v>
      </c>
      <c r="AT277">
        <v>6.0936923577627615</v>
      </c>
      <c r="AU277">
        <v>-22.317492308270023</v>
      </c>
      <c r="AV277"/>
      <c r="AW277"/>
      <c r="FY277" s="210">
        <v>272</v>
      </c>
      <c r="FZ277">
        <v>0.78958513557887855</v>
      </c>
      <c r="GA277">
        <v>27.33388424973942</v>
      </c>
      <c r="GB277">
        <v>33.59461592202193</v>
      </c>
      <c r="GC277">
        <v>13.511564578696806</v>
      </c>
      <c r="GD277">
        <v>3.642766140825981</v>
      </c>
      <c r="GE277">
        <v>6.1024724678009914</v>
      </c>
      <c r="GF277">
        <v>4.6448542145189728</v>
      </c>
      <c r="GG277">
        <v>4.2508222093734691</v>
      </c>
      <c r="GH277">
        <v>6.5843222694012775</v>
      </c>
      <c r="GI277">
        <v>12.55493762940668</v>
      </c>
      <c r="GJ277"/>
      <c r="GK277"/>
      <c r="GL277"/>
      <c r="GM277"/>
    </row>
    <row r="278" spans="1:195" s="7" customFormat="1">
      <c r="A278" s="1"/>
      <c r="B278">
        <v>0.94868079886669765</v>
      </c>
      <c r="C278">
        <v>10</v>
      </c>
      <c r="D278">
        <v>39799</v>
      </c>
      <c r="E278">
        <v>0</v>
      </c>
      <c r="F278">
        <v>31.25</v>
      </c>
      <c r="G278">
        <v>156.25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261.52117590759593</v>
      </c>
      <c r="AO278">
        <v>17.101081741511376</v>
      </c>
      <c r="AP278">
        <v>132.69711800660548</v>
      </c>
      <c r="AQ278">
        <v>104.49439613147609</v>
      </c>
      <c r="AR278">
        <v>15.870358600352606</v>
      </c>
      <c r="AS278">
        <v>168.30171810237377</v>
      </c>
      <c r="AT278" t="e">
        <v>#DIV/0!</v>
      </c>
      <c r="AU278" t="e">
        <v>#DIV/0!</v>
      </c>
      <c r="AV278"/>
      <c r="AW278"/>
      <c r="FY278" s="210">
        <v>273</v>
      </c>
      <c r="FZ278">
        <v>1.2522285554782173</v>
      </c>
      <c r="GA278">
        <v>20.628848801049337</v>
      </c>
      <c r="GB278">
        <v>19.245901291495752</v>
      </c>
      <c r="GC278">
        <v>7.1385896349168441</v>
      </c>
      <c r="GD278">
        <v>3.7316620058676602</v>
      </c>
      <c r="GE278">
        <v>7.0747737329278486</v>
      </c>
      <c r="GF278">
        <v>5.7941935213769868</v>
      </c>
      <c r="GG278">
        <v>2.1632534270631583</v>
      </c>
      <c r="GH278">
        <v>1.161037908745131</v>
      </c>
      <c r="GI278">
        <v>8.4017919779028905</v>
      </c>
      <c r="GJ278"/>
      <c r="GK278"/>
      <c r="GL278"/>
      <c r="GM278"/>
    </row>
    <row r="279" spans="1:195" s="7" customFormat="1">
      <c r="A279" s="1"/>
      <c r="B279">
        <v>0.76795136788173135</v>
      </c>
      <c r="C279">
        <v>5</v>
      </c>
      <c r="D279">
        <v>39799</v>
      </c>
      <c r="E279">
        <v>0</v>
      </c>
      <c r="F279">
        <v>140.22435897435898</v>
      </c>
      <c r="G279">
        <v>70.112179487179489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189.4499321557235</v>
      </c>
      <c r="AO279">
        <v>14.398388139634514</v>
      </c>
      <c r="AP279">
        <v>123.27540238792288</v>
      </c>
      <c r="AQ279">
        <v>96.547093895469402</v>
      </c>
      <c r="AR279">
        <v>13.494515314278395</v>
      </c>
      <c r="AS279">
        <v>153.41086642788326</v>
      </c>
      <c r="AT279">
        <v>6.4306987917708796</v>
      </c>
      <c r="AU279">
        <v>-16.490884848685958</v>
      </c>
      <c r="AV279"/>
      <c r="AW279"/>
      <c r="FY279" s="210">
        <v>274</v>
      </c>
      <c r="FZ279">
        <v>6.8350322686702416</v>
      </c>
      <c r="GA279">
        <v>26.52788709638498</v>
      </c>
      <c r="GB279">
        <v>17.639846375980703</v>
      </c>
      <c r="GC279">
        <v>7.5256376154808589</v>
      </c>
      <c r="GD279">
        <v>3.7477487546887369</v>
      </c>
      <c r="GE279">
        <v>4.8466946570002865</v>
      </c>
      <c r="GF279">
        <v>5.678449933374746</v>
      </c>
      <c r="GG279">
        <v>4.4527564436989238</v>
      </c>
      <c r="GH279">
        <v>3.8049750151319559</v>
      </c>
      <c r="GI279">
        <v>9.2290164355971509</v>
      </c>
      <c r="GJ279"/>
      <c r="GK279"/>
      <c r="GL279"/>
      <c r="GM279"/>
    </row>
    <row r="280" spans="1:195" s="7" customFormat="1">
      <c r="A280" s="1"/>
      <c r="B280">
        <v>0.17226861097857959</v>
      </c>
      <c r="C280">
        <v>4</v>
      </c>
      <c r="D280">
        <v>39799</v>
      </c>
      <c r="E280">
        <v>292.44652406417111</v>
      </c>
      <c r="F280">
        <v>584.89304812834223</v>
      </c>
      <c r="G280">
        <v>877.33957219251329</v>
      </c>
      <c r="H280">
        <v>0</v>
      </c>
      <c r="I280">
        <v>0</v>
      </c>
      <c r="J280">
        <v>0</v>
      </c>
      <c r="K280">
        <v>37.878787878787875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208.02630840462226</v>
      </c>
      <c r="AO280">
        <v>15.199609873305343</v>
      </c>
      <c r="AP280">
        <v>129.28164876997596</v>
      </c>
      <c r="AQ280">
        <v>101.51677602358947</v>
      </c>
      <c r="AR280">
        <v>14.020257458876447</v>
      </c>
      <c r="AS280">
        <v>161.63341612870116</v>
      </c>
      <c r="AT280">
        <v>6.8772746683212551</v>
      </c>
      <c r="AU280">
        <v>-20.86601833813998</v>
      </c>
      <c r="AV280"/>
      <c r="AW280"/>
      <c r="FY280" s="210">
        <v>275</v>
      </c>
      <c r="FZ280">
        <v>3.9821617798255953</v>
      </c>
      <c r="GA280">
        <v>25.275402994463789</v>
      </c>
      <c r="GB280">
        <v>22.349938761336364</v>
      </c>
      <c r="GC280">
        <v>9.0599704682535123</v>
      </c>
      <c r="GD280">
        <v>3.1865664952345996</v>
      </c>
      <c r="GE280">
        <v>3.177296277425302</v>
      </c>
      <c r="GF280">
        <v>3.845756370494553</v>
      </c>
      <c r="GG280">
        <v>4.3590850119674815</v>
      </c>
      <c r="GH280">
        <v>3.3580205622268897</v>
      </c>
      <c r="GI280">
        <v>9.2520892029048554</v>
      </c>
      <c r="GJ280"/>
      <c r="GK280"/>
      <c r="GL280"/>
      <c r="GM280"/>
    </row>
    <row r="281" spans="1:195" s="7" customFormat="1">
      <c r="A281" s="1"/>
      <c r="B281">
        <v>4.2563602413464352E-2</v>
      </c>
      <c r="C281">
        <v>2</v>
      </c>
      <c r="D281">
        <v>39799</v>
      </c>
      <c r="E281">
        <v>10.416666666666666</v>
      </c>
      <c r="F281">
        <v>62.5</v>
      </c>
      <c r="G281">
        <v>166.66666666666666</v>
      </c>
      <c r="H281">
        <v>20.833333333333332</v>
      </c>
      <c r="I281">
        <v>0</v>
      </c>
      <c r="J281">
        <v>10.416666666666666</v>
      </c>
      <c r="K281">
        <v>10.416666666666666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226.53632246762663</v>
      </c>
      <c r="AO281">
        <v>18.945471668755697</v>
      </c>
      <c r="AP281">
        <v>148.29129605520905</v>
      </c>
      <c r="AQ281">
        <v>116.88567577347703</v>
      </c>
      <c r="AR281">
        <v>17.615265290514266</v>
      </c>
      <c r="AS281">
        <v>171.93213693413247</v>
      </c>
      <c r="AT281">
        <v>8.2266827936527118</v>
      </c>
      <c r="AU281">
        <v>-24.373122128454362</v>
      </c>
      <c r="AV281"/>
      <c r="AW281"/>
      <c r="FY281" s="210">
        <v>276</v>
      </c>
      <c r="FZ281">
        <v>0.83970148330985428</v>
      </c>
      <c r="GA281">
        <v>21.870805106936622</v>
      </c>
      <c r="GB281">
        <v>22.390456149100416</v>
      </c>
      <c r="GC281">
        <v>9.687064708084586</v>
      </c>
      <c r="GD281">
        <v>3.1386987862566986</v>
      </c>
      <c r="GE281">
        <v>1.0311710812967267</v>
      </c>
      <c r="GF281">
        <v>3.2576435619030413</v>
      </c>
      <c r="GG281">
        <v>6.142251639617335</v>
      </c>
      <c r="GH281">
        <v>4.3939653069635174</v>
      </c>
      <c r="GI281">
        <v>8.8294241401212048</v>
      </c>
      <c r="GJ281"/>
      <c r="GK281"/>
      <c r="GL281"/>
      <c r="GM281"/>
    </row>
    <row r="282" spans="1:195" s="7" customFormat="1">
      <c r="A282" s="1"/>
      <c r="B282">
        <v>0.54565479687734086</v>
      </c>
      <c r="C282">
        <v>4</v>
      </c>
      <c r="D282">
        <v>39799</v>
      </c>
      <c r="E282">
        <v>292.44652406417111</v>
      </c>
      <c r="F282">
        <v>584.89304812834223</v>
      </c>
      <c r="G282">
        <v>877.33957219251329</v>
      </c>
      <c r="H282">
        <v>0</v>
      </c>
      <c r="I282">
        <v>0</v>
      </c>
      <c r="J282">
        <v>0</v>
      </c>
      <c r="K282">
        <v>37.878787878787875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199.22797015309106</v>
      </c>
      <c r="AO282">
        <v>14.896107035842007</v>
      </c>
      <c r="AP282">
        <v>102.30809532064141</v>
      </c>
      <c r="AQ282">
        <v>82.05508745959014</v>
      </c>
      <c r="AR282">
        <v>13.83895034428099</v>
      </c>
      <c r="AS282">
        <v>141.94346633975141</v>
      </c>
      <c r="AT282">
        <v>5.9213787097192387</v>
      </c>
      <c r="AU282">
        <v>-37.143869552175659</v>
      </c>
      <c r="AV282"/>
      <c r="AW282"/>
      <c r="FY282" s="210">
        <v>277</v>
      </c>
      <c r="FZ282">
        <v>4.8009061470307222</v>
      </c>
      <c r="GA282">
        <v>10.460014577941966</v>
      </c>
      <c r="GB282">
        <v>14.916030419681444</v>
      </c>
      <c r="GC282">
        <v>9.4972520298801992</v>
      </c>
      <c r="GD282">
        <v>3.9340266463661537</v>
      </c>
      <c r="GE282">
        <v>4.7545186977887273</v>
      </c>
      <c r="GF282">
        <v>3.119945055045009</v>
      </c>
      <c r="GG282">
        <v>2.2913033741316107</v>
      </c>
      <c r="GH282">
        <v>3.1012085431658845</v>
      </c>
      <c r="GI282">
        <v>7.7522045874158003</v>
      </c>
      <c r="GJ282"/>
      <c r="GK282"/>
      <c r="GL282"/>
      <c r="GM282"/>
    </row>
    <row r="283" spans="1:195" s="7" customFormat="1">
      <c r="A283" s="1"/>
      <c r="B283">
        <v>0.3373027154441397</v>
      </c>
      <c r="C283">
        <v>10</v>
      </c>
      <c r="D283">
        <v>39799</v>
      </c>
      <c r="E283">
        <v>0</v>
      </c>
      <c r="F283">
        <v>31.25</v>
      </c>
      <c r="G283">
        <v>156.25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193.63610520997929</v>
      </c>
      <c r="AO283">
        <v>13.276526016139268</v>
      </c>
      <c r="AP283">
        <v>108.56774703611626</v>
      </c>
      <c r="AQ283">
        <v>85.100077993669231</v>
      </c>
      <c r="AR283">
        <v>12.38542273445935</v>
      </c>
      <c r="AS283">
        <v>143.31068760250207</v>
      </c>
      <c r="AT283">
        <v>5.8983016579515128</v>
      </c>
      <c r="AU283">
        <v>-3.2192388549480411</v>
      </c>
      <c r="AV283"/>
      <c r="AW283"/>
      <c r="FY283" s="210">
        <v>278</v>
      </c>
      <c r="FZ283">
        <v>1.4773066007377114</v>
      </c>
      <c r="GA283">
        <v>19.451902841451979</v>
      </c>
      <c r="GB283">
        <v>19.320040038253371</v>
      </c>
      <c r="GC283">
        <v>8.7091681887390209</v>
      </c>
      <c r="GD283">
        <v>4.6236861770548048</v>
      </c>
      <c r="GE283">
        <v>4.8827278449983185</v>
      </c>
      <c r="GF283">
        <v>1.9303398420346187</v>
      </c>
      <c r="GG283">
        <v>1.5160760776420703</v>
      </c>
      <c r="GH283">
        <v>1.161037908745131</v>
      </c>
      <c r="GI283">
        <v>8.2517368395202979</v>
      </c>
      <c r="GJ283"/>
      <c r="GK283"/>
      <c r="GL283"/>
      <c r="GM283"/>
    </row>
    <row r="284" spans="1:195" s="7" customFormat="1">
      <c r="A284" s="1"/>
      <c r="B284">
        <v>0.78221440902348571</v>
      </c>
      <c r="C284">
        <v>7</v>
      </c>
      <c r="D284">
        <v>39799</v>
      </c>
      <c r="E284">
        <v>0</v>
      </c>
      <c r="F284">
        <v>0</v>
      </c>
      <c r="G284">
        <v>0</v>
      </c>
      <c r="H284">
        <v>10.416666666666666</v>
      </c>
      <c r="I284">
        <v>0</v>
      </c>
      <c r="J284">
        <v>0</v>
      </c>
      <c r="K284">
        <v>0</v>
      </c>
      <c r="L284">
        <v>10.416666666666666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203.65205937456932</v>
      </c>
      <c r="AO284">
        <v>13.269189884152297</v>
      </c>
      <c r="AP284">
        <v>103.2966858763253</v>
      </c>
      <c r="AQ284">
        <v>83.85336044277966</v>
      </c>
      <c r="AR284">
        <v>12.294490612188511</v>
      </c>
      <c r="AS284">
        <v>131.30702289824578</v>
      </c>
      <c r="AT284">
        <v>5.5400697614569703</v>
      </c>
      <c r="AU284">
        <v>-10.210681260058223</v>
      </c>
      <c r="AV284"/>
      <c r="AW284"/>
      <c r="FY284" s="210">
        <v>279</v>
      </c>
      <c r="FZ284">
        <v>4.193219075406061</v>
      </c>
      <c r="GA284">
        <v>25.809276051494844</v>
      </c>
      <c r="GB284">
        <v>25.95418765736996</v>
      </c>
      <c r="GC284">
        <v>11.132863529761311</v>
      </c>
      <c r="GD284">
        <v>4.4275755431009527</v>
      </c>
      <c r="GE284">
        <v>6.5667787585252642</v>
      </c>
      <c r="GF284">
        <v>4.8166481362247184</v>
      </c>
      <c r="GG284">
        <v>3.616435873319106</v>
      </c>
      <c r="GH284">
        <v>4.5841077408075783</v>
      </c>
      <c r="GI284">
        <v>11.297037842792134</v>
      </c>
      <c r="GJ284"/>
      <c r="GK284"/>
      <c r="GL284"/>
      <c r="GM284"/>
    </row>
    <row r="285" spans="1:195" s="7" customFormat="1">
      <c r="A285" s="1"/>
      <c r="B285">
        <v>0.47178433445345558</v>
      </c>
      <c r="C285">
        <v>1</v>
      </c>
      <c r="D285">
        <v>39799</v>
      </c>
      <c r="E285">
        <v>0</v>
      </c>
      <c r="F285">
        <v>0</v>
      </c>
      <c r="G285">
        <v>83.333333333333329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243.64867980314253</v>
      </c>
      <c r="AO285">
        <v>18.978940615417468</v>
      </c>
      <c r="AP285">
        <v>145.02409771419406</v>
      </c>
      <c r="AQ285">
        <v>113.82943271323849</v>
      </c>
      <c r="AR285">
        <v>17.099927559525291</v>
      </c>
      <c r="AS285">
        <v>155.8797732090926</v>
      </c>
      <c r="AT285" t="e">
        <v>#DIV/0!</v>
      </c>
      <c r="AU285" t="e">
        <v>#DIV/0!</v>
      </c>
      <c r="AV285"/>
      <c r="AW285"/>
      <c r="FY285" s="210">
        <v>280</v>
      </c>
      <c r="FZ285">
        <v>1.559863008289772</v>
      </c>
      <c r="GA285">
        <v>22.912012794209712</v>
      </c>
      <c r="GB285">
        <v>25.515816534442813</v>
      </c>
      <c r="GC285">
        <v>10.251418499796944</v>
      </c>
      <c r="GD285">
        <v>2.9097735406412926</v>
      </c>
      <c r="GE285">
        <v>4.0407339696484037</v>
      </c>
      <c r="GF285">
        <v>4.274380060782474</v>
      </c>
      <c r="GG285">
        <v>4.3916631698086466</v>
      </c>
      <c r="GH285">
        <v>5.880555797435207</v>
      </c>
      <c r="GI285">
        <v>10.032010716683308</v>
      </c>
      <c r="GJ285"/>
      <c r="GK285"/>
      <c r="GL285"/>
      <c r="GM285"/>
    </row>
    <row r="286" spans="1:195" s="7" customFormat="1">
      <c r="A286" s="1"/>
      <c r="B286">
        <v>0.64263197801687122</v>
      </c>
      <c r="C286">
        <v>6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273.2485005944277</v>
      </c>
      <c r="AO286">
        <v>15.929241464489843</v>
      </c>
      <c r="AP286">
        <v>126.41281952419305</v>
      </c>
      <c r="AQ286">
        <v>101.56871368203008</v>
      </c>
      <c r="AR286">
        <v>14.537413071583551</v>
      </c>
      <c r="AS286">
        <v>152.88948923685061</v>
      </c>
      <c r="AT286">
        <v>6.4629053111087869</v>
      </c>
      <c r="AU286">
        <v>-6.4124880600740575</v>
      </c>
      <c r="AV286"/>
      <c r="AW286"/>
      <c r="FY286" s="210">
        <v>281</v>
      </c>
      <c r="FZ286">
        <v>4.041239057255039</v>
      </c>
      <c r="GA286">
        <v>30.248798664953448</v>
      </c>
      <c r="GB286">
        <v>26.928970238145844</v>
      </c>
      <c r="GC286">
        <v>11.453449411786472</v>
      </c>
      <c r="GD286">
        <v>4.7033186398350901</v>
      </c>
      <c r="GE286">
        <v>5.4437094741876972</v>
      </c>
      <c r="GF286">
        <v>5.0342867910797304</v>
      </c>
      <c r="GG286">
        <v>1.9741102061044287</v>
      </c>
      <c r="GH286">
        <v>1.3578060336331905</v>
      </c>
      <c r="GI286">
        <v>11.232639239933505</v>
      </c>
      <c r="GJ286"/>
      <c r="GK286"/>
      <c r="GL286"/>
      <c r="GM286"/>
    </row>
    <row r="287" spans="1:195" s="7" customFormat="1">
      <c r="A287" s="1"/>
      <c r="B287">
        <v>0.22874964727310676</v>
      </c>
      <c r="C287">
        <v>4</v>
      </c>
      <c r="D287">
        <v>39799</v>
      </c>
      <c r="E287">
        <v>292.44652406417111</v>
      </c>
      <c r="F287">
        <v>584.89304812834223</v>
      </c>
      <c r="G287">
        <v>877.33957219251329</v>
      </c>
      <c r="H287">
        <v>0</v>
      </c>
      <c r="I287">
        <v>0</v>
      </c>
      <c r="J287">
        <v>0</v>
      </c>
      <c r="K287">
        <v>37.878787878787875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205.30096257714268</v>
      </c>
      <c r="AO287">
        <v>15.377194654243798</v>
      </c>
      <c r="AP287">
        <v>131.04406338634064</v>
      </c>
      <c r="AQ287">
        <v>100.9818376315508</v>
      </c>
      <c r="AR287">
        <v>13.946804530516722</v>
      </c>
      <c r="AS287">
        <v>134.35574928690076</v>
      </c>
      <c r="AT287">
        <v>6.5688430160408435</v>
      </c>
      <c r="AU287">
        <v>-12.606033008925968</v>
      </c>
      <c r="AV287"/>
      <c r="AW287"/>
      <c r="FY287" s="210">
        <v>282</v>
      </c>
      <c r="FZ287">
        <v>0.69807092969664675</v>
      </c>
      <c r="GA287">
        <v>20.170418616575652</v>
      </c>
      <c r="GB287">
        <v>21.439534553830249</v>
      </c>
      <c r="GC287">
        <v>8.5404976563469948</v>
      </c>
      <c r="GD287">
        <v>3.8792369007220597</v>
      </c>
      <c r="GE287">
        <v>6.8374561059961945</v>
      </c>
      <c r="GF287">
        <v>4.9483898302268585</v>
      </c>
      <c r="GG287">
        <v>3.160202102352593</v>
      </c>
      <c r="GH287">
        <v>4.8446110526985784</v>
      </c>
      <c r="GI287">
        <v>9.4181662757372067</v>
      </c>
      <c r="GJ287"/>
      <c r="GK287"/>
      <c r="GL287"/>
      <c r="GM287"/>
    </row>
    <row r="288" spans="1:195" s="7" customFormat="1">
      <c r="A288" s="1"/>
      <c r="B288">
        <v>9.2709266671562318E-3</v>
      </c>
      <c r="C288">
        <v>6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192.31006618628004</v>
      </c>
      <c r="AO288">
        <v>18.979930901731286</v>
      </c>
      <c r="AP288">
        <v>149.43530081194422</v>
      </c>
      <c r="AQ288">
        <v>113.00982481736442</v>
      </c>
      <c r="AR288">
        <v>17.483526203238625</v>
      </c>
      <c r="AS288">
        <v>148.02007229546868</v>
      </c>
      <c r="AT288" t="e">
        <v>#DIV/0!</v>
      </c>
      <c r="AU288" t="e">
        <v>#DIV/0!</v>
      </c>
      <c r="AV288"/>
      <c r="AW288"/>
      <c r="FY288" s="210">
        <v>283</v>
      </c>
      <c r="FZ288">
        <v>6.6131154422647889</v>
      </c>
      <c r="GA288">
        <v>27.789536108077773</v>
      </c>
      <c r="GB288">
        <v>24.642007814727453</v>
      </c>
      <c r="GC288">
        <v>10.224394938545696</v>
      </c>
      <c r="GD288">
        <v>2.5081761128565865</v>
      </c>
      <c r="GE288">
        <v>2.9902428619967893</v>
      </c>
      <c r="GF288">
        <v>2.9172297137646819</v>
      </c>
      <c r="GG288">
        <v>1.5504545929790807</v>
      </c>
      <c r="GH288">
        <v>4.2022025577380706</v>
      </c>
      <c r="GI288">
        <v>9.7563180805694305</v>
      </c>
      <c r="GJ288"/>
      <c r="GK288"/>
      <c r="GL288"/>
      <c r="GM288"/>
    </row>
    <row r="289" spans="1:195" s="7" customFormat="1">
      <c r="A289" s="1"/>
      <c r="B289">
        <v>0.13333346104396249</v>
      </c>
      <c r="C289">
        <v>1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196.8084685110168</v>
      </c>
      <c r="AO289">
        <v>12.650140751269237</v>
      </c>
      <c r="AP289">
        <v>96.205095995192835</v>
      </c>
      <c r="AQ289">
        <v>76.59228085682382</v>
      </c>
      <c r="AR289">
        <v>11.540152531345457</v>
      </c>
      <c r="AS289">
        <v>126.19339775980674</v>
      </c>
      <c r="AT289" t="e">
        <v>#DIV/0!</v>
      </c>
      <c r="AU289" t="e">
        <v>#DIV/0!</v>
      </c>
      <c r="AV289"/>
      <c r="AW289"/>
      <c r="FY289" s="210">
        <v>284</v>
      </c>
      <c r="FZ289">
        <v>4.6904499041427776</v>
      </c>
      <c r="GA289">
        <v>16.699303383285034</v>
      </c>
      <c r="GB289">
        <v>28.498941155122132</v>
      </c>
      <c r="GC289">
        <v>15.576653583880702</v>
      </c>
      <c r="GD289">
        <v>4.4973472450578011</v>
      </c>
      <c r="GE289">
        <v>7.1778157666675391</v>
      </c>
      <c r="GF289">
        <v>6.1379950432372485</v>
      </c>
      <c r="GG289">
        <v>0.64717734942108796</v>
      </c>
      <c r="GH289">
        <v>0.58236460078756302</v>
      </c>
      <c r="GI289">
        <v>11.674883769271448</v>
      </c>
      <c r="GJ289"/>
      <c r="GK289"/>
      <c r="GL289"/>
      <c r="GM289"/>
    </row>
    <row r="290" spans="1:195" s="7" customFormat="1">
      <c r="A290" s="1"/>
      <c r="B290">
        <v>1.0540848094419353E-2</v>
      </c>
      <c r="C290">
        <v>9</v>
      </c>
      <c r="D290">
        <v>39847</v>
      </c>
      <c r="E290">
        <v>0</v>
      </c>
      <c r="F290">
        <v>130.20833333333334</v>
      </c>
      <c r="G290">
        <v>0</v>
      </c>
      <c r="H290">
        <v>0</v>
      </c>
      <c r="I290">
        <v>0</v>
      </c>
      <c r="J290">
        <v>10.416666666666666</v>
      </c>
      <c r="K290">
        <v>10.416666666666666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203.42006089728082</v>
      </c>
      <c r="AO290">
        <v>13.808386504049654</v>
      </c>
      <c r="AP290">
        <v>111.32873207589282</v>
      </c>
      <c r="AQ290">
        <v>90.288044596008575</v>
      </c>
      <c r="AR290">
        <v>12.705254223254988</v>
      </c>
      <c r="AS290">
        <v>127.57047522104176</v>
      </c>
      <c r="AT290">
        <v>6.3618085909578674</v>
      </c>
      <c r="AU290">
        <v>-11.02175960990367</v>
      </c>
      <c r="AV290"/>
      <c r="AW290"/>
      <c r="FY290" s="210">
        <v>285</v>
      </c>
      <c r="FZ290">
        <v>4.4311685992212571</v>
      </c>
      <c r="GA290">
        <v>37.975690495627795</v>
      </c>
      <c r="GB290">
        <v>25.540137108451024</v>
      </c>
      <c r="GC290">
        <v>8.2725254404123767</v>
      </c>
      <c r="GD290">
        <v>3.8854634561221637</v>
      </c>
      <c r="GE290">
        <v>4.1259998777644382</v>
      </c>
      <c r="GF290">
        <v>3.0138012004938952</v>
      </c>
      <c r="GG290">
        <v>2.4193533212000626</v>
      </c>
      <c r="GH290">
        <v>3.2329273982183868</v>
      </c>
      <c r="GI290">
        <v>10.363998172722235</v>
      </c>
      <c r="GJ290"/>
      <c r="GK290"/>
      <c r="GL290"/>
      <c r="GM290"/>
    </row>
    <row r="291" spans="1:195" s="7" customFormat="1">
      <c r="A291" s="1"/>
      <c r="B291">
        <v>0.56349415795971969</v>
      </c>
      <c r="C291">
        <v>10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20.833333333333332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141.92313187690343</v>
      </c>
      <c r="AO291">
        <v>13.934614813712946</v>
      </c>
      <c r="AP291">
        <v>113.3361968006088</v>
      </c>
      <c r="AQ291">
        <v>87.846287924132938</v>
      </c>
      <c r="AR291">
        <v>12.907008058517157</v>
      </c>
      <c r="AS291">
        <v>121.36675563561244</v>
      </c>
      <c r="AT291" t="e">
        <v>#DIV/0!</v>
      </c>
      <c r="AU291" t="e">
        <v>#DIV/0!</v>
      </c>
      <c r="AV291"/>
      <c r="AW291"/>
      <c r="FY291" s="210">
        <v>286</v>
      </c>
      <c r="FZ291">
        <v>9.9198006912275858</v>
      </c>
      <c r="GA291">
        <v>34.016392066092912</v>
      </c>
      <c r="GB291">
        <v>25.371537845002468</v>
      </c>
      <c r="GC291">
        <v>11.570679297800893</v>
      </c>
      <c r="GD291">
        <v>6.013294783605585</v>
      </c>
      <c r="GE291">
        <v>5.9866009723867863</v>
      </c>
      <c r="GF291">
        <v>2.0322349088873888</v>
      </c>
      <c r="GG291">
        <v>3.0321521552841406</v>
      </c>
      <c r="GH291">
        <v>3.4868050190653879</v>
      </c>
      <c r="GI291">
        <v>12.191255147422272</v>
      </c>
      <c r="GJ291"/>
      <c r="GK291"/>
      <c r="GL291"/>
      <c r="GM291"/>
    </row>
    <row r="292" spans="1:195" s="7" customFormat="1">
      <c r="A292" s="1"/>
      <c r="B292">
        <v>8.1670510522740436E-2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20.833333333333332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140.64964561077099</v>
      </c>
      <c r="AO292">
        <v>13.351600307975525</v>
      </c>
      <c r="AP292">
        <v>107.22258372172612</v>
      </c>
      <c r="AQ292">
        <v>81.581181963589998</v>
      </c>
      <c r="AR292">
        <v>12.421618534684715</v>
      </c>
      <c r="AS292">
        <v>123.12073462024536</v>
      </c>
      <c r="AT292" t="e">
        <v>#DIV/0!</v>
      </c>
      <c r="AU292" t="e">
        <v>#DIV/0!</v>
      </c>
      <c r="AV292"/>
      <c r="AW292"/>
      <c r="FY292" s="210">
        <v>287</v>
      </c>
      <c r="FZ292">
        <v>1.9884196464995818</v>
      </c>
      <c r="GA292">
        <v>23.63764646899304</v>
      </c>
      <c r="GB292">
        <v>22.424534874143436</v>
      </c>
      <c r="GC292">
        <v>8.9256143358037363</v>
      </c>
      <c r="GD292">
        <v>3.8286552080026262</v>
      </c>
      <c r="GE292">
        <v>5.1571569207705661</v>
      </c>
      <c r="GF292">
        <v>5.1361818579325007</v>
      </c>
      <c r="GG292">
        <v>3.4901862837464988</v>
      </c>
      <c r="GH292">
        <v>2.5188439423783215</v>
      </c>
      <c r="GI292">
        <v>9.4890231676656942</v>
      </c>
      <c r="GJ292"/>
      <c r="GK292"/>
      <c r="GL292"/>
      <c r="GM292"/>
    </row>
    <row r="293" spans="1:195" s="7" customFormat="1">
      <c r="A293" s="1"/>
      <c r="B293">
        <v>0.28176913009355653</v>
      </c>
      <c r="C293">
        <v>5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208.22090176397191</v>
      </c>
      <c r="AO293">
        <v>11.441229141653933</v>
      </c>
      <c r="AP293">
        <v>76.362480758078675</v>
      </c>
      <c r="AQ293">
        <v>64.627410078447511</v>
      </c>
      <c r="AR293">
        <v>10.682483646197275</v>
      </c>
      <c r="AS293">
        <v>133.76868990740709</v>
      </c>
      <c r="AT293">
        <v>5.3155463284597495</v>
      </c>
      <c r="AU293">
        <v>-19.075159196655626</v>
      </c>
      <c r="AV293"/>
      <c r="AW293"/>
      <c r="FY293" s="210">
        <v>288</v>
      </c>
      <c r="FZ293">
        <v>1.3765732781279116</v>
      </c>
      <c r="GA293">
        <v>19.984591827965239</v>
      </c>
      <c r="GB293">
        <v>25.117066440445797</v>
      </c>
      <c r="GC293">
        <v>12.423951960559709</v>
      </c>
      <c r="GD293">
        <v>4.6250424944708914</v>
      </c>
      <c r="GE293">
        <v>6.2734173931192867</v>
      </c>
      <c r="GF293">
        <v>6.7821581855322632</v>
      </c>
      <c r="GG293">
        <v>2.9384807235526984</v>
      </c>
      <c r="GH293">
        <v>2.7793472542693221</v>
      </c>
      <c r="GI293">
        <v>10.876576636272766</v>
      </c>
      <c r="GJ293"/>
      <c r="GK293"/>
      <c r="GL293"/>
      <c r="GM293"/>
    </row>
    <row r="294" spans="1:195" s="7" customFormat="1">
      <c r="A294" s="1"/>
      <c r="B294">
        <v>0.40747113765612086</v>
      </c>
      <c r="C294">
        <v>8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169.96723219806952</v>
      </c>
      <c r="AO294">
        <v>12.356791375929458</v>
      </c>
      <c r="AP294">
        <v>87.862717624097257</v>
      </c>
      <c r="AQ294">
        <v>71.32402235917732</v>
      </c>
      <c r="AR294">
        <v>11.484059727852259</v>
      </c>
      <c r="AS294">
        <v>122.58973356306623</v>
      </c>
      <c r="AT294" t="e">
        <v>#DIV/0!</v>
      </c>
      <c r="AU294" t="e">
        <v>#DIV/0!</v>
      </c>
      <c r="AV294"/>
      <c r="AW294"/>
      <c r="FY294" s="210">
        <v>289</v>
      </c>
      <c r="FZ294">
        <v>5.2543493735155717</v>
      </c>
      <c r="GA294">
        <v>29.955069501238064</v>
      </c>
      <c r="GB294">
        <v>26.609898845962853</v>
      </c>
      <c r="GC294">
        <v>10.130474635743283</v>
      </c>
      <c r="GD294">
        <v>4.984148960849609</v>
      </c>
      <c r="GE294">
        <v>6.7448436667559957</v>
      </c>
      <c r="GF294">
        <v>2.3557895370494082</v>
      </c>
      <c r="GG294">
        <v>2.8773874496624217</v>
      </c>
      <c r="GH294">
        <v>4.0120601238940088</v>
      </c>
      <c r="GI294">
        <v>11.412896898534035</v>
      </c>
      <c r="GJ294"/>
      <c r="GK294"/>
      <c r="GL294"/>
      <c r="GM294"/>
    </row>
    <row r="295" spans="1:195" s="7" customFormat="1">
      <c r="A295" s="1"/>
      <c r="B295">
        <v>0.16577965081085999</v>
      </c>
      <c r="C295">
        <v>7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201.94340196095763</v>
      </c>
      <c r="AO295">
        <v>16.881501818545765</v>
      </c>
      <c r="AP295">
        <v>129.24555017094639</v>
      </c>
      <c r="AQ295">
        <v>102.39813020880193</v>
      </c>
      <c r="AR295">
        <v>15.665740224318382</v>
      </c>
      <c r="AS295">
        <v>140.26170054918023</v>
      </c>
      <c r="AT295">
        <v>6.9288062363311624</v>
      </c>
      <c r="AU295">
        <v>-17.351467422792766</v>
      </c>
      <c r="AV295"/>
      <c r="AW295"/>
      <c r="FY295" s="210">
        <v>290</v>
      </c>
      <c r="FZ295">
        <v>1.3525872130864212</v>
      </c>
      <c r="GA295">
        <v>19.253000599426183</v>
      </c>
      <c r="GB295">
        <v>29.017876165627136</v>
      </c>
      <c r="GC295">
        <v>13.153613424232741</v>
      </c>
      <c r="GD295">
        <v>4.0826825020761879</v>
      </c>
      <c r="GE295">
        <v>4.514318335931323</v>
      </c>
      <c r="GF295">
        <v>3.4053833619050784</v>
      </c>
      <c r="GG295">
        <v>3.268464904946605</v>
      </c>
      <c r="GH295">
        <v>1.6796673225297538</v>
      </c>
      <c r="GI295">
        <v>10.723268917853531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147.453143243375</v>
      </c>
      <c r="AO296">
        <v>15.038684160746097</v>
      </c>
      <c r="AP296">
        <v>121.00972336272167</v>
      </c>
      <c r="AQ296">
        <v>91.768228091738578</v>
      </c>
      <c r="AR296">
        <v>13.990517535576322</v>
      </c>
      <c r="AS296">
        <v>111.50413472231297</v>
      </c>
      <c r="AT296">
        <v>6.1453325888974666</v>
      </c>
      <c r="AU296">
        <v>-24.262424156928518</v>
      </c>
      <c r="AV296"/>
      <c r="AW296"/>
      <c r="FY296" s="210">
        <v>291</v>
      </c>
      <c r="FZ296">
        <v>6.4617620134078688</v>
      </c>
      <c r="GA296">
        <v>23.947501169490987</v>
      </c>
      <c r="GB296">
        <v>27.936436807144265</v>
      </c>
      <c r="GC296">
        <v>13.357245892080606</v>
      </c>
      <c r="GD296">
        <v>3.8882496205647348</v>
      </c>
      <c r="GE296">
        <v>4.0333606282704917</v>
      </c>
      <c r="GF296">
        <v>1.9303398420346187</v>
      </c>
      <c r="GG296">
        <v>1.5160760776420703</v>
      </c>
      <c r="GH296">
        <v>1.8047604865382569</v>
      </c>
      <c r="GI296">
        <v>10.822483651423534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213.92722872692738</v>
      </c>
      <c r="AO297">
        <v>16.952512805559543</v>
      </c>
      <c r="AP297">
        <v>130.96676367355798</v>
      </c>
      <c r="AQ297">
        <v>102.41832775691445</v>
      </c>
      <c r="AR297">
        <v>15.629454347171485</v>
      </c>
      <c r="AS297">
        <v>144.70494562804839</v>
      </c>
      <c r="AT297">
        <v>6.6325721635857873</v>
      </c>
      <c r="AU297">
        <v>-26.814453231428569</v>
      </c>
      <c r="AV297"/>
      <c r="AW297"/>
      <c r="FY297" s="210">
        <v>292</v>
      </c>
      <c r="FZ297">
        <v>3.8049268161689636</v>
      </c>
      <c r="GA297">
        <v>25.201463147102643</v>
      </c>
      <c r="GB297">
        <v>21.263950846887081</v>
      </c>
      <c r="GC297">
        <v>8.8219593299981565</v>
      </c>
      <c r="GD297">
        <v>2.7290280902036281</v>
      </c>
      <c r="GE297">
        <v>3.55485020474711</v>
      </c>
      <c r="GF297">
        <v>6.8478082526868942</v>
      </c>
      <c r="GG297">
        <v>2.5258157662982295</v>
      </c>
      <c r="GH297">
        <v>1.6796673225297538</v>
      </c>
      <c r="GI297">
        <v>9.0196144687698858</v>
      </c>
      <c r="GJ297"/>
      <c r="GK297"/>
      <c r="GL297"/>
      <c r="GM297"/>
    </row>
    <row r="298" spans="1:195" s="7" customFormat="1">
      <c r="A298" s="1"/>
      <c r="B298">
        <v>9.3215957748851608E-2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176.71176721785056</v>
      </c>
      <c r="AO298">
        <v>14.104727693854702</v>
      </c>
      <c r="AP298">
        <v>107.2183605601786</v>
      </c>
      <c r="AQ298">
        <v>83.936584024183048</v>
      </c>
      <c r="AR298">
        <v>13.051762936321984</v>
      </c>
      <c r="AS298">
        <v>124.90483567108291</v>
      </c>
      <c r="AT298">
        <v>6.2390817032752617</v>
      </c>
      <c r="AU298">
        <v>-67.990270239092169</v>
      </c>
      <c r="AV298"/>
      <c r="AW298"/>
      <c r="FY298" s="210">
        <v>293</v>
      </c>
      <c r="FZ298">
        <v>1.4958581807970468</v>
      </c>
      <c r="GA298">
        <v>24.477190691637318</v>
      </c>
      <c r="GB298">
        <v>28.567990019352926</v>
      </c>
      <c r="GC298">
        <v>12.790387590682688</v>
      </c>
      <c r="GD298">
        <v>5.5955480768234365</v>
      </c>
      <c r="GE298">
        <v>6.1990950284715725</v>
      </c>
      <c r="GF298">
        <v>2.5585048783297362</v>
      </c>
      <c r="GG298">
        <v>1.9741102061044287</v>
      </c>
      <c r="GH298">
        <v>2.2620319233173167</v>
      </c>
      <c r="GI298">
        <v>11.415915286707509</v>
      </c>
      <c r="GJ298"/>
      <c r="GK298"/>
      <c r="GL298"/>
      <c r="GM298"/>
    </row>
    <row r="299" spans="1:195" s="7" customFormat="1">
      <c r="A299" s="1"/>
      <c r="B299">
        <v>0.1696144498874157</v>
      </c>
      <c r="C299">
        <v>5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217.02670977008816</v>
      </c>
      <c r="AO299">
        <v>14.408799822140761</v>
      </c>
      <c r="AP299">
        <v>119.94014769545274</v>
      </c>
      <c r="AQ299">
        <v>93.193678223520365</v>
      </c>
      <c r="AR299">
        <v>13.483866823731287</v>
      </c>
      <c r="AS299">
        <v>153.37772775408106</v>
      </c>
      <c r="AT299" t="e">
        <v>#DIV/0!</v>
      </c>
      <c r="AU299" t="e">
        <v>#DIV/0!</v>
      </c>
      <c r="AV299"/>
      <c r="AW299"/>
      <c r="FY299" s="210">
        <v>294</v>
      </c>
      <c r="FZ299">
        <v>4.012703238520162</v>
      </c>
      <c r="GA299">
        <v>29.952210461234884</v>
      </c>
      <c r="GB299">
        <v>22.37564151856828</v>
      </c>
      <c r="GC299">
        <v>9.1245666807284493</v>
      </c>
      <c r="GD299">
        <v>4.7309795570508806</v>
      </c>
      <c r="GE299">
        <v>5.1654573701663029</v>
      </c>
      <c r="GF299">
        <v>5.7643468942276179</v>
      </c>
      <c r="GG299">
        <v>4.1355632756717409</v>
      </c>
      <c r="GH299">
        <v>3.8086663079619516</v>
      </c>
      <c r="GI299">
        <v>10.571845745247156</v>
      </c>
      <c r="GJ299"/>
      <c r="GK299"/>
      <c r="GL299"/>
      <c r="GM299"/>
    </row>
    <row r="300" spans="1:195" s="7" customFormat="1">
      <c r="A300" s="1"/>
      <c r="B300">
        <v>0.19335416463909905</v>
      </c>
      <c r="C300">
        <v>3</v>
      </c>
      <c r="D300">
        <v>39910</v>
      </c>
      <c r="E300">
        <v>0</v>
      </c>
      <c r="F300">
        <v>0</v>
      </c>
      <c r="G300">
        <v>115.21464646464646</v>
      </c>
      <c r="H300">
        <v>173.61111111111111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226.72583803811457</v>
      </c>
      <c r="AO300">
        <v>17.60876123941501</v>
      </c>
      <c r="AP300">
        <v>120.88318600769107</v>
      </c>
      <c r="AQ300">
        <v>96.18293180087332</v>
      </c>
      <c r="AR300">
        <v>16.150960470230508</v>
      </c>
      <c r="AS300">
        <v>150.4588834139127</v>
      </c>
      <c r="AT300" t="e">
        <v>#DIV/0!</v>
      </c>
      <c r="AU300" t="e">
        <v>#DIV/0!</v>
      </c>
      <c r="AV300"/>
      <c r="AW300"/>
      <c r="FY300" s="210">
        <v>295</v>
      </c>
      <c r="FZ300">
        <v>4.6140836643815213</v>
      </c>
      <c r="GA300">
        <v>25.163680914616883</v>
      </c>
      <c r="GB300">
        <v>21.432916225686977</v>
      </c>
      <c r="GC300">
        <v>8.5450059598248345</v>
      </c>
      <c r="GD300">
        <v>2.7441703086382967</v>
      </c>
      <c r="GE300">
        <v>2.8229954713836385</v>
      </c>
      <c r="GF300">
        <v>3.0031266746175542</v>
      </c>
      <c r="GG300">
        <v>3.0647303131253056</v>
      </c>
      <c r="GH300">
        <v>4.2622464519110155</v>
      </c>
      <c r="GI300">
        <v>8.8586842184054682</v>
      </c>
      <c r="GJ300"/>
      <c r="GK300"/>
      <c r="GL300"/>
      <c r="GM300"/>
    </row>
    <row r="301" spans="1:195" s="7" customFormat="1">
      <c r="A301" s="1"/>
      <c r="B301">
        <v>0.50395844373761634</v>
      </c>
      <c r="C301">
        <v>10</v>
      </c>
      <c r="D301">
        <v>39910</v>
      </c>
      <c r="E301">
        <v>0</v>
      </c>
      <c r="F301">
        <v>0</v>
      </c>
      <c r="G301">
        <v>0</v>
      </c>
      <c r="H301">
        <v>104.16666666666667</v>
      </c>
      <c r="I301">
        <v>0</v>
      </c>
      <c r="J301">
        <v>0</v>
      </c>
      <c r="K301">
        <v>10.416666666666666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194.77289179155304</v>
      </c>
      <c r="AO301">
        <v>15.603117471348563</v>
      </c>
      <c r="AP301">
        <v>133.47912632547164</v>
      </c>
      <c r="AQ301">
        <v>103.26106507023366</v>
      </c>
      <c r="AR301">
        <v>14.394094567831894</v>
      </c>
      <c r="AS301">
        <v>138.63529067394336</v>
      </c>
      <c r="AT301" t="e">
        <v>#DIV/0!</v>
      </c>
      <c r="AU301" t="e">
        <v>#DIV/0!</v>
      </c>
      <c r="AV301"/>
      <c r="AW301"/>
      <c r="FY301" s="210">
        <v>296</v>
      </c>
      <c r="FZ301">
        <v>9.9391173932348948</v>
      </c>
      <c r="GA301">
        <v>26.986223647859635</v>
      </c>
      <c r="GB301">
        <v>23.259028824221058</v>
      </c>
      <c r="GC301">
        <v>10.152650334054496</v>
      </c>
      <c r="GD301">
        <v>3.2869976586907512</v>
      </c>
      <c r="GE301">
        <v>3.7550867773815844</v>
      </c>
      <c r="GF301">
        <v>1.2712533861649191</v>
      </c>
      <c r="GG301">
        <v>0.55170556019380068</v>
      </c>
      <c r="GH301">
        <v>1.164729201575126</v>
      </c>
      <c r="GI301">
        <v>9.5994315993740038</v>
      </c>
      <c r="GJ301"/>
      <c r="GK301"/>
      <c r="GL301"/>
      <c r="GM301"/>
    </row>
    <row r="302" spans="1:195" s="7" customFormat="1">
      <c r="A302" s="1"/>
      <c r="B302">
        <v>0.60706337630175611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229.91702207533785</v>
      </c>
      <c r="AO302">
        <v>18.161029935131573</v>
      </c>
      <c r="AP302">
        <v>138.68635344564211</v>
      </c>
      <c r="AQ302">
        <v>113.62075288677541</v>
      </c>
      <c r="AR302">
        <v>17.035280510301281</v>
      </c>
      <c r="AS302">
        <v>184.24784024523458</v>
      </c>
      <c r="AT302">
        <v>8.8684313146222298</v>
      </c>
      <c r="AU302">
        <v>-29.933132995850762</v>
      </c>
      <c r="AV302"/>
      <c r="AW302"/>
      <c r="FY302" s="210">
        <v>297</v>
      </c>
      <c r="FZ302">
        <v>1.5573409942718832</v>
      </c>
      <c r="GA302">
        <v>15.394428216741222</v>
      </c>
      <c r="GB302">
        <v>20.919483273462323</v>
      </c>
      <c r="GC302">
        <v>9.6837859790965624</v>
      </c>
      <c r="GD302">
        <v>4.0496499828160024</v>
      </c>
      <c r="GE302">
        <v>9.3674697149134012</v>
      </c>
      <c r="GF302">
        <v>9.1411217178548014</v>
      </c>
      <c r="GG302">
        <v>2.843008934325411</v>
      </c>
      <c r="GH302">
        <v>2.7793472542693221</v>
      </c>
      <c r="GI302">
        <v>9.9702091985983365</v>
      </c>
      <c r="GJ302"/>
      <c r="GK302"/>
      <c r="GL302"/>
      <c r="GM302"/>
    </row>
    <row r="303" spans="1:195" s="7" customFormat="1">
      <c r="A303" s="1"/>
      <c r="B303">
        <v>0.22842758740414748</v>
      </c>
      <c r="C303">
        <v>2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180.25210720070066</v>
      </c>
      <c r="AO303">
        <v>14.29406823575054</v>
      </c>
      <c r="AP303">
        <v>111.52015716536826</v>
      </c>
      <c r="AQ303">
        <v>86.596262705935999</v>
      </c>
      <c r="AR303">
        <v>13.212660630295479</v>
      </c>
      <c r="AS303">
        <v>131.05082013456317</v>
      </c>
      <c r="AT303">
        <v>5.9535969879929675</v>
      </c>
      <c r="AU303">
        <v>-23.387144082651997</v>
      </c>
      <c r="AV303"/>
      <c r="AW303"/>
      <c r="FY303" s="210">
        <v>298</v>
      </c>
      <c r="FZ303">
        <v>6.7835336938709467</v>
      </c>
      <c r="GA303">
        <v>26.337732697608004</v>
      </c>
      <c r="GB303">
        <v>16.258814985486985</v>
      </c>
      <c r="GC303">
        <v>5.898893765141108</v>
      </c>
      <c r="GD303">
        <v>3.4875370189052024</v>
      </c>
      <c r="GE303">
        <v>4.1716791465209386</v>
      </c>
      <c r="GF303">
        <v>3.0858496401972957</v>
      </c>
      <c r="GG303">
        <v>1.7505884698086891</v>
      </c>
      <c r="GH303">
        <v>0.32186128889656296</v>
      </c>
      <c r="GI303">
        <v>7.6690556768844109</v>
      </c>
      <c r="GJ303"/>
      <c r="GK303"/>
      <c r="GL303"/>
      <c r="GM303"/>
    </row>
    <row r="304" spans="1:195" s="7" customFormat="1">
      <c r="A304" s="1"/>
      <c r="B304">
        <v>0.825968391101088</v>
      </c>
      <c r="C304">
        <v>8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211.61218064941121</v>
      </c>
      <c r="AO304">
        <v>16.376284496118682</v>
      </c>
      <c r="AP304">
        <v>118.4893842219885</v>
      </c>
      <c r="AQ304">
        <v>93.177206194315886</v>
      </c>
      <c r="AR304">
        <v>15.036859004684899</v>
      </c>
      <c r="AS304">
        <v>149.72745851471149</v>
      </c>
      <c r="AT304">
        <v>6.7785507592185477</v>
      </c>
      <c r="AU304">
        <v>-25.054904902590984</v>
      </c>
      <c r="AV304"/>
      <c r="AW304"/>
      <c r="FY304" s="210">
        <v>299</v>
      </c>
      <c r="FZ304">
        <v>1.1506136329479473</v>
      </c>
      <c r="GA304">
        <v>30.184684433843181</v>
      </c>
      <c r="GB304">
        <v>26.840426403829156</v>
      </c>
      <c r="GC304">
        <v>9.6114666460763214</v>
      </c>
      <c r="GD304">
        <v>4.5420142382093109</v>
      </c>
      <c r="GE304">
        <v>5.0885453097504953</v>
      </c>
      <c r="GF304">
        <v>2.5585048783297362</v>
      </c>
      <c r="GG304">
        <v>2.0677816378358704</v>
      </c>
      <c r="GH304">
        <v>2.9081317111078202</v>
      </c>
      <c r="GI304">
        <v>10.434333851837033</v>
      </c>
      <c r="GJ304"/>
      <c r="GK304"/>
      <c r="GL304"/>
      <c r="GM304"/>
    </row>
    <row r="305" spans="1:195" s="7" customFormat="1">
      <c r="A305" s="1"/>
      <c r="B305">
        <v>0.69411696540958978</v>
      </c>
      <c r="C305">
        <v>1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203.88528620339017</v>
      </c>
      <c r="AO305">
        <v>17.05080448347023</v>
      </c>
      <c r="AP305">
        <v>132.26639635365652</v>
      </c>
      <c r="AQ305">
        <v>104.33691899320523</v>
      </c>
      <c r="AR305">
        <v>15.995033233361534</v>
      </c>
      <c r="AS305">
        <v>151.73503136481747</v>
      </c>
      <c r="AT305">
        <v>8.1195291723718679</v>
      </c>
      <c r="AU305">
        <v>-53.672869008088774</v>
      </c>
      <c r="AV305"/>
      <c r="AW305"/>
      <c r="FY305" s="210">
        <v>300</v>
      </c>
      <c r="FZ305">
        <v>6.4445926604168511</v>
      </c>
      <c r="GA305">
        <v>31.985242747614517</v>
      </c>
      <c r="GB305">
        <v>21.090252878010958</v>
      </c>
      <c r="GC305">
        <v>7.8111079110641199</v>
      </c>
      <c r="GD305">
        <v>3.9073729870748153</v>
      </c>
      <c r="GE305">
        <v>5.1823757307112128</v>
      </c>
      <c r="GF305">
        <v>7.679763422687552</v>
      </c>
      <c r="GG305">
        <v>6.0160020500447295</v>
      </c>
      <c r="GH305">
        <v>4.4590145767990759</v>
      </c>
      <c r="GI305">
        <v>10.587084552825694</v>
      </c>
      <c r="GJ305"/>
      <c r="GK305"/>
      <c r="GL305"/>
      <c r="GM305"/>
    </row>
    <row r="306" spans="1:195" s="7" customFormat="1">
      <c r="A306" s="1"/>
      <c r="B306">
        <v>0.20089727783903744</v>
      </c>
      <c r="C306">
        <v>3</v>
      </c>
      <c r="D306">
        <v>39910</v>
      </c>
      <c r="E306">
        <v>0</v>
      </c>
      <c r="F306">
        <v>0</v>
      </c>
      <c r="G306">
        <v>115.21464646464646</v>
      </c>
      <c r="H306">
        <v>173.61111111111111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186.74889836878435</v>
      </c>
      <c r="AO306">
        <v>16.136371496698906</v>
      </c>
      <c r="AP306">
        <v>117.74456934693423</v>
      </c>
      <c r="AQ306">
        <v>90.450862747614963</v>
      </c>
      <c r="AR306">
        <v>15.094751770899871</v>
      </c>
      <c r="AS306">
        <v>152.12426203348394</v>
      </c>
      <c r="AT306">
        <v>6.1144095800181804</v>
      </c>
      <c r="AU306">
        <v>-14.783826547625019</v>
      </c>
      <c r="AV306"/>
      <c r="AW306"/>
      <c r="FY306" s="210">
        <v>301</v>
      </c>
      <c r="FZ306">
        <v>7.5219949196521263</v>
      </c>
      <c r="GA306">
        <v>32.52001190394347</v>
      </c>
      <c r="GB306">
        <v>20.616160288280273</v>
      </c>
      <c r="GC306">
        <v>7.9809691062347552</v>
      </c>
      <c r="GD306">
        <v>3.1048276563553645</v>
      </c>
      <c r="GE306">
        <v>2.2476834718398626</v>
      </c>
      <c r="GF306">
        <v>5.2380769247852701</v>
      </c>
      <c r="GG306">
        <v>4.1373636331675865</v>
      </c>
      <c r="GH306">
        <v>3.1012085431658845</v>
      </c>
      <c r="GI306">
        <v>9.4864503532670064</v>
      </c>
      <c r="GJ306"/>
      <c r="GK306"/>
      <c r="GL306"/>
      <c r="GM306"/>
    </row>
    <row r="307" spans="1:195" s="7" customFormat="1">
      <c r="A307" s="1"/>
      <c r="B307">
        <v>0.27052980417224171</v>
      </c>
      <c r="C307">
        <v>4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207.12304952694194</v>
      </c>
      <c r="AO307">
        <v>16.248447919687575</v>
      </c>
      <c r="AP307">
        <v>121.36446574153882</v>
      </c>
      <c r="AQ307">
        <v>95.698216188597414</v>
      </c>
      <c r="AR307">
        <v>15.132057491549554</v>
      </c>
      <c r="AS307">
        <v>160.87610102423835</v>
      </c>
      <c r="AT307">
        <v>6.8712405140640911</v>
      </c>
      <c r="AU307">
        <v>-16.905701659391504</v>
      </c>
      <c r="AV307"/>
      <c r="AW307"/>
      <c r="FY307" s="210">
        <v>302</v>
      </c>
      <c r="FZ307">
        <v>4.0423694050652852</v>
      </c>
      <c r="GA307">
        <v>21.87226149466116</v>
      </c>
      <c r="GB307">
        <v>23.140277161620016</v>
      </c>
      <c r="GC307">
        <v>10.499430195661239</v>
      </c>
      <c r="GD307">
        <v>2.3945315969758512</v>
      </c>
      <c r="GE307">
        <v>2.7117782684634988</v>
      </c>
      <c r="GF307">
        <v>4.4061217547846132</v>
      </c>
      <c r="GG307">
        <v>1.4224046459106283</v>
      </c>
      <c r="GH307">
        <v>1.6796673225297538</v>
      </c>
      <c r="GI307">
        <v>8.8314469957600661</v>
      </c>
      <c r="GJ307"/>
      <c r="GK307"/>
      <c r="GL307"/>
      <c r="GM307"/>
    </row>
    <row r="308" spans="1:195" s="7" customFormat="1">
      <c r="A308" s="1"/>
      <c r="B308">
        <v>0.56641111372562514</v>
      </c>
      <c r="C308">
        <v>9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138.02083505007212</v>
      </c>
      <c r="AO308">
        <v>13.576216194518475</v>
      </c>
      <c r="AP308">
        <v>111.82050428715877</v>
      </c>
      <c r="AQ308">
        <v>85.449084245392328</v>
      </c>
      <c r="AR308">
        <v>12.469485379268516</v>
      </c>
      <c r="AS308">
        <v>112.77725036162727</v>
      </c>
      <c r="AT308">
        <v>6.3447265883797952</v>
      </c>
      <c r="AU308">
        <v>-32.282855395760919</v>
      </c>
      <c r="AV308"/>
      <c r="AW308"/>
      <c r="FY308" s="210">
        <v>303</v>
      </c>
      <c r="FZ308">
        <v>1.2056480916028796</v>
      </c>
      <c r="GA308">
        <v>20.685186866761065</v>
      </c>
      <c r="GB308">
        <v>24.429569907663669</v>
      </c>
      <c r="GC308">
        <v>10.117535604239119</v>
      </c>
      <c r="GD308">
        <v>3.0880411194940227</v>
      </c>
      <c r="GE308">
        <v>6.243774010888739</v>
      </c>
      <c r="GF308">
        <v>6.5794428442519362</v>
      </c>
      <c r="GG308">
        <v>3.0665306706211508</v>
      </c>
      <c r="GH308">
        <v>3.2329273982183868</v>
      </c>
      <c r="GI308">
        <v>9.8227804757110722</v>
      </c>
      <c r="GJ308"/>
      <c r="GK308"/>
      <c r="GL308"/>
      <c r="GM308"/>
    </row>
    <row r="309" spans="1:195" s="7" customFormat="1">
      <c r="A309" s="1"/>
      <c r="B309">
        <v>0.54357803102595437</v>
      </c>
      <c r="C309">
        <v>1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238.62003437925355</v>
      </c>
      <c r="AO309">
        <v>17.038713404009524</v>
      </c>
      <c r="AP309">
        <v>122.55559985649749</v>
      </c>
      <c r="AQ309">
        <v>97.336631882223998</v>
      </c>
      <c r="AR309">
        <v>15.949038579385354</v>
      </c>
      <c r="AS309">
        <v>164.27907836830101</v>
      </c>
      <c r="AT309">
        <v>6.8437993373565815</v>
      </c>
      <c r="AU309">
        <v>-15.84696292420066</v>
      </c>
      <c r="AV309"/>
      <c r="AW309"/>
      <c r="FY309" s="210">
        <v>304</v>
      </c>
      <c r="FZ309">
        <v>6.874796020495106</v>
      </c>
      <c r="GA309">
        <v>29.219678968550113</v>
      </c>
      <c r="GB309">
        <v>26.738201608663278</v>
      </c>
      <c r="GC309">
        <v>11.073724013419206</v>
      </c>
      <c r="GD309">
        <v>3.1957442051618328</v>
      </c>
      <c r="GE309">
        <v>5.2976647873973599</v>
      </c>
      <c r="GF309">
        <v>6.0062533492351085</v>
      </c>
      <c r="GG309">
        <v>3.616435873319106</v>
      </c>
      <c r="GH309">
        <v>6.0093402542737051</v>
      </c>
      <c r="GI309">
        <v>11.63053241439628</v>
      </c>
      <c r="GJ309"/>
      <c r="GK309"/>
      <c r="GL309"/>
      <c r="GM309"/>
    </row>
    <row r="310" spans="1:195" s="7" customFormat="1">
      <c r="A310" s="1"/>
      <c r="B310">
        <v>0.29239008677355316</v>
      </c>
      <c r="C310">
        <v>2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207.64179809258886</v>
      </c>
      <c r="AO310">
        <v>15.726230708712169</v>
      </c>
      <c r="AP310">
        <v>124.88159606538814</v>
      </c>
      <c r="AQ310">
        <v>99.641981049377449</v>
      </c>
      <c r="AR310">
        <v>14.626617480128196</v>
      </c>
      <c r="AS310">
        <v>149.83122479698929</v>
      </c>
      <c r="AT310">
        <v>7.0276598593178301</v>
      </c>
      <c r="AU310">
        <v>-14.129762255254779</v>
      </c>
      <c r="AV310"/>
      <c r="AW310"/>
      <c r="FY310" s="210">
        <v>305</v>
      </c>
      <c r="FZ310">
        <v>3.5963884032380884</v>
      </c>
      <c r="GA310">
        <v>27.725292875860106</v>
      </c>
      <c r="GB310">
        <v>24.356637894579315</v>
      </c>
      <c r="GC310">
        <v>10.324251535180634</v>
      </c>
      <c r="GD310">
        <v>3.6653112642336696</v>
      </c>
      <c r="GE310">
        <v>6.5690884868726664</v>
      </c>
      <c r="GF310">
        <v>10.002923515004831</v>
      </c>
      <c r="GG310">
        <v>1.9415320482632639</v>
      </c>
      <c r="GH310">
        <v>0.64372257779312592</v>
      </c>
      <c r="GI310">
        <v>10.732421969610145</v>
      </c>
      <c r="GJ310"/>
      <c r="GK310"/>
      <c r="GL310"/>
      <c r="GM310"/>
    </row>
    <row r="311" spans="1:195" s="7" customFormat="1">
      <c r="A311" s="1"/>
      <c r="B311">
        <v>0.22811842847898323</v>
      </c>
      <c r="C311">
        <v>3</v>
      </c>
      <c r="D311">
        <v>39949</v>
      </c>
      <c r="E311">
        <v>0</v>
      </c>
      <c r="F311">
        <v>0</v>
      </c>
      <c r="G311">
        <v>91.43518518518519</v>
      </c>
      <c r="H311">
        <v>0</v>
      </c>
      <c r="I311">
        <v>0</v>
      </c>
      <c r="J311">
        <v>0</v>
      </c>
      <c r="K311">
        <v>31.25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165.77647066403469</v>
      </c>
      <c r="AO311">
        <v>13.237998616896345</v>
      </c>
      <c r="AP311">
        <v>109.93249698451561</v>
      </c>
      <c r="AQ311">
        <v>84.511640202591494</v>
      </c>
      <c r="AR311">
        <v>12.345999259004172</v>
      </c>
      <c r="AS311">
        <v>127.29022441323535</v>
      </c>
      <c r="AT311">
        <v>5.5504102952478158</v>
      </c>
      <c r="AU311">
        <v>-15.036096607855132</v>
      </c>
      <c r="AV311"/>
      <c r="AW311"/>
      <c r="FY311" s="210">
        <v>306</v>
      </c>
      <c r="FZ311">
        <v>1.1887337942726646</v>
      </c>
      <c r="GA311">
        <v>24.831412993735139</v>
      </c>
      <c r="GB311">
        <v>23.199928192681682</v>
      </c>
      <c r="GC311">
        <v>10.372762898246558</v>
      </c>
      <c r="GD311">
        <v>4.1820770366211857</v>
      </c>
      <c r="GE311">
        <v>3.9531466939369837</v>
      </c>
      <c r="GF311">
        <v>4.1884830999296012</v>
      </c>
      <c r="GG311">
        <v>1.3269328566833409</v>
      </c>
      <c r="GH311">
        <v>2.5225352352083168</v>
      </c>
      <c r="GI311">
        <v>9.5556344833150639</v>
      </c>
      <c r="GJ311"/>
      <c r="GK311"/>
      <c r="GL311"/>
      <c r="GM311"/>
    </row>
    <row r="312" spans="1:195" s="7" customFormat="1">
      <c r="A312" s="1"/>
      <c r="B312">
        <v>0.73855899948739379</v>
      </c>
      <c r="C312">
        <v>10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177.05075053457816</v>
      </c>
      <c r="AO312">
        <v>14.284891226939232</v>
      </c>
      <c r="AP312">
        <v>112.96284213695928</v>
      </c>
      <c r="AQ312">
        <v>89.966224382750255</v>
      </c>
      <c r="AR312">
        <v>13.432981317336383</v>
      </c>
      <c r="AS312">
        <v>142.30883237930021</v>
      </c>
      <c r="AT312" t="e">
        <v>#DIV/0!</v>
      </c>
      <c r="AU312" t="e">
        <v>#DIV/0!</v>
      </c>
      <c r="AV312"/>
      <c r="AW312"/>
      <c r="FY312" s="210">
        <v>307</v>
      </c>
      <c r="FZ312">
        <v>4.0813711663104737</v>
      </c>
      <c r="GA312">
        <v>26.936040184854214</v>
      </c>
      <c r="GB312">
        <v>26.045095020172617</v>
      </c>
      <c r="GC312">
        <v>10.077415836211493</v>
      </c>
      <c r="GD312">
        <v>2.8062071987879911</v>
      </c>
      <c r="GE312">
        <v>4.300296785492093</v>
      </c>
      <c r="GF312">
        <v>3.6462150244873559</v>
      </c>
      <c r="GG312">
        <v>1.3269328566833409</v>
      </c>
      <c r="GH312">
        <v>2.8443965241048801</v>
      </c>
      <c r="GI312">
        <v>9.8503081342723693</v>
      </c>
      <c r="GJ312"/>
      <c r="GK312"/>
      <c r="GL312"/>
      <c r="GM312"/>
    </row>
    <row r="313" spans="1:195" s="7" customFormat="1">
      <c r="A313" s="1"/>
      <c r="B313">
        <v>0.32043475182081771</v>
      </c>
      <c r="C313">
        <v>5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222.56583152440194</v>
      </c>
      <c r="AO313">
        <v>14.963934622021517</v>
      </c>
      <c r="AP313">
        <v>107.01072917542643</v>
      </c>
      <c r="AQ313">
        <v>85.705845266349272</v>
      </c>
      <c r="AR313">
        <v>13.607343215229573</v>
      </c>
      <c r="AS313">
        <v>144.10462787197918</v>
      </c>
      <c r="AT313">
        <v>5.7629265080554033</v>
      </c>
      <c r="AU313">
        <v>-0.64715476615104417</v>
      </c>
      <c r="AV313"/>
      <c r="AW313"/>
      <c r="FY313" s="210">
        <v>308</v>
      </c>
      <c r="FZ313">
        <v>6.4815824739313221</v>
      </c>
      <c r="GA313">
        <v>30.175883545724759</v>
      </c>
      <c r="GB313">
        <v>25.092510338558355</v>
      </c>
      <c r="GC313">
        <v>9.5633366589190878</v>
      </c>
      <c r="GD313">
        <v>3.3358110906692175</v>
      </c>
      <c r="GE313">
        <v>3.572680609041285</v>
      </c>
      <c r="GF313">
        <v>2.0162368028874913</v>
      </c>
      <c r="GG313">
        <v>1.1988829096148885</v>
      </c>
      <c r="GH313">
        <v>1.2260871785806891</v>
      </c>
      <c r="GI313">
        <v>9.7129181641346563</v>
      </c>
      <c r="GJ313"/>
      <c r="GK313"/>
      <c r="GL313"/>
      <c r="GM313"/>
    </row>
    <row r="314" spans="1:195" s="7" customFormat="1">
      <c r="A314" s="1"/>
      <c r="B314">
        <v>0.93495623474657963</v>
      </c>
      <c r="C314">
        <v>3</v>
      </c>
      <c r="D314">
        <v>39949</v>
      </c>
      <c r="E314">
        <v>0</v>
      </c>
      <c r="F314">
        <v>0</v>
      </c>
      <c r="G314">
        <v>91.43518518518519</v>
      </c>
      <c r="H314">
        <v>0</v>
      </c>
      <c r="I314">
        <v>0</v>
      </c>
      <c r="J314">
        <v>0</v>
      </c>
      <c r="K314">
        <v>31.25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159.7172058692145</v>
      </c>
      <c r="AO314">
        <v>11.399334143916899</v>
      </c>
      <c r="AP314">
        <v>92.994872236340484</v>
      </c>
      <c r="AQ314">
        <v>75.765546383320142</v>
      </c>
      <c r="AR314">
        <v>10.621164963221133</v>
      </c>
      <c r="AS314">
        <v>109.89307610146878</v>
      </c>
      <c r="AT314" t="e">
        <v>#DIV/0!</v>
      </c>
      <c r="AU314" t="e">
        <v>#DIV/0!</v>
      </c>
      <c r="AV314"/>
      <c r="AW314"/>
      <c r="FY314" s="210">
        <v>309</v>
      </c>
      <c r="FZ314">
        <v>4.1980207083575207</v>
      </c>
      <c r="GA314">
        <v>23.244918612696718</v>
      </c>
      <c r="GB314">
        <v>28.576453964823909</v>
      </c>
      <c r="GC314">
        <v>13.130519790507442</v>
      </c>
      <c r="GD314">
        <v>5.4425059986446334</v>
      </c>
      <c r="GE314">
        <v>11.554173004492498</v>
      </c>
      <c r="GF314">
        <v>9.0552247570019304</v>
      </c>
      <c r="GG314">
        <v>0.64717734942108796</v>
      </c>
      <c r="GH314">
        <v>0</v>
      </c>
      <c r="GI314">
        <v>12.662481053210145</v>
      </c>
      <c r="GJ314"/>
      <c r="GK314"/>
      <c r="GL314"/>
      <c r="GM314"/>
    </row>
    <row r="315" spans="1:195" s="7" customFormat="1">
      <c r="A315" s="1"/>
      <c r="B315">
        <v>0.76819819365278885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207.67374641166094</v>
      </c>
      <c r="AO315">
        <v>15.56485205136347</v>
      </c>
      <c r="AP315">
        <v>123.48252847911735</v>
      </c>
      <c r="AQ315">
        <v>95.386502743766869</v>
      </c>
      <c r="AR315">
        <v>14.606209932943917</v>
      </c>
      <c r="AS315">
        <v>156.96072362014971</v>
      </c>
      <c r="AT315">
        <v>6.6080016197672515</v>
      </c>
      <c r="AU315">
        <v>-24.194569748906172</v>
      </c>
      <c r="AV315"/>
      <c r="AW315"/>
      <c r="FY315" s="210">
        <v>310</v>
      </c>
      <c r="FZ315">
        <v>6.9515464094317121</v>
      </c>
      <c r="GA315">
        <v>29.661473297949208</v>
      </c>
      <c r="GB315">
        <v>24.136724767776418</v>
      </c>
      <c r="GC315">
        <v>9.1886007025085874</v>
      </c>
      <c r="GD315">
        <v>2.5882348424600896</v>
      </c>
      <c r="GE315">
        <v>4.750054522517468</v>
      </c>
      <c r="GF315">
        <v>5.3780883129399912</v>
      </c>
      <c r="GG315">
        <v>0.55170556019380068</v>
      </c>
      <c r="GH315">
        <v>0.64372257779312592</v>
      </c>
      <c r="GI315">
        <v>9.6685350425648355</v>
      </c>
      <c r="GJ315"/>
      <c r="GK315"/>
      <c r="GL315"/>
      <c r="GM315"/>
    </row>
    <row r="316" spans="1:195" s="7" customFormat="1">
      <c r="A316" s="1"/>
      <c r="B316">
        <v>0.73241727066535622</v>
      </c>
      <c r="C316">
        <v>9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196.56319278038848</v>
      </c>
      <c r="AO316">
        <v>15.78538956282058</v>
      </c>
      <c r="AP316">
        <v>132.35957094575926</v>
      </c>
      <c r="AQ316">
        <v>105.16280951724951</v>
      </c>
      <c r="AR316">
        <v>14.620210609230398</v>
      </c>
      <c r="AS316">
        <v>137.87210305434186</v>
      </c>
      <c r="AT316">
        <v>7.2317157253667572</v>
      </c>
      <c r="AU316">
        <v>-12.938394736965289</v>
      </c>
      <c r="AV316"/>
      <c r="AW316"/>
      <c r="FY316" s="210">
        <v>311</v>
      </c>
      <c r="FZ316">
        <v>4.2569625845013892</v>
      </c>
      <c r="GA316">
        <v>36.390018540793562</v>
      </c>
      <c r="GB316">
        <v>23.719948044841047</v>
      </c>
      <c r="GC316">
        <v>6.99178331002825</v>
      </c>
      <c r="GD316">
        <v>4.2531957513764382</v>
      </c>
      <c r="GE316">
        <v>7.9597902376761951</v>
      </c>
      <c r="GF316">
        <v>7.409248429402167</v>
      </c>
      <c r="GG316">
        <v>4.5808063907673757</v>
      </c>
      <c r="GH316">
        <v>4.8409197598685845</v>
      </c>
      <c r="GI316">
        <v>11.210472978506516</v>
      </c>
      <c r="GJ316"/>
      <c r="GK316"/>
      <c r="GL316"/>
      <c r="GM316"/>
    </row>
    <row r="317" spans="1:195" s="7" customFormat="1">
      <c r="A317" s="1"/>
      <c r="B317">
        <v>0.69820609570169556</v>
      </c>
      <c r="C317">
        <v>1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190.58112647677243</v>
      </c>
      <c r="AO317">
        <v>14.095943883465917</v>
      </c>
      <c r="AP317">
        <v>122.07818341700506</v>
      </c>
      <c r="AQ317">
        <v>95.954746800691595</v>
      </c>
      <c r="AR317">
        <v>13.12484110965886</v>
      </c>
      <c r="AS317">
        <v>140.52754852666013</v>
      </c>
      <c r="AT317">
        <v>6.50353249643236</v>
      </c>
      <c r="AU317">
        <v>-13.054739808119406</v>
      </c>
      <c r="AV317"/>
      <c r="AW317"/>
      <c r="FY317" s="210">
        <v>312</v>
      </c>
      <c r="FZ317">
        <v>9.3448087350848095</v>
      </c>
      <c r="GA317">
        <v>36.985856422833912</v>
      </c>
      <c r="GB317">
        <v>27.39926470262094</v>
      </c>
      <c r="GC317">
        <v>11.813018897264467</v>
      </c>
      <c r="GD317">
        <v>4.0014647193784034</v>
      </c>
      <c r="GE317">
        <v>4.9172428864480668</v>
      </c>
      <c r="GF317">
        <v>6.0211766628097934</v>
      </c>
      <c r="GG317">
        <v>1.4206042884147827</v>
      </c>
      <c r="GH317">
        <v>1.8047604865382569</v>
      </c>
      <c r="GI317">
        <v>11.945030332263579</v>
      </c>
      <c r="GJ317"/>
      <c r="GK317"/>
      <c r="GL317"/>
      <c r="GM317"/>
    </row>
    <row r="318" spans="1:195" s="7" customFormat="1">
      <c r="A318" s="1"/>
      <c r="B318">
        <v>0.273092765373391</v>
      </c>
      <c r="C318">
        <v>1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156.24732250215158</v>
      </c>
      <c r="AO318">
        <v>13.226890301428076</v>
      </c>
      <c r="AP318">
        <v>105.81614833857354</v>
      </c>
      <c r="AQ318">
        <v>81.000288841432109</v>
      </c>
      <c r="AR318">
        <v>12.205844381227285</v>
      </c>
      <c r="AS318">
        <v>122.6011686668957</v>
      </c>
      <c r="AT318">
        <v>6.0139842009534012</v>
      </c>
      <c r="AU318">
        <v>-36.972327397106355</v>
      </c>
      <c r="AV318"/>
      <c r="AW318"/>
      <c r="FY318" s="210">
        <v>313</v>
      </c>
      <c r="FZ318">
        <v>4.4646225288800903</v>
      </c>
      <c r="GA318">
        <v>26.811661864942767</v>
      </c>
      <c r="GB318">
        <v>31.397310137819879</v>
      </c>
      <c r="GC318">
        <v>13.916825842398371</v>
      </c>
      <c r="GD318">
        <v>3.4032437860444666</v>
      </c>
      <c r="GE318">
        <v>4.3611856551377031</v>
      </c>
      <c r="GF318">
        <v>4.7467492813717431</v>
      </c>
      <c r="GG318">
        <v>1.4224046459106283</v>
      </c>
      <c r="GH318">
        <v>2.7830385470993173</v>
      </c>
      <c r="GI318">
        <v>11.831804595246901</v>
      </c>
      <c r="GJ318"/>
      <c r="GK318"/>
      <c r="GL318"/>
      <c r="GM318"/>
    </row>
    <row r="319" spans="1:195" s="7" customFormat="1">
      <c r="A319" s="1"/>
      <c r="B319">
        <v>0.92830260421784083</v>
      </c>
      <c r="C319">
        <v>4</v>
      </c>
      <c r="D319">
        <v>39987</v>
      </c>
      <c r="E319">
        <v>0</v>
      </c>
      <c r="F319">
        <v>88.922764227642276</v>
      </c>
      <c r="G319">
        <v>0</v>
      </c>
      <c r="H319">
        <v>0</v>
      </c>
      <c r="I319">
        <v>0</v>
      </c>
      <c r="J319">
        <v>0</v>
      </c>
      <c r="K319">
        <v>10.416666666666666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188.66328954661259</v>
      </c>
      <c r="AO319">
        <v>14.912497834725395</v>
      </c>
      <c r="AP319">
        <v>115.51235593706728</v>
      </c>
      <c r="AQ319">
        <v>88.471436989452059</v>
      </c>
      <c r="AR319">
        <v>13.556193036168532</v>
      </c>
      <c r="AS319">
        <v>134.85663665248455</v>
      </c>
      <c r="AT319" t="e">
        <v>#DIV/0!</v>
      </c>
      <c r="AU319" t="e">
        <v>#DIV/0!</v>
      </c>
      <c r="AV319"/>
      <c r="AW319"/>
      <c r="FY319" s="210">
        <v>314</v>
      </c>
      <c r="FZ319">
        <v>1.0736050569822411</v>
      </c>
      <c r="GA319">
        <v>20.375031616373629</v>
      </c>
      <c r="GB319">
        <v>34.50640657730019</v>
      </c>
      <c r="GC319">
        <v>15.660327013420464</v>
      </c>
      <c r="GD319">
        <v>2.7604048503583369</v>
      </c>
      <c r="GE319">
        <v>3.7079601259202803</v>
      </c>
      <c r="GF319">
        <v>4.2903781667823706</v>
      </c>
      <c r="GG319">
        <v>2.843008934325411</v>
      </c>
      <c r="GH319">
        <v>3.4844278090680105</v>
      </c>
      <c r="GI319">
        <v>11.741879109110323</v>
      </c>
      <c r="GJ319"/>
      <c r="GK319"/>
      <c r="GL319"/>
      <c r="GM319"/>
    </row>
    <row r="320" spans="1:195" s="7" customFormat="1">
      <c r="A320" s="1"/>
      <c r="B320">
        <v>0.30768069574772738</v>
      </c>
      <c r="C320">
        <v>6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224.28018222002333</v>
      </c>
      <c r="AO320">
        <v>17.27478408140357</v>
      </c>
      <c r="AP320">
        <v>141.30008377405161</v>
      </c>
      <c r="AQ320">
        <v>109.66237149491111</v>
      </c>
      <c r="AR320">
        <v>16.108773336745031</v>
      </c>
      <c r="AS320">
        <v>158.93822638476612</v>
      </c>
      <c r="AT320">
        <v>7.0617476531848142</v>
      </c>
      <c r="AU320">
        <v>-6.1952722632541821</v>
      </c>
      <c r="AV320"/>
      <c r="AW320"/>
      <c r="FY320" s="210">
        <v>315</v>
      </c>
      <c r="FZ320">
        <v>4.2702245200034694</v>
      </c>
      <c r="GA320">
        <v>30.688473005222882</v>
      </c>
      <c r="GB320">
        <v>24.727048097028852</v>
      </c>
      <c r="GC320">
        <v>9.9571568405961095</v>
      </c>
      <c r="GD320">
        <v>4.3969899349723383</v>
      </c>
      <c r="GE320">
        <v>6.1189048818061735</v>
      </c>
      <c r="GF320">
        <v>5.2921913520871193</v>
      </c>
      <c r="GG320">
        <v>2.5130247529315048</v>
      </c>
      <c r="GH320">
        <v>4.2622464519110155</v>
      </c>
      <c r="GI320">
        <v>11.048811638217355</v>
      </c>
      <c r="GJ320"/>
      <c r="GK320"/>
      <c r="GL320"/>
      <c r="GM320"/>
    </row>
    <row r="321" spans="1:195" s="7" customFormat="1">
      <c r="A321" s="1"/>
      <c r="B321">
        <v>0.4582610665410769</v>
      </c>
      <c r="C321">
        <v>8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208.0390360343568</v>
      </c>
      <c r="AO321">
        <v>16.180900265191831</v>
      </c>
      <c r="AP321">
        <v>128.17078565560908</v>
      </c>
      <c r="AQ321">
        <v>99.557570570635846</v>
      </c>
      <c r="AR321">
        <v>14.696287294261548</v>
      </c>
      <c r="AS321">
        <v>137.19310604831412</v>
      </c>
      <c r="AT321" t="e">
        <v>#DIV/0!</v>
      </c>
      <c r="AU321" t="e">
        <v>#DIV/0!</v>
      </c>
      <c r="AV321"/>
      <c r="AW321"/>
      <c r="FY321" s="210">
        <v>316</v>
      </c>
      <c r="FZ321">
        <v>3.9517336677352262</v>
      </c>
      <c r="GA321">
        <v>27.353668877045585</v>
      </c>
      <c r="GB321">
        <v>29.328447508041183</v>
      </c>
      <c r="GC321">
        <v>13.555313467329931</v>
      </c>
      <c r="GD321">
        <v>4.8013108665669781</v>
      </c>
      <c r="GE321">
        <v>6.022963743626601</v>
      </c>
      <c r="GF321">
        <v>4.9483898302268585</v>
      </c>
      <c r="GG321">
        <v>4.0291008305735758</v>
      </c>
      <c r="GH321">
        <v>5.1627810487651473</v>
      </c>
      <c r="GI321">
        <v>12.456333605960481</v>
      </c>
      <c r="GJ321"/>
      <c r="GK321"/>
      <c r="GL321"/>
      <c r="GM321"/>
    </row>
    <row r="322" spans="1:195" s="7" customFormat="1">
      <c r="A322" s="1"/>
      <c r="B322">
        <v>0.85122407130144295</v>
      </c>
      <c r="C322">
        <v>5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191.3294686293907</v>
      </c>
      <c r="AO322">
        <v>14.211565672726696</v>
      </c>
      <c r="AP322">
        <v>109.17024189832348</v>
      </c>
      <c r="AQ322">
        <v>85.321647284630544</v>
      </c>
      <c r="AR322">
        <v>13.202733477536807</v>
      </c>
      <c r="AS322">
        <v>140.45122530032816</v>
      </c>
      <c r="AT322">
        <v>6.8450091890704963</v>
      </c>
      <c r="AU322">
        <v>-45.123442177886609</v>
      </c>
      <c r="AV322"/>
      <c r="AW322"/>
      <c r="FY322" s="210">
        <v>317</v>
      </c>
      <c r="FZ322">
        <v>1.7288895936882867</v>
      </c>
      <c r="GA322">
        <v>21.912784348200827</v>
      </c>
      <c r="GB322">
        <v>28.792587433336845</v>
      </c>
      <c r="GC322">
        <v>12.590059478714675</v>
      </c>
      <c r="GD322">
        <v>3.5841422113084356</v>
      </c>
      <c r="GE322">
        <v>3.1981818787702601</v>
      </c>
      <c r="GF322">
        <v>1.2872514921648168</v>
      </c>
      <c r="GG322">
        <v>2.3849748058630524</v>
      </c>
      <c r="GH322">
        <v>3.2263017071743878</v>
      </c>
      <c r="GI322">
        <v>10.282752479604424</v>
      </c>
      <c r="GJ322"/>
      <c r="GK322"/>
      <c r="GL322"/>
      <c r="GM322"/>
    </row>
    <row r="323" spans="1:195" s="7" customFormat="1">
      <c r="A323" s="1"/>
      <c r="B323">
        <v>0.13870132959434867</v>
      </c>
      <c r="C323">
        <v>5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172.66957053469059</v>
      </c>
      <c r="AO323">
        <v>14.669425114653</v>
      </c>
      <c r="AP323">
        <v>120.02552482482847</v>
      </c>
      <c r="AQ323">
        <v>91.914278731376839</v>
      </c>
      <c r="AR323">
        <v>13.671697002630378</v>
      </c>
      <c r="AS323">
        <v>137.62693110717154</v>
      </c>
      <c r="AT323">
        <v>6.0533416997952152</v>
      </c>
      <c r="AU323">
        <v>-16.955716434085325</v>
      </c>
      <c r="AV323"/>
      <c r="AW323"/>
      <c r="FY323" s="210">
        <v>318</v>
      </c>
      <c r="FZ323">
        <v>7.0294334539495917</v>
      </c>
      <c r="GA323">
        <v>27.977128558877492</v>
      </c>
      <c r="GB323">
        <v>21.813101999578471</v>
      </c>
      <c r="GC323">
        <v>8.902005004609693</v>
      </c>
      <c r="GD323">
        <v>3.979574899986726</v>
      </c>
      <c r="GE323">
        <v>8.7465122918525218</v>
      </c>
      <c r="GF323">
        <v>9.024303337427348</v>
      </c>
      <c r="GG323">
        <v>3.616435873319106</v>
      </c>
      <c r="GH323">
        <v>4.3236044289165783</v>
      </c>
      <c r="GI323">
        <v>11.201955835113381</v>
      </c>
      <c r="GJ323"/>
      <c r="GK323"/>
      <c r="GL323"/>
      <c r="GM323"/>
    </row>
    <row r="324" spans="1:195" s="7" customFormat="1">
      <c r="A324" s="1"/>
      <c r="B324">
        <v>0.64729142446170251</v>
      </c>
      <c r="C324">
        <v>3</v>
      </c>
      <c r="D324">
        <v>39987</v>
      </c>
      <c r="E324">
        <v>0</v>
      </c>
      <c r="F324">
        <v>0</v>
      </c>
      <c r="G324">
        <v>0</v>
      </c>
      <c r="H324">
        <v>67.51543209876543</v>
      </c>
      <c r="I324">
        <v>0</v>
      </c>
      <c r="J324">
        <v>0</v>
      </c>
      <c r="K324">
        <v>10.416666666666666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170.14843883794612</v>
      </c>
      <c r="AO324">
        <v>14.484513632801452</v>
      </c>
      <c r="AP324">
        <v>118.51672298949902</v>
      </c>
      <c r="AQ324">
        <v>92.375929772061767</v>
      </c>
      <c r="AR324">
        <v>13.584950654338698</v>
      </c>
      <c r="AS324">
        <v>140.4481477425156</v>
      </c>
      <c r="AT324" t="e">
        <v>#DIV/0!</v>
      </c>
      <c r="AU324" t="e">
        <v>#DIV/0!</v>
      </c>
      <c r="AV324"/>
      <c r="AW324"/>
      <c r="FY324" s="210">
        <v>319</v>
      </c>
      <c r="FZ324">
        <v>4.0047561786594423</v>
      </c>
      <c r="GA324">
        <v>19.188864539630778</v>
      </c>
      <c r="GB324">
        <v>17.904265496477255</v>
      </c>
      <c r="GC324">
        <v>9.3903058840159108</v>
      </c>
      <c r="GD324">
        <v>3.7891427176310688</v>
      </c>
      <c r="GE324">
        <v>2.0242216180760364</v>
      </c>
      <c r="GF324">
        <v>1.8994184224600366</v>
      </c>
      <c r="GG324">
        <v>3.616435873319106</v>
      </c>
      <c r="GH324">
        <v>4.5841077408075783</v>
      </c>
      <c r="GI324">
        <v>8.3163411778023182</v>
      </c>
      <c r="GJ324"/>
      <c r="GK324"/>
      <c r="GL324"/>
      <c r="GM324"/>
    </row>
    <row r="325" spans="1:195" s="7" customFormat="1">
      <c r="A325" s="1"/>
      <c r="B325">
        <v>0.31846017545671557</v>
      </c>
      <c r="C325">
        <v>1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242.65130342196375</v>
      </c>
      <c r="AO325">
        <v>19.141394018094299</v>
      </c>
      <c r="AP325">
        <v>135.45457891815943</v>
      </c>
      <c r="AQ325">
        <v>108.51147523915587</v>
      </c>
      <c r="AR325">
        <v>17.41063190483138</v>
      </c>
      <c r="AS325">
        <v>161.0990517271855</v>
      </c>
      <c r="AT325" t="e">
        <v>#DIV/0!</v>
      </c>
      <c r="AU325" t="e">
        <v>#DIV/0!</v>
      </c>
      <c r="AV325"/>
      <c r="AW325"/>
      <c r="FY325" s="210">
        <v>320</v>
      </c>
      <c r="FZ325">
        <v>1.6390158019034726</v>
      </c>
      <c r="GA325">
        <v>31.20256696197476</v>
      </c>
      <c r="GB325">
        <v>32.478344621541915</v>
      </c>
      <c r="GC325">
        <v>12.907681844822328</v>
      </c>
      <c r="GD325">
        <v>4.3336057056275346</v>
      </c>
      <c r="GE325">
        <v>5.0177105198826082</v>
      </c>
      <c r="GF325">
        <v>4.2903781667823706</v>
      </c>
      <c r="GG325">
        <v>3.5245647990835094</v>
      </c>
      <c r="GH325">
        <v>4.0120601238940088</v>
      </c>
      <c r="GI325">
        <v>12.30566559039125</v>
      </c>
      <c r="GJ325"/>
      <c r="GK325"/>
      <c r="GL325"/>
      <c r="GM325"/>
    </row>
    <row r="326" spans="1:195" s="7" customFormat="1">
      <c r="A326" s="1"/>
      <c r="B326">
        <v>0.11569965210845279</v>
      </c>
      <c r="C326">
        <v>2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182.26582158965795</v>
      </c>
      <c r="AO326">
        <v>14.499827377081115</v>
      </c>
      <c r="AP326">
        <v>120.97340941544887</v>
      </c>
      <c r="AQ326">
        <v>93.51868603613525</v>
      </c>
      <c r="AR326">
        <v>13.334291495872636</v>
      </c>
      <c r="AS326">
        <v>126.63692718844327</v>
      </c>
      <c r="AT326" t="e">
        <v>#DIV/0!</v>
      </c>
      <c r="AU326" t="e">
        <v>#DIV/0!</v>
      </c>
      <c r="AV326"/>
      <c r="AW326"/>
      <c r="FY326" s="210">
        <v>321</v>
      </c>
      <c r="FZ326">
        <v>1.7999567497529632</v>
      </c>
      <c r="GA326">
        <v>18.068450912372786</v>
      </c>
      <c r="GB326">
        <v>14.33350509969655</v>
      </c>
      <c r="GC326">
        <v>5.3123823922082574</v>
      </c>
      <c r="GD326">
        <v>3.4245268304399064</v>
      </c>
      <c r="GE326">
        <v>5.7701837649723027</v>
      </c>
      <c r="GF326">
        <v>5.0342867910797304</v>
      </c>
      <c r="GG326">
        <v>2.7493375025939688</v>
      </c>
      <c r="GH326">
        <v>2.9761153791573811</v>
      </c>
      <c r="GI326">
        <v>7.1928872956953835</v>
      </c>
      <c r="GJ326"/>
      <c r="GK326"/>
      <c r="GL326"/>
      <c r="GM326"/>
    </row>
    <row r="327" spans="1:195" s="7" customFormat="1">
      <c r="A327" s="1"/>
      <c r="B327">
        <v>2.1743138615019753E-2</v>
      </c>
      <c r="C327">
        <v>7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203.13453141112865</v>
      </c>
      <c r="AO327">
        <v>16.932035258830958</v>
      </c>
      <c r="AP327">
        <v>142.84917237609349</v>
      </c>
      <c r="AQ327">
        <v>111.61314602776152</v>
      </c>
      <c r="AR327">
        <v>15.472921347683666</v>
      </c>
      <c r="AS327">
        <v>142.4496768642727</v>
      </c>
      <c r="AT327">
        <v>7.8441485801190334</v>
      </c>
      <c r="AU327">
        <v>-21.257917813681392</v>
      </c>
      <c r="AV327"/>
      <c r="AW327"/>
      <c r="FY327" s="210">
        <v>322</v>
      </c>
      <c r="FZ327">
        <v>3.9190385522533404</v>
      </c>
      <c r="GA327">
        <v>34.445410290809086</v>
      </c>
      <c r="GB327">
        <v>28.743593418078056</v>
      </c>
      <c r="GC327">
        <v>10.443802597427759</v>
      </c>
      <c r="GD327">
        <v>3.6121679080623967</v>
      </c>
      <c r="GE327">
        <v>3.3922813768902844</v>
      </c>
      <c r="GF327">
        <v>2.3717876430493057</v>
      </c>
      <c r="GG327">
        <v>1.5160760776420703</v>
      </c>
      <c r="GH327">
        <v>1.4828991976416939</v>
      </c>
      <c r="GI327">
        <v>10.512836347400055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231.45739381229092</v>
      </c>
      <c r="AO328">
        <v>17.923913936188931</v>
      </c>
      <c r="AP328">
        <v>146.56221158470495</v>
      </c>
      <c r="AQ328">
        <v>115.65322813365702</v>
      </c>
      <c r="AR328">
        <v>16.454570856439435</v>
      </c>
      <c r="AS328">
        <v>167.31805872858189</v>
      </c>
      <c r="AT328">
        <v>7.9218949750942018</v>
      </c>
      <c r="AU328">
        <v>-12.442370063906765</v>
      </c>
      <c r="AV328"/>
      <c r="AW328"/>
      <c r="FY328" s="210">
        <v>323</v>
      </c>
      <c r="FZ328">
        <v>6.5855998011386871</v>
      </c>
      <c r="GA328">
        <v>31.176393417384428</v>
      </c>
      <c r="GB328">
        <v>28.944922382641863</v>
      </c>
      <c r="GC328">
        <v>12.035516710753143</v>
      </c>
      <c r="GD328">
        <v>4.2835822766726404</v>
      </c>
      <c r="GE328">
        <v>8.3728102280864025</v>
      </c>
      <c r="GF328">
        <v>8.4777864742867592</v>
      </c>
      <c r="GG328">
        <v>6.03578919451917</v>
      </c>
      <c r="GH328">
        <v>7.7556771620204028</v>
      </c>
      <c r="GI328">
        <v>13.565724680287914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184.00980455202452</v>
      </c>
      <c r="AO329">
        <v>17.724234553651929</v>
      </c>
      <c r="AP329">
        <v>138.32280703623849</v>
      </c>
      <c r="AQ329">
        <v>105.13884688485189</v>
      </c>
      <c r="AR329">
        <v>16.500238834990842</v>
      </c>
      <c r="AS329">
        <v>130.56861953141544</v>
      </c>
      <c r="AT329">
        <v>7.3847083189869105</v>
      </c>
      <c r="AU329">
        <v>-33.31398383941049</v>
      </c>
      <c r="AV329"/>
      <c r="AW329"/>
      <c r="FY329" s="210">
        <v>324</v>
      </c>
      <c r="FZ329">
        <v>3.9103295018129445</v>
      </c>
      <c r="GA329">
        <v>17.346409533281854</v>
      </c>
      <c r="GB329">
        <v>17.024663129930335</v>
      </c>
      <c r="GC329">
        <v>7.319809961652842</v>
      </c>
      <c r="GD329">
        <v>2.7228034341384268</v>
      </c>
      <c r="GE329">
        <v>5.3184621268874697</v>
      </c>
      <c r="GF329">
        <v>4.7307511753718456</v>
      </c>
      <c r="GG329">
        <v>2.1958315849043233</v>
      </c>
      <c r="GH329">
        <v>3.3617118550568845</v>
      </c>
      <c r="GI329">
        <v>7.8297482899147468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189.89311089273673</v>
      </c>
      <c r="AO330">
        <v>17.664742377929368</v>
      </c>
      <c r="AP330">
        <v>134.78964674322717</v>
      </c>
      <c r="AQ330">
        <v>100.44342925964126</v>
      </c>
      <c r="AR330">
        <v>16.412925147540648</v>
      </c>
      <c r="AS330">
        <v>154.36525874375661</v>
      </c>
      <c r="AT330">
        <v>6.6094993799023669</v>
      </c>
      <c r="AU330">
        <v>-6.0841273150136193</v>
      </c>
      <c r="AV330"/>
      <c r="AW330"/>
      <c r="FY330" s="210">
        <v>325</v>
      </c>
      <c r="FZ330">
        <v>1.3765732781279119</v>
      </c>
      <c r="GA330">
        <v>22.538237112543701</v>
      </c>
      <c r="GB330">
        <v>30.805703862951759</v>
      </c>
      <c r="GC330">
        <v>13.951322817904968</v>
      </c>
      <c r="GD330">
        <v>5.1472855534064816</v>
      </c>
      <c r="GE330">
        <v>6.1007137922810397</v>
      </c>
      <c r="GF330">
        <v>1.7127011871796063</v>
      </c>
      <c r="GG330">
        <v>0.55170556019380068</v>
      </c>
      <c r="GH330">
        <v>0.90422588968412598</v>
      </c>
      <c r="GI330">
        <v>11.36776521385041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210.9482223702741</v>
      </c>
      <c r="AO331">
        <v>16.582250968934982</v>
      </c>
      <c r="AP331">
        <v>131.74668157877335</v>
      </c>
      <c r="AQ331">
        <v>103.27507147477681</v>
      </c>
      <c r="AR331">
        <v>15.281993954640027</v>
      </c>
      <c r="AS331">
        <v>156.64875618699273</v>
      </c>
      <c r="AT331" t="e">
        <v>#DIV/0!</v>
      </c>
      <c r="AU331" t="e">
        <v>#DIV/0!</v>
      </c>
      <c r="AV331"/>
      <c r="AW331"/>
      <c r="FY331" s="210">
        <v>326</v>
      </c>
      <c r="FZ331">
        <v>4.1468967985598226</v>
      </c>
      <c r="GA331">
        <v>23.750438059845905</v>
      </c>
      <c r="GB331">
        <v>24.369849521892171</v>
      </c>
      <c r="GC331">
        <v>10.787484747202083</v>
      </c>
      <c r="GD331">
        <v>3.0548973679820652</v>
      </c>
      <c r="GE331">
        <v>2.0729860376964933</v>
      </c>
      <c r="GF331">
        <v>1.7127011871796063</v>
      </c>
      <c r="GG331">
        <v>3.0647303131253056</v>
      </c>
      <c r="GH331">
        <v>3.9403851630144526</v>
      </c>
      <c r="GI331">
        <v>9.4273714101858701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221.81014355867987</v>
      </c>
      <c r="AO332">
        <v>18.76876527494306</v>
      </c>
      <c r="AP332">
        <v>142.04713741407224</v>
      </c>
      <c r="AQ332">
        <v>111.61004344587158</v>
      </c>
      <c r="AR332">
        <v>17.306360149071523</v>
      </c>
      <c r="AS332">
        <v>160.07299052409442</v>
      </c>
      <c r="AT332">
        <v>7.3836369078011579</v>
      </c>
      <c r="AU332">
        <v>-19.638007310704182</v>
      </c>
      <c r="AV332"/>
      <c r="AW332"/>
      <c r="FY332" s="210">
        <v>327</v>
      </c>
      <c r="FZ332">
        <v>4.1953632930540561</v>
      </c>
      <c r="GA332">
        <v>22.654574796292188</v>
      </c>
      <c r="GB332">
        <v>19.173148567487544</v>
      </c>
      <c r="GC332">
        <v>8.0352757368816157</v>
      </c>
      <c r="GD332">
        <v>3.6650027964808372</v>
      </c>
      <c r="GE332">
        <v>3.8964588087657681</v>
      </c>
      <c r="GF332">
        <v>2.0311601164621762</v>
      </c>
      <c r="GG332">
        <v>3.160202102352593</v>
      </c>
      <c r="GH332">
        <v>4.2622464519110155</v>
      </c>
      <c r="GI332">
        <v>8.543712924426563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152.93335896823461</v>
      </c>
      <c r="AO333">
        <v>15.43113675922196</v>
      </c>
      <c r="AP333">
        <v>117.09860587191761</v>
      </c>
      <c r="AQ333">
        <v>88.987925428826003</v>
      </c>
      <c r="AR333">
        <v>14.476937914078693</v>
      </c>
      <c r="AS333">
        <v>129.24235824801295</v>
      </c>
      <c r="AT333">
        <v>6.3656242592020478</v>
      </c>
      <c r="AU333">
        <v>-24.157294172745559</v>
      </c>
      <c r="AV333"/>
      <c r="AW333"/>
      <c r="FY333" s="210">
        <v>328</v>
      </c>
      <c r="FZ333">
        <v>4.1482790256281419</v>
      </c>
      <c r="GA333">
        <v>16.243477435308307</v>
      </c>
      <c r="GB333">
        <v>16.464091498190882</v>
      </c>
      <c r="GC333">
        <v>8.5797448507031486</v>
      </c>
      <c r="GD333">
        <v>4.9871049670381131</v>
      </c>
      <c r="GE333">
        <v>6.2452800875398191</v>
      </c>
      <c r="GF333">
        <v>1.8135214616071638</v>
      </c>
      <c r="GG333">
        <v>2.1021601531728811</v>
      </c>
      <c r="GH333">
        <v>3.818983291835945</v>
      </c>
      <c r="GI333">
        <v>8.5689585872057688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214.32420192934509</v>
      </c>
      <c r="AO334">
        <v>16.803582258677302</v>
      </c>
      <c r="AP334">
        <v>133.10983699677277</v>
      </c>
      <c r="AQ334">
        <v>106.61405568363092</v>
      </c>
      <c r="AR334">
        <v>15.333459651729518</v>
      </c>
      <c r="AS334">
        <v>139.65118354165739</v>
      </c>
      <c r="AT334">
        <v>6.6833216170483105</v>
      </c>
      <c r="AU334">
        <v>2.6716894083450091</v>
      </c>
      <c r="AV334"/>
      <c r="AW334"/>
      <c r="FY334" s="210">
        <v>329</v>
      </c>
      <c r="FZ334">
        <v>9.6252927726325339</v>
      </c>
      <c r="GA334">
        <v>33.270213592488076</v>
      </c>
      <c r="GB334">
        <v>24.19638866850844</v>
      </c>
      <c r="GC334">
        <v>9.5219371967055171</v>
      </c>
      <c r="GD334">
        <v>3.2006394755961134</v>
      </c>
      <c r="GE334">
        <v>5.0095623106150899</v>
      </c>
      <c r="GF334">
        <v>6.3375363892444447</v>
      </c>
      <c r="GG334">
        <v>6.1923542576367332</v>
      </c>
      <c r="GH334">
        <v>5.6800963797171509</v>
      </c>
      <c r="GI334">
        <v>11.408900618649286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154.7074649825399</v>
      </c>
      <c r="AO335">
        <v>12.326755265125721</v>
      </c>
      <c r="AP335">
        <v>93.2414175258738</v>
      </c>
      <c r="AQ335">
        <v>74.717859648879511</v>
      </c>
      <c r="AR335">
        <v>11.61042419733095</v>
      </c>
      <c r="AS335">
        <v>116.87087911343615</v>
      </c>
      <c r="AT335">
        <v>6.6216200297102779</v>
      </c>
      <c r="AU335">
        <v>-24.443332730259275</v>
      </c>
      <c r="AV335"/>
      <c r="AW335"/>
      <c r="FY335" s="210">
        <v>330</v>
      </c>
      <c r="FZ335">
        <v>4.3998620185787161</v>
      </c>
      <c r="GA335">
        <v>25.112999105331856</v>
      </c>
      <c r="GB335">
        <v>26.782425976688355</v>
      </c>
      <c r="GC335">
        <v>11.984554074729456</v>
      </c>
      <c r="GD335">
        <v>3.5717813831673069</v>
      </c>
      <c r="GE335">
        <v>6.984787800572243</v>
      </c>
      <c r="GF335">
        <v>7.6671529904095559</v>
      </c>
      <c r="GG335">
        <v>0.86889872822098235</v>
      </c>
      <c r="GH335">
        <v>3.4904963118953836</v>
      </c>
      <c r="GI335">
        <v>11.409650726611892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195.9648256569339</v>
      </c>
      <c r="AO336">
        <v>18.482860426800482</v>
      </c>
      <c r="AP336">
        <v>146.22942734968495</v>
      </c>
      <c r="AQ336">
        <v>111.71159413590377</v>
      </c>
      <c r="AR336">
        <v>17.164235222571058</v>
      </c>
      <c r="AS336">
        <v>148.79780460263157</v>
      </c>
      <c r="AT336">
        <v>7.6542771806827856</v>
      </c>
      <c r="AU336">
        <v>-37.786612730213726</v>
      </c>
      <c r="AV336"/>
      <c r="AW336"/>
      <c r="FY336" s="210">
        <v>331</v>
      </c>
      <c r="FZ336">
        <v>6.5943119829473806</v>
      </c>
      <c r="GA336">
        <v>38.064308229337144</v>
      </c>
      <c r="GB336">
        <v>27.276510312359623</v>
      </c>
      <c r="GC336">
        <v>10.195860062500323</v>
      </c>
      <c r="GD336">
        <v>4.1910971126903309</v>
      </c>
      <c r="GE336">
        <v>6.7705014968897324</v>
      </c>
      <c r="GF336">
        <v>8.0683348852718666</v>
      </c>
      <c r="GG336">
        <v>2.9384807235526984</v>
      </c>
      <c r="GH336">
        <v>2.7793472542693221</v>
      </c>
      <c r="GI336">
        <v>12.173402049330857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190.10018526807613</v>
      </c>
      <c r="AO337">
        <v>10.602887387402877</v>
      </c>
      <c r="AP337">
        <v>82.15802276865692</v>
      </c>
      <c r="AQ337">
        <v>66.661632717969226</v>
      </c>
      <c r="AR337">
        <v>9.8276899831783577</v>
      </c>
      <c r="AS337">
        <v>111.35900944729438</v>
      </c>
      <c r="AT337">
        <v>4.7217489166484343</v>
      </c>
      <c r="AU337">
        <v>-10.49172866522313</v>
      </c>
      <c r="AV337"/>
      <c r="AW337"/>
      <c r="FY337" s="210">
        <v>332</v>
      </c>
      <c r="FZ337">
        <v>4.2549506367706726</v>
      </c>
      <c r="GA337">
        <v>25.862225755102997</v>
      </c>
      <c r="GB337">
        <v>24.669232968243517</v>
      </c>
      <c r="GC337">
        <v>11.339735396121178</v>
      </c>
      <c r="GD337">
        <v>4.0314025743071866</v>
      </c>
      <c r="GE337">
        <v>4.1161367171875636</v>
      </c>
      <c r="GF337">
        <v>6.3226130756697598</v>
      </c>
      <c r="GG337">
        <v>3.3621363366780468</v>
      </c>
      <c r="GH337">
        <v>1.161037908745131</v>
      </c>
      <c r="GI337">
        <v>10.469440408447001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172.43163926393731</v>
      </c>
      <c r="AO338">
        <v>15.808662228244089</v>
      </c>
      <c r="AP338">
        <v>131.32804937286528</v>
      </c>
      <c r="AQ338">
        <v>100.43989340925405</v>
      </c>
      <c r="AR338">
        <v>14.675535490618604</v>
      </c>
      <c r="AS338">
        <v>135.21842651709375</v>
      </c>
      <c r="AT338">
        <v>6.9987852705489635</v>
      </c>
      <c r="AU338">
        <v>-24.987594859642108</v>
      </c>
      <c r="AV338"/>
      <c r="AW338"/>
      <c r="FY338" s="210">
        <v>333</v>
      </c>
      <c r="FZ338">
        <v>6.714613886822562</v>
      </c>
      <c r="GA338">
        <v>33.603300355437248</v>
      </c>
      <c r="GB338">
        <v>20.601900493897862</v>
      </c>
      <c r="GC338">
        <v>8.2104885567228276</v>
      </c>
      <c r="GD338">
        <v>4.3064065019296889</v>
      </c>
      <c r="GE338">
        <v>6.0302832937864608</v>
      </c>
      <c r="GF338">
        <v>7.1057128136942822</v>
      </c>
      <c r="GG338">
        <v>2.9710588813938639</v>
      </c>
      <c r="GH338">
        <v>4.1371532879025121</v>
      </c>
      <c r="GI338">
        <v>10.649659728498939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253.37393391098703</v>
      </c>
      <c r="AO339">
        <v>20.4652157045496</v>
      </c>
      <c r="AP339">
        <v>162.7970270108311</v>
      </c>
      <c r="AQ339">
        <v>127.23380232779142</v>
      </c>
      <c r="AR339">
        <v>18.781681452309492</v>
      </c>
      <c r="AS339">
        <v>176.93033027536507</v>
      </c>
      <c r="AT339">
        <v>7.5431394741127447</v>
      </c>
      <c r="AU339">
        <v>-6.3115299173085306</v>
      </c>
      <c r="AV339"/>
      <c r="AW339"/>
      <c r="FY339" s="210">
        <v>334</v>
      </c>
      <c r="FZ339">
        <v>1.6329579040299467</v>
      </c>
      <c r="GA339">
        <v>28.256643242400216</v>
      </c>
      <c r="GB339">
        <v>29.334290425536402</v>
      </c>
      <c r="GC339">
        <v>10.545267658733771</v>
      </c>
      <c r="GD339">
        <v>3.0998277185091085</v>
      </c>
      <c r="GE339">
        <v>4.9251558931857939</v>
      </c>
      <c r="GF339">
        <v>6.0889763148148512</v>
      </c>
      <c r="GG339">
        <v>4.0400914864444548</v>
      </c>
      <c r="GH339">
        <v>4.0691696198529517</v>
      </c>
      <c r="GI339">
        <v>11.144835616350637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166.9548586528168</v>
      </c>
      <c r="AO340">
        <v>11.685558090247943</v>
      </c>
      <c r="AP340">
        <v>90.657826567954558</v>
      </c>
      <c r="AQ340">
        <v>71.760520592951679</v>
      </c>
      <c r="AR340">
        <v>10.792425928051998</v>
      </c>
      <c r="AS340">
        <v>106.99281430149018</v>
      </c>
      <c r="AT340">
        <v>4.6239889833029801</v>
      </c>
      <c r="AU340">
        <v>-6.3876734739823036</v>
      </c>
      <c r="AV340"/>
      <c r="AW340"/>
      <c r="FY340" s="210">
        <v>335</v>
      </c>
      <c r="FZ340">
        <v>4.1819880109477765</v>
      </c>
      <c r="GA340">
        <v>30.183912208952474</v>
      </c>
      <c r="GB340">
        <v>25.88417255933404</v>
      </c>
      <c r="GC340">
        <v>9.0578071769104938</v>
      </c>
      <c r="GD340">
        <v>2.093420384283573</v>
      </c>
      <c r="GE340">
        <v>1.8706360631604602</v>
      </c>
      <c r="GF340">
        <v>3.318411608626993</v>
      </c>
      <c r="GG340">
        <v>3.7137080200422385</v>
      </c>
      <c r="GH340">
        <v>5.3632404664832016</v>
      </c>
      <c r="GI340">
        <v>9.7319949689848553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204.86872483930725</v>
      </c>
      <c r="AO341">
        <v>17.089584628767987</v>
      </c>
      <c r="AP341">
        <v>121.03974857071081</v>
      </c>
      <c r="AQ341">
        <v>94.456234268123794</v>
      </c>
      <c r="AR341">
        <v>15.963049973322025</v>
      </c>
      <c r="AS341">
        <v>182.45483102624326</v>
      </c>
      <c r="AT341" t="e">
        <v>#DIV/0!</v>
      </c>
      <c r="AU341" t="e">
        <v>#DIV/0!</v>
      </c>
      <c r="AV341"/>
      <c r="AW341"/>
      <c r="FY341" s="210">
        <v>336</v>
      </c>
      <c r="FZ341">
        <v>1.2918726529278564</v>
      </c>
      <c r="GA341">
        <v>14.030865453325262</v>
      </c>
      <c r="GB341">
        <v>18.581773833250665</v>
      </c>
      <c r="GC341">
        <v>9.6826706023907327</v>
      </c>
      <c r="GD341">
        <v>3.0555980169132679</v>
      </c>
      <c r="GE341">
        <v>4.1434669747983977</v>
      </c>
      <c r="GF341">
        <v>6.1188229419642202</v>
      </c>
      <c r="GG341">
        <v>1.1988829096148885</v>
      </c>
      <c r="GH341">
        <v>0</v>
      </c>
      <c r="GI341">
        <v>7.7383752992168198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140.0005845186065</v>
      </c>
      <c r="AO342">
        <v>14.178263945747977</v>
      </c>
      <c r="AP342">
        <v>112.51448715107229</v>
      </c>
      <c r="AQ342">
        <v>86.327740606683776</v>
      </c>
      <c r="AR342">
        <v>13.232847597835121</v>
      </c>
      <c r="AS342">
        <v>116.70020465450784</v>
      </c>
      <c r="AT342">
        <v>5.6271467418382644</v>
      </c>
      <c r="AU342">
        <v>-17.945783691139226</v>
      </c>
      <c r="AV342"/>
      <c r="AW342"/>
      <c r="FY342" s="210">
        <v>337</v>
      </c>
      <c r="FZ342">
        <v>4.0927376320543338</v>
      </c>
      <c r="GA342">
        <v>26.242143178159193</v>
      </c>
      <c r="GB342">
        <v>19.955793184359607</v>
      </c>
      <c r="GC342">
        <v>7.2713679388962458</v>
      </c>
      <c r="GD342">
        <v>2.3252991573406332</v>
      </c>
      <c r="GE342">
        <v>3.0349035424678874</v>
      </c>
      <c r="GF342">
        <v>4.1884830999296012</v>
      </c>
      <c r="GG342">
        <v>3.8399576096148458</v>
      </c>
      <c r="GH342">
        <v>4.9763299077510812</v>
      </c>
      <c r="GI342">
        <v>8.4943110994932756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190.09491311990192</v>
      </c>
      <c r="AO343">
        <v>12.666889024881746</v>
      </c>
      <c r="AP343">
        <v>99.630362586196426</v>
      </c>
      <c r="AQ343">
        <v>79.617145594114348</v>
      </c>
      <c r="AR343">
        <v>11.872448680490383</v>
      </c>
      <c r="AS343">
        <v>122.20475299697245</v>
      </c>
      <c r="AT343">
        <v>5.9613726670935954</v>
      </c>
      <c r="AU343">
        <v>96.191588772219788</v>
      </c>
      <c r="AV343"/>
      <c r="AW343"/>
      <c r="FY343" s="210">
        <v>338</v>
      </c>
      <c r="FZ343">
        <v>1.3360475807578025</v>
      </c>
      <c r="GA343">
        <v>29.795124885603421</v>
      </c>
      <c r="GB343">
        <v>24.742599073746824</v>
      </c>
      <c r="GC343">
        <v>8.3953028346557428</v>
      </c>
      <c r="GD343">
        <v>4.9578075447266947</v>
      </c>
      <c r="GE343">
        <v>9.2546380507150356</v>
      </c>
      <c r="GF343">
        <v>6.680263118679493</v>
      </c>
      <c r="GG343">
        <v>3.160202102352593</v>
      </c>
      <c r="GH343">
        <v>4.8446110526985784</v>
      </c>
      <c r="GI343">
        <v>11.260483951242733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203.54766521737901</v>
      </c>
      <c r="AO344">
        <v>12.690408179906781</v>
      </c>
      <c r="AP344">
        <v>86.759693095554809</v>
      </c>
      <c r="AQ344">
        <v>72.971601358230174</v>
      </c>
      <c r="AR344">
        <v>11.950018295380833</v>
      </c>
      <c r="AS344">
        <v>124.16545070957848</v>
      </c>
      <c r="AT344">
        <v>5.2400141644630347</v>
      </c>
      <c r="AU344">
        <v>-15.254759946822713</v>
      </c>
      <c r="AV344"/>
      <c r="AW344"/>
      <c r="FY344" s="210">
        <v>339</v>
      </c>
      <c r="FZ344">
        <v>4.0865474642635293</v>
      </c>
      <c r="GA344">
        <v>21.45133871622966</v>
      </c>
      <c r="GB344">
        <v>20.817630201989758</v>
      </c>
      <c r="GC344">
        <v>10.131303909197445</v>
      </c>
      <c r="GD344">
        <v>3.8156161003275146</v>
      </c>
      <c r="GE344">
        <v>6.3926254124184405</v>
      </c>
      <c r="GF344">
        <v>7.323351468549296</v>
      </c>
      <c r="GG344">
        <v>3.0665306706211508</v>
      </c>
      <c r="GH344">
        <v>3.5547886871149497</v>
      </c>
      <c r="GI344">
        <v>9.9721836243683839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180.1484552055978</v>
      </c>
      <c r="AO345">
        <v>17.212941498100047</v>
      </c>
      <c r="AP345">
        <v>145.41093549738719</v>
      </c>
      <c r="AQ345">
        <v>114.44292166179341</v>
      </c>
      <c r="AR345">
        <v>15.808967089453638</v>
      </c>
      <c r="AS345">
        <v>152.87761696218925</v>
      </c>
      <c r="AT345" t="e">
        <v>#DIV/0!</v>
      </c>
      <c r="AU345" t="e">
        <v>#DIV/0!</v>
      </c>
      <c r="AV345"/>
      <c r="AW345"/>
      <c r="FY345" s="210">
        <v>340</v>
      </c>
      <c r="FZ345">
        <v>4.3633822713514174</v>
      </c>
      <c r="GA345">
        <v>28.460212839527259</v>
      </c>
      <c r="GB345">
        <v>29.943739617534678</v>
      </c>
      <c r="GC345">
        <v>13.87094898682632</v>
      </c>
      <c r="GD345">
        <v>4.8981382434666321</v>
      </c>
      <c r="GE345">
        <v>3.9219569813935919</v>
      </c>
      <c r="GF345">
        <v>1.1853564253120465</v>
      </c>
      <c r="GG345">
        <v>1.6441260247105225</v>
      </c>
      <c r="GH345">
        <v>3.4230698320624482</v>
      </c>
      <c r="GI345">
        <v>11.751023178708232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248.7456164657263</v>
      </c>
      <c r="AO346">
        <v>16.963851258705763</v>
      </c>
      <c r="AP346">
        <v>131.01640236527453</v>
      </c>
      <c r="AQ346">
        <v>102.27260911620576</v>
      </c>
      <c r="AR346">
        <v>15.631810857207199</v>
      </c>
      <c r="AS346">
        <v>170.7449917220975</v>
      </c>
      <c r="AT346" t="e">
        <v>#DIV/0!</v>
      </c>
      <c r="AU346" t="e">
        <v>#DIV/0!</v>
      </c>
      <c r="AV346"/>
      <c r="AW346"/>
      <c r="FY346" s="210">
        <v>341</v>
      </c>
      <c r="FZ346">
        <v>4.0957634496227993</v>
      </c>
      <c r="GA346">
        <v>23.533406147917603</v>
      </c>
      <c r="GB346">
        <v>19.478777608407832</v>
      </c>
      <c r="GC346">
        <v>9.1655245998489629</v>
      </c>
      <c r="GD346">
        <v>5.0533241302832046</v>
      </c>
      <c r="GE346">
        <v>9.3174661118956905</v>
      </c>
      <c r="GF346">
        <v>8.310241340279358</v>
      </c>
      <c r="GG346">
        <v>0.77522729648954036</v>
      </c>
      <c r="GH346">
        <v>2.5225352352083168</v>
      </c>
      <c r="GI346">
        <v>10.403913702183996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205.61247855328287</v>
      </c>
      <c r="AO347">
        <v>18.319501411565561</v>
      </c>
      <c r="AP347">
        <v>152.19755889663341</v>
      </c>
      <c r="AQ347">
        <v>119.0521541091493</v>
      </c>
      <c r="AR347">
        <v>16.749525510490962</v>
      </c>
      <c r="AS347">
        <v>165.89227055602063</v>
      </c>
      <c r="AT347">
        <v>9.355332975555589</v>
      </c>
      <c r="AU347">
        <v>-58.694606667775901</v>
      </c>
      <c r="AV347"/>
      <c r="AW347"/>
      <c r="FY347" s="210">
        <v>342</v>
      </c>
      <c r="FZ347">
        <v>7.4372942944520721</v>
      </c>
      <c r="GA347">
        <v>25.551165380100272</v>
      </c>
      <c r="GB347">
        <v>13.15731813014164</v>
      </c>
      <c r="GC347">
        <v>4.8998874534616741</v>
      </c>
      <c r="GD347">
        <v>2.9121826069981398</v>
      </c>
      <c r="GE347">
        <v>2.1486087995553591</v>
      </c>
      <c r="GF347">
        <v>0.54226807544224453</v>
      </c>
      <c r="GG347">
        <v>1.6441260247105225</v>
      </c>
      <c r="GH347">
        <v>2.7793472542693221</v>
      </c>
      <c r="GI347">
        <v>6.5981481203882089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212.78698612335887</v>
      </c>
      <c r="AO348">
        <v>15.720557069743993</v>
      </c>
      <c r="AP348">
        <v>121.7562418063217</v>
      </c>
      <c r="AQ348">
        <v>95.588911777273054</v>
      </c>
      <c r="AR348">
        <v>14.495492652581952</v>
      </c>
      <c r="AS348">
        <v>144.00229631889425</v>
      </c>
      <c r="AT348" t="e">
        <v>#DIV/0!</v>
      </c>
      <c r="AU348" t="e">
        <v>#DIV/0!</v>
      </c>
      <c r="AV348"/>
      <c r="AW348"/>
      <c r="FY348" s="210">
        <v>343</v>
      </c>
      <c r="FZ348">
        <v>3.9508551991830543</v>
      </c>
      <c r="GA348">
        <v>22.088669302695159</v>
      </c>
      <c r="GB348">
        <v>19.749150882712918</v>
      </c>
      <c r="GC348">
        <v>8.2499547239882567</v>
      </c>
      <c r="GD348">
        <v>3.5485959921690986</v>
      </c>
      <c r="GE348">
        <v>4.0331273855967495</v>
      </c>
      <c r="GF348">
        <v>3.1866699146248534</v>
      </c>
      <c r="GG348">
        <v>3.4883859262506536</v>
      </c>
      <c r="GH348">
        <v>3.2263017071743878</v>
      </c>
      <c r="GI348">
        <v>8.6181506163378074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196.38273200675889</v>
      </c>
      <c r="AO349">
        <v>15.96394691325464</v>
      </c>
      <c r="AP349">
        <v>131.06741094337332</v>
      </c>
      <c r="AQ349">
        <v>104.33057780008622</v>
      </c>
      <c r="AR349">
        <v>14.632201719856631</v>
      </c>
      <c r="AS349">
        <v>151.84786078315057</v>
      </c>
      <c r="AT349">
        <v>6.5851873135314243</v>
      </c>
      <c r="AU349">
        <v>-4.1733854074898158</v>
      </c>
      <c r="AV349"/>
      <c r="AW349"/>
      <c r="FY349" s="210">
        <v>344</v>
      </c>
      <c r="FZ349">
        <v>3.6119141657289582</v>
      </c>
      <c r="GA349">
        <v>24.592257669442834</v>
      </c>
      <c r="GB349">
        <v>26.817232931847322</v>
      </c>
      <c r="GC349">
        <v>13.272157905209708</v>
      </c>
      <c r="GD349">
        <v>5.7184894389129202</v>
      </c>
      <c r="GE349">
        <v>5.7666794856889414</v>
      </c>
      <c r="GF349">
        <v>3.1007729537719806</v>
      </c>
      <c r="GG349">
        <v>2.843008934325411</v>
      </c>
      <c r="GH349">
        <v>2.8407052312748844</v>
      </c>
      <c r="GI349">
        <v>11.58096903338401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181.49239359329607</v>
      </c>
      <c r="AO350">
        <v>16.629152201860805</v>
      </c>
      <c r="AP350">
        <v>137.52615479259552</v>
      </c>
      <c r="AQ350">
        <v>103.13721587985812</v>
      </c>
      <c r="AR350">
        <v>15.538352508654009</v>
      </c>
      <c r="AS350">
        <v>147.29593719272384</v>
      </c>
      <c r="AT350">
        <v>7.7223052614460128</v>
      </c>
      <c r="AU350">
        <v>-47.538177355717444</v>
      </c>
      <c r="AV350"/>
      <c r="AW350"/>
      <c r="FY350" s="210">
        <v>345</v>
      </c>
      <c r="FZ350">
        <v>0.89524287688366111</v>
      </c>
      <c r="GA350">
        <v>26.505136004275819</v>
      </c>
      <c r="GB350">
        <v>19.812734665500901</v>
      </c>
      <c r="GC350">
        <v>5.5897846503963056</v>
      </c>
      <c r="GD350">
        <v>2.5282710878104107</v>
      </c>
      <c r="GE350">
        <v>4.2960956251933142</v>
      </c>
      <c r="GF350">
        <v>5.5776296589471874</v>
      </c>
      <c r="GG350">
        <v>5.2279837401884635</v>
      </c>
      <c r="GH350">
        <v>5.7451456495527093</v>
      </c>
      <c r="GI350">
        <v>8.4990535553039628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150.31693893349762</v>
      </c>
      <c r="AO351">
        <v>14.382781586284537</v>
      </c>
      <c r="AP351">
        <v>126.7241834453758</v>
      </c>
      <c r="AQ351">
        <v>95.399291467726101</v>
      </c>
      <c r="AR351">
        <v>13.55820952564264</v>
      </c>
      <c r="AS351">
        <v>131.17697829870201</v>
      </c>
      <c r="AT351">
        <v>6.1559546294191607</v>
      </c>
      <c r="AU351">
        <v>-18.222551169038862</v>
      </c>
      <c r="AV351"/>
      <c r="AW351"/>
      <c r="FY351" s="210">
        <v>346</v>
      </c>
      <c r="FZ351">
        <v>1.8552462640686973</v>
      </c>
      <c r="GA351">
        <v>27.290919429112932</v>
      </c>
      <c r="GB351">
        <v>28.776635431369407</v>
      </c>
      <c r="GC351">
        <v>10.319455593910584</v>
      </c>
      <c r="GD351">
        <v>4.0676658428638186</v>
      </c>
      <c r="GE351">
        <v>6.6312931439884188</v>
      </c>
      <c r="GF351">
        <v>3.7481100913401262</v>
      </c>
      <c r="GG351">
        <v>1.9741102061044287</v>
      </c>
      <c r="GH351">
        <v>3.1048998359958802</v>
      </c>
      <c r="GI351">
        <v>11.028764465636183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153.20335409671347</v>
      </c>
      <c r="AO352">
        <v>11.643890048787089</v>
      </c>
      <c r="AP352">
        <v>84.005017556221645</v>
      </c>
      <c r="AQ352">
        <v>65.842328684402105</v>
      </c>
      <c r="AR352">
        <v>10.616754183108103</v>
      </c>
      <c r="AS352">
        <v>105.57401664300131</v>
      </c>
      <c r="AT352" t="e">
        <v>#DIV/0!</v>
      </c>
      <c r="AU352" t="e">
        <v>#DIV/0!</v>
      </c>
      <c r="AV352"/>
      <c r="AW352"/>
      <c r="FY352" s="210">
        <v>347</v>
      </c>
      <c r="FZ352">
        <v>1.6916447245130135</v>
      </c>
      <c r="GA352">
        <v>22.453862593038856</v>
      </c>
      <c r="GB352">
        <v>25.488127588975281</v>
      </c>
      <c r="GC352">
        <v>10.211962515649194</v>
      </c>
      <c r="GD352">
        <v>4.0528143115648314</v>
      </c>
      <c r="GE352">
        <v>8.348249269336268</v>
      </c>
      <c r="GF352">
        <v>7.191609774547155</v>
      </c>
      <c r="GG352">
        <v>1.9723098486085839</v>
      </c>
      <c r="GH352">
        <v>2.0652637984292568</v>
      </c>
      <c r="GI352">
        <v>10.669695914313412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146.67469612573331</v>
      </c>
      <c r="AO353">
        <v>12.720572938347683</v>
      </c>
      <c r="AP353">
        <v>109.62781439025257</v>
      </c>
      <c r="AQ353">
        <v>84.421326350066693</v>
      </c>
      <c r="AR353">
        <v>11.729297070643828</v>
      </c>
      <c r="AS353">
        <v>124.89205464264002</v>
      </c>
      <c r="AT353">
        <v>5.6068353852133468</v>
      </c>
      <c r="AU353">
        <v>-13.21302274771811</v>
      </c>
      <c r="AV353"/>
      <c r="AW353"/>
      <c r="FY353" s="210">
        <v>348</v>
      </c>
      <c r="FZ353">
        <v>1.1400059813810339</v>
      </c>
      <c r="GA353">
        <v>20.52357673533011</v>
      </c>
      <c r="GB353">
        <v>17.914206790020074</v>
      </c>
      <c r="GC353">
        <v>6.7916575583865857</v>
      </c>
      <c r="GD353">
        <v>3.1802592855186798</v>
      </c>
      <c r="GE353">
        <v>4.436626909379644</v>
      </c>
      <c r="GF353">
        <v>5.8811652746550722</v>
      </c>
      <c r="GG353">
        <v>3.3621363366780468</v>
      </c>
      <c r="GH353">
        <v>1.161037908745131</v>
      </c>
      <c r="GI353">
        <v>7.7386545180949486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225.81682450743696</v>
      </c>
      <c r="AO354">
        <v>16.816386611079462</v>
      </c>
      <c r="AP354">
        <v>132.05670524746668</v>
      </c>
      <c r="AQ354">
        <v>104.42708019517892</v>
      </c>
      <c r="AR354">
        <v>15.493508992876617</v>
      </c>
      <c r="AS354">
        <v>143.09704349780276</v>
      </c>
      <c r="AT354">
        <v>7.0931661365682679</v>
      </c>
      <c r="AU354">
        <v>-17.365935564875109</v>
      </c>
      <c r="AV354"/>
      <c r="AW354"/>
      <c r="FY354" s="210">
        <v>349</v>
      </c>
      <c r="FZ354">
        <v>1.7999567497529632</v>
      </c>
      <c r="GA354">
        <v>24.327690270067869</v>
      </c>
      <c r="GB354">
        <v>19.325233462121734</v>
      </c>
      <c r="GC354">
        <v>6.5305997828942726</v>
      </c>
      <c r="GD354">
        <v>3.4843912488751223</v>
      </c>
      <c r="GE354">
        <v>5.5472670529396391</v>
      </c>
      <c r="GF354">
        <v>3.5603180636344836</v>
      </c>
      <c r="GG354">
        <v>0.86889872822098235</v>
      </c>
      <c r="GH354">
        <v>2.0652637984292568</v>
      </c>
      <c r="GI354">
        <v>8.0718977485790617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220.03508464840925</v>
      </c>
      <c r="AO355">
        <v>15.05533552992561</v>
      </c>
      <c r="AP355">
        <v>113.54857385002211</v>
      </c>
      <c r="AQ355">
        <v>90.611916255080118</v>
      </c>
      <c r="AR355">
        <v>13.671295108068181</v>
      </c>
      <c r="AS355">
        <v>135.56784403612841</v>
      </c>
      <c r="AT355">
        <v>5.8125153486526413</v>
      </c>
      <c r="AU355">
        <v>-14.076235703777417</v>
      </c>
      <c r="AV355"/>
      <c r="AW355"/>
      <c r="FY355" s="210">
        <v>350</v>
      </c>
      <c r="FZ355">
        <v>6.6716857847753595</v>
      </c>
      <c r="GA355">
        <v>30.619325644517865</v>
      </c>
      <c r="GB355">
        <v>21.68138788242458</v>
      </c>
      <c r="GC355">
        <v>9.4268137436580037</v>
      </c>
      <c r="GD355">
        <v>4.5511087285651968</v>
      </c>
      <c r="GE355">
        <v>5.2508378955944393</v>
      </c>
      <c r="GF355">
        <v>5.7792702078023028</v>
      </c>
      <c r="GG355">
        <v>3.4901862837464988</v>
      </c>
      <c r="GH355">
        <v>2.7793472542693221</v>
      </c>
      <c r="GI355">
        <v>10.525346920431062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169.45132969584711</v>
      </c>
      <c r="AO356">
        <v>17.637988348780585</v>
      </c>
      <c r="AP356">
        <v>132.41537025953954</v>
      </c>
      <c r="AQ356">
        <v>103.46195440089316</v>
      </c>
      <c r="AR356">
        <v>16.493060690970779</v>
      </c>
      <c r="AS356">
        <v>140.53557601830528</v>
      </c>
      <c r="AT356" t="e">
        <v>#DIV/0!</v>
      </c>
      <c r="AU356" t="e">
        <v>#DIV/0!</v>
      </c>
      <c r="AV356"/>
      <c r="AW356"/>
      <c r="FY356" s="210">
        <v>351</v>
      </c>
      <c r="FZ356">
        <v>1.300446302082676</v>
      </c>
      <c r="GA356">
        <v>20.321115312156451</v>
      </c>
      <c r="GB356">
        <v>24.000052561177874</v>
      </c>
      <c r="GC356">
        <v>10.949307180100654</v>
      </c>
      <c r="GD356">
        <v>3.5301530581497418</v>
      </c>
      <c r="GE356">
        <v>3.6537420779051661</v>
      </c>
      <c r="GF356">
        <v>3.119945055045009</v>
      </c>
      <c r="GG356">
        <v>1.5160760776420703</v>
      </c>
      <c r="GH356">
        <v>1.4828991976416939</v>
      </c>
      <c r="GI356">
        <v>9.0266497176755962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234.07262393500318</v>
      </c>
      <c r="AO357">
        <v>15.576575472429482</v>
      </c>
      <c r="AP357">
        <v>113.81036800101515</v>
      </c>
      <c r="AQ357">
        <v>92.65617962213733</v>
      </c>
      <c r="AR357">
        <v>14.211682277485368</v>
      </c>
      <c r="AS357">
        <v>138.60188230279741</v>
      </c>
      <c r="AT357" t="e">
        <v>#DIV/0!</v>
      </c>
      <c r="AU357" t="e">
        <v>#DIV/0!</v>
      </c>
      <c r="AV357"/>
      <c r="AW357"/>
      <c r="FY357" s="210">
        <v>352</v>
      </c>
      <c r="FZ357">
        <v>3.919548618540512</v>
      </c>
      <c r="GA357">
        <v>26.158877791100156</v>
      </c>
      <c r="GB357">
        <v>26.435547804618498</v>
      </c>
      <c r="GC357">
        <v>10.484321764997564</v>
      </c>
      <c r="GD357">
        <v>2.7987648983007132</v>
      </c>
      <c r="GE357">
        <v>5.5211206356713864</v>
      </c>
      <c r="GF357">
        <v>6.0211766628097934</v>
      </c>
      <c r="GG357">
        <v>0.55170556019380068</v>
      </c>
      <c r="GH357">
        <v>1.808451779368252</v>
      </c>
      <c r="GI357">
        <v>10.242581986870121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132.75300697143308</v>
      </c>
      <c r="AO358">
        <v>9.7736848460722676</v>
      </c>
      <c r="AP358">
        <v>83.332666557428098</v>
      </c>
      <c r="AQ358">
        <v>67.670346139519452</v>
      </c>
      <c r="AR358">
        <v>9.18477019019344</v>
      </c>
      <c r="AS358">
        <v>100.12322500249172</v>
      </c>
      <c r="AT358" t="e">
        <v>#DIV/0!</v>
      </c>
      <c r="AU358" t="e">
        <v>#DIV/0!</v>
      </c>
      <c r="AV358"/>
      <c r="AW358"/>
      <c r="FY358" s="210">
        <v>353</v>
      </c>
      <c r="FZ358">
        <v>3.7243854877159173</v>
      </c>
      <c r="GA358">
        <v>24.194800928192848</v>
      </c>
      <c r="GB358">
        <v>17.88564200045824</v>
      </c>
      <c r="GC358">
        <v>8.1449470249785101</v>
      </c>
      <c r="GD358">
        <v>4.3485538641999506</v>
      </c>
      <c r="GE358">
        <v>4.8088197774691643</v>
      </c>
      <c r="GF358">
        <v>4.3053014803570564</v>
      </c>
      <c r="GG358">
        <v>2.9728592388897086</v>
      </c>
      <c r="GH358">
        <v>3.1078342342098835</v>
      </c>
      <c r="GI358">
        <v>8.8367329299533246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186.61920494074482</v>
      </c>
      <c r="AO359">
        <v>12.78787068462997</v>
      </c>
      <c r="AP359">
        <v>100.46485741094833</v>
      </c>
      <c r="AQ359">
        <v>80.139861650732939</v>
      </c>
      <c r="AR359">
        <v>11.961098922378881</v>
      </c>
      <c r="AS359">
        <v>137.6682192978005</v>
      </c>
      <c r="AT359">
        <v>5.9667098320495802</v>
      </c>
      <c r="AU359">
        <v>-16.107209184486432</v>
      </c>
      <c r="AV359"/>
      <c r="AW359"/>
      <c r="FY359" s="210">
        <v>354</v>
      </c>
      <c r="FZ359">
        <v>6.6471990925860212</v>
      </c>
      <c r="GA359">
        <v>35.609127065644891</v>
      </c>
      <c r="GB359">
        <v>35.345374332813307</v>
      </c>
      <c r="GC359">
        <v>14.558949349942052</v>
      </c>
      <c r="GD359">
        <v>4.0771991552751086</v>
      </c>
      <c r="GE359">
        <v>5.1010794350507931</v>
      </c>
      <c r="GF359">
        <v>5.7643468942276179</v>
      </c>
      <c r="GG359">
        <v>3.2666645474507594</v>
      </c>
      <c r="GH359">
        <v>1.161037908745131</v>
      </c>
      <c r="GI359">
        <v>13.459771953841518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217.59007400697107</v>
      </c>
      <c r="AO360">
        <v>17.431931757450119</v>
      </c>
      <c r="AP360">
        <v>124.73602657730849</v>
      </c>
      <c r="AQ360">
        <v>100.14418774958696</v>
      </c>
      <c r="AR360">
        <v>16.184933717111477</v>
      </c>
      <c r="AS360">
        <v>178.80884871536821</v>
      </c>
      <c r="AT360">
        <v>7.332698979475869</v>
      </c>
      <c r="AU360">
        <v>-39.954983758394313</v>
      </c>
      <c r="AV360"/>
      <c r="AW360"/>
      <c r="FY360" s="210">
        <v>355</v>
      </c>
      <c r="FZ360">
        <v>6.1723107383906477</v>
      </c>
      <c r="GA360">
        <v>20.166526689230338</v>
      </c>
      <c r="GB360">
        <v>15.166563591444779</v>
      </c>
      <c r="GC360">
        <v>7.1229034946281189</v>
      </c>
      <c r="GD360">
        <v>3.7048895450735593</v>
      </c>
      <c r="GE360">
        <v>5.8168391068873175</v>
      </c>
      <c r="GF360">
        <v>5.0502848970796279</v>
      </c>
      <c r="GG360">
        <v>5.4515054764842032</v>
      </c>
      <c r="GH360">
        <v>5.8768645046052121</v>
      </c>
      <c r="GI360">
        <v>8.7375419645290648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140.43785535316465</v>
      </c>
      <c r="AO361">
        <v>12.734654486637888</v>
      </c>
      <c r="AP361">
        <v>111.66651888798999</v>
      </c>
      <c r="AQ361">
        <v>84.677077514052726</v>
      </c>
      <c r="AR361">
        <v>11.787589036058726</v>
      </c>
      <c r="AS361">
        <v>107.32100947700714</v>
      </c>
      <c r="AT361">
        <v>5.9665146719587385</v>
      </c>
      <c r="AU361">
        <v>-19.680533966749007</v>
      </c>
      <c r="AV361"/>
      <c r="AW361"/>
      <c r="FY361" s="210">
        <v>356</v>
      </c>
      <c r="FZ361">
        <v>6.4154334287906023</v>
      </c>
      <c r="GA361">
        <v>34.803653620962102</v>
      </c>
      <c r="GB361">
        <v>21.636791350466169</v>
      </c>
      <c r="GC361">
        <v>7.4052639270050342</v>
      </c>
      <c r="GD361">
        <v>3.1563801169331676</v>
      </c>
      <c r="GE361">
        <v>1.9591497608706596</v>
      </c>
      <c r="GF361">
        <v>1.8295195676070612</v>
      </c>
      <c r="GG361">
        <v>3.160202102352593</v>
      </c>
      <c r="GH361">
        <v>4.2622464519110155</v>
      </c>
      <c r="GI361">
        <v>9.1953683526631025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214.57581211990731</v>
      </c>
      <c r="AO362">
        <v>16.430653741080572</v>
      </c>
      <c r="AP362">
        <v>128.91475073339328</v>
      </c>
      <c r="AQ362">
        <v>98.797100304390469</v>
      </c>
      <c r="AR362">
        <v>15.427267913282101</v>
      </c>
      <c r="AS362">
        <v>155.0988304132197</v>
      </c>
      <c r="AT362">
        <v>6.3168632811240144</v>
      </c>
      <c r="AU362">
        <v>-23.13457728225973</v>
      </c>
      <c r="AV362"/>
      <c r="AW362"/>
      <c r="FY362" s="210">
        <v>357</v>
      </c>
      <c r="FZ362">
        <v>1.3523384651966461</v>
      </c>
      <c r="GA362">
        <v>24.534121733394208</v>
      </c>
      <c r="GB362">
        <v>29.680098393734369</v>
      </c>
      <c r="GC362">
        <v>14.176050199820546</v>
      </c>
      <c r="GD362">
        <v>4.509381721420672</v>
      </c>
      <c r="GE362">
        <v>2.3329695181608621</v>
      </c>
      <c r="GF362">
        <v>1.3880717665923741</v>
      </c>
      <c r="GG362">
        <v>3.2538735340840348</v>
      </c>
      <c r="GH362">
        <v>4.6478429278105189</v>
      </c>
      <c r="GI362">
        <v>11.248170751516529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221.05190889216456</v>
      </c>
      <c r="AO363">
        <v>16.066417181118602</v>
      </c>
      <c r="AP363">
        <v>120.96100363887282</v>
      </c>
      <c r="AQ363">
        <v>94.145540338975849</v>
      </c>
      <c r="AR363">
        <v>14.742485931811739</v>
      </c>
      <c r="AS363">
        <v>136.64903878466293</v>
      </c>
      <c r="AT363">
        <v>5.9604951199804246</v>
      </c>
      <c r="AU363">
        <v>-9.0457282253159015</v>
      </c>
      <c r="AV363"/>
      <c r="AW363"/>
      <c r="FY363" s="210">
        <v>358</v>
      </c>
      <c r="FZ363">
        <v>1.8876863238897821</v>
      </c>
      <c r="GA363">
        <v>34.241491497829678</v>
      </c>
      <c r="GB363">
        <v>35.346306314016296</v>
      </c>
      <c r="GC363">
        <v>12.537858864135288</v>
      </c>
      <c r="GD363">
        <v>4.0518989818214379</v>
      </c>
      <c r="GE363">
        <v>6.7971646739017375</v>
      </c>
      <c r="GF363">
        <v>4.3053014803570564</v>
      </c>
      <c r="GG363">
        <v>3.0665306706211508</v>
      </c>
      <c r="GH363">
        <v>6.1447504021562018</v>
      </c>
      <c r="GI363">
        <v>13.21731859314025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186.16384670316512</v>
      </c>
      <c r="AO364">
        <v>11.62890340554322</v>
      </c>
      <c r="AP364">
        <v>92.169382017810321</v>
      </c>
      <c r="AQ364">
        <v>72.129327298189338</v>
      </c>
      <c r="AR364">
        <v>10.676261795899041</v>
      </c>
      <c r="AS364">
        <v>113.57495679985901</v>
      </c>
      <c r="AT364" t="e">
        <v>#DIV/0!</v>
      </c>
      <c r="AU364" t="e">
        <v>#DIV/0!</v>
      </c>
      <c r="AV364"/>
      <c r="AW364"/>
      <c r="FY364" s="210">
        <v>359</v>
      </c>
      <c r="FZ364">
        <v>1.6650075069046535</v>
      </c>
      <c r="GA364">
        <v>18.917357901898562</v>
      </c>
      <c r="GB364">
        <v>18.619269028254212</v>
      </c>
      <c r="GC364">
        <v>6.8488553423145682</v>
      </c>
      <c r="GD364">
        <v>3.1222924363035061</v>
      </c>
      <c r="GE364">
        <v>7.7349264185941173</v>
      </c>
      <c r="GF364">
        <v>8.4479398471373894</v>
      </c>
      <c r="GG364">
        <v>3.9446196972171679</v>
      </c>
      <c r="GH364">
        <v>3.2263017071743878</v>
      </c>
      <c r="GI364">
        <v>8.8208717150759863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177.00930387962592</v>
      </c>
      <c r="AO365">
        <v>11.962176076633295</v>
      </c>
      <c r="AP365">
        <v>95.757072396691768</v>
      </c>
      <c r="AQ365">
        <v>75.581516905515386</v>
      </c>
      <c r="AR365">
        <v>11.090454389041279</v>
      </c>
      <c r="AS365">
        <v>119.59397296716961</v>
      </c>
      <c r="AT365" t="e">
        <v>#DIV/0!</v>
      </c>
      <c r="AU365" t="e">
        <v>#DIV/0!</v>
      </c>
      <c r="AV365"/>
      <c r="AW365"/>
      <c r="FY365" s="210">
        <v>360</v>
      </c>
      <c r="FZ365">
        <v>4.2035685399438751</v>
      </c>
      <c r="GA365">
        <v>34.08985414671551</v>
      </c>
      <c r="GB365">
        <v>22.086378434746489</v>
      </c>
      <c r="GC365">
        <v>5.6350850418555583</v>
      </c>
      <c r="GD365">
        <v>3.0534805850541682</v>
      </c>
      <c r="GE365">
        <v>5.3460029179002699</v>
      </c>
      <c r="GF365">
        <v>4.5885902023666993</v>
      </c>
      <c r="GG365">
        <v>3.8055790942778356</v>
      </c>
      <c r="GH365">
        <v>5.6134267945002083</v>
      </c>
      <c r="GI365">
        <v>9.6142599879974817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205.39142015867301</v>
      </c>
      <c r="AO366">
        <v>15.774837734137051</v>
      </c>
      <c r="AP366">
        <v>125.42335751660525</v>
      </c>
      <c r="AQ366">
        <v>100.77531034578463</v>
      </c>
      <c r="AR366">
        <v>14.538163410054976</v>
      </c>
      <c r="AS366">
        <v>151.27546459913685</v>
      </c>
      <c r="AT366">
        <v>7.4071581236307091</v>
      </c>
      <c r="AU366">
        <v>-17.729853492147495</v>
      </c>
      <c r="AV366"/>
      <c r="AW366"/>
      <c r="FY366" s="210">
        <v>361</v>
      </c>
      <c r="FZ366">
        <v>1.3000747684493776</v>
      </c>
      <c r="GA366">
        <v>19.612302212329574</v>
      </c>
      <c r="GB366">
        <v>20.622528737430546</v>
      </c>
      <c r="GC366">
        <v>10.100976543835634</v>
      </c>
      <c r="GD366">
        <v>4.1516287261515661</v>
      </c>
      <c r="GE366">
        <v>4.4608973399959071</v>
      </c>
      <c r="GF366">
        <v>5.896088588229758</v>
      </c>
      <c r="GG366">
        <v>5.3234555294157513</v>
      </c>
      <c r="GH366">
        <v>6.0056489614437094</v>
      </c>
      <c r="GI366">
        <v>9.8119265285105364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172.43492259260992</v>
      </c>
      <c r="AO367">
        <v>13.575033144630083</v>
      </c>
      <c r="AP367">
        <v>101.87563966871858</v>
      </c>
      <c r="AQ367">
        <v>78.900386539576942</v>
      </c>
      <c r="AR367">
        <v>12.541228617533875</v>
      </c>
      <c r="AS367">
        <v>114.73055699059746</v>
      </c>
      <c r="AT367">
        <v>6.0725146684231062</v>
      </c>
      <c r="AU367">
        <v>-27.160747626232403</v>
      </c>
      <c r="AV367"/>
      <c r="AW367"/>
      <c r="FY367" s="210">
        <v>362</v>
      </c>
      <c r="FZ367">
        <v>4.1605239599241752</v>
      </c>
      <c r="GA367">
        <v>18.721432684453681</v>
      </c>
      <c r="GB367">
        <v>21.141631758263902</v>
      </c>
      <c r="GC367">
        <v>11.763915222689434</v>
      </c>
      <c r="GD367">
        <v>5.8234261250360779</v>
      </c>
      <c r="GE367">
        <v>5.4371754439209798</v>
      </c>
      <c r="GF367">
        <v>4.7785318149227676</v>
      </c>
      <c r="GG367">
        <v>4.5610192462929362</v>
      </c>
      <c r="GH367">
        <v>2.3257671103202568</v>
      </c>
      <c r="GI367">
        <v>10.514766757795137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204.8005036122085</v>
      </c>
      <c r="AO368">
        <v>15.318600098934885</v>
      </c>
      <c r="AP368">
        <v>123.13899768749444</v>
      </c>
      <c r="AQ368">
        <v>93.942097502470787</v>
      </c>
      <c r="AR368">
        <v>14.153803548173141</v>
      </c>
      <c r="AS368">
        <v>144.71896411739419</v>
      </c>
      <c r="AT368" t="e">
        <v>#DIV/0!</v>
      </c>
      <c r="AU368" t="e">
        <v>#DIV/0!</v>
      </c>
      <c r="AV368"/>
      <c r="AW368"/>
      <c r="FY368" s="210">
        <v>363</v>
      </c>
      <c r="FZ368">
        <v>1.0915363555185025</v>
      </c>
      <c r="GA368">
        <v>16.746433709119476</v>
      </c>
      <c r="GB368">
        <v>21.595837573084363</v>
      </c>
      <c r="GC368">
        <v>9.274111442145637</v>
      </c>
      <c r="GD368">
        <v>3.0996116442985882</v>
      </c>
      <c r="GE368">
        <v>5.9761306892766495</v>
      </c>
      <c r="GF368">
        <v>6.2207180088169904</v>
      </c>
      <c r="GG368">
        <v>4.2654135802360393</v>
      </c>
      <c r="GH368">
        <v>4.4590145767990759</v>
      </c>
      <c r="GI368">
        <v>9.2231499555616878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182.62295623511156</v>
      </c>
      <c r="AO369">
        <v>13.310144049783565</v>
      </c>
      <c r="AP369">
        <v>101.8058157040422</v>
      </c>
      <c r="AQ369">
        <v>82.329876966424607</v>
      </c>
      <c r="AR369">
        <v>12.199334755799624</v>
      </c>
      <c r="AS369">
        <v>128.94664676501259</v>
      </c>
      <c r="AT369" t="e">
        <v>#DIV/0!</v>
      </c>
      <c r="AU369" t="e">
        <v>#DIV/0!</v>
      </c>
      <c r="AV369"/>
      <c r="AW369"/>
      <c r="FY369" s="210">
        <v>364</v>
      </c>
      <c r="FZ369">
        <v>4.2288203540811873</v>
      </c>
      <c r="GA369">
        <v>23.30288313038151</v>
      </c>
      <c r="GB369">
        <v>25.795773248037861</v>
      </c>
      <c r="GC369">
        <v>12.384782064315029</v>
      </c>
      <c r="GD369">
        <v>4.3536136684976725</v>
      </c>
      <c r="GE369">
        <v>5.2657348187809294</v>
      </c>
      <c r="GF369">
        <v>4.3053014803570564</v>
      </c>
      <c r="GG369">
        <v>2.2913033741316107</v>
      </c>
      <c r="GH369">
        <v>3.9440764558444483</v>
      </c>
      <c r="GI369">
        <v>11.044337460413331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202.51275927836951</v>
      </c>
      <c r="AO370">
        <v>20.449692104062763</v>
      </c>
      <c r="AP370">
        <v>163.74037364661069</v>
      </c>
      <c r="AQ370">
        <v>124.9907497355772</v>
      </c>
      <c r="AR370">
        <v>18.849562256937393</v>
      </c>
      <c r="AS370">
        <v>176.55586898034323</v>
      </c>
      <c r="AT370" t="e">
        <v>#DIV/0!</v>
      </c>
      <c r="AU370" t="e">
        <v>#DIV/0!</v>
      </c>
      <c r="AV370"/>
      <c r="AW370"/>
      <c r="FY370" s="210">
        <v>365</v>
      </c>
      <c r="FZ370">
        <v>4.0366861721933551</v>
      </c>
      <c r="GA370">
        <v>34.971312650605235</v>
      </c>
      <c r="GB370">
        <v>30.687637467417936</v>
      </c>
      <c r="GC370">
        <v>10.75247218859518</v>
      </c>
      <c r="GD370">
        <v>3.1050854655934352</v>
      </c>
      <c r="GE370">
        <v>2.9713715353094736</v>
      </c>
      <c r="GF370">
        <v>2.3408662234747233</v>
      </c>
      <c r="GG370">
        <v>4.2979917380772044</v>
      </c>
      <c r="GH370">
        <v>5.5563172985412654</v>
      </c>
      <c r="GI370">
        <v>11.371223635189775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187.89984274186355</v>
      </c>
      <c r="AO371">
        <v>13.160285688084434</v>
      </c>
      <c r="AP371">
        <v>101.71338751400748</v>
      </c>
      <c r="AQ371">
        <v>83.266230008352863</v>
      </c>
      <c r="AR371">
        <v>12.081208273619982</v>
      </c>
      <c r="AS371">
        <v>123.76953308021243</v>
      </c>
      <c r="AT371">
        <v>5.8575932480673467</v>
      </c>
      <c r="AU371">
        <v>-25.261473457233308</v>
      </c>
      <c r="AV371"/>
      <c r="AW371"/>
      <c r="FY371" s="210">
        <v>366</v>
      </c>
      <c r="FZ371">
        <v>7.0310738680470113</v>
      </c>
      <c r="GA371">
        <v>29.055443976236784</v>
      </c>
      <c r="GB371">
        <v>27.724832339299162</v>
      </c>
      <c r="GC371">
        <v>11.198414832591329</v>
      </c>
      <c r="GD371">
        <v>3.2967082777666827</v>
      </c>
      <c r="GE371">
        <v>4.439240216991462</v>
      </c>
      <c r="GF371">
        <v>2.3717876430493057</v>
      </c>
      <c r="GG371">
        <v>2.2913033741316107</v>
      </c>
      <c r="GH371">
        <v>3.6835731439534483</v>
      </c>
      <c r="GI371">
        <v>10.905674690834658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4.6507158099826139E-4</v>
      </c>
      <c r="H372" s="59">
        <f t="shared" ref="H372:AK372" si="431">+H36</f>
        <v>3.5150000000000003E-3</v>
      </c>
      <c r="I372" s="59">
        <f t="shared" si="431"/>
        <v>2.6566286792841443E-2</v>
      </c>
      <c r="J372" s="59">
        <f t="shared" si="431"/>
        <v>8.6729162096827933E-2</v>
      </c>
      <c r="K372" s="59">
        <f t="shared" si="431"/>
        <v>0.20078736670256092</v>
      </c>
      <c r="L372" s="59">
        <f t="shared" si="431"/>
        <v>0.38505237105281664</v>
      </c>
      <c r="M372" s="59">
        <f t="shared" si="431"/>
        <v>0.65549695407316177</v>
      </c>
      <c r="N372" s="59">
        <f t="shared" si="431"/>
        <v>1.0278302852390999</v>
      </c>
      <c r="O372" s="59">
        <f t="shared" si="431"/>
        <v>1.517546164494922</v>
      </c>
      <c r="P372" s="59">
        <f t="shared" si="431"/>
        <v>2.1399566310150369</v>
      </c>
      <c r="Q372" s="59">
        <f t="shared" si="431"/>
        <v>2.9102167054488572</v>
      </c>
      <c r="R372" s="59">
        <f t="shared" si="431"/>
        <v>3.8433433517375608</v>
      </c>
      <c r="S372" s="59">
        <f t="shared" si="431"/>
        <v>4.9542304619464099</v>
      </c>
      <c r="T372" s="59">
        <f t="shared" si="431"/>
        <v>6.2576609889577455</v>
      </c>
      <c r="U372" s="59">
        <f t="shared" si="431"/>
        <v>7.7683169650156332</v>
      </c>
      <c r="V372" s="59">
        <f t="shared" si="431"/>
        <v>9.5007879103293469</v>
      </c>
      <c r="W372" s="59">
        <f t="shared" si="431"/>
        <v>11.469577987865909</v>
      </c>
      <c r="X372" s="59">
        <f t="shared" si="431"/>
        <v>13.689112162966889</v>
      </c>
      <c r="Y372" s="59">
        <f t="shared" si="431"/>
        <v>16.173741560110425</v>
      </c>
      <c r="Z372" s="59">
        <f t="shared" si="431"/>
        <v>18.937748162765295</v>
      </c>
      <c r="AA372" s="59">
        <f t="shared" si="431"/>
        <v>21.995348969067553</v>
      </c>
      <c r="AB372" s="59">
        <f t="shared" si="431"/>
        <v>25.360699691758413</v>
      </c>
      <c r="AC372" s="59">
        <f t="shared" si="431"/>
        <v>29.047898072722788</v>
      </c>
      <c r="AD372" s="59">
        <f t="shared" si="431"/>
        <v>33.070986868766035</v>
      </c>
      <c r="AE372" s="59">
        <f t="shared" si="431"/>
        <v>37.443956554736779</v>
      </c>
      <c r="AF372" s="59">
        <f t="shared" si="431"/>
        <v>42.180747781904969</v>
      </c>
      <c r="AG372" s="59">
        <f t="shared" si="431"/>
        <v>47.295253623051856</v>
      </c>
      <c r="AH372" s="59">
        <f t="shared" si="431"/>
        <v>52.801321630578869</v>
      </c>
      <c r="AI372" s="59">
        <f t="shared" si="431"/>
        <v>58.712755729815285</v>
      </c>
      <c r="AJ372" s="59">
        <f t="shared" si="431"/>
        <v>65.043317966341974</v>
      </c>
      <c r="AK372" s="59">
        <f t="shared" si="431"/>
        <v>71.806730123405515</v>
      </c>
      <c r="AL372" s="78"/>
      <c r="AM372" s="43">
        <v>356</v>
      </c>
      <c r="AN372">
        <v>132.67800851421148</v>
      </c>
      <c r="AO372">
        <v>13.778285720855981</v>
      </c>
      <c r="AP372">
        <v>121.38866851750394</v>
      </c>
      <c r="AQ372">
        <v>93.824008679561501</v>
      </c>
      <c r="AR372">
        <v>12.871940705872472</v>
      </c>
      <c r="AS372">
        <v>116.95832826049329</v>
      </c>
      <c r="AT372">
        <v>7.0175221670390542</v>
      </c>
      <c r="AU372">
        <v>-22.592977223917355</v>
      </c>
      <c r="AV372"/>
      <c r="AW372"/>
      <c r="FY372" s="210">
        <v>367</v>
      </c>
      <c r="FZ372">
        <v>4.1662071927961044</v>
      </c>
      <c r="GA372">
        <v>27.124522882637642</v>
      </c>
      <c r="GB372">
        <v>27.125021732882356</v>
      </c>
      <c r="GC372">
        <v>12.337275002397545</v>
      </c>
      <c r="GD372">
        <v>4.4408825067677782</v>
      </c>
      <c r="GE372">
        <v>3.179230787880682</v>
      </c>
      <c r="GF372">
        <v>3.6230220167600908</v>
      </c>
      <c r="GG372">
        <v>4.3265068541263165</v>
      </c>
      <c r="GH372">
        <v>4.7128921976460765</v>
      </c>
      <c r="GI372">
        <v>11.345206754090601</v>
      </c>
      <c r="GJ372"/>
      <c r="GK372"/>
      <c r="GL372"/>
      <c r="GM372"/>
    </row>
    <row r="373" spans="1:195" s="7" customFormat="1">
      <c r="A373" s="95"/>
      <c r="B373" s="71">
        <f t="shared" ref="B373:B378" si="432">+C4</f>
        <v>39646</v>
      </c>
      <c r="C373" s="18">
        <f t="shared" ref="C373:C382" si="433">+D70</f>
        <v>41.666666666666664</v>
      </c>
      <c r="D373" s="18">
        <f t="shared" ref="D373:D382" si="434">SUM(G373:AK373)</f>
        <v>2.485661175418084</v>
      </c>
      <c r="E373" s="19">
        <f t="shared" ref="E373:E382" si="435">IF(C373&lt;1, 0.000001, D373/C373)</f>
        <v>5.9655868210034019E-2</v>
      </c>
      <c r="F373" s="19"/>
      <c r="G373" s="18">
        <f>AVERAGE(E228:E237)*G$372</f>
        <v>0</v>
      </c>
      <c r="H373" s="18">
        <f t="shared" ref="H373:AK373" si="436">AVERAGE(F228:F237)*H$372</f>
        <v>0</v>
      </c>
      <c r="I373" s="18">
        <f t="shared" si="436"/>
        <v>0.49811787736577695</v>
      </c>
      <c r="J373" s="18">
        <f t="shared" si="436"/>
        <v>1.9875432980523069</v>
      </c>
      <c r="K373" s="18">
        <f t="shared" si="436"/>
        <v>0</v>
      </c>
      <c r="L373" s="18">
        <f t="shared" si="436"/>
        <v>0</v>
      </c>
      <c r="M373" s="18">
        <f t="shared" si="436"/>
        <v>0</v>
      </c>
      <c r="N373" s="18">
        <f t="shared" si="436"/>
        <v>0</v>
      </c>
      <c r="O373" s="18">
        <f t="shared" si="436"/>
        <v>0</v>
      </c>
      <c r="P373" s="18">
        <f t="shared" si="436"/>
        <v>0</v>
      </c>
      <c r="Q373" s="18">
        <f t="shared" si="436"/>
        <v>0</v>
      </c>
      <c r="R373" s="18">
        <f t="shared" si="436"/>
        <v>0</v>
      </c>
      <c r="S373" s="18">
        <f t="shared" si="436"/>
        <v>0</v>
      </c>
      <c r="T373" s="18">
        <f t="shared" si="436"/>
        <v>0</v>
      </c>
      <c r="U373" s="18">
        <f t="shared" si="436"/>
        <v>0</v>
      </c>
      <c r="V373" s="18">
        <f t="shared" si="436"/>
        <v>0</v>
      </c>
      <c r="W373" s="18">
        <f t="shared" si="436"/>
        <v>0</v>
      </c>
      <c r="X373" s="18">
        <f t="shared" si="436"/>
        <v>0</v>
      </c>
      <c r="Y373" s="18">
        <f t="shared" si="436"/>
        <v>0</v>
      </c>
      <c r="Z373" s="18">
        <f t="shared" si="436"/>
        <v>0</v>
      </c>
      <c r="AA373" s="18">
        <f t="shared" si="436"/>
        <v>0</v>
      </c>
      <c r="AB373" s="18">
        <f t="shared" si="436"/>
        <v>0</v>
      </c>
      <c r="AC373" s="18">
        <f t="shared" si="436"/>
        <v>0</v>
      </c>
      <c r="AD373" s="18">
        <f t="shared" si="436"/>
        <v>0</v>
      </c>
      <c r="AE373" s="18">
        <f t="shared" si="436"/>
        <v>0</v>
      </c>
      <c r="AF373" s="18">
        <f t="shared" si="436"/>
        <v>0</v>
      </c>
      <c r="AG373" s="18">
        <f t="shared" si="436"/>
        <v>0</v>
      </c>
      <c r="AH373" s="18">
        <f t="shared" si="436"/>
        <v>0</v>
      </c>
      <c r="AI373" s="18">
        <f t="shared" si="436"/>
        <v>0</v>
      </c>
      <c r="AJ373" s="18">
        <f t="shared" si="436"/>
        <v>0</v>
      </c>
      <c r="AK373" s="18">
        <f t="shared" si="436"/>
        <v>0</v>
      </c>
      <c r="AL373" s="78"/>
      <c r="AM373" s="43">
        <v>357</v>
      </c>
      <c r="AN373">
        <v>155.72069716904593</v>
      </c>
      <c r="AO373">
        <v>16.907289467300068</v>
      </c>
      <c r="AP373">
        <v>126.99250237769526</v>
      </c>
      <c r="AQ373">
        <v>97.122919011730758</v>
      </c>
      <c r="AR373">
        <v>15.844416702250864</v>
      </c>
      <c r="AS373">
        <v>142.6112180543544</v>
      </c>
      <c r="AT373">
        <v>7.8076868598835523</v>
      </c>
      <c r="AU373">
        <v>18.71421703581365</v>
      </c>
      <c r="AV373"/>
      <c r="AW373"/>
      <c r="FY373" s="210">
        <v>368</v>
      </c>
      <c r="FZ373">
        <v>4.4064268513711173</v>
      </c>
      <c r="GA373">
        <v>28.64808160752866</v>
      </c>
      <c r="GB373">
        <v>23.12253768829212</v>
      </c>
      <c r="GC373">
        <v>9.441579135018074</v>
      </c>
      <c r="GD373">
        <v>4.0835832371019292</v>
      </c>
      <c r="GE373">
        <v>5.5366035857212319</v>
      </c>
      <c r="GF373">
        <v>4.9483898302268585</v>
      </c>
      <c r="GG373">
        <v>1.5160760776420703</v>
      </c>
      <c r="GH373">
        <v>2.3871250873258196</v>
      </c>
      <c r="GI373">
        <v>10.08709103810107</v>
      </c>
      <c r="GJ373"/>
      <c r="GK373"/>
      <c r="GL373"/>
      <c r="GM373"/>
    </row>
    <row r="374" spans="1:195" s="7" customFormat="1">
      <c r="A374" s="95"/>
      <c r="B374" s="71">
        <f t="shared" si="432"/>
        <v>39673</v>
      </c>
      <c r="C374" s="18">
        <f t="shared" si="433"/>
        <v>100.84821428571429</v>
      </c>
      <c r="D374" s="18">
        <f t="shared" si="434"/>
        <v>12.171358467339179</v>
      </c>
      <c r="E374" s="19">
        <f t="shared" si="435"/>
        <v>0.12068987590455847</v>
      </c>
      <c r="F374" s="19">
        <f>IF(F388&lt;0,0,F388)</f>
        <v>2.6097471308855695E-2</v>
      </c>
      <c r="G374" s="18">
        <f>AVERAGE(E238:E247)*G$372</f>
        <v>0</v>
      </c>
      <c r="H374" s="18">
        <f t="shared" ref="H374:AK374" si="437">AVERAGE(F238:F247)*H$372</f>
        <v>0</v>
      </c>
      <c r="I374" s="18">
        <f t="shared" si="437"/>
        <v>0.19647982940538983</v>
      </c>
      <c r="J374" s="18">
        <f t="shared" si="437"/>
        <v>5.1624501248111869</v>
      </c>
      <c r="K374" s="18">
        <f t="shared" si="437"/>
        <v>6.8124285131226028</v>
      </c>
      <c r="L374" s="18">
        <f t="shared" si="437"/>
        <v>0</v>
      </c>
      <c r="M374" s="18">
        <f t="shared" si="437"/>
        <v>0</v>
      </c>
      <c r="N374" s="18">
        <f t="shared" si="437"/>
        <v>0</v>
      </c>
      <c r="O374" s="18">
        <f t="shared" si="437"/>
        <v>0</v>
      </c>
      <c r="P374" s="18">
        <f t="shared" si="437"/>
        <v>0</v>
      </c>
      <c r="Q374" s="18">
        <f t="shared" si="437"/>
        <v>0</v>
      </c>
      <c r="R374" s="18">
        <f t="shared" si="437"/>
        <v>0</v>
      </c>
      <c r="S374" s="18">
        <f t="shared" si="437"/>
        <v>0</v>
      </c>
      <c r="T374" s="18">
        <f t="shared" si="437"/>
        <v>0</v>
      </c>
      <c r="U374" s="18">
        <f t="shared" si="437"/>
        <v>0</v>
      </c>
      <c r="V374" s="18">
        <f t="shared" si="437"/>
        <v>0</v>
      </c>
      <c r="W374" s="18">
        <f t="shared" si="437"/>
        <v>0</v>
      </c>
      <c r="X374" s="18">
        <f t="shared" si="437"/>
        <v>0</v>
      </c>
      <c r="Y374" s="18">
        <f t="shared" si="437"/>
        <v>0</v>
      </c>
      <c r="Z374" s="18">
        <f t="shared" si="437"/>
        <v>0</v>
      </c>
      <c r="AA374" s="18">
        <f t="shared" si="437"/>
        <v>0</v>
      </c>
      <c r="AB374" s="18">
        <f t="shared" si="437"/>
        <v>0</v>
      </c>
      <c r="AC374" s="18">
        <f t="shared" si="437"/>
        <v>0</v>
      </c>
      <c r="AD374" s="18">
        <f t="shared" si="437"/>
        <v>0</v>
      </c>
      <c r="AE374" s="18">
        <f t="shared" si="437"/>
        <v>0</v>
      </c>
      <c r="AF374" s="18">
        <f t="shared" si="437"/>
        <v>0</v>
      </c>
      <c r="AG374" s="18">
        <f t="shared" si="437"/>
        <v>0</v>
      </c>
      <c r="AH374" s="18">
        <f t="shared" si="437"/>
        <v>0</v>
      </c>
      <c r="AI374" s="18">
        <f t="shared" si="437"/>
        <v>0</v>
      </c>
      <c r="AJ374" s="18">
        <f t="shared" si="437"/>
        <v>0</v>
      </c>
      <c r="AK374" s="18">
        <f t="shared" si="437"/>
        <v>0</v>
      </c>
      <c r="AL374" s="78"/>
      <c r="AM374" s="43">
        <v>358</v>
      </c>
      <c r="AN374">
        <v>239.4627248636647</v>
      </c>
      <c r="AO374">
        <v>19.630784154162434</v>
      </c>
      <c r="AP374">
        <v>159.84955816223371</v>
      </c>
      <c r="AQ374">
        <v>121.59630780186887</v>
      </c>
      <c r="AR374">
        <v>18.390307398105481</v>
      </c>
      <c r="AS374">
        <v>172.3849615280572</v>
      </c>
      <c r="AT374">
        <v>8.1034383255494848</v>
      </c>
      <c r="AU374">
        <v>-20.392410565809065</v>
      </c>
      <c r="AV374"/>
      <c r="AW374"/>
      <c r="FY374" s="210">
        <v>369</v>
      </c>
      <c r="FZ374">
        <v>4.071528636691534</v>
      </c>
      <c r="GA374">
        <v>24.38238620779385</v>
      </c>
      <c r="GB374">
        <v>27.640536912786573</v>
      </c>
      <c r="GC374">
        <v>12.261398575816997</v>
      </c>
      <c r="GD374">
        <v>2.9352479164122762</v>
      </c>
      <c r="GE374">
        <v>1.7043856882466812</v>
      </c>
      <c r="GF374">
        <v>2.660399945182506</v>
      </c>
      <c r="GG374">
        <v>3.4901862837464988</v>
      </c>
      <c r="GH374">
        <v>2.7793472542693221</v>
      </c>
      <c r="GI374">
        <v>10.151866989356101</v>
      </c>
      <c r="GJ374"/>
      <c r="GK374"/>
      <c r="GL374"/>
      <c r="GM374"/>
    </row>
    <row r="375" spans="1:195" s="7" customFormat="1">
      <c r="A375" s="95"/>
      <c r="B375" s="71">
        <f t="shared" si="432"/>
        <v>39714</v>
      </c>
      <c r="C375" s="18">
        <f t="shared" si="433"/>
        <v>121.09375</v>
      </c>
      <c r="D375" s="18">
        <f t="shared" si="434"/>
        <v>37.984569823531714</v>
      </c>
      <c r="E375" s="19">
        <f t="shared" si="435"/>
        <v>0.31367902822013288</v>
      </c>
      <c r="F375" s="19">
        <f>IF(F389&lt;0,0,F389)</f>
        <v>2.3296244233387761E-2</v>
      </c>
      <c r="G375" s="18">
        <f>AVERAGE(E248:E257)*G$372</f>
        <v>0</v>
      </c>
      <c r="H375" s="18">
        <f t="shared" ref="H375:AK375" si="438">AVERAGE(F248:F257)*H$372</f>
        <v>0</v>
      </c>
      <c r="I375" s="18">
        <f t="shared" si="438"/>
        <v>0.71950360063945584</v>
      </c>
      <c r="J375" s="18">
        <f t="shared" si="438"/>
        <v>1.2873859998747899</v>
      </c>
      <c r="K375" s="18">
        <f t="shared" si="438"/>
        <v>4.1830701396366861</v>
      </c>
      <c r="L375" s="18">
        <f t="shared" si="438"/>
        <v>10.829597935860468</v>
      </c>
      <c r="M375" s="18">
        <f t="shared" si="438"/>
        <v>17.75304250614813</v>
      </c>
      <c r="N375" s="18">
        <f t="shared" si="438"/>
        <v>3.2119696413721872</v>
      </c>
      <c r="O375" s="18">
        <f t="shared" si="438"/>
        <v>0</v>
      </c>
      <c r="P375" s="18">
        <f t="shared" si="438"/>
        <v>0</v>
      </c>
      <c r="Q375" s="18">
        <f t="shared" si="438"/>
        <v>0</v>
      </c>
      <c r="R375" s="18">
        <f t="shared" si="438"/>
        <v>0</v>
      </c>
      <c r="S375" s="18">
        <f t="shared" si="438"/>
        <v>0</v>
      </c>
      <c r="T375" s="18">
        <f t="shared" si="438"/>
        <v>0</v>
      </c>
      <c r="U375" s="18">
        <f t="shared" si="438"/>
        <v>0</v>
      </c>
      <c r="V375" s="18">
        <f t="shared" si="438"/>
        <v>0</v>
      </c>
      <c r="W375" s="18">
        <f t="shared" si="438"/>
        <v>0</v>
      </c>
      <c r="X375" s="18">
        <f t="shared" si="438"/>
        <v>0</v>
      </c>
      <c r="Y375" s="18">
        <f t="shared" si="438"/>
        <v>0</v>
      </c>
      <c r="Z375" s="18">
        <f t="shared" si="438"/>
        <v>0</v>
      </c>
      <c r="AA375" s="18">
        <f t="shared" si="438"/>
        <v>0</v>
      </c>
      <c r="AB375" s="18">
        <f t="shared" si="438"/>
        <v>0</v>
      </c>
      <c r="AC375" s="18">
        <f t="shared" si="438"/>
        <v>0</v>
      </c>
      <c r="AD375" s="18">
        <f t="shared" si="438"/>
        <v>0</v>
      </c>
      <c r="AE375" s="18">
        <f t="shared" si="438"/>
        <v>0</v>
      </c>
      <c r="AF375" s="18">
        <f t="shared" si="438"/>
        <v>0</v>
      </c>
      <c r="AG375" s="18">
        <f t="shared" si="438"/>
        <v>0</v>
      </c>
      <c r="AH375" s="18">
        <f t="shared" si="438"/>
        <v>0</v>
      </c>
      <c r="AI375" s="18">
        <f t="shared" si="438"/>
        <v>0</v>
      </c>
      <c r="AJ375" s="18">
        <f t="shared" si="438"/>
        <v>0</v>
      </c>
      <c r="AK375" s="18">
        <f t="shared" si="438"/>
        <v>0</v>
      </c>
      <c r="AL375" s="78"/>
      <c r="AM375" s="43">
        <v>359</v>
      </c>
      <c r="AN375">
        <v>174.24803983010452</v>
      </c>
      <c r="AO375">
        <v>13.274302365552661</v>
      </c>
      <c r="AP375">
        <v>104.02549139337205</v>
      </c>
      <c r="AQ375">
        <v>81.347441600874546</v>
      </c>
      <c r="AR375">
        <v>12.120498785131463</v>
      </c>
      <c r="AS375">
        <v>131.15692484396527</v>
      </c>
      <c r="AT375">
        <v>6.0991323646434568</v>
      </c>
      <c r="AU375">
        <v>-39.674905849658181</v>
      </c>
      <c r="AV375"/>
      <c r="AW375"/>
      <c r="FY375" s="210">
        <v>370</v>
      </c>
      <c r="FZ375">
        <v>3.8950556185801481</v>
      </c>
      <c r="GA375">
        <v>13.8588563333523</v>
      </c>
      <c r="GB375">
        <v>26.003495831700143</v>
      </c>
      <c r="GC375">
        <v>14.377723455964031</v>
      </c>
      <c r="GD375">
        <v>3.2735684552746509</v>
      </c>
      <c r="GE375">
        <v>5.7690813820285598</v>
      </c>
      <c r="GF375">
        <v>6.0360999763844774</v>
      </c>
      <c r="GG375">
        <v>0.77522729648954036</v>
      </c>
      <c r="GH375">
        <v>1.3578060336331905</v>
      </c>
      <c r="GI375">
        <v>10.333596741200862</v>
      </c>
      <c r="GJ375"/>
      <c r="GK375"/>
      <c r="GL375"/>
      <c r="GM375"/>
    </row>
    <row r="376" spans="1:195" s="7" customFormat="1">
      <c r="A376" s="95"/>
      <c r="B376" s="71">
        <f t="shared" si="432"/>
        <v>39747</v>
      </c>
      <c r="C376" s="18">
        <f t="shared" si="433"/>
        <v>418.29817990917121</v>
      </c>
      <c r="D376" s="18">
        <f t="shared" si="434"/>
        <v>31.051309220776503</v>
      </c>
      <c r="E376" s="19">
        <f t="shared" si="435"/>
        <v>7.4232475091139408E-2</v>
      </c>
      <c r="F376" s="19">
        <f>IF(F390&lt;0,0,F390)</f>
        <v>0</v>
      </c>
      <c r="G376" s="18">
        <f>AVERAGE(E258:E267)*G$372</f>
        <v>0</v>
      </c>
      <c r="H376" s="18">
        <f t="shared" ref="H376:AK376" si="439">AVERAGE(F258:F267)*H$372</f>
        <v>0.3346532743926332</v>
      </c>
      <c r="I376" s="18">
        <f t="shared" si="439"/>
        <v>6.5269144777468142</v>
      </c>
      <c r="J376" s="18">
        <f t="shared" si="439"/>
        <v>2.4810070438841638</v>
      </c>
      <c r="K376" s="18">
        <f t="shared" si="439"/>
        <v>4.8548965560025774</v>
      </c>
      <c r="L376" s="18">
        <f t="shared" si="439"/>
        <v>3.5004761004801508</v>
      </c>
      <c r="M376" s="18">
        <f t="shared" si="439"/>
        <v>4.5934445645278368</v>
      </c>
      <c r="N376" s="18">
        <f t="shared" si="439"/>
        <v>8.7599172037423276</v>
      </c>
      <c r="O376" s="18">
        <f t="shared" si="439"/>
        <v>0</v>
      </c>
      <c r="P376" s="18">
        <f t="shared" si="439"/>
        <v>0</v>
      </c>
      <c r="Q376" s="18">
        <f t="shared" si="439"/>
        <v>0</v>
      </c>
      <c r="R376" s="18">
        <f t="shared" si="439"/>
        <v>0</v>
      </c>
      <c r="S376" s="18">
        <f t="shared" si="439"/>
        <v>0</v>
      </c>
      <c r="T376" s="18">
        <f t="shared" si="439"/>
        <v>0</v>
      </c>
      <c r="U376" s="18">
        <f t="shared" si="439"/>
        <v>0</v>
      </c>
      <c r="V376" s="18">
        <f t="shared" si="439"/>
        <v>0</v>
      </c>
      <c r="W376" s="18">
        <f t="shared" si="439"/>
        <v>0</v>
      </c>
      <c r="X376" s="18">
        <f t="shared" si="439"/>
        <v>0</v>
      </c>
      <c r="Y376" s="18">
        <f t="shared" si="439"/>
        <v>0</v>
      </c>
      <c r="Z376" s="18">
        <f t="shared" si="439"/>
        <v>0</v>
      </c>
      <c r="AA376" s="18">
        <f t="shared" si="439"/>
        <v>0</v>
      </c>
      <c r="AB376" s="18">
        <f t="shared" si="439"/>
        <v>0</v>
      </c>
      <c r="AC376" s="18">
        <f t="shared" si="439"/>
        <v>0</v>
      </c>
      <c r="AD376" s="18">
        <f t="shared" si="439"/>
        <v>0</v>
      </c>
      <c r="AE376" s="18">
        <f t="shared" si="439"/>
        <v>0</v>
      </c>
      <c r="AF376" s="18">
        <f t="shared" si="439"/>
        <v>0</v>
      </c>
      <c r="AG376" s="18">
        <f t="shared" si="439"/>
        <v>0</v>
      </c>
      <c r="AH376" s="18">
        <f t="shared" si="439"/>
        <v>0</v>
      </c>
      <c r="AI376" s="18">
        <f t="shared" si="439"/>
        <v>0</v>
      </c>
      <c r="AJ376" s="18">
        <f t="shared" si="439"/>
        <v>0</v>
      </c>
      <c r="AK376" s="18">
        <f t="shared" si="439"/>
        <v>0</v>
      </c>
      <c r="AL376" s="78"/>
      <c r="AM376" s="43">
        <v>360</v>
      </c>
      <c r="AN376">
        <v>195.12071835717816</v>
      </c>
      <c r="AO376">
        <v>14.170029352357465</v>
      </c>
      <c r="AP376">
        <v>126.05791289906762</v>
      </c>
      <c r="AQ376">
        <v>98.036225745358109</v>
      </c>
      <c r="AR376">
        <v>13.262922768564579</v>
      </c>
      <c r="AS376">
        <v>132.71539041561616</v>
      </c>
      <c r="AT376">
        <v>6.8239086123733808</v>
      </c>
      <c r="AU376">
        <v>74.998953425988134</v>
      </c>
      <c r="AV376"/>
      <c r="AW376"/>
      <c r="FY376" s="210">
        <v>371</v>
      </c>
      <c r="FZ376">
        <v>4.0401055780764956</v>
      </c>
      <c r="GA376">
        <v>27.352665874328178</v>
      </c>
      <c r="GB376">
        <v>26.366067868583819</v>
      </c>
      <c r="GC376">
        <v>11.052639257554482</v>
      </c>
      <c r="GD376">
        <v>4.731170036605568</v>
      </c>
      <c r="GE376">
        <v>4.8247560633649877</v>
      </c>
      <c r="GF376">
        <v>2.1330551833149465</v>
      </c>
      <c r="GG376">
        <v>1.2943546988421759</v>
      </c>
      <c r="GH376">
        <v>0.90422588968412598</v>
      </c>
      <c r="GI376">
        <v>10.489899499099128</v>
      </c>
      <c r="GJ376"/>
      <c r="GK376"/>
      <c r="GL376"/>
      <c r="GM376"/>
    </row>
    <row r="377" spans="1:195" s="7" customFormat="1">
      <c r="A377" s="95"/>
      <c r="B377" s="71">
        <f t="shared" si="432"/>
        <v>39775</v>
      </c>
      <c r="C377" s="18">
        <f t="shared" si="433"/>
        <v>417.76244588744589</v>
      </c>
      <c r="D377" s="18">
        <f t="shared" si="434"/>
        <v>13.508032563275851</v>
      </c>
      <c r="E377" s="19">
        <f t="shared" si="435"/>
        <v>3.2334243291258405E-2</v>
      </c>
      <c r="F377" s="19">
        <f>IF(F391&lt;0,0,F391)</f>
        <v>0</v>
      </c>
      <c r="G377" s="18">
        <f>AVERAGE(E268:E277)*G$372</f>
        <v>0</v>
      </c>
      <c r="H377" s="18">
        <f t="shared" ref="H377:AK377" si="440">AVERAGE(F268:F277)*H$372</f>
        <v>0.11716666666666666</v>
      </c>
      <c r="I377" s="18">
        <f t="shared" si="440"/>
        <v>9.4828082776918752</v>
      </c>
      <c r="J377" s="18">
        <f t="shared" si="440"/>
        <v>2.0219596322177149</v>
      </c>
      <c r="K377" s="18">
        <f t="shared" si="440"/>
        <v>0</v>
      </c>
      <c r="L377" s="18">
        <f t="shared" si="440"/>
        <v>1.203288659540052</v>
      </c>
      <c r="M377" s="18">
        <f t="shared" si="440"/>
        <v>0.68280932715954346</v>
      </c>
      <c r="N377" s="18">
        <f t="shared" si="440"/>
        <v>0</v>
      </c>
      <c r="O377" s="18">
        <f t="shared" si="440"/>
        <v>0</v>
      </c>
      <c r="P377" s="18">
        <f t="shared" si="440"/>
        <v>0</v>
      </c>
      <c r="Q377" s="18">
        <f t="shared" si="440"/>
        <v>0</v>
      </c>
      <c r="R377" s="18">
        <f t="shared" si="440"/>
        <v>0</v>
      </c>
      <c r="S377" s="18">
        <f t="shared" si="440"/>
        <v>0</v>
      </c>
      <c r="T377" s="18">
        <f t="shared" si="440"/>
        <v>0</v>
      </c>
      <c r="U377" s="18">
        <f t="shared" si="440"/>
        <v>0</v>
      </c>
      <c r="V377" s="18">
        <f t="shared" si="440"/>
        <v>0</v>
      </c>
      <c r="W377" s="18">
        <f t="shared" si="440"/>
        <v>0</v>
      </c>
      <c r="X377" s="18">
        <f t="shared" si="440"/>
        <v>0</v>
      </c>
      <c r="Y377" s="18">
        <f t="shared" si="440"/>
        <v>0</v>
      </c>
      <c r="Z377" s="18">
        <f t="shared" si="440"/>
        <v>0</v>
      </c>
      <c r="AA377" s="18">
        <f t="shared" si="440"/>
        <v>0</v>
      </c>
      <c r="AB377" s="18">
        <f t="shared" si="440"/>
        <v>0</v>
      </c>
      <c r="AC377" s="18">
        <f t="shared" si="440"/>
        <v>0</v>
      </c>
      <c r="AD377" s="18">
        <f t="shared" si="440"/>
        <v>0</v>
      </c>
      <c r="AE377" s="18">
        <f t="shared" si="440"/>
        <v>0</v>
      </c>
      <c r="AF377" s="18">
        <f t="shared" si="440"/>
        <v>0</v>
      </c>
      <c r="AG377" s="18">
        <f t="shared" si="440"/>
        <v>0</v>
      </c>
      <c r="AH377" s="18">
        <f t="shared" si="440"/>
        <v>0</v>
      </c>
      <c r="AI377" s="18">
        <f t="shared" si="440"/>
        <v>0</v>
      </c>
      <c r="AJ377" s="18">
        <f t="shared" si="440"/>
        <v>0</v>
      </c>
      <c r="AK377" s="18">
        <f t="shared" si="440"/>
        <v>0</v>
      </c>
      <c r="AL377" s="78"/>
      <c r="AM377" s="43">
        <v>361</v>
      </c>
      <c r="AN377">
        <v>168.71656318271087</v>
      </c>
      <c r="AO377">
        <v>14.628487417205312</v>
      </c>
      <c r="AP377">
        <v>110.35464747368924</v>
      </c>
      <c r="AQ377">
        <v>87.285527935792373</v>
      </c>
      <c r="AR377">
        <v>13.58543221983339</v>
      </c>
      <c r="AS377">
        <v>132.68672106466204</v>
      </c>
      <c r="AT377">
        <v>6.1803897881884913</v>
      </c>
      <c r="AU377">
        <v>-8.9111918283736369</v>
      </c>
      <c r="AV377"/>
      <c r="AW377"/>
      <c r="FY377" s="210">
        <v>372</v>
      </c>
      <c r="FZ377">
        <v>4.4526326502448592</v>
      </c>
      <c r="GA377">
        <v>27.046138159063066</v>
      </c>
      <c r="GB377">
        <v>22.119709331306645</v>
      </c>
      <c r="GC377">
        <v>10.154111363280538</v>
      </c>
      <c r="GD377">
        <v>4.4434130235286071</v>
      </c>
      <c r="GE377">
        <v>5.7507613645364337</v>
      </c>
      <c r="GF377">
        <v>7.3084281549746102</v>
      </c>
      <c r="GG377">
        <v>1.9741102061044287</v>
      </c>
      <c r="GH377">
        <v>1.6183093455241906</v>
      </c>
      <c r="GI377">
        <v>10.419890603990837</v>
      </c>
      <c r="GJ377"/>
      <c r="GK377"/>
      <c r="GL377"/>
      <c r="GM377"/>
    </row>
    <row r="378" spans="1:195" s="7" customFormat="1">
      <c r="A378" s="95"/>
      <c r="B378" s="71">
        <f t="shared" si="432"/>
        <v>39799</v>
      </c>
      <c r="C378" s="18">
        <f t="shared" si="433"/>
        <v>634.84270019196481</v>
      </c>
      <c r="D378" s="18">
        <f t="shared" si="434"/>
        <v>19.298614916189717</v>
      </c>
      <c r="E378" s="19">
        <f t="shared" si="435"/>
        <v>3.0399049891184336E-2</v>
      </c>
      <c r="F378" s="19">
        <f t="shared" ref="F378:F382" si="441">IF(F392&lt;0,0,F392)</f>
        <v>0</v>
      </c>
      <c r="G378" s="18">
        <f>AVERAGE(E278:E287)*G$372</f>
        <v>4.1287019754730904E-2</v>
      </c>
      <c r="H378" s="18">
        <f t="shared" ref="H378:AK378" si="442">AVERAGE(F278:F287)*H$372</f>
        <v>0.70999608143082416</v>
      </c>
      <c r="I378" s="18">
        <f t="shared" si="442"/>
        <v>8.6729120657626293</v>
      </c>
      <c r="J378" s="18">
        <f t="shared" si="442"/>
        <v>0.27102863155258727</v>
      </c>
      <c r="K378" s="18">
        <f t="shared" si="442"/>
        <v>0</v>
      </c>
      <c r="L378" s="18">
        <f t="shared" si="442"/>
        <v>0.40109621984668392</v>
      </c>
      <c r="M378" s="18">
        <f t="shared" si="442"/>
        <v>8.1316383507181982</v>
      </c>
      <c r="N378" s="18">
        <f t="shared" si="442"/>
        <v>1.0706565471240623</v>
      </c>
      <c r="O378" s="18">
        <f t="shared" si="442"/>
        <v>0</v>
      </c>
      <c r="P378" s="18">
        <f t="shared" si="442"/>
        <v>0</v>
      </c>
      <c r="Q378" s="18">
        <f t="shared" si="442"/>
        <v>0</v>
      </c>
      <c r="R378" s="18">
        <f t="shared" si="442"/>
        <v>0</v>
      </c>
      <c r="S378" s="18">
        <f t="shared" si="442"/>
        <v>0</v>
      </c>
      <c r="T378" s="18">
        <f t="shared" si="442"/>
        <v>0</v>
      </c>
      <c r="U378" s="18">
        <f t="shared" si="442"/>
        <v>0</v>
      </c>
      <c r="V378" s="18">
        <f t="shared" si="442"/>
        <v>0</v>
      </c>
      <c r="W378" s="18">
        <f t="shared" si="442"/>
        <v>0</v>
      </c>
      <c r="X378" s="18">
        <f t="shared" si="442"/>
        <v>0</v>
      </c>
      <c r="Y378" s="18">
        <f t="shared" si="442"/>
        <v>0</v>
      </c>
      <c r="Z378" s="18">
        <f t="shared" si="442"/>
        <v>0</v>
      </c>
      <c r="AA378" s="18">
        <f t="shared" si="442"/>
        <v>0</v>
      </c>
      <c r="AB378" s="18">
        <f t="shared" si="442"/>
        <v>0</v>
      </c>
      <c r="AC378" s="18">
        <f t="shared" si="442"/>
        <v>0</v>
      </c>
      <c r="AD378" s="18">
        <f t="shared" si="442"/>
        <v>0</v>
      </c>
      <c r="AE378" s="18">
        <f t="shared" si="442"/>
        <v>0</v>
      </c>
      <c r="AF378" s="18">
        <f t="shared" si="442"/>
        <v>0</v>
      </c>
      <c r="AG378" s="18">
        <f t="shared" si="442"/>
        <v>0</v>
      </c>
      <c r="AH378" s="18">
        <f t="shared" si="442"/>
        <v>0</v>
      </c>
      <c r="AI378" s="18">
        <f t="shared" si="442"/>
        <v>0</v>
      </c>
      <c r="AJ378" s="18">
        <f t="shared" si="442"/>
        <v>0</v>
      </c>
      <c r="AK378" s="18">
        <f t="shared" si="442"/>
        <v>0</v>
      </c>
      <c r="AL378" s="78"/>
      <c r="AM378" s="43">
        <v>362</v>
      </c>
      <c r="AN378">
        <v>218.14721487152556</v>
      </c>
      <c r="AO378">
        <v>15.638755397228422</v>
      </c>
      <c r="AP378">
        <v>107.50648382949976</v>
      </c>
      <c r="AQ378">
        <v>89.228190123619356</v>
      </c>
      <c r="AR378">
        <v>14.676519588842019</v>
      </c>
      <c r="AS378">
        <v>155.96497606543784</v>
      </c>
      <c r="AT378">
        <v>6.8789993043796764</v>
      </c>
      <c r="AU378">
        <v>-4.387157812153907</v>
      </c>
      <c r="AV378"/>
      <c r="AW378"/>
      <c r="FY378" s="210">
        <v>373</v>
      </c>
      <c r="FZ378">
        <v>4.0807477534191019</v>
      </c>
      <c r="GA378">
        <v>20.359930336586064</v>
      </c>
      <c r="GB378">
        <v>19.976916653958213</v>
      </c>
      <c r="GC378">
        <v>7.7946693377660354</v>
      </c>
      <c r="GD378">
        <v>2.6013720895839687</v>
      </c>
      <c r="GE378">
        <v>5.2987701670886436</v>
      </c>
      <c r="GF378">
        <v>5.0342867910797304</v>
      </c>
      <c r="GG378">
        <v>3.6182362308149516</v>
      </c>
      <c r="GH378">
        <v>4.980021200581076</v>
      </c>
      <c r="GI378">
        <v>8.8260098330520087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443">+C10</f>
        <v>39847</v>
      </c>
      <c r="C379" s="18">
        <f t="shared" si="433"/>
        <v>24.088541666666664</v>
      </c>
      <c r="D379" s="18">
        <f t="shared" si="434"/>
        <v>4.8261388560138352</v>
      </c>
      <c r="E379" s="19">
        <f t="shared" si="435"/>
        <v>0.20034998061722301</v>
      </c>
      <c r="F379" s="19">
        <f t="shared" si="441"/>
        <v>3.9284466374859515E-2</v>
      </c>
      <c r="G379" s="18">
        <f>AVERAGE(E288:E297)*G$372</f>
        <v>0</v>
      </c>
      <c r="H379" s="18">
        <f t="shared" ref="H379:AK379" si="444">AVERAGE(F288:F297)*H$372</f>
        <v>5.7210286458333343E-2</v>
      </c>
      <c r="I379" s="18">
        <f t="shared" si="444"/>
        <v>0</v>
      </c>
      <c r="J379" s="18">
        <f t="shared" si="444"/>
        <v>0</v>
      </c>
      <c r="K379" s="18">
        <f t="shared" si="444"/>
        <v>0</v>
      </c>
      <c r="L379" s="18">
        <f t="shared" si="444"/>
        <v>0.50137027480835494</v>
      </c>
      <c r="M379" s="18">
        <f t="shared" si="444"/>
        <v>4.2675582947471469</v>
      </c>
      <c r="N379" s="18">
        <f t="shared" si="444"/>
        <v>0</v>
      </c>
      <c r="O379" s="18">
        <f t="shared" si="444"/>
        <v>0</v>
      </c>
      <c r="P379" s="18">
        <f t="shared" si="444"/>
        <v>0</v>
      </c>
      <c r="Q379" s="18">
        <f t="shared" si="444"/>
        <v>0</v>
      </c>
      <c r="R379" s="18">
        <f t="shared" si="444"/>
        <v>0</v>
      </c>
      <c r="S379" s="18">
        <f t="shared" si="444"/>
        <v>0</v>
      </c>
      <c r="T379" s="18">
        <f t="shared" si="444"/>
        <v>0</v>
      </c>
      <c r="U379" s="18">
        <f t="shared" si="444"/>
        <v>0</v>
      </c>
      <c r="V379" s="18">
        <f t="shared" si="444"/>
        <v>0</v>
      </c>
      <c r="W379" s="18">
        <f t="shared" si="444"/>
        <v>0</v>
      </c>
      <c r="X379" s="18">
        <f t="shared" si="444"/>
        <v>0</v>
      </c>
      <c r="Y379" s="18">
        <f t="shared" si="444"/>
        <v>0</v>
      </c>
      <c r="Z379" s="18">
        <f t="shared" si="444"/>
        <v>0</v>
      </c>
      <c r="AA379" s="18">
        <f t="shared" si="444"/>
        <v>0</v>
      </c>
      <c r="AB379" s="18">
        <f t="shared" si="444"/>
        <v>0</v>
      </c>
      <c r="AC379" s="18">
        <f t="shared" si="444"/>
        <v>0</v>
      </c>
      <c r="AD379" s="18">
        <f t="shared" si="444"/>
        <v>0</v>
      </c>
      <c r="AE379" s="18">
        <f t="shared" si="444"/>
        <v>0</v>
      </c>
      <c r="AF379" s="18">
        <f t="shared" si="444"/>
        <v>0</v>
      </c>
      <c r="AG379" s="18">
        <f t="shared" si="444"/>
        <v>0</v>
      </c>
      <c r="AH379" s="18">
        <f t="shared" si="444"/>
        <v>0</v>
      </c>
      <c r="AI379" s="18">
        <f t="shared" si="444"/>
        <v>0</v>
      </c>
      <c r="AJ379" s="18">
        <f t="shared" si="444"/>
        <v>0</v>
      </c>
      <c r="AK379" s="18">
        <f t="shared" si="444"/>
        <v>0</v>
      </c>
      <c r="AL379" s="78"/>
      <c r="AM379" s="43">
        <v>363</v>
      </c>
      <c r="AN379">
        <v>180.75503492135206</v>
      </c>
      <c r="AO379">
        <v>13.812894542147887</v>
      </c>
      <c r="AP379">
        <v>105.33121010563073</v>
      </c>
      <c r="AQ379">
        <v>81.95195753485703</v>
      </c>
      <c r="AR379">
        <v>12.75263484400714</v>
      </c>
      <c r="AS379">
        <v>124.1019493323856</v>
      </c>
      <c r="AT379">
        <v>5.7982123495302185</v>
      </c>
      <c r="AU379">
        <v>-38.974654066198433</v>
      </c>
      <c r="AV379"/>
      <c r="AW379"/>
      <c r="FY379" s="210">
        <v>374</v>
      </c>
      <c r="FZ379">
        <v>0.60010836899451103</v>
      </c>
      <c r="GA379">
        <v>19.05510992415547</v>
      </c>
      <c r="GB379">
        <v>22.924155903400695</v>
      </c>
      <c r="GC379">
        <v>11.394926071857968</v>
      </c>
      <c r="GD379">
        <v>4.0356365842017548</v>
      </c>
      <c r="GE379">
        <v>4.6064138522370754</v>
      </c>
      <c r="GF379">
        <v>4.3042266879318429</v>
      </c>
      <c r="GG379">
        <v>1.6441260247105225</v>
      </c>
      <c r="GH379">
        <v>2.1969826534817587</v>
      </c>
      <c r="GI379">
        <v>9.2883987942870334</v>
      </c>
      <c r="GJ379"/>
      <c r="GK379"/>
      <c r="GL379"/>
      <c r="GM379"/>
    </row>
    <row r="380" spans="1:195" s="7" customFormat="1">
      <c r="A380" s="77" t="s">
        <v>62</v>
      </c>
      <c r="B380" s="71">
        <f t="shared" si="443"/>
        <v>39910</v>
      </c>
      <c r="C380" s="18">
        <f t="shared" si="433"/>
        <v>69.223484848484858</v>
      </c>
      <c r="D380" s="18">
        <f t="shared" si="434"/>
        <v>5.2098324066178208</v>
      </c>
      <c r="E380" s="19">
        <f t="shared" si="435"/>
        <v>7.5261053644164411E-2</v>
      </c>
      <c r="F380" s="19">
        <f t="shared" si="441"/>
        <v>0</v>
      </c>
      <c r="G380" s="18">
        <f>AVERAGE(E298:E307)*G$372</f>
        <v>0</v>
      </c>
      <c r="H380" s="18">
        <f t="shared" ref="H380:AK380" si="445">AVERAGE(F298:F307)*H$372</f>
        <v>0</v>
      </c>
      <c r="I380" s="18">
        <f t="shared" si="445"/>
        <v>0.61216506814312677</v>
      </c>
      <c r="J380" s="18">
        <f t="shared" si="445"/>
        <v>3.9148580113151503</v>
      </c>
      <c r="K380" s="18">
        <f t="shared" si="445"/>
        <v>0</v>
      </c>
      <c r="L380" s="18">
        <f t="shared" si="445"/>
        <v>0</v>
      </c>
      <c r="M380" s="18">
        <f t="shared" si="445"/>
        <v>0.68280932715954346</v>
      </c>
      <c r="N380" s="18">
        <f t="shared" si="445"/>
        <v>0</v>
      </c>
      <c r="O380" s="18">
        <f t="shared" si="445"/>
        <v>0</v>
      </c>
      <c r="P380" s="18">
        <f t="shared" si="445"/>
        <v>0</v>
      </c>
      <c r="Q380" s="18">
        <f t="shared" si="445"/>
        <v>0</v>
      </c>
      <c r="R380" s="18">
        <f t="shared" si="445"/>
        <v>0</v>
      </c>
      <c r="S380" s="18">
        <f t="shared" si="445"/>
        <v>0</v>
      </c>
      <c r="T380" s="18">
        <f t="shared" si="445"/>
        <v>0</v>
      </c>
      <c r="U380" s="18">
        <f t="shared" si="445"/>
        <v>0</v>
      </c>
      <c r="V380" s="18">
        <f t="shared" si="445"/>
        <v>0</v>
      </c>
      <c r="W380" s="18">
        <f t="shared" si="445"/>
        <v>0</v>
      </c>
      <c r="X380" s="18">
        <f t="shared" si="445"/>
        <v>0</v>
      </c>
      <c r="Y380" s="18">
        <f t="shared" si="445"/>
        <v>0</v>
      </c>
      <c r="Z380" s="18">
        <f t="shared" si="445"/>
        <v>0</v>
      </c>
      <c r="AA380" s="18">
        <f t="shared" si="445"/>
        <v>0</v>
      </c>
      <c r="AB380" s="18">
        <f t="shared" si="445"/>
        <v>0</v>
      </c>
      <c r="AC380" s="18">
        <f t="shared" si="445"/>
        <v>0</v>
      </c>
      <c r="AD380" s="18">
        <f t="shared" si="445"/>
        <v>0</v>
      </c>
      <c r="AE380" s="18">
        <f t="shared" si="445"/>
        <v>0</v>
      </c>
      <c r="AF380" s="18">
        <f t="shared" si="445"/>
        <v>0</v>
      </c>
      <c r="AG380" s="18">
        <f t="shared" si="445"/>
        <v>0</v>
      </c>
      <c r="AH380" s="18">
        <f t="shared" si="445"/>
        <v>0</v>
      </c>
      <c r="AI380" s="18">
        <f t="shared" si="445"/>
        <v>0</v>
      </c>
      <c r="AJ380" s="18">
        <f t="shared" si="445"/>
        <v>0</v>
      </c>
      <c r="AK380" s="18">
        <f t="shared" si="445"/>
        <v>0</v>
      </c>
      <c r="AL380" s="78"/>
      <c r="AM380" s="43">
        <v>364</v>
      </c>
      <c r="AN380">
        <v>192.53474646610908</v>
      </c>
      <c r="AO380">
        <v>16.455879152908288</v>
      </c>
      <c r="AP380">
        <v>122.70050634514035</v>
      </c>
      <c r="AQ380">
        <v>96.916626054840648</v>
      </c>
      <c r="AR380">
        <v>15.339698648118832</v>
      </c>
      <c r="AS380">
        <v>150.23883884191457</v>
      </c>
      <c r="AT380">
        <v>6.5853823566232235</v>
      </c>
      <c r="AU380">
        <v>-19.527141937601847</v>
      </c>
      <c r="AV380"/>
      <c r="AW380"/>
      <c r="FY380" s="210">
        <v>375</v>
      </c>
      <c r="FZ380">
        <v>1.4367840347358998</v>
      </c>
      <c r="GA380">
        <v>20.239581822677966</v>
      </c>
      <c r="GB380">
        <v>25.086319887803079</v>
      </c>
      <c r="GC380">
        <v>10.978344053093032</v>
      </c>
      <c r="GD380">
        <v>2.796393258290383</v>
      </c>
      <c r="GE380">
        <v>2.3497057099160386</v>
      </c>
      <c r="GF380">
        <v>1.9143417360347212</v>
      </c>
      <c r="GG380">
        <v>1.4206042884147827</v>
      </c>
      <c r="GH380">
        <v>1.161037908745131</v>
      </c>
      <c r="GI380">
        <v>8.6385304417706568</v>
      </c>
      <c r="GJ380"/>
      <c r="GK380"/>
      <c r="GL380"/>
      <c r="GM380"/>
    </row>
    <row r="381" spans="1:195" s="7" customFormat="1">
      <c r="A381" s="1"/>
      <c r="B381" s="71">
        <f t="shared" si="443"/>
        <v>39949</v>
      </c>
      <c r="C381" s="18">
        <f t="shared" si="433"/>
        <v>24.537037037037038</v>
      </c>
      <c r="D381" s="18">
        <f t="shared" si="434"/>
        <v>4.5826746334745003</v>
      </c>
      <c r="E381" s="19">
        <f t="shared" si="435"/>
        <v>0.18676560770386641</v>
      </c>
      <c r="F381" s="19">
        <f t="shared" si="441"/>
        <v>2.3304913097100418E-2</v>
      </c>
      <c r="G381" s="18">
        <f>AVERAGE(E308:E317)*G$372</f>
        <v>0</v>
      </c>
      <c r="H381" s="18">
        <f t="shared" ref="H381:AK381" si="446">AVERAGE(F308:F317)*H$372</f>
        <v>0</v>
      </c>
      <c r="I381" s="18">
        <f t="shared" si="446"/>
        <v>0.48581867051723937</v>
      </c>
      <c r="J381" s="18">
        <f t="shared" si="446"/>
        <v>0</v>
      </c>
      <c r="K381" s="18">
        <f t="shared" si="446"/>
        <v>0</v>
      </c>
      <c r="L381" s="18">
        <f t="shared" si="446"/>
        <v>0</v>
      </c>
      <c r="M381" s="18">
        <f t="shared" si="446"/>
        <v>4.0968559629572612</v>
      </c>
      <c r="N381" s="18">
        <f t="shared" si="446"/>
        <v>0</v>
      </c>
      <c r="O381" s="18">
        <f t="shared" si="446"/>
        <v>0</v>
      </c>
      <c r="P381" s="18">
        <f t="shared" si="446"/>
        <v>0</v>
      </c>
      <c r="Q381" s="18">
        <f t="shared" si="446"/>
        <v>0</v>
      </c>
      <c r="R381" s="18">
        <f t="shared" si="446"/>
        <v>0</v>
      </c>
      <c r="S381" s="18">
        <f t="shared" si="446"/>
        <v>0</v>
      </c>
      <c r="T381" s="18">
        <f t="shared" si="446"/>
        <v>0</v>
      </c>
      <c r="U381" s="18">
        <f t="shared" si="446"/>
        <v>0</v>
      </c>
      <c r="V381" s="18">
        <f t="shared" si="446"/>
        <v>0</v>
      </c>
      <c r="W381" s="18">
        <f t="shared" si="446"/>
        <v>0</v>
      </c>
      <c r="X381" s="18">
        <f t="shared" si="446"/>
        <v>0</v>
      </c>
      <c r="Y381" s="18">
        <f t="shared" si="446"/>
        <v>0</v>
      </c>
      <c r="Z381" s="18">
        <f t="shared" si="446"/>
        <v>0</v>
      </c>
      <c r="AA381" s="18">
        <f t="shared" si="446"/>
        <v>0</v>
      </c>
      <c r="AB381" s="18">
        <f t="shared" si="446"/>
        <v>0</v>
      </c>
      <c r="AC381" s="18">
        <f t="shared" si="446"/>
        <v>0</v>
      </c>
      <c r="AD381" s="18">
        <f t="shared" si="446"/>
        <v>0</v>
      </c>
      <c r="AE381" s="18">
        <f t="shared" si="446"/>
        <v>0</v>
      </c>
      <c r="AF381" s="18">
        <f t="shared" si="446"/>
        <v>0</v>
      </c>
      <c r="AG381" s="18">
        <f t="shared" si="446"/>
        <v>0</v>
      </c>
      <c r="AH381" s="18">
        <f t="shared" si="446"/>
        <v>0</v>
      </c>
      <c r="AI381" s="18">
        <f t="shared" si="446"/>
        <v>0</v>
      </c>
      <c r="AJ381" s="18">
        <f t="shared" si="446"/>
        <v>0</v>
      </c>
      <c r="AK381" s="18">
        <f t="shared" si="446"/>
        <v>0</v>
      </c>
      <c r="AL381" s="78"/>
      <c r="AM381" s="43">
        <v>365</v>
      </c>
      <c r="AN381">
        <v>166.37210257225371</v>
      </c>
      <c r="AO381">
        <v>17.065913948737268</v>
      </c>
      <c r="AP381">
        <v>146.17168690863906</v>
      </c>
      <c r="AQ381">
        <v>110.09096437499757</v>
      </c>
      <c r="AR381">
        <v>15.965804931524504</v>
      </c>
      <c r="AS381">
        <v>143.09221558237073</v>
      </c>
      <c r="AT381">
        <v>7.0793969927839235</v>
      </c>
      <c r="AU381">
        <v>-30.357686802246569</v>
      </c>
      <c r="AV381"/>
      <c r="AW381"/>
      <c r="FY381" s="210">
        <v>376</v>
      </c>
      <c r="FZ381">
        <v>1.3243095813806434</v>
      </c>
      <c r="GA381">
        <v>19.557163608293546</v>
      </c>
      <c r="GB381">
        <v>18.584246822741505</v>
      </c>
      <c r="GC381">
        <v>7.9529064721412173</v>
      </c>
      <c r="GD381">
        <v>4.0598513880394318</v>
      </c>
      <c r="GE381">
        <v>4.6199189893448471</v>
      </c>
      <c r="GF381">
        <v>2.4566098114769654</v>
      </c>
      <c r="GG381">
        <v>3.0647303131253056</v>
      </c>
      <c r="GH381">
        <v>5.1051143645895785</v>
      </c>
      <c r="GI381">
        <v>8.4472823635630849</v>
      </c>
      <c r="GJ381"/>
      <c r="GK381"/>
      <c r="GL381"/>
      <c r="GM381"/>
    </row>
    <row r="382" spans="1:195" s="7" customFormat="1">
      <c r="A382" s="1"/>
      <c r="B382" s="71">
        <f t="shared" si="443"/>
        <v>39987</v>
      </c>
      <c r="C382" s="18">
        <f t="shared" si="433"/>
        <v>17.727152965974103</v>
      </c>
      <c r="D382" s="18">
        <f t="shared" si="434"/>
        <v>1.9824306913982239</v>
      </c>
      <c r="E382" s="19">
        <f t="shared" si="435"/>
        <v>0.11183017911580873</v>
      </c>
      <c r="F382" s="19">
        <f t="shared" si="441"/>
        <v>0</v>
      </c>
      <c r="G382" s="18">
        <f>AVERAGE(E318:E327)*G$372</f>
        <v>0</v>
      </c>
      <c r="H382" s="18">
        <f t="shared" ref="H382:AK382" si="447">AVERAGE(F318:F327)*H$372</f>
        <v>3.1256351626016261E-2</v>
      </c>
      <c r="I382" s="18">
        <f t="shared" si="447"/>
        <v>0</v>
      </c>
      <c r="J382" s="18">
        <f t="shared" si="447"/>
        <v>0.58555568545312064</v>
      </c>
      <c r="K382" s="18">
        <f t="shared" si="447"/>
        <v>0</v>
      </c>
      <c r="L382" s="18">
        <f t="shared" si="447"/>
        <v>0</v>
      </c>
      <c r="M382" s="18">
        <f t="shared" si="447"/>
        <v>1.3656186543190869</v>
      </c>
      <c r="N382" s="18">
        <f t="shared" si="447"/>
        <v>0</v>
      </c>
      <c r="O382" s="18">
        <f t="shared" si="447"/>
        <v>0</v>
      </c>
      <c r="P382" s="18">
        <f t="shared" si="447"/>
        <v>0</v>
      </c>
      <c r="Q382" s="18">
        <f t="shared" si="447"/>
        <v>0</v>
      </c>
      <c r="R382" s="18">
        <f t="shared" si="447"/>
        <v>0</v>
      </c>
      <c r="S382" s="18">
        <f t="shared" si="447"/>
        <v>0</v>
      </c>
      <c r="T382" s="18">
        <f t="shared" si="447"/>
        <v>0</v>
      </c>
      <c r="U382" s="18">
        <f t="shared" si="447"/>
        <v>0</v>
      </c>
      <c r="V382" s="18">
        <f t="shared" si="447"/>
        <v>0</v>
      </c>
      <c r="W382" s="18">
        <f t="shared" si="447"/>
        <v>0</v>
      </c>
      <c r="X382" s="18">
        <f t="shared" si="447"/>
        <v>0</v>
      </c>
      <c r="Y382" s="18">
        <f t="shared" si="447"/>
        <v>0</v>
      </c>
      <c r="Z382" s="18">
        <f t="shared" si="447"/>
        <v>0</v>
      </c>
      <c r="AA382" s="18">
        <f t="shared" si="447"/>
        <v>0</v>
      </c>
      <c r="AB382" s="18">
        <f t="shared" si="447"/>
        <v>0</v>
      </c>
      <c r="AC382" s="18">
        <f t="shared" si="447"/>
        <v>0</v>
      </c>
      <c r="AD382" s="18">
        <f t="shared" si="447"/>
        <v>0</v>
      </c>
      <c r="AE382" s="18">
        <f t="shared" si="447"/>
        <v>0</v>
      </c>
      <c r="AF382" s="18">
        <f t="shared" si="447"/>
        <v>0</v>
      </c>
      <c r="AG382" s="18">
        <f t="shared" si="447"/>
        <v>0</v>
      </c>
      <c r="AH382" s="18">
        <f t="shared" si="447"/>
        <v>0</v>
      </c>
      <c r="AI382" s="18">
        <f t="shared" si="447"/>
        <v>0</v>
      </c>
      <c r="AJ382" s="18">
        <f t="shared" si="447"/>
        <v>0</v>
      </c>
      <c r="AK382" s="18">
        <f t="shared" si="447"/>
        <v>0</v>
      </c>
      <c r="AL382" s="78"/>
      <c r="AM382" s="43">
        <v>366</v>
      </c>
      <c r="AN382">
        <v>153.41937496325573</v>
      </c>
      <c r="AO382">
        <v>16.306377844079456</v>
      </c>
      <c r="AP382">
        <v>131.51520397932788</v>
      </c>
      <c r="AQ382">
        <v>101.99805236290146</v>
      </c>
      <c r="AR382">
        <v>15.260710892542662</v>
      </c>
      <c r="AS382">
        <v>148.21206050029286</v>
      </c>
      <c r="AT382">
        <v>7.6628824106242801</v>
      </c>
      <c r="AU382">
        <v>-37.23426834142122</v>
      </c>
      <c r="AV382"/>
      <c r="AW382"/>
      <c r="FY382" s="210">
        <v>377</v>
      </c>
      <c r="FZ382">
        <v>6.794764758329233</v>
      </c>
      <c r="GA382">
        <v>21.128228450945677</v>
      </c>
      <c r="GB382">
        <v>21.106354205273824</v>
      </c>
      <c r="GC382">
        <v>10.812123676174791</v>
      </c>
      <c r="GD382">
        <v>3.4758745582839601</v>
      </c>
      <c r="GE382">
        <v>3.2338063975483409</v>
      </c>
      <c r="GF382">
        <v>2.3557895370494082</v>
      </c>
      <c r="GG382">
        <v>4.8025277695672708</v>
      </c>
      <c r="GH382">
        <v>6.3238189575102774</v>
      </c>
      <c r="GI382">
        <v>9.7322164656548722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202.33373107332577</v>
      </c>
      <c r="AO383">
        <v>16.809147207233458</v>
      </c>
      <c r="AP383">
        <v>130.99238237653685</v>
      </c>
      <c r="AQ383">
        <v>102.38076792798519</v>
      </c>
      <c r="AR383">
        <v>15.878369923977878</v>
      </c>
      <c r="AS383">
        <v>161.81702898902267</v>
      </c>
      <c r="AT383">
        <v>7.9302604211923056</v>
      </c>
      <c r="AU383">
        <v>26.515543364137681</v>
      </c>
      <c r="AV383"/>
      <c r="AW383"/>
      <c r="FY383" s="210">
        <v>378</v>
      </c>
      <c r="FZ383">
        <v>3.780436947576896</v>
      </c>
      <c r="GA383">
        <v>24.272694520091726</v>
      </c>
      <c r="GB383">
        <v>15.151296379797962</v>
      </c>
      <c r="GC383">
        <v>7.3282291793664252</v>
      </c>
      <c r="GD383">
        <v>4.7334971437043407</v>
      </c>
      <c r="GE383">
        <v>4.5244518258964552</v>
      </c>
      <c r="GF383">
        <v>5.5616315529472908</v>
      </c>
      <c r="GG383">
        <v>2.5258157662982295</v>
      </c>
      <c r="GH383">
        <v>2.2006739463117539</v>
      </c>
      <c r="GI383">
        <v>8.4527211842650374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174.10686995825145</v>
      </c>
      <c r="AO384">
        <v>15.062343766858993</v>
      </c>
      <c r="AP384">
        <v>119.36726687944184</v>
      </c>
      <c r="AQ384">
        <v>94.177494138328939</v>
      </c>
      <c r="AR384">
        <v>13.929517907965289</v>
      </c>
      <c r="AS384">
        <v>127.93846954170739</v>
      </c>
      <c r="AT384">
        <v>7.5568147161476267</v>
      </c>
      <c r="AU384">
        <v>-59.578190652289834</v>
      </c>
      <c r="AV384"/>
      <c r="AW384"/>
      <c r="FY384" s="210">
        <v>379</v>
      </c>
      <c r="FZ384">
        <v>9.2535432770923531</v>
      </c>
      <c r="GA384">
        <v>30.261960095989256</v>
      </c>
      <c r="GB384">
        <v>15.314822507759098</v>
      </c>
      <c r="GC384">
        <v>5.7750272775678768</v>
      </c>
      <c r="GD384">
        <v>4.088605209592953</v>
      </c>
      <c r="GE384">
        <v>8.4852917209585179</v>
      </c>
      <c r="GF384">
        <v>7.6671529904095559</v>
      </c>
      <c r="GG384">
        <v>0.77522729648954036</v>
      </c>
      <c r="GH384">
        <v>2.2620319233173167</v>
      </c>
      <c r="GI384">
        <v>9.3827589208661983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154.27241093138184</v>
      </c>
      <c r="AO385">
        <v>15.309964606396681</v>
      </c>
      <c r="AP385">
        <v>121.60925358127054</v>
      </c>
      <c r="AQ385">
        <v>92.077284410302326</v>
      </c>
      <c r="AR385">
        <v>14.295323898142559</v>
      </c>
      <c r="AS385">
        <v>122.87568367533126</v>
      </c>
      <c r="AT385">
        <v>6.064624393427323</v>
      </c>
      <c r="AU385">
        <v>-18.022476327967546</v>
      </c>
      <c r="AV385"/>
      <c r="AW385"/>
      <c r="FY385" s="210">
        <v>380</v>
      </c>
      <c r="FZ385">
        <v>1.6776428981470652</v>
      </c>
      <c r="GA385">
        <v>18.495228875838343</v>
      </c>
      <c r="GB385">
        <v>17.462465380670544</v>
      </c>
      <c r="GC385">
        <v>7.1087090917742959</v>
      </c>
      <c r="GD385">
        <v>3.6131961332209976</v>
      </c>
      <c r="GE385">
        <v>8.5178564127420309</v>
      </c>
      <c r="GF385">
        <v>8.2094210658517994</v>
      </c>
      <c r="GG385">
        <v>1.5504545929790807</v>
      </c>
      <c r="GH385">
        <v>2.9761153791573811</v>
      </c>
      <c r="GI385">
        <v>8.7418315150131285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174.04088727741413</v>
      </c>
      <c r="AO386">
        <v>15.613017254140527</v>
      </c>
      <c r="AP386">
        <v>109.4169816123602</v>
      </c>
      <c r="AQ386">
        <v>85.680511124607918</v>
      </c>
      <c r="AR386">
        <v>14.238999013476832</v>
      </c>
      <c r="AS386">
        <v>124.03598281657425</v>
      </c>
      <c r="AT386" t="e">
        <v>#DIV/0!</v>
      </c>
      <c r="AU386" t="e">
        <v>#DIV/0!</v>
      </c>
      <c r="AV386"/>
      <c r="AW386"/>
      <c r="FY386" s="210">
        <v>381</v>
      </c>
      <c r="FZ386">
        <v>1.8552493954369949</v>
      </c>
      <c r="GA386">
        <v>29.908419323191325</v>
      </c>
      <c r="GB386">
        <v>27.00571856564601</v>
      </c>
      <c r="GC386">
        <v>10.883833318317581</v>
      </c>
      <c r="GD386">
        <v>5.9791722735059079</v>
      </c>
      <c r="GE386">
        <v>6.947518247622094</v>
      </c>
      <c r="GF386">
        <v>1.9292650496094059</v>
      </c>
      <c r="GG386">
        <v>1.7377974564419647</v>
      </c>
      <c r="GH386">
        <v>4.0691696198529517</v>
      </c>
      <c r="GI386">
        <v>11.512834226890222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192.38300663980323</v>
      </c>
      <c r="AO387">
        <v>15.715368710685606</v>
      </c>
      <c r="AP387">
        <v>118.62935568731491</v>
      </c>
      <c r="AQ387">
        <v>93.188939949453896</v>
      </c>
      <c r="AR387">
        <v>14.734924582782277</v>
      </c>
      <c r="AS387">
        <v>122.50768644560193</v>
      </c>
      <c r="AT387" t="e">
        <v>#DIV/0!</v>
      </c>
      <c r="AU387" t="e">
        <v>#DIV/0!</v>
      </c>
      <c r="AV387"/>
      <c r="AW387"/>
      <c r="FY387" s="210">
        <v>382</v>
      </c>
      <c r="FZ387">
        <v>8.8035225878589412</v>
      </c>
      <c r="GA387">
        <v>29.814394490708061</v>
      </c>
      <c r="GB387">
        <v>19.437969251587532</v>
      </c>
      <c r="GC387">
        <v>7.3356536978725266</v>
      </c>
      <c r="GD387">
        <v>2.8551347488373158</v>
      </c>
      <c r="GE387">
        <v>3.2469344083849032</v>
      </c>
      <c r="GF387">
        <v>3.3034882950523081</v>
      </c>
      <c r="GG387">
        <v>3.4901862837464988</v>
      </c>
      <c r="GH387">
        <v>2.5188439423783215</v>
      </c>
      <c r="GI387">
        <v>8.8063621030830337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448">IF(C374&lt;1,0,LN(E374/E373)/E21)</f>
        <v>2.6097471308855695E-2</v>
      </c>
      <c r="G388" s="13"/>
      <c r="H388" s="19">
        <f>IF(G406&lt;0,0,G406)</f>
        <v>2.7278007114296066E-2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209.10358340175148</v>
      </c>
      <c r="AO388">
        <v>15.658325497883348</v>
      </c>
      <c r="AP388">
        <v>120.39563135623419</v>
      </c>
      <c r="AQ388">
        <v>95.287504202554203</v>
      </c>
      <c r="AR388">
        <v>14.359530182428745</v>
      </c>
      <c r="AS388">
        <v>161.59656844650831</v>
      </c>
      <c r="AT388">
        <v>6.4852768076224416</v>
      </c>
      <c r="AU388">
        <v>-8.3685730443253927</v>
      </c>
      <c r="AV388"/>
      <c r="AW388"/>
      <c r="FY388" s="210">
        <v>383</v>
      </c>
      <c r="FZ388">
        <v>6.7743145771433788</v>
      </c>
      <c r="GA388">
        <v>33.596507800703847</v>
      </c>
      <c r="GB388">
        <v>17.605975223073042</v>
      </c>
      <c r="GC388">
        <v>5.1399512636567257</v>
      </c>
      <c r="GD388">
        <v>3.325956934171546</v>
      </c>
      <c r="GE388">
        <v>3.8889914151350782</v>
      </c>
      <c r="GF388">
        <v>3.7481100913401262</v>
      </c>
      <c r="GG388">
        <v>1.9741102061044287</v>
      </c>
      <c r="GH388">
        <v>1.3578060336331905</v>
      </c>
      <c r="GI388">
        <v>8.2294762948451954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448"/>
        <v>2.3296244233387761E-2</v>
      </c>
      <c r="G389" s="13"/>
      <c r="H389" s="19">
        <f t="shared" ref="H389:H398" si="449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155.05525006551892</v>
      </c>
      <c r="AO389">
        <v>13.095712347879134</v>
      </c>
      <c r="AP389">
        <v>105.66266763306967</v>
      </c>
      <c r="AQ389">
        <v>82.570960393929809</v>
      </c>
      <c r="AR389">
        <v>12.197992838229887</v>
      </c>
      <c r="AS389">
        <v>107.629610084487</v>
      </c>
      <c r="AT389">
        <v>5.8665178874878166</v>
      </c>
      <c r="AU389">
        <v>-24.262305426621932</v>
      </c>
      <c r="AV389"/>
      <c r="AW389"/>
      <c r="FY389" s="210">
        <v>384</v>
      </c>
      <c r="FZ389">
        <v>1.6662795637715018</v>
      </c>
      <c r="GA389">
        <v>21.109227542987441</v>
      </c>
      <c r="GB389">
        <v>21.363019413275225</v>
      </c>
      <c r="GC389">
        <v>8.3591204851304415</v>
      </c>
      <c r="GD389">
        <v>2.35823614172494</v>
      </c>
      <c r="GE389">
        <v>4.5902657505935842</v>
      </c>
      <c r="GF389">
        <v>6.7661600795323658</v>
      </c>
      <c r="GG389">
        <v>3.5245647990835094</v>
      </c>
      <c r="GH389">
        <v>3.6901988349974464</v>
      </c>
      <c r="GI389">
        <v>8.8349374111916141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448"/>
        <v>-4.3671773814119505E-2</v>
      </c>
      <c r="G390" s="13"/>
      <c r="H390" s="19">
        <f t="shared" si="449"/>
        <v>2.3600151072314911E-3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211.61754217579124</v>
      </c>
      <c r="AO390">
        <v>14.030622643867932</v>
      </c>
      <c r="AP390">
        <v>101.62545760189711</v>
      </c>
      <c r="AQ390">
        <v>80.050084865258611</v>
      </c>
      <c r="AR390">
        <v>12.797833597613103</v>
      </c>
      <c r="AS390">
        <v>153.94979289722531</v>
      </c>
      <c r="AT390" t="e">
        <v>#DIV/0!</v>
      </c>
      <c r="AU390" t="e">
        <v>#DIV/0!</v>
      </c>
      <c r="AV390"/>
      <c r="AW390"/>
      <c r="FY390" s="210">
        <v>385</v>
      </c>
      <c r="FZ390">
        <v>2.1334696059959302</v>
      </c>
      <c r="GA390">
        <v>23.725685744369013</v>
      </c>
      <c r="GB390">
        <v>26.944051948026672</v>
      </c>
      <c r="GC390">
        <v>12.033725916450553</v>
      </c>
      <c r="GD390">
        <v>3.6479240869285916</v>
      </c>
      <c r="GE390">
        <v>2.6964449441009011</v>
      </c>
      <c r="GF390">
        <v>2.3557895370494082</v>
      </c>
      <c r="GG390">
        <v>1.3269328566833409</v>
      </c>
      <c r="GH390">
        <v>2.5225352352083168</v>
      </c>
      <c r="GI390">
        <v>9.974988056199523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448"/>
        <v>-2.9681246130282918E-2</v>
      </c>
      <c r="G391" s="13"/>
      <c r="H391" s="19">
        <f t="shared" si="449"/>
        <v>4.4199669514162279E-3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139.85968904379462</v>
      </c>
      <c r="AO391">
        <v>13.072252090981738</v>
      </c>
      <c r="AP391">
        <v>100.70225652989063</v>
      </c>
      <c r="AQ391">
        <v>76.021643141481675</v>
      </c>
      <c r="AR391">
        <v>12.104360375086211</v>
      </c>
      <c r="AS391">
        <v>115.02028478190263</v>
      </c>
      <c r="AT391" t="e">
        <v>#DIV/0!</v>
      </c>
      <c r="AU391" t="e">
        <v>#DIV/0!</v>
      </c>
      <c r="AV391"/>
      <c r="AW391"/>
      <c r="FY391" s="210">
        <v>386</v>
      </c>
      <c r="FZ391">
        <v>1.7839240523432189</v>
      </c>
      <c r="GA391">
        <v>31.234896764190331</v>
      </c>
      <c r="GB391">
        <v>23.313045986405061</v>
      </c>
      <c r="GC391">
        <v>6.0562564254622639</v>
      </c>
      <c r="GD391">
        <v>2.423156235999222</v>
      </c>
      <c r="GE391">
        <v>5.0558828714536093</v>
      </c>
      <c r="GF391">
        <v>6.2047199028170921</v>
      </c>
      <c r="GG391">
        <v>3.3010430627877696</v>
      </c>
      <c r="GH391">
        <v>2.6542540902608187</v>
      </c>
      <c r="GI391">
        <v>9.0581277955152952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448"/>
        <v>-2.5714782551485797E-3</v>
      </c>
      <c r="G392" s="13"/>
      <c r="H392" s="19">
        <f t="shared" si="449"/>
        <v>2.1661392133330969E-2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161.49325951278942</v>
      </c>
      <c r="AO392">
        <v>12.48997358804586</v>
      </c>
      <c r="AP392">
        <v>93.890714462785709</v>
      </c>
      <c r="AQ392">
        <v>75.17213371469613</v>
      </c>
      <c r="AR392">
        <v>11.735062693639462</v>
      </c>
      <c r="AS392">
        <v>133.76355391416479</v>
      </c>
      <c r="AT392">
        <v>5.3180792552739646</v>
      </c>
      <c r="AU392">
        <v>-5.4657904160850252</v>
      </c>
      <c r="AV392"/>
      <c r="AW392"/>
      <c r="FY392" s="210">
        <v>387</v>
      </c>
      <c r="FZ392">
        <v>4.4537661294234026</v>
      </c>
      <c r="GA392">
        <v>25.194259509181855</v>
      </c>
      <c r="GB392">
        <v>19.906881005713863</v>
      </c>
      <c r="GC392">
        <v>8.1696455151040386</v>
      </c>
      <c r="GD392">
        <v>3.6945913479003294</v>
      </c>
      <c r="GE392">
        <v>6.0268190567952482</v>
      </c>
      <c r="GF392">
        <v>6.0371747688096917</v>
      </c>
      <c r="GG392">
        <v>3.160202102352593</v>
      </c>
      <c r="GH392">
        <v>4.0017431400200154</v>
      </c>
      <c r="GI392">
        <v>9.5634095877742098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448"/>
        <v>3.9284466374859515E-2</v>
      </c>
      <c r="G393" s="13"/>
      <c r="H393" s="19">
        <f t="shared" si="449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149.20727165734655</v>
      </c>
      <c r="AO393">
        <v>14.633357682397701</v>
      </c>
      <c r="AP393">
        <v>112.79523644834468</v>
      </c>
      <c r="AQ393">
        <v>89.765504776337664</v>
      </c>
      <c r="AR393">
        <v>13.596290594146142</v>
      </c>
      <c r="AS393">
        <v>131.95315831610657</v>
      </c>
      <c r="AT393">
        <v>6.4055675346796912</v>
      </c>
      <c r="AU393">
        <v>-22.883825157037791</v>
      </c>
      <c r="AV393"/>
      <c r="AW393"/>
      <c r="FY393" s="210">
        <v>388</v>
      </c>
      <c r="FZ393">
        <v>1.2409974910199331</v>
      </c>
      <c r="GA393">
        <v>21.626338399253434</v>
      </c>
      <c r="GB393">
        <v>20.374375264955354</v>
      </c>
      <c r="GC393">
        <v>9.4205670144090217</v>
      </c>
      <c r="GD393">
        <v>3.98250802875702</v>
      </c>
      <c r="GE393">
        <v>2.4286765357911322</v>
      </c>
      <c r="GF393">
        <v>1.0845361508844891</v>
      </c>
      <c r="GG393">
        <v>4.2508222093734691</v>
      </c>
      <c r="GH393">
        <v>7.1666868701888413</v>
      </c>
      <c r="GI393">
        <v>8.9181963480660755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448"/>
        <v>-1.5541316749443522E-2</v>
      </c>
      <c r="G394" s="13"/>
      <c r="H394" s="19">
        <f t="shared" si="449"/>
        <v>7.150649976973289E-3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197.10804851128614</v>
      </c>
      <c r="AO394">
        <v>12.536960914371523</v>
      </c>
      <c r="AP394">
        <v>95.239794468390286</v>
      </c>
      <c r="AQ394">
        <v>78.531448446256121</v>
      </c>
      <c r="AR394">
        <v>11.608135918663859</v>
      </c>
      <c r="AS394">
        <v>131.03854196765133</v>
      </c>
      <c r="AT394">
        <v>5.7415440420791208</v>
      </c>
      <c r="AU394">
        <v>-15.218778085793883</v>
      </c>
      <c r="AV394"/>
      <c r="AW394"/>
      <c r="FY394" s="210">
        <v>389</v>
      </c>
      <c r="FZ394">
        <v>3.9097060889215722</v>
      </c>
      <c r="GA394">
        <v>25.692149581107024</v>
      </c>
      <c r="GB394">
        <v>22.656363015150294</v>
      </c>
      <c r="GC394">
        <v>9.4676657041153618</v>
      </c>
      <c r="GD394">
        <v>4.5430341806735104</v>
      </c>
      <c r="GE394">
        <v>7.8623530804168293</v>
      </c>
      <c r="GF394">
        <v>5.9352797019569206</v>
      </c>
      <c r="GG394">
        <v>2.5130247529315048</v>
      </c>
      <c r="GH394">
        <v>3.9403851630144526</v>
      </c>
      <c r="GI394">
        <v>10.609950561701316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448"/>
        <v>2.3304913097100418E-2</v>
      </c>
      <c r="G395" s="13"/>
      <c r="H395" s="19">
        <f t="shared" si="449"/>
        <v>1.9848030685644044E-2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235.26345068942084</v>
      </c>
      <c r="AO395">
        <v>13.965670387444003</v>
      </c>
      <c r="AP395">
        <v>112.90090580087839</v>
      </c>
      <c r="AQ395">
        <v>93.266421220042673</v>
      </c>
      <c r="AR395">
        <v>12.737411470969858</v>
      </c>
      <c r="AS395">
        <v>151.12348150649638</v>
      </c>
      <c r="AT395" t="e">
        <v>#DIV/0!</v>
      </c>
      <c r="AU395" t="e">
        <v>#DIV/0!</v>
      </c>
      <c r="AV395"/>
      <c r="AW395"/>
      <c r="FY395" s="210">
        <v>390</v>
      </c>
      <c r="FZ395">
        <v>6.4851183577869609</v>
      </c>
      <c r="GA395">
        <v>32.677386633298703</v>
      </c>
      <c r="GB395">
        <v>33.635509262607812</v>
      </c>
      <c r="GC395">
        <v>13.251880171324489</v>
      </c>
      <c r="GD395">
        <v>2.5439683071048806</v>
      </c>
      <c r="GE395">
        <v>1.9280839294679293</v>
      </c>
      <c r="GF395">
        <v>2.0013134893128068</v>
      </c>
      <c r="GG395">
        <v>3.3010430627877696</v>
      </c>
      <c r="GH395">
        <v>2.3937507783698186</v>
      </c>
      <c r="GI395">
        <v>11.575802739896726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448"/>
        <v>-1.3496656136613536E-2</v>
      </c>
      <c r="G396" s="13"/>
      <c r="H396" s="19">
        <f t="shared" si="449"/>
        <v>5.5979190503419443E-2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213.64010024314734</v>
      </c>
      <c r="AO396">
        <v>13.023500945807644</v>
      </c>
      <c r="AP396">
        <v>97.678623531875928</v>
      </c>
      <c r="AQ396">
        <v>78.352921345394662</v>
      </c>
      <c r="AR396">
        <v>11.842095166147264</v>
      </c>
      <c r="AS396">
        <v>118.41844153243241</v>
      </c>
      <c r="AT396" t="e">
        <v>#DIV/0!</v>
      </c>
      <c r="AU396" t="e">
        <v>#DIV/0!</v>
      </c>
      <c r="AV396"/>
      <c r="AW396"/>
      <c r="FY396" s="210">
        <v>391</v>
      </c>
      <c r="FZ396">
        <v>1.7062951948544391</v>
      </c>
      <c r="GA396">
        <v>20.526123874663643</v>
      </c>
      <c r="GB396">
        <v>18.432787610092863</v>
      </c>
      <c r="GC396">
        <v>7.4391499107129064</v>
      </c>
      <c r="GD396">
        <v>4.0756208173608526</v>
      </c>
      <c r="GE396">
        <v>5.079368073375953</v>
      </c>
      <c r="GF396">
        <v>2.5734281919044211</v>
      </c>
      <c r="GG396">
        <v>2.2913033741316107</v>
      </c>
      <c r="GH396">
        <v>2.1969826534817587</v>
      </c>
      <c r="GI396">
        <v>8.0219494583810587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448"/>
        <v>0</v>
      </c>
      <c r="G397" s="13"/>
      <c r="H397" s="19">
        <f t="shared" si="449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221.96635588124877</v>
      </c>
      <c r="AO397">
        <v>17.17943806709593</v>
      </c>
      <c r="AP397">
        <v>128.1221866405451</v>
      </c>
      <c r="AQ397">
        <v>101.82897747651448</v>
      </c>
      <c r="AR397">
        <v>16.094069717658599</v>
      </c>
      <c r="AS397">
        <v>147.04652459046551</v>
      </c>
      <c r="AT397" t="e">
        <v>#DIV/0!</v>
      </c>
      <c r="AU397" t="e">
        <v>#DIV/0!</v>
      </c>
      <c r="AV397"/>
      <c r="AW397"/>
      <c r="FY397" s="210">
        <v>392</v>
      </c>
      <c r="FZ397">
        <v>7.1907679901137564</v>
      </c>
      <c r="GA397">
        <v>25.300300758715551</v>
      </c>
      <c r="GB397">
        <v>26.569759733488691</v>
      </c>
      <c r="GC397">
        <v>11.388543367640738</v>
      </c>
      <c r="GD397">
        <v>3.0712550664777667</v>
      </c>
      <c r="GE397">
        <v>9.1307121738239534</v>
      </c>
      <c r="GF397">
        <v>9.5964180400189623</v>
      </c>
      <c r="GG397">
        <v>2.5130247529315048</v>
      </c>
      <c r="GH397">
        <v>5.4269756534861422</v>
      </c>
      <c r="GI397">
        <v>12.160237649293737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448"/>
        <v>0</v>
      </c>
      <c r="G398" s="13"/>
      <c r="H398" s="19">
        <f t="shared" si="449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159.33590450101502</v>
      </c>
      <c r="AO398">
        <v>13.223076482886906</v>
      </c>
      <c r="AP398">
        <v>112.62834089690045</v>
      </c>
      <c r="AQ398">
        <v>89.612489809509441</v>
      </c>
      <c r="AR398">
        <v>12.251851092141781</v>
      </c>
      <c r="AS398">
        <v>123.16955089466015</v>
      </c>
      <c r="AT398">
        <v>6.071859202305764</v>
      </c>
      <c r="AU398">
        <v>-15.534743132820402</v>
      </c>
      <c r="AV398"/>
      <c r="AW398"/>
      <c r="FY398" s="210">
        <v>393</v>
      </c>
      <c r="FZ398">
        <v>1.5707194077464601</v>
      </c>
      <c r="GA398">
        <v>20.913244158587343</v>
      </c>
      <c r="GB398">
        <v>30.491925563412345</v>
      </c>
      <c r="GC398">
        <v>14.321999469897309</v>
      </c>
      <c r="GD398">
        <v>4.6008954196355569</v>
      </c>
      <c r="GE398">
        <v>4.9861197329553457</v>
      </c>
      <c r="GF398">
        <v>1.9303398420346187</v>
      </c>
      <c r="GG398">
        <v>4.0291008305735758</v>
      </c>
      <c r="GH398">
        <v>5.4232843606561474</v>
      </c>
      <c r="GI398">
        <v>11.730953798642235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166.40345965149533</v>
      </c>
      <c r="AO399">
        <v>12.297839143725778</v>
      </c>
      <c r="AP399">
        <v>107.74827278404217</v>
      </c>
      <c r="AQ399">
        <v>85.641199839806561</v>
      </c>
      <c r="AR399">
        <v>11.376380040305914</v>
      </c>
      <c r="AS399">
        <v>108.33540001720191</v>
      </c>
      <c r="AT399">
        <v>5.7343977387815146</v>
      </c>
      <c r="AU399">
        <v>-15.276010630087081</v>
      </c>
      <c r="AV399"/>
      <c r="AW399"/>
      <c r="FY399" s="210">
        <v>394</v>
      </c>
      <c r="FZ399">
        <v>5.3726204063469591</v>
      </c>
      <c r="GA399">
        <v>27.840529715246053</v>
      </c>
      <c r="GB399">
        <v>25.814256106135396</v>
      </c>
      <c r="GC399">
        <v>10.32653583882017</v>
      </c>
      <c r="GD399">
        <v>2.7462179749747051</v>
      </c>
      <c r="GE399">
        <v>3.5394265298221121</v>
      </c>
      <c r="GF399">
        <v>4.289303374357158</v>
      </c>
      <c r="GG399">
        <v>3.8399576096148458</v>
      </c>
      <c r="GH399">
        <v>5.0376878847566431</v>
      </c>
      <c r="GI399">
        <v>10.493185900757718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169.64896299322481</v>
      </c>
      <c r="AO400">
        <v>13.321389308441089</v>
      </c>
      <c r="AP400">
        <v>108.54081653028111</v>
      </c>
      <c r="AQ400">
        <v>82.262010022288067</v>
      </c>
      <c r="AR400">
        <v>12.194418380039693</v>
      </c>
      <c r="AS400">
        <v>114.2706082612885</v>
      </c>
      <c r="AT400">
        <v>4.7763227095392358</v>
      </c>
      <c r="AU400">
        <v>-16.200007661576166</v>
      </c>
      <c r="AV400"/>
      <c r="AW400"/>
      <c r="FY400" s="210">
        <v>395</v>
      </c>
      <c r="FZ400">
        <v>1.6632506148347388</v>
      </c>
      <c r="GA400">
        <v>26.400578968114203</v>
      </c>
      <c r="GB400">
        <v>22.690290815936251</v>
      </c>
      <c r="GC400">
        <v>8.4002518214040194</v>
      </c>
      <c r="GD400">
        <v>4.417950641203487</v>
      </c>
      <c r="GE400">
        <v>10.621943140174576</v>
      </c>
      <c r="GF400">
        <v>11.516083356177241</v>
      </c>
      <c r="GG400">
        <v>2.0677816378358704</v>
      </c>
      <c r="GH400">
        <v>2.7089863762223829</v>
      </c>
      <c r="GI400">
        <v>11.075596573745969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190.34497195139994</v>
      </c>
      <c r="AO401">
        <v>14.805460294155324</v>
      </c>
      <c r="AP401">
        <v>114.11912600571452</v>
      </c>
      <c r="AQ401">
        <v>87.361547931012254</v>
      </c>
      <c r="AR401">
        <v>13.924285683444667</v>
      </c>
      <c r="AS401">
        <v>157.32960712121681</v>
      </c>
      <c r="AT401">
        <v>6.2578024225096058</v>
      </c>
      <c r="AU401">
        <v>-20.107019294875204</v>
      </c>
      <c r="AV401"/>
      <c r="AW401"/>
      <c r="FY401" s="210">
        <v>396</v>
      </c>
      <c r="FZ401">
        <v>1.618055554430448</v>
      </c>
      <c r="GA401">
        <v>27.481680085248186</v>
      </c>
      <c r="GB401">
        <v>29.540284765538733</v>
      </c>
      <c r="GC401">
        <v>12.015355882505398</v>
      </c>
      <c r="GD401">
        <v>4.211292596126313</v>
      </c>
      <c r="GE401">
        <v>5.1185104009566222</v>
      </c>
      <c r="GF401">
        <v>4.1735597863549154</v>
      </c>
      <c r="GG401">
        <v>1.8786384168771417</v>
      </c>
      <c r="GH401">
        <v>1.0359447447366277</v>
      </c>
      <c r="GI401">
        <v>11.011805753831677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173.24419741737765</v>
      </c>
      <c r="AO402">
        <v>13.553771150804915</v>
      </c>
      <c r="AP402">
        <v>120.51868159673651</v>
      </c>
      <c r="AQ402">
        <v>91.085307187234662</v>
      </c>
      <c r="AR402">
        <v>12.488322505485669</v>
      </c>
      <c r="AS402">
        <v>126.45223988942999</v>
      </c>
      <c r="AT402">
        <v>5.5207187923257486</v>
      </c>
      <c r="AU402">
        <v>-6.5611770951769905</v>
      </c>
      <c r="AV402"/>
      <c r="AW402"/>
      <c r="FY402" s="210">
        <v>397</v>
      </c>
      <c r="FZ402">
        <v>1.6801649121649536</v>
      </c>
      <c r="GA402">
        <v>18.702061478815928</v>
      </c>
      <c r="GB402">
        <v>20.925389490528374</v>
      </c>
      <c r="GC402">
        <v>9.5400629950582498</v>
      </c>
      <c r="GD402">
        <v>4.2716290680700713</v>
      </c>
      <c r="GE402">
        <v>7.5973606854378133</v>
      </c>
      <c r="GF402">
        <v>6.462624463824481</v>
      </c>
      <c r="GG402">
        <v>2.1958315849043233</v>
      </c>
      <c r="GH402">
        <v>4.0054344328500111</v>
      </c>
      <c r="GI402">
        <v>9.8182887384048492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186.61438238090949</v>
      </c>
      <c r="AO403">
        <v>14.345355868235632</v>
      </c>
      <c r="AP403">
        <v>113.50639717381317</v>
      </c>
      <c r="AQ403">
        <v>90.208492163075249</v>
      </c>
      <c r="AR403">
        <v>13.158667786731826</v>
      </c>
      <c r="AS403">
        <v>115.83351786706093</v>
      </c>
      <c r="AT403">
        <v>5.7782723761701149</v>
      </c>
      <c r="AU403">
        <v>-15.642251408277504</v>
      </c>
      <c r="AV403"/>
      <c r="AW403"/>
      <c r="FY403" s="210">
        <v>398</v>
      </c>
      <c r="FZ403">
        <v>3.8440639786997277</v>
      </c>
      <c r="GA403">
        <v>22.328920251488434</v>
      </c>
      <c r="GB403">
        <v>22.961829464368993</v>
      </c>
      <c r="GC403">
        <v>10.341693291371309</v>
      </c>
      <c r="GD403">
        <v>3.6602644663647705</v>
      </c>
      <c r="GE403">
        <v>3.3359778389289709</v>
      </c>
      <c r="GF403">
        <v>1.9303398420346187</v>
      </c>
      <c r="GG403">
        <v>3.160202102352593</v>
      </c>
      <c r="GH403">
        <v>3.9403851630144526</v>
      </c>
      <c r="GI403">
        <v>9.3721613485611606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168.92013890386471</v>
      </c>
      <c r="AO404">
        <v>13.289536523866094</v>
      </c>
      <c r="AP404">
        <v>102.88874238836867</v>
      </c>
      <c r="AQ404">
        <v>80.493704312698767</v>
      </c>
      <c r="AR404">
        <v>12.484217611681119</v>
      </c>
      <c r="AS404">
        <v>116.34797863024802</v>
      </c>
      <c r="AT404" t="e">
        <v>#DIV/0!</v>
      </c>
      <c r="AU404" t="e">
        <v>#DIV/0!</v>
      </c>
      <c r="AV404"/>
      <c r="AW404"/>
      <c r="FY404" s="210">
        <v>399</v>
      </c>
      <c r="FZ404">
        <v>1.5973566253548201</v>
      </c>
      <c r="GA404">
        <v>20.870835751086112</v>
      </c>
      <c r="GB404">
        <v>22.58607698801179</v>
      </c>
      <c r="GC404">
        <v>9.5872403094370746</v>
      </c>
      <c r="GD404">
        <v>3.6308143364311869</v>
      </c>
      <c r="GE404">
        <v>3.5390823105848073</v>
      </c>
      <c r="GF404">
        <v>2.4576846039021785</v>
      </c>
      <c r="GG404">
        <v>3.8055790942778356</v>
      </c>
      <c r="GH404">
        <v>4.3873396159195188</v>
      </c>
      <c r="GI404">
        <v>9.1318945464822789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450">+C4</f>
        <v>39646</v>
      </c>
      <c r="C405" s="61">
        <v>0</v>
      </c>
      <c r="D405" s="61">
        <f t="shared" ref="D405:D414" si="451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2.5500000000000003</v>
      </c>
      <c r="E405" s="108">
        <f t="shared" ref="E405:E414" si="452">IF(D405=0,0.00000001,(1-$A$43/100)*($A$39*(D405^($A$41))))</f>
        <v>5.3977103496437209E-2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227.88828966347759</v>
      </c>
      <c r="AO405">
        <v>15.930689202010338</v>
      </c>
      <c r="AP405">
        <v>121.54181064284684</v>
      </c>
      <c r="AQ405">
        <v>97.129911829988771</v>
      </c>
      <c r="AR405">
        <v>14.594481601229779</v>
      </c>
      <c r="AS405">
        <v>159.46058406199978</v>
      </c>
      <c r="AT405" t="e">
        <v>#DIV/0!</v>
      </c>
      <c r="AU405" t="e">
        <v>#DIV/0!</v>
      </c>
      <c r="AV405"/>
      <c r="AW405"/>
      <c r="FY405" s="210">
        <v>400</v>
      </c>
      <c r="FZ405">
        <v>1.0365018968635702</v>
      </c>
      <c r="GA405">
        <v>26.480290169881055</v>
      </c>
      <c r="GB405">
        <v>28.617627623735892</v>
      </c>
      <c r="GC405">
        <v>11.48920503900716</v>
      </c>
      <c r="GD405">
        <v>4.5560738435812178</v>
      </c>
      <c r="GE405">
        <v>5.5471779079342571</v>
      </c>
      <c r="GF405">
        <v>2.6742484663319779</v>
      </c>
      <c r="GG405">
        <v>3.8417579671106914</v>
      </c>
      <c r="GH405">
        <v>5.4336013445301408</v>
      </c>
      <c r="GI405">
        <v>11.329939971889297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450"/>
        <v>39673</v>
      </c>
      <c r="C406" s="61">
        <f>B406-B405</f>
        <v>27</v>
      </c>
      <c r="D406" s="61">
        <f t="shared" si="451"/>
        <v>3.263095765087797</v>
      </c>
      <c r="E406" s="108">
        <f t="shared" si="452"/>
        <v>0.11084015973799265</v>
      </c>
      <c r="F406" s="19">
        <f t="shared" ref="F406:F414" si="453">IF(C374&lt;1,0,LN(E406/E405)/E21)</f>
        <v>2.6649230141867927E-2</v>
      </c>
      <c r="G406" s="19">
        <f t="shared" ref="G406:G414" si="454">IF(D406=0, 0, 0.051-(0.068*LN(D406))+(0.006*A406))</f>
        <v>2.7278007114296066E-2</v>
      </c>
      <c r="H406" s="19">
        <f t="shared" ref="H406:H414" si="455">+IF((G406&gt;0),G406,0)</f>
        <v>2.7278007114296066E-2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157.15764074963641</v>
      </c>
      <c r="AO406">
        <v>17.461518980044396</v>
      </c>
      <c r="AP406">
        <v>145.9609309245472</v>
      </c>
      <c r="AQ406">
        <v>109.7938567319579</v>
      </c>
      <c r="AR406">
        <v>16.289778564556361</v>
      </c>
      <c r="AS406">
        <v>142.72773575400387</v>
      </c>
      <c r="AT406" t="e">
        <v>#DIV/0!</v>
      </c>
      <c r="AU406" t="e">
        <v>#DIV/0!</v>
      </c>
      <c r="AV406"/>
      <c r="AW406"/>
      <c r="FY406" s="210">
        <v>401</v>
      </c>
      <c r="FZ406">
        <v>1.3899516916024888</v>
      </c>
      <c r="GA406">
        <v>22.891468456965999</v>
      </c>
      <c r="GB406">
        <v>15.751066610806049</v>
      </c>
      <c r="GC406">
        <v>5.9251979221073574</v>
      </c>
      <c r="GD406">
        <v>3.1944348585858799</v>
      </c>
      <c r="GE406">
        <v>4.2883001086115948</v>
      </c>
      <c r="GF406">
        <v>6.2398901100900179</v>
      </c>
      <c r="GG406">
        <v>2.9384807235526984</v>
      </c>
      <c r="GH406">
        <v>3.1012085431658845</v>
      </c>
      <c r="GI406">
        <v>7.6443988269928518</v>
      </c>
      <c r="GJ406"/>
      <c r="GK406"/>
      <c r="GL406"/>
      <c r="GM406"/>
    </row>
    <row r="407" spans="1:195" s="7" customFormat="1">
      <c r="A407" s="189">
        <v>4.03</v>
      </c>
      <c r="B407" s="71">
        <f t="shared" si="450"/>
        <v>39714</v>
      </c>
      <c r="C407" s="61">
        <f>B407-$B$405</f>
        <v>68</v>
      </c>
      <c r="D407" s="61">
        <f t="shared" si="451"/>
        <v>4.1870967741935488</v>
      </c>
      <c r="E407" s="108">
        <f t="shared" si="452"/>
        <v>0.22943911528646804</v>
      </c>
      <c r="F407" s="19">
        <f t="shared" si="453"/>
        <v>1.7745086348358582E-2</v>
      </c>
      <c r="G407" s="19">
        <f t="shared" si="454"/>
        <v>-2.2196516785369363E-2</v>
      </c>
      <c r="H407" s="19">
        <f t="shared" si="455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165.88122517970865</v>
      </c>
      <c r="AO407">
        <v>12.000846713812425</v>
      </c>
      <c r="AP407">
        <v>89.879953850454427</v>
      </c>
      <c r="AQ407">
        <v>72.343009158959504</v>
      </c>
      <c r="AR407">
        <v>11.120995543024158</v>
      </c>
      <c r="AS407">
        <v>118.4958592268561</v>
      </c>
      <c r="AT407" t="e">
        <v>#DIV/0!</v>
      </c>
      <c r="AU407" t="e">
        <v>#DIV/0!</v>
      </c>
      <c r="AV407"/>
      <c r="AW407"/>
      <c r="FY407" s="210">
        <v>402</v>
      </c>
      <c r="FZ407">
        <v>2.055582561478051</v>
      </c>
      <c r="GA407">
        <v>32.326004505602796</v>
      </c>
      <c r="GB407">
        <v>35.585738168017762</v>
      </c>
      <c r="GC407">
        <v>13.09812853051546</v>
      </c>
      <c r="GD407">
        <v>4.8853123065245905</v>
      </c>
      <c r="GE407">
        <v>7.0712600263738841</v>
      </c>
      <c r="GF407">
        <v>3.8297582644946551</v>
      </c>
      <c r="GG407">
        <v>2.6194871980296712</v>
      </c>
      <c r="GH407">
        <v>1.7434025095326939</v>
      </c>
      <c r="GI407">
        <v>13.047375356146707</v>
      </c>
      <c r="GJ407"/>
      <c r="GK407"/>
      <c r="GL407"/>
      <c r="GM407"/>
    </row>
    <row r="408" spans="1:195" s="7" customFormat="1">
      <c r="A408" s="189">
        <v>0.78</v>
      </c>
      <c r="B408" s="71">
        <f t="shared" si="450"/>
        <v>39747</v>
      </c>
      <c r="C408" s="61">
        <f t="shared" ref="C408:C414" si="456">B408-$B$405</f>
        <v>101</v>
      </c>
      <c r="D408" s="61">
        <f t="shared" si="451"/>
        <v>2.1904728305686336</v>
      </c>
      <c r="E408" s="108">
        <f t="shared" si="452"/>
        <v>3.4642947553213857E-2</v>
      </c>
      <c r="F408" s="19">
        <f t="shared" si="453"/>
        <v>-5.7289197888863316E-2</v>
      </c>
      <c r="G408" s="19">
        <f t="shared" si="454"/>
        <v>2.3600151072314911E-3</v>
      </c>
      <c r="H408" s="19">
        <f t="shared" si="455"/>
        <v>2.3600151072314911E-3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215.54064867774687</v>
      </c>
      <c r="AO408">
        <v>18.092731251344645</v>
      </c>
      <c r="AP408">
        <v>143.17408179687979</v>
      </c>
      <c r="AQ408">
        <v>112.34799518599078</v>
      </c>
      <c r="AR408">
        <v>16.597788178641576</v>
      </c>
      <c r="AS408">
        <v>147.46722441834262</v>
      </c>
      <c r="AT408" t="e">
        <v>#DIV/0!</v>
      </c>
      <c r="AU408" t="e">
        <v>#DIV/0!</v>
      </c>
      <c r="AV408"/>
      <c r="AW408"/>
      <c r="FY408" s="210">
        <v>403</v>
      </c>
      <c r="FZ408">
        <v>1.1345778041699055</v>
      </c>
      <c r="GA408">
        <v>26.081584206740104</v>
      </c>
      <c r="GB408">
        <v>21.962354293698183</v>
      </c>
      <c r="GC408">
        <v>9.4712430759955915</v>
      </c>
      <c r="GD408">
        <v>5.6893831292306123</v>
      </c>
      <c r="GE408">
        <v>10.356339007286239</v>
      </c>
      <c r="GF408">
        <v>12.257892777626681</v>
      </c>
      <c r="GG408">
        <v>3.268464904946605</v>
      </c>
      <c r="GH408">
        <v>2.5225352352083168</v>
      </c>
      <c r="GI408">
        <v>11.661086269124951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450"/>
        <v>39775</v>
      </c>
      <c r="C409" s="61">
        <f t="shared" si="456"/>
        <v>129</v>
      </c>
      <c r="D409" s="61">
        <f t="shared" si="451"/>
        <v>2.0084302105933531</v>
      </c>
      <c r="E409" s="108">
        <f t="shared" si="452"/>
        <v>2.6894366094026106E-2</v>
      </c>
      <c r="F409" s="19">
        <f t="shared" si="453"/>
        <v>-9.0420480469175762E-3</v>
      </c>
      <c r="G409" s="19">
        <f t="shared" si="454"/>
        <v>4.4199669514162279E-3</v>
      </c>
      <c r="H409" s="19">
        <f t="shared" si="455"/>
        <v>4.4199669514162279E-3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193.7527700187064</v>
      </c>
      <c r="AO409">
        <v>17.632710425010472</v>
      </c>
      <c r="AP409">
        <v>128.75497580193289</v>
      </c>
      <c r="AQ409">
        <v>99.998582584140919</v>
      </c>
      <c r="AR409">
        <v>16.45538439583018</v>
      </c>
      <c r="AS409">
        <v>186.37856701723845</v>
      </c>
      <c r="AT409">
        <v>7.1891961094712906</v>
      </c>
      <c r="AU409">
        <v>-27.615758623914658</v>
      </c>
      <c r="AV409"/>
      <c r="AW409"/>
      <c r="FY409" s="210">
        <v>404</v>
      </c>
      <c r="FZ409">
        <v>6.6142457900750351</v>
      </c>
      <c r="GA409">
        <v>23.200422264306908</v>
      </c>
      <c r="GB409">
        <v>24.056314762183106</v>
      </c>
      <c r="GC409">
        <v>10.744129532447985</v>
      </c>
      <c r="GD409">
        <v>2.9327187221441342</v>
      </c>
      <c r="GE409">
        <v>4.5285213149211998</v>
      </c>
      <c r="GF409">
        <v>4.5080168216373835</v>
      </c>
      <c r="GG409">
        <v>5.357834044752761</v>
      </c>
      <c r="GH409">
        <v>6.5946392532752718</v>
      </c>
      <c r="GI409">
        <v>10.589618545860784</v>
      </c>
      <c r="GJ409"/>
      <c r="GK409"/>
      <c r="GL409"/>
      <c r="GM409"/>
    </row>
    <row r="410" spans="1:195" s="7" customFormat="1">
      <c r="A410" s="189">
        <v>0.21</v>
      </c>
      <c r="B410" s="71">
        <f t="shared" si="450"/>
        <v>39799</v>
      </c>
      <c r="C410" s="61">
        <f t="shared" si="456"/>
        <v>153</v>
      </c>
      <c r="D410" s="61">
        <f t="shared" si="451"/>
        <v>1.5682800784707851</v>
      </c>
      <c r="E410" s="108">
        <f t="shared" si="452"/>
        <v>1.3066866957157121E-2</v>
      </c>
      <c r="F410" s="19">
        <f t="shared" si="453"/>
        <v>-3.0076543309330388E-2</v>
      </c>
      <c r="G410" s="19">
        <f t="shared" si="454"/>
        <v>2.1661392133330969E-2</v>
      </c>
      <c r="H410" s="19">
        <f t="shared" si="455"/>
        <v>2.1661392133330969E-2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131.65377404693891</v>
      </c>
      <c r="AO410">
        <v>15.782350987348158</v>
      </c>
      <c r="AP410">
        <v>130.80264250029481</v>
      </c>
      <c r="AQ410">
        <v>99.299721340831766</v>
      </c>
      <c r="AR410">
        <v>14.656961188711238</v>
      </c>
      <c r="AS410">
        <v>121.78381649746727</v>
      </c>
      <c r="AT410">
        <v>6.638561462839971</v>
      </c>
      <c r="AU410">
        <v>-24.390004446006458</v>
      </c>
      <c r="AV410"/>
      <c r="AW410"/>
      <c r="FY410" s="210">
        <v>405</v>
      </c>
      <c r="FZ410">
        <v>1.5481218775443151</v>
      </c>
      <c r="GA410">
        <v>19.269642329024379</v>
      </c>
      <c r="GB410">
        <v>21.245904132714863</v>
      </c>
      <c r="GC410">
        <v>9.1944379141268993</v>
      </c>
      <c r="GD410">
        <v>3.0441275510282328</v>
      </c>
      <c r="GE410">
        <v>2.7101158823757121</v>
      </c>
      <c r="GF410">
        <v>4.8942754029250102</v>
      </c>
      <c r="GG410">
        <v>3.9156422543676928</v>
      </c>
      <c r="GH410">
        <v>1.3578060336331905</v>
      </c>
      <c r="GI410">
        <v>8.4151694926452389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456"/>
        <v>201</v>
      </c>
      <c r="D411" s="61">
        <f t="shared" si="451"/>
        <v>2.567567567567568</v>
      </c>
      <c r="E411" s="108">
        <f t="shared" si="452"/>
        <v>5.5069378956135041E-2</v>
      </c>
      <c r="F411" s="19">
        <f t="shared" si="453"/>
        <v>2.9969042489426456E-2</v>
      </c>
      <c r="G411" s="19">
        <f t="shared" si="454"/>
        <v>-5.4412105690295328E-3</v>
      </c>
      <c r="H411" s="19">
        <f t="shared" si="455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258.00996337142317</v>
      </c>
      <c r="AO411">
        <v>16.539326670616102</v>
      </c>
      <c r="AP411">
        <v>128.43297803407125</v>
      </c>
      <c r="AQ411">
        <v>101.56271394564872</v>
      </c>
      <c r="AR411">
        <v>15.029284971187531</v>
      </c>
      <c r="AS411">
        <v>157.45061021553218</v>
      </c>
      <c r="AT411">
        <v>6.6630650323541758</v>
      </c>
      <c r="AU411">
        <v>-15.926466788859864</v>
      </c>
      <c r="AV411"/>
      <c r="AW411"/>
      <c r="FY411" s="210">
        <v>406</v>
      </c>
      <c r="FZ411">
        <v>3.9411260161683135</v>
      </c>
      <c r="GA411">
        <v>27.827391867069121</v>
      </c>
      <c r="GB411">
        <v>26.255044633892908</v>
      </c>
      <c r="GC411">
        <v>11.195619153497237</v>
      </c>
      <c r="GD411">
        <v>3.7260564542902159</v>
      </c>
      <c r="GE411">
        <v>5.8133877868327719</v>
      </c>
      <c r="GF411">
        <v>6.6642650126795946</v>
      </c>
      <c r="GG411">
        <v>2.9710588813938639</v>
      </c>
      <c r="GH411">
        <v>4.4590145767990759</v>
      </c>
      <c r="GI411">
        <v>11.281818520581213</v>
      </c>
      <c r="GJ411"/>
      <c r="GK411"/>
      <c r="GL411"/>
      <c r="GM411"/>
    </row>
    <row r="412" spans="1:195" s="7" customFormat="1">
      <c r="A412" s="189">
        <v>4</v>
      </c>
      <c r="B412" s="71">
        <f t="shared" si="450"/>
        <v>39910</v>
      </c>
      <c r="C412" s="61">
        <f t="shared" si="456"/>
        <v>264</v>
      </c>
      <c r="D412" s="61">
        <f t="shared" si="451"/>
        <v>2.712266301869585</v>
      </c>
      <c r="E412" s="108">
        <f t="shared" si="452"/>
        <v>6.4623289791102267E-2</v>
      </c>
      <c r="F412" s="19">
        <f t="shared" si="453"/>
        <v>2.5393816355657743E-3</v>
      </c>
      <c r="G412" s="19">
        <f t="shared" si="454"/>
        <v>7.150649976973289E-3</v>
      </c>
      <c r="H412" s="19">
        <f t="shared" si="455"/>
        <v>7.150649976973289E-3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213.32190743755638</v>
      </c>
      <c r="AO412">
        <v>16.611004142083978</v>
      </c>
      <c r="AP412">
        <v>127.99555448673759</v>
      </c>
      <c r="AQ412">
        <v>98.085127986606068</v>
      </c>
      <c r="AR412">
        <v>15.354179186437351</v>
      </c>
      <c r="AS412">
        <v>150.68112957801694</v>
      </c>
      <c r="AT412" t="e">
        <v>#DIV/0!</v>
      </c>
      <c r="AU412" t="e">
        <v>#DIV/0!</v>
      </c>
      <c r="AV412"/>
      <c r="AW412"/>
      <c r="FY412" s="210">
        <v>407</v>
      </c>
      <c r="FZ412">
        <v>0.75361232327045369</v>
      </c>
      <c r="GA412">
        <v>18.282334418316971</v>
      </c>
      <c r="GB412">
        <v>14.303327808104189</v>
      </c>
      <c r="GC412">
        <v>5.8212653982015796</v>
      </c>
      <c r="GD412">
        <v>3.8445945790361318</v>
      </c>
      <c r="GE412">
        <v>5.8762151181740032</v>
      </c>
      <c r="GF412">
        <v>4.8315714497994025</v>
      </c>
      <c r="GG412">
        <v>2.1958315849043233</v>
      </c>
      <c r="GH412">
        <v>2.8407052312748844</v>
      </c>
      <c r="GI412">
        <v>7.2622001749894727</v>
      </c>
      <c r="GJ412"/>
      <c r="GK412"/>
      <c r="GL412"/>
      <c r="GM412"/>
    </row>
    <row r="413" spans="1:195" s="7" customFormat="1">
      <c r="A413" s="190">
        <v>7.33</v>
      </c>
      <c r="B413" s="71">
        <f t="shared" si="450"/>
        <v>39949</v>
      </c>
      <c r="C413" s="61">
        <f t="shared" si="456"/>
        <v>303</v>
      </c>
      <c r="D413" s="61">
        <f t="shared" si="451"/>
        <v>3.0188679245283017</v>
      </c>
      <c r="E413" s="108">
        <f t="shared" si="452"/>
        <v>8.8330451686573774E-2</v>
      </c>
      <c r="F413" s="19">
        <f t="shared" si="453"/>
        <v>8.0130780890266661E-3</v>
      </c>
      <c r="G413" s="19">
        <f t="shared" si="454"/>
        <v>1.9848030685644044E-2</v>
      </c>
      <c r="H413" s="19">
        <f t="shared" si="455"/>
        <v>1.9848030685644044E-2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205.71299343719835</v>
      </c>
      <c r="AO413">
        <v>14.642726389942144</v>
      </c>
      <c r="AP413">
        <v>107.08813376385969</v>
      </c>
      <c r="AQ413">
        <v>85.198847850059053</v>
      </c>
      <c r="AR413">
        <v>13.519511953532977</v>
      </c>
      <c r="AS413">
        <v>131.59226048387885</v>
      </c>
      <c r="AT413">
        <v>6.0579901878882056</v>
      </c>
      <c r="AU413">
        <v>-28.147208048855624</v>
      </c>
      <c r="AV413"/>
      <c r="AW413"/>
      <c r="FY413" s="210">
        <v>408</v>
      </c>
      <c r="FZ413">
        <v>4.066097283077676</v>
      </c>
      <c r="GA413">
        <v>29.801556920812757</v>
      </c>
      <c r="GB413">
        <v>29.305722434736492</v>
      </c>
      <c r="GC413">
        <v>11.181771586823155</v>
      </c>
      <c r="GD413">
        <v>3.4687890735695239</v>
      </c>
      <c r="GE413">
        <v>5.2801183011522097</v>
      </c>
      <c r="GF413">
        <v>3.6622131304872543</v>
      </c>
      <c r="GG413">
        <v>5.4858839918212139</v>
      </c>
      <c r="GH413">
        <v>6.4658547964367736</v>
      </c>
      <c r="GI413">
        <v>11.625674156205612</v>
      </c>
      <c r="GJ413"/>
      <c r="GK413"/>
      <c r="GL413"/>
      <c r="GM413"/>
    </row>
    <row r="414" spans="1:195" s="7" customFormat="1">
      <c r="A414" s="189">
        <v>10.51</v>
      </c>
      <c r="B414" s="71">
        <f t="shared" si="450"/>
        <v>39987</v>
      </c>
      <c r="C414" s="61">
        <f t="shared" si="456"/>
        <v>341</v>
      </c>
      <c r="D414" s="61">
        <f t="shared" si="451"/>
        <v>2.3493285206221137</v>
      </c>
      <c r="E414" s="108">
        <f t="shared" si="452"/>
        <v>4.2495133194687396E-2</v>
      </c>
      <c r="F414" s="19">
        <f t="shared" si="453"/>
        <v>-1.9255141001651935E-2</v>
      </c>
      <c r="G414" s="19">
        <f t="shared" si="454"/>
        <v>5.5979190503419443E-2</v>
      </c>
      <c r="H414" s="19">
        <f t="shared" si="455"/>
        <v>5.5979190503419443E-2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187.71092263247243</v>
      </c>
      <c r="AO414">
        <v>13.981135780657203</v>
      </c>
      <c r="AP414">
        <v>107.66910076414618</v>
      </c>
      <c r="AQ414">
        <v>84.875837747185031</v>
      </c>
      <c r="AR414">
        <v>13.059366410456393</v>
      </c>
      <c r="AS414">
        <v>149.31771997341031</v>
      </c>
      <c r="AT414">
        <v>6.2555250831553897</v>
      </c>
      <c r="AU414">
        <v>-18.112232122411182</v>
      </c>
      <c r="AV414"/>
      <c r="AW414"/>
      <c r="FY414" s="210">
        <v>409</v>
      </c>
      <c r="FZ414">
        <v>4.4999719282971444</v>
      </c>
      <c r="GA414">
        <v>27.386147665716354</v>
      </c>
      <c r="GB414">
        <v>19.584978538167686</v>
      </c>
      <c r="GC414">
        <v>6.5730729631610387</v>
      </c>
      <c r="GD414">
        <v>3.1783339765218752</v>
      </c>
      <c r="GE414">
        <v>6.4761887126851381</v>
      </c>
      <c r="GF414">
        <v>7.4252465354020654</v>
      </c>
      <c r="GG414">
        <v>2.9384807235526984</v>
      </c>
      <c r="GH414">
        <v>3.1012085431658845</v>
      </c>
      <c r="GI414">
        <v>9.2644203926892104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154.67352712021028</v>
      </c>
      <c r="AO415">
        <v>13.624832972393587</v>
      </c>
      <c r="AP415">
        <v>104.98734708996469</v>
      </c>
      <c r="AQ415">
        <v>81.593904181487602</v>
      </c>
      <c r="AR415">
        <v>12.775419980326957</v>
      </c>
      <c r="AS415">
        <v>114.6160769182175</v>
      </c>
      <c r="AT415">
        <v>5.7072864244041739</v>
      </c>
      <c r="AU415">
        <v>-9.941050891683636</v>
      </c>
      <c r="AV415"/>
      <c r="AW415"/>
      <c r="FY415" s="210">
        <v>410</v>
      </c>
      <c r="FZ415">
        <v>4.0499481076954353</v>
      </c>
      <c r="GA415">
        <v>23.180072772458551</v>
      </c>
      <c r="GB415">
        <v>21.10445330020228</v>
      </c>
      <c r="GC415">
        <v>9.0287513251093703</v>
      </c>
      <c r="GD415">
        <v>3.465281219697506</v>
      </c>
      <c r="GE415">
        <v>5.8767718269232061</v>
      </c>
      <c r="GF415">
        <v>6.0211766628097934</v>
      </c>
      <c r="GG415">
        <v>2.9710588813938639</v>
      </c>
      <c r="GH415">
        <v>5.6237437783742017</v>
      </c>
      <c r="GI415">
        <v>9.9377543656063931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189.20259702429453</v>
      </c>
      <c r="AO416">
        <v>17.031379615750151</v>
      </c>
      <c r="AP416">
        <v>130.87078810792258</v>
      </c>
      <c r="AQ416">
        <v>101.00642423086526</v>
      </c>
      <c r="AR416">
        <v>15.879849923425091</v>
      </c>
      <c r="AS416">
        <v>153.39366250013842</v>
      </c>
      <c r="AT416">
        <v>6.6709990078056149</v>
      </c>
      <c r="AU416">
        <v>141.09276193442352</v>
      </c>
      <c r="AV416"/>
      <c r="AW416"/>
      <c r="FY416" s="210">
        <v>411</v>
      </c>
      <c r="FZ416">
        <v>4.2174570197056243</v>
      </c>
      <c r="GA416">
        <v>16.591179139679429</v>
      </c>
      <c r="GB416">
        <v>21.492124772820564</v>
      </c>
      <c r="GC416">
        <v>10.846838335358168</v>
      </c>
      <c r="GD416">
        <v>4.0850851775123918</v>
      </c>
      <c r="GE416">
        <v>6.5395427768789745</v>
      </c>
      <c r="GF416">
        <v>4.2044812059294987</v>
      </c>
      <c r="GG416">
        <v>2.2913033741316107</v>
      </c>
      <c r="GH416">
        <v>3.6835731439534483</v>
      </c>
      <c r="GI416">
        <v>9.7377260150882226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177.73304271736055</v>
      </c>
      <c r="AO417">
        <v>11.408332961070139</v>
      </c>
      <c r="AP417">
        <v>93.541339664640176</v>
      </c>
      <c r="AQ417">
        <v>73.36439785248082</v>
      </c>
      <c r="AR417">
        <v>10.468072731650556</v>
      </c>
      <c r="AS417">
        <v>110.92139241990429</v>
      </c>
      <c r="AT417">
        <v>5.0984556029138544</v>
      </c>
      <c r="AU417">
        <v>-9.9399553893089205</v>
      </c>
      <c r="AV417"/>
      <c r="AW417"/>
      <c r="FY417" s="210">
        <v>412</v>
      </c>
      <c r="FZ417">
        <v>4.3801769593408375</v>
      </c>
      <c r="GA417">
        <v>29.424151048607484</v>
      </c>
      <c r="GB417">
        <v>27.094340428993974</v>
      </c>
      <c r="GC417">
        <v>9.8277837032628099</v>
      </c>
      <c r="GD417">
        <v>2.7342832405351531</v>
      </c>
      <c r="GE417">
        <v>2.8540700399180974</v>
      </c>
      <c r="GF417">
        <v>1.0845361508844891</v>
      </c>
      <c r="GG417">
        <v>0.77522729648954036</v>
      </c>
      <c r="GH417">
        <v>1.6183093455241906</v>
      </c>
      <c r="GI417">
        <v>9.4996196591621729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228.31367501180029</v>
      </c>
      <c r="AO418">
        <v>19.654217841004758</v>
      </c>
      <c r="AP418">
        <v>152.23050835903169</v>
      </c>
      <c r="AQ418">
        <v>116.26204942671626</v>
      </c>
      <c r="AR418">
        <v>18.321934461474864</v>
      </c>
      <c r="AS418">
        <v>170.48957359747354</v>
      </c>
      <c r="AT418">
        <v>7.4942472433502347</v>
      </c>
      <c r="AU418">
        <v>4.2405081840908636</v>
      </c>
      <c r="AV418"/>
      <c r="AW418"/>
      <c r="FY418" s="210">
        <v>413</v>
      </c>
      <c r="FZ418">
        <v>3.7736202355264226</v>
      </c>
      <c r="GA418">
        <v>25.20146314710264</v>
      </c>
      <c r="GB418">
        <v>22.688505101977807</v>
      </c>
      <c r="GC418">
        <v>9.2383773021313509</v>
      </c>
      <c r="GD418">
        <v>3.7496825189680942</v>
      </c>
      <c r="GE418">
        <v>4.3648331485090415</v>
      </c>
      <c r="GF418">
        <v>2.9839545733445254</v>
      </c>
      <c r="GG418">
        <v>2.7475371450981236</v>
      </c>
      <c r="GH418">
        <v>3.1012085431658845</v>
      </c>
      <c r="GI418">
        <v>9.4301897465272386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271.09117891458311</v>
      </c>
      <c r="AO419">
        <v>17.424975556247215</v>
      </c>
      <c r="AP419">
        <v>129.25910371117749</v>
      </c>
      <c r="AQ419">
        <v>104.40546070402719</v>
      </c>
      <c r="AR419">
        <v>15.867758833056421</v>
      </c>
      <c r="AS419">
        <v>163.83652760175482</v>
      </c>
      <c r="AT419">
        <v>6.7608589765810754</v>
      </c>
      <c r="AU419">
        <v>3.242870985783723</v>
      </c>
      <c r="AV419"/>
      <c r="AW419"/>
      <c r="FY419" s="210">
        <v>414</v>
      </c>
      <c r="FZ419">
        <v>6.5507604680088063</v>
      </c>
      <c r="GA419">
        <v>34.295313063612703</v>
      </c>
      <c r="GB419">
        <v>24.72002384486839</v>
      </c>
      <c r="GC419">
        <v>10.160161753428623</v>
      </c>
      <c r="GD419">
        <v>3.9508770856910047</v>
      </c>
      <c r="GE419">
        <v>3.1496257309186237</v>
      </c>
      <c r="GF419">
        <v>3.860679684069237</v>
      </c>
      <c r="GG419">
        <v>3.7137080200422385</v>
      </c>
      <c r="GH419">
        <v>4.1371532879025121</v>
      </c>
      <c r="GI419">
        <v>10.787314945410785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180.35520544020491</v>
      </c>
      <c r="AO420">
        <v>15.888076692841214</v>
      </c>
      <c r="AP420">
        <v>126.70386253011679</v>
      </c>
      <c r="AQ420">
        <v>99.126461051604565</v>
      </c>
      <c r="AR420">
        <v>14.74167009267333</v>
      </c>
      <c r="AS420">
        <v>130.14570707344177</v>
      </c>
      <c r="AT420">
        <v>6.418375625561425</v>
      </c>
      <c r="AU420">
        <v>-8.6438397866105241</v>
      </c>
      <c r="AV420"/>
      <c r="AW420"/>
      <c r="FY420" s="210">
        <v>415</v>
      </c>
      <c r="FZ420">
        <v>4.9658930450230221</v>
      </c>
      <c r="GA420">
        <v>25.50522317760236</v>
      </c>
      <c r="GB420">
        <v>20.44454359670204</v>
      </c>
      <c r="GC420">
        <v>8.2183630933506091</v>
      </c>
      <c r="GD420">
        <v>3.9435739168475923</v>
      </c>
      <c r="GE420">
        <v>7.7059014879407997</v>
      </c>
      <c r="GF420">
        <v>7.9355183988445148</v>
      </c>
      <c r="GG420">
        <v>2.7475371450981236</v>
      </c>
      <c r="GH420">
        <v>3.6835731439534483</v>
      </c>
      <c r="GI420">
        <v>10.195458868203357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140.74160380078561</v>
      </c>
      <c r="AO421">
        <v>12.644910133248086</v>
      </c>
      <c r="AP421">
        <v>98.682600721162743</v>
      </c>
      <c r="AQ421">
        <v>75.595242870385533</v>
      </c>
      <c r="AR421">
        <v>11.771674840754626</v>
      </c>
      <c r="AS421">
        <v>126.39177071546435</v>
      </c>
      <c r="AT421">
        <v>5.4896577984822237</v>
      </c>
      <c r="AU421">
        <v>-6.605912723520265</v>
      </c>
      <c r="AV421"/>
      <c r="AW421"/>
      <c r="FY421" s="210">
        <v>416</v>
      </c>
      <c r="FZ421">
        <v>4.5912373862896025</v>
      </c>
      <c r="GA421">
        <v>23.165216418425601</v>
      </c>
      <c r="GB421">
        <v>20.690076702355391</v>
      </c>
      <c r="GC421">
        <v>8.6304857223845595</v>
      </c>
      <c r="GD421">
        <v>3.824650589774</v>
      </c>
      <c r="GE421">
        <v>4.3268388775902027</v>
      </c>
      <c r="GF421">
        <v>1.0845361508844891</v>
      </c>
      <c r="GG421">
        <v>3.9698079141791434</v>
      </c>
      <c r="GH421">
        <v>6.2090427773757684</v>
      </c>
      <c r="GI421">
        <v>9.2470294235038129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4.6507158099826139E-4</v>
      </c>
      <c r="H422" s="44">
        <f t="shared" ref="H422:AK422" si="457">H372</f>
        <v>3.5150000000000003E-3</v>
      </c>
      <c r="I422" s="44">
        <f t="shared" si="457"/>
        <v>2.6566286792841443E-2</v>
      </c>
      <c r="J422" s="44">
        <f t="shared" si="457"/>
        <v>8.6729162096827933E-2</v>
      </c>
      <c r="K422" s="44">
        <f t="shared" si="457"/>
        <v>0.20078736670256092</v>
      </c>
      <c r="L422" s="44">
        <f t="shared" si="457"/>
        <v>0.38505237105281664</v>
      </c>
      <c r="M422" s="44">
        <f t="shared" si="457"/>
        <v>0.65549695407316177</v>
      </c>
      <c r="N422" s="44">
        <f t="shared" si="457"/>
        <v>1.0278302852390999</v>
      </c>
      <c r="O422" s="44">
        <f t="shared" si="457"/>
        <v>1.517546164494922</v>
      </c>
      <c r="P422" s="44">
        <f t="shared" si="457"/>
        <v>2.1399566310150369</v>
      </c>
      <c r="Q422" s="44">
        <f t="shared" si="457"/>
        <v>2.9102167054488572</v>
      </c>
      <c r="R422" s="44">
        <f t="shared" si="457"/>
        <v>3.8433433517375608</v>
      </c>
      <c r="S422" s="44">
        <f t="shared" si="457"/>
        <v>4.9542304619464099</v>
      </c>
      <c r="T422" s="44">
        <f t="shared" si="457"/>
        <v>6.2576609889577455</v>
      </c>
      <c r="U422" s="44">
        <f t="shared" si="457"/>
        <v>7.7683169650156332</v>
      </c>
      <c r="V422" s="44">
        <f t="shared" si="457"/>
        <v>9.5007879103293469</v>
      </c>
      <c r="W422" s="44">
        <f t="shared" si="457"/>
        <v>11.469577987865909</v>
      </c>
      <c r="X422" s="44">
        <f t="shared" si="457"/>
        <v>13.689112162966889</v>
      </c>
      <c r="Y422" s="44">
        <f t="shared" si="457"/>
        <v>16.173741560110425</v>
      </c>
      <c r="Z422" s="44">
        <f t="shared" si="457"/>
        <v>18.937748162765295</v>
      </c>
      <c r="AA422" s="44">
        <f t="shared" si="457"/>
        <v>21.995348969067553</v>
      </c>
      <c r="AB422" s="44">
        <f t="shared" si="457"/>
        <v>25.360699691758413</v>
      </c>
      <c r="AC422" s="44">
        <f t="shared" si="457"/>
        <v>29.047898072722788</v>
      </c>
      <c r="AD422" s="44">
        <f t="shared" si="457"/>
        <v>33.070986868766035</v>
      </c>
      <c r="AE422" s="44">
        <f t="shared" si="457"/>
        <v>37.443956554736779</v>
      </c>
      <c r="AF422" s="44">
        <f t="shared" si="457"/>
        <v>42.180747781904969</v>
      </c>
      <c r="AG422" s="44">
        <f t="shared" si="457"/>
        <v>47.295253623051856</v>
      </c>
      <c r="AH422" s="44">
        <f t="shared" si="457"/>
        <v>52.801321630578869</v>
      </c>
      <c r="AI422" s="44">
        <f t="shared" si="457"/>
        <v>58.712755729815285</v>
      </c>
      <c r="AJ422" s="44">
        <f t="shared" si="457"/>
        <v>65.043317966341974</v>
      </c>
      <c r="AK422" s="44">
        <f t="shared" si="457"/>
        <v>71.806730123405515</v>
      </c>
      <c r="AL422" s="4"/>
      <c r="AM422" s="43">
        <v>406</v>
      </c>
      <c r="AN422">
        <v>205.69799168249611</v>
      </c>
      <c r="AO422">
        <v>16.967241060819969</v>
      </c>
      <c r="AP422">
        <v>134.6392767744131</v>
      </c>
      <c r="AQ422">
        <v>104.13478290320431</v>
      </c>
      <c r="AR422">
        <v>15.591715754345469</v>
      </c>
      <c r="AS422">
        <v>148.95698520927883</v>
      </c>
      <c r="AT422">
        <v>6.6496331626306331</v>
      </c>
      <c r="AU422">
        <v>-8.3844376190072083</v>
      </c>
      <c r="AV422"/>
      <c r="AW422"/>
      <c r="FY422" s="210">
        <v>417</v>
      </c>
      <c r="FZ422">
        <v>2.1111270864201557</v>
      </c>
      <c r="GA422">
        <v>20.094034204573365</v>
      </c>
      <c r="GB422">
        <v>26.206166188393244</v>
      </c>
      <c r="GC422">
        <v>11.360315107532205</v>
      </c>
      <c r="GD422">
        <v>3.4554306637075141</v>
      </c>
      <c r="GE422">
        <v>6.6466785006539411</v>
      </c>
      <c r="GF422">
        <v>8.6666532944176158</v>
      </c>
      <c r="GG422">
        <v>3.724698675913118</v>
      </c>
      <c r="GH422">
        <v>1.6796673225297538</v>
      </c>
      <c r="GI422">
        <v>10.746766232433039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458">SUM(G423:AK423)</f>
        <v>7.3130818417196561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459">(($A$453+$A$455*(H$422)+($A$457*$D423))*($E21*H37))</f>
        <v>0</v>
      </c>
      <c r="I423" s="107">
        <f t="shared" si="459"/>
        <v>0.34852224467563803</v>
      </c>
      <c r="J423" s="107">
        <f t="shared" si="459"/>
        <v>3.5766183837057239</v>
      </c>
      <c r="K423" s="107">
        <f t="shared" si="459"/>
        <v>3.3879412133382938</v>
      </c>
      <c r="L423" s="107">
        <f t="shared" si="459"/>
        <v>0</v>
      </c>
      <c r="M423" s="107">
        <f t="shared" si="459"/>
        <v>0</v>
      </c>
      <c r="N423" s="107">
        <f t="shared" si="459"/>
        <v>0</v>
      </c>
      <c r="O423" s="107">
        <f t="shared" si="459"/>
        <v>0</v>
      </c>
      <c r="P423" s="107">
        <f t="shared" si="459"/>
        <v>0</v>
      </c>
      <c r="Q423" s="107">
        <f t="shared" si="459"/>
        <v>0</v>
      </c>
      <c r="R423" s="107">
        <f t="shared" si="459"/>
        <v>0</v>
      </c>
      <c r="S423" s="107">
        <f t="shared" si="459"/>
        <v>0</v>
      </c>
      <c r="T423" s="107">
        <f t="shared" si="459"/>
        <v>0</v>
      </c>
      <c r="U423" s="107">
        <f t="shared" si="459"/>
        <v>0</v>
      </c>
      <c r="V423" s="107">
        <f t="shared" si="459"/>
        <v>0</v>
      </c>
      <c r="W423" s="107">
        <f t="shared" si="459"/>
        <v>0</v>
      </c>
      <c r="X423" s="107">
        <f t="shared" si="459"/>
        <v>0</v>
      </c>
      <c r="Y423" s="107">
        <f t="shared" si="459"/>
        <v>0</v>
      </c>
      <c r="Z423" s="107">
        <f t="shared" si="459"/>
        <v>0</v>
      </c>
      <c r="AA423" s="107">
        <f t="shared" si="459"/>
        <v>0</v>
      </c>
      <c r="AB423" s="107">
        <f t="shared" si="459"/>
        <v>0</v>
      </c>
      <c r="AC423" s="107">
        <f t="shared" si="459"/>
        <v>0</v>
      </c>
      <c r="AD423" s="107">
        <f t="shared" si="459"/>
        <v>0</v>
      </c>
      <c r="AE423" s="107">
        <f t="shared" si="459"/>
        <v>0</v>
      </c>
      <c r="AF423" s="107">
        <f t="shared" si="459"/>
        <v>0</v>
      </c>
      <c r="AG423" s="107">
        <f t="shared" si="459"/>
        <v>0</v>
      </c>
      <c r="AH423" s="107">
        <f t="shared" si="459"/>
        <v>0</v>
      </c>
      <c r="AI423" s="107">
        <f t="shared" si="459"/>
        <v>0</v>
      </c>
      <c r="AJ423" s="107">
        <f t="shared" si="459"/>
        <v>0</v>
      </c>
      <c r="AK423" s="107">
        <f t="shared" si="459"/>
        <v>0</v>
      </c>
      <c r="AL423" s="4"/>
      <c r="AM423" s="43">
        <v>407</v>
      </c>
      <c r="AN423">
        <v>194.53773136264221</v>
      </c>
      <c r="AO423">
        <v>10.843049423028788</v>
      </c>
      <c r="AP423">
        <v>81.133041265957615</v>
      </c>
      <c r="AQ423">
        <v>66.011658086071407</v>
      </c>
      <c r="AR423">
        <v>9.9383017741842483</v>
      </c>
      <c r="AS423">
        <v>117.10999901140238</v>
      </c>
      <c r="AT423">
        <v>4.399980920337593</v>
      </c>
      <c r="AU423">
        <v>-17.928973859175709</v>
      </c>
      <c r="AV423"/>
      <c r="AW423"/>
      <c r="FY423" s="210">
        <v>418</v>
      </c>
      <c r="FZ423">
        <v>3.8419166296834355</v>
      </c>
      <c r="GA423">
        <v>23.261193341973147</v>
      </c>
      <c r="GB423">
        <v>21.365828557956462</v>
      </c>
      <c r="GC423">
        <v>8.5027797293453524</v>
      </c>
      <c r="GD423">
        <v>2.38080889500681</v>
      </c>
      <c r="GE423">
        <v>4.1954441692174989</v>
      </c>
      <c r="GF423">
        <v>6.1028248359643218</v>
      </c>
      <c r="GG423">
        <v>1.8786384168771417</v>
      </c>
      <c r="GH423">
        <v>3.1048998359958802</v>
      </c>
      <c r="GI423">
        <v>8.9224011156204259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458"/>
        <v>28.980993354014132</v>
      </c>
      <c r="D424" s="191">
        <f>$A$406</f>
        <v>9.4499999999999993</v>
      </c>
      <c r="E424" s="8"/>
      <c r="F424" s="124"/>
      <c r="G424" s="107">
        <f t="shared" ref="G424:V432" si="460">(($A$453+$A$455*(G$422)+($A$457*$D424))*($E22*G38))</f>
        <v>0</v>
      </c>
      <c r="H424" s="107">
        <f t="shared" si="460"/>
        <v>0</v>
      </c>
      <c r="I424" s="107">
        <f t="shared" si="460"/>
        <v>0.54381950709210269</v>
      </c>
      <c r="J424" s="107">
        <f t="shared" si="460"/>
        <v>3.8142396579271178</v>
      </c>
      <c r="K424" s="107">
        <f t="shared" si="460"/>
        <v>6.4538350081875411</v>
      </c>
      <c r="L424" s="107">
        <f t="shared" si="460"/>
        <v>6.279171545601268</v>
      </c>
      <c r="M424" s="107">
        <f t="shared" si="460"/>
        <v>10.107539667321449</v>
      </c>
      <c r="N424" s="107">
        <f t="shared" si="460"/>
        <v>1.7823879678846517</v>
      </c>
      <c r="O424" s="107">
        <f t="shared" si="460"/>
        <v>0</v>
      </c>
      <c r="P424" s="107">
        <f t="shared" si="460"/>
        <v>0</v>
      </c>
      <c r="Q424" s="107">
        <f t="shared" si="460"/>
        <v>0</v>
      </c>
      <c r="R424" s="107">
        <f t="shared" si="460"/>
        <v>0</v>
      </c>
      <c r="S424" s="107">
        <f t="shared" si="460"/>
        <v>0</v>
      </c>
      <c r="T424" s="107">
        <f t="shared" si="460"/>
        <v>0</v>
      </c>
      <c r="U424" s="107">
        <f t="shared" si="460"/>
        <v>0</v>
      </c>
      <c r="V424" s="107">
        <f t="shared" si="460"/>
        <v>0</v>
      </c>
      <c r="W424" s="107">
        <f t="shared" si="459"/>
        <v>0</v>
      </c>
      <c r="X424" s="107">
        <f t="shared" si="459"/>
        <v>0</v>
      </c>
      <c r="Y424" s="107">
        <f t="shared" si="459"/>
        <v>0</v>
      </c>
      <c r="Z424" s="107">
        <f t="shared" si="459"/>
        <v>0</v>
      </c>
      <c r="AA424" s="107">
        <f t="shared" si="459"/>
        <v>0</v>
      </c>
      <c r="AB424" s="107">
        <f t="shared" si="459"/>
        <v>0</v>
      </c>
      <c r="AC424" s="107">
        <f t="shared" si="459"/>
        <v>0</v>
      </c>
      <c r="AD424" s="107">
        <f t="shared" si="459"/>
        <v>0</v>
      </c>
      <c r="AE424" s="107">
        <f t="shared" si="459"/>
        <v>0</v>
      </c>
      <c r="AF424" s="107">
        <f t="shared" si="459"/>
        <v>0</v>
      </c>
      <c r="AG424" s="107">
        <f t="shared" si="459"/>
        <v>0</v>
      </c>
      <c r="AH424" s="107">
        <f t="shared" si="459"/>
        <v>0</v>
      </c>
      <c r="AI424" s="107">
        <f t="shared" si="459"/>
        <v>0</v>
      </c>
      <c r="AJ424" s="107">
        <f t="shared" si="459"/>
        <v>0</v>
      </c>
      <c r="AK424" s="107">
        <f t="shared" si="459"/>
        <v>0</v>
      </c>
      <c r="AL424" s="4"/>
      <c r="AM424" s="43">
        <v>408</v>
      </c>
      <c r="AN424">
        <v>208.72805415243153</v>
      </c>
      <c r="AO424">
        <v>17.551889597383415</v>
      </c>
      <c r="AP424">
        <v>142.80536527999774</v>
      </c>
      <c r="AQ424">
        <v>110.34368167512267</v>
      </c>
      <c r="AR424">
        <v>16.17122828139027</v>
      </c>
      <c r="AS424">
        <v>169.73541288135783</v>
      </c>
      <c r="AT424" t="e">
        <v>#DIV/0!</v>
      </c>
      <c r="AU424" t="e">
        <v>#DIV/0!</v>
      </c>
      <c r="AV424"/>
      <c r="AW424"/>
      <c r="FY424" s="210">
        <v>419</v>
      </c>
      <c r="FZ424">
        <v>0.75524960599957414</v>
      </c>
      <c r="GA424">
        <v>17.926903221027484</v>
      </c>
      <c r="GB424">
        <v>18.03647050602364</v>
      </c>
      <c r="GC424">
        <v>6.8669681235826445</v>
      </c>
      <c r="GD424">
        <v>2.598716385085976</v>
      </c>
      <c r="GE424">
        <v>6.3669562616737636</v>
      </c>
      <c r="GF424">
        <v>6.5783680518267236</v>
      </c>
      <c r="GG424">
        <v>2.3256818894686209</v>
      </c>
      <c r="GH424">
        <v>3.7515568120030087</v>
      </c>
      <c r="GI424">
        <v>7.9555380791473445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458"/>
        <v>20.011826708570823</v>
      </c>
      <c r="D425" s="191">
        <f>A$407</f>
        <v>4.03</v>
      </c>
      <c r="E425" s="8"/>
      <c r="F425" s="124"/>
      <c r="G425" s="107">
        <f t="shared" si="460"/>
        <v>0</v>
      </c>
      <c r="H425" s="107">
        <f t="shared" si="459"/>
        <v>0.10223090222549196</v>
      </c>
      <c r="I425" s="107">
        <f t="shared" si="459"/>
        <v>2.2084506903253383</v>
      </c>
      <c r="J425" s="107">
        <f t="shared" si="459"/>
        <v>1.1414047075587033</v>
      </c>
      <c r="K425" s="107">
        <f t="shared" si="459"/>
        <v>2.7053651876914859</v>
      </c>
      <c r="L425" s="107">
        <f t="shared" si="459"/>
        <v>4.2071551394103173</v>
      </c>
      <c r="M425" s="107">
        <f t="shared" si="459"/>
        <v>6.372291202106684</v>
      </c>
      <c r="N425" s="107">
        <f t="shared" si="459"/>
        <v>3.2749288792528013</v>
      </c>
      <c r="O425" s="107">
        <f t="shared" si="459"/>
        <v>0</v>
      </c>
      <c r="P425" s="107">
        <f t="shared" si="459"/>
        <v>0</v>
      </c>
      <c r="Q425" s="107">
        <f t="shared" si="459"/>
        <v>0</v>
      </c>
      <c r="R425" s="107">
        <f t="shared" si="459"/>
        <v>0</v>
      </c>
      <c r="S425" s="107">
        <f t="shared" si="459"/>
        <v>0</v>
      </c>
      <c r="T425" s="107">
        <f t="shared" si="459"/>
        <v>0</v>
      </c>
      <c r="U425" s="107">
        <f t="shared" si="459"/>
        <v>0</v>
      </c>
      <c r="V425" s="107">
        <f t="shared" si="459"/>
        <v>0</v>
      </c>
      <c r="W425" s="107">
        <f t="shared" si="459"/>
        <v>0</v>
      </c>
      <c r="X425" s="107">
        <f t="shared" si="459"/>
        <v>0</v>
      </c>
      <c r="Y425" s="107">
        <f t="shared" si="459"/>
        <v>0</v>
      </c>
      <c r="Z425" s="107">
        <f t="shared" si="459"/>
        <v>0</v>
      </c>
      <c r="AA425" s="107">
        <f t="shared" si="459"/>
        <v>0</v>
      </c>
      <c r="AB425" s="107">
        <f t="shared" si="459"/>
        <v>0</v>
      </c>
      <c r="AC425" s="107">
        <f t="shared" si="459"/>
        <v>0</v>
      </c>
      <c r="AD425" s="107">
        <f t="shared" si="459"/>
        <v>0</v>
      </c>
      <c r="AE425" s="107">
        <f t="shared" si="459"/>
        <v>0</v>
      </c>
      <c r="AF425" s="107">
        <f t="shared" si="459"/>
        <v>0</v>
      </c>
      <c r="AG425" s="107">
        <f t="shared" si="459"/>
        <v>0</v>
      </c>
      <c r="AH425" s="107">
        <f t="shared" si="459"/>
        <v>0</v>
      </c>
      <c r="AI425" s="107">
        <f t="shared" si="459"/>
        <v>0</v>
      </c>
      <c r="AJ425" s="107">
        <f t="shared" si="459"/>
        <v>0</v>
      </c>
      <c r="AK425" s="107">
        <f t="shared" si="459"/>
        <v>0</v>
      </c>
      <c r="AL425" s="4"/>
      <c r="AM425" s="43">
        <v>409</v>
      </c>
      <c r="AN425">
        <v>195.44046539450375</v>
      </c>
      <c r="AO425">
        <v>13.803985133529263</v>
      </c>
      <c r="AP425">
        <v>115.35395844905874</v>
      </c>
      <c r="AQ425">
        <v>90.428049979359088</v>
      </c>
      <c r="AR425">
        <v>12.690187876533255</v>
      </c>
      <c r="AS425">
        <v>140.30382811280612</v>
      </c>
      <c r="AT425">
        <v>6.3962589639839331</v>
      </c>
      <c r="AU425">
        <v>-20.203921557112359</v>
      </c>
      <c r="AV425"/>
      <c r="AW425"/>
      <c r="FY425" s="210">
        <v>420</v>
      </c>
      <c r="FZ425">
        <v>7.2668760428459134</v>
      </c>
      <c r="GA425">
        <v>33.845666585873062</v>
      </c>
      <c r="GB425">
        <v>21.03171178766997</v>
      </c>
      <c r="GC425">
        <v>7.4328309153650212</v>
      </c>
      <c r="GD425">
        <v>3.8763435449464088</v>
      </c>
      <c r="GE425">
        <v>5.2078659310788851</v>
      </c>
      <c r="GF425">
        <v>4.0876628255020435</v>
      </c>
      <c r="GG425">
        <v>3.7462861778834036</v>
      </c>
      <c r="GH425">
        <v>4.5907334318515778</v>
      </c>
      <c r="GI425">
        <v>10.033925039619559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458"/>
        <v>7.2047522928942414</v>
      </c>
      <c r="D426" s="191">
        <f>A$408</f>
        <v>0.78</v>
      </c>
      <c r="E426" s="8"/>
      <c r="F426" s="124"/>
      <c r="G426" s="107">
        <f t="shared" si="460"/>
        <v>0</v>
      </c>
      <c r="H426" s="107">
        <f t="shared" si="459"/>
        <v>7.7321070436816894E-2</v>
      </c>
      <c r="I426" s="107">
        <f t="shared" si="459"/>
        <v>2.7300223736688261</v>
      </c>
      <c r="J426" s="107">
        <f t="shared" si="459"/>
        <v>0.76069271833948937</v>
      </c>
      <c r="K426" s="107">
        <f t="shared" si="459"/>
        <v>0.80549819096836572</v>
      </c>
      <c r="L426" s="107">
        <f t="shared" si="459"/>
        <v>0.75749779431218778</v>
      </c>
      <c r="M426" s="107">
        <f t="shared" si="459"/>
        <v>0.81194917497971641</v>
      </c>
      <c r="N426" s="107">
        <f t="shared" si="459"/>
        <v>1.2617709701888393</v>
      </c>
      <c r="O426" s="107">
        <f t="shared" si="459"/>
        <v>0</v>
      </c>
      <c r="P426" s="107">
        <f t="shared" si="459"/>
        <v>0</v>
      </c>
      <c r="Q426" s="107">
        <f t="shared" si="459"/>
        <v>0</v>
      </c>
      <c r="R426" s="107">
        <f t="shared" si="459"/>
        <v>0</v>
      </c>
      <c r="S426" s="107">
        <f t="shared" si="459"/>
        <v>0</v>
      </c>
      <c r="T426" s="107">
        <f t="shared" si="459"/>
        <v>0</v>
      </c>
      <c r="U426" s="107">
        <f t="shared" si="459"/>
        <v>0</v>
      </c>
      <c r="V426" s="107">
        <f t="shared" si="459"/>
        <v>0</v>
      </c>
      <c r="W426" s="107">
        <f t="shared" si="459"/>
        <v>0</v>
      </c>
      <c r="X426" s="107">
        <f t="shared" si="459"/>
        <v>0</v>
      </c>
      <c r="Y426" s="107">
        <f t="shared" si="459"/>
        <v>0</v>
      </c>
      <c r="Z426" s="107">
        <f t="shared" si="459"/>
        <v>0</v>
      </c>
      <c r="AA426" s="107">
        <f t="shared" si="459"/>
        <v>0</v>
      </c>
      <c r="AB426" s="107">
        <f t="shared" si="459"/>
        <v>0</v>
      </c>
      <c r="AC426" s="107">
        <f t="shared" si="459"/>
        <v>0</v>
      </c>
      <c r="AD426" s="107">
        <f t="shared" si="459"/>
        <v>0</v>
      </c>
      <c r="AE426" s="107">
        <f t="shared" si="459"/>
        <v>0</v>
      </c>
      <c r="AF426" s="107">
        <f t="shared" si="459"/>
        <v>0</v>
      </c>
      <c r="AG426" s="107">
        <f t="shared" si="459"/>
        <v>0</v>
      </c>
      <c r="AH426" s="107">
        <f t="shared" si="459"/>
        <v>0</v>
      </c>
      <c r="AI426" s="107">
        <f t="shared" si="459"/>
        <v>0</v>
      </c>
      <c r="AJ426" s="107">
        <f t="shared" si="459"/>
        <v>0</v>
      </c>
      <c r="AK426" s="107">
        <f t="shared" si="459"/>
        <v>0</v>
      </c>
      <c r="AL426" s="4"/>
      <c r="AM426" s="43">
        <v>410</v>
      </c>
      <c r="AN426">
        <v>170.40380128811654</v>
      </c>
      <c r="AO426">
        <v>14.768257164591393</v>
      </c>
      <c r="AP426">
        <v>116.69197922303404</v>
      </c>
      <c r="AQ426">
        <v>91.259012240270607</v>
      </c>
      <c r="AR426">
        <v>13.732726538963561</v>
      </c>
      <c r="AS426">
        <v>125.90696372045844</v>
      </c>
      <c r="AT426">
        <v>6.3189662793880457</v>
      </c>
      <c r="AU426">
        <v>-22.06026888038587</v>
      </c>
      <c r="AV426"/>
      <c r="AW426"/>
      <c r="FY426" s="210">
        <v>421</v>
      </c>
      <c r="FZ426">
        <v>4.3001425658066657</v>
      </c>
      <c r="GA426">
        <v>23.465720555529277</v>
      </c>
      <c r="GB426">
        <v>25.388615288246747</v>
      </c>
      <c r="GC426">
        <v>10.98021232055202</v>
      </c>
      <c r="GD426">
        <v>3.1559841681299008</v>
      </c>
      <c r="GE426">
        <v>3.006184125110817</v>
      </c>
      <c r="GF426">
        <v>2.441686497902281</v>
      </c>
      <c r="GG426">
        <v>3.5227644415876638</v>
      </c>
      <c r="GH426">
        <v>4.1371532879025121</v>
      </c>
      <c r="GI426">
        <v>9.9150815901608169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458"/>
        <v>4.1417400118835914</v>
      </c>
      <c r="D427" s="191">
        <f>A$409</f>
        <v>0.14000000000000001</v>
      </c>
      <c r="E427" s="8"/>
      <c r="F427" s="124"/>
      <c r="G427" s="107">
        <f t="shared" si="460"/>
        <v>5.4453242302262804E-3</v>
      </c>
      <c r="H427" s="107">
        <f t="shared" si="459"/>
        <v>0.10903688240366539</v>
      </c>
      <c r="I427" s="107">
        <f t="shared" si="459"/>
        <v>2.3838050450344039</v>
      </c>
      <c r="J427" s="107">
        <f t="shared" si="459"/>
        <v>0.29793656640554378</v>
      </c>
      <c r="K427" s="107">
        <f t="shared" si="459"/>
        <v>0</v>
      </c>
      <c r="L427" s="107">
        <f t="shared" si="459"/>
        <v>0.19761254551415558</v>
      </c>
      <c r="M427" s="107">
        <f t="shared" si="459"/>
        <v>1.0316330422219795</v>
      </c>
      <c r="N427" s="107">
        <f t="shared" si="459"/>
        <v>0.11627060607361717</v>
      </c>
      <c r="O427" s="107">
        <f t="shared" si="459"/>
        <v>0</v>
      </c>
      <c r="P427" s="107">
        <f t="shared" si="459"/>
        <v>0</v>
      </c>
      <c r="Q427" s="107">
        <f t="shared" si="459"/>
        <v>0</v>
      </c>
      <c r="R427" s="107">
        <f t="shared" si="459"/>
        <v>0</v>
      </c>
      <c r="S427" s="107">
        <f t="shared" si="459"/>
        <v>0</v>
      </c>
      <c r="T427" s="107">
        <f t="shared" si="459"/>
        <v>0</v>
      </c>
      <c r="U427" s="107">
        <f t="shared" si="459"/>
        <v>0</v>
      </c>
      <c r="V427" s="107">
        <f t="shared" si="459"/>
        <v>0</v>
      </c>
      <c r="W427" s="107">
        <f t="shared" si="459"/>
        <v>0</v>
      </c>
      <c r="X427" s="107">
        <f t="shared" si="459"/>
        <v>0</v>
      </c>
      <c r="Y427" s="107">
        <f t="shared" si="459"/>
        <v>0</v>
      </c>
      <c r="Z427" s="107">
        <f t="shared" si="459"/>
        <v>0</v>
      </c>
      <c r="AA427" s="107">
        <f t="shared" si="459"/>
        <v>0</v>
      </c>
      <c r="AB427" s="107">
        <f t="shared" si="459"/>
        <v>0</v>
      </c>
      <c r="AC427" s="107">
        <f t="shared" si="459"/>
        <v>0</v>
      </c>
      <c r="AD427" s="107">
        <f t="shared" si="459"/>
        <v>0</v>
      </c>
      <c r="AE427" s="107">
        <f t="shared" si="459"/>
        <v>0</v>
      </c>
      <c r="AF427" s="107">
        <f t="shared" si="459"/>
        <v>0</v>
      </c>
      <c r="AG427" s="107">
        <f t="shared" si="459"/>
        <v>0</v>
      </c>
      <c r="AH427" s="107">
        <f t="shared" si="459"/>
        <v>0</v>
      </c>
      <c r="AI427" s="107">
        <f t="shared" si="459"/>
        <v>0</v>
      </c>
      <c r="AJ427" s="107">
        <f t="shared" si="459"/>
        <v>0</v>
      </c>
      <c r="AK427" s="107">
        <f t="shared" si="459"/>
        <v>0</v>
      </c>
      <c r="AL427" s="4"/>
      <c r="AM427" s="43">
        <v>411</v>
      </c>
      <c r="AN427">
        <v>198.15420684139693</v>
      </c>
      <c r="AO427">
        <v>14.515416259490337</v>
      </c>
      <c r="AP427">
        <v>103.31544085797611</v>
      </c>
      <c r="AQ427">
        <v>83.689310961057956</v>
      </c>
      <c r="AR427">
        <v>13.480349233333634</v>
      </c>
      <c r="AS427">
        <v>129.10544713337788</v>
      </c>
      <c r="AT427">
        <v>5.6214738087248515</v>
      </c>
      <c r="AU427">
        <v>-19.450406933974957</v>
      </c>
      <c r="AV427"/>
      <c r="AW427"/>
      <c r="FY427" s="210">
        <v>422</v>
      </c>
      <c r="FZ427">
        <v>4.0842836372747389</v>
      </c>
      <c r="GA427">
        <v>24.889319814400132</v>
      </c>
      <c r="GB427">
        <v>20.40209990849452</v>
      </c>
      <c r="GC427">
        <v>7.9026013136039417</v>
      </c>
      <c r="GD427">
        <v>2.4953877191454832</v>
      </c>
      <c r="GE427">
        <v>1.8472893957551926</v>
      </c>
      <c r="GF427">
        <v>3.0858496401972957</v>
      </c>
      <c r="GG427">
        <v>5.0388405192297343</v>
      </c>
      <c r="GH427">
        <v>4.7158265958600811</v>
      </c>
      <c r="GI427">
        <v>8.4558730790123988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458"/>
        <v>5.9967329069145201</v>
      </c>
      <c r="D428" s="191">
        <f>A$410</f>
        <v>0.21</v>
      </c>
      <c r="E428" s="8"/>
      <c r="F428" s="124"/>
      <c r="G428" s="107">
        <f t="shared" si="460"/>
        <v>1.1024898985367834E-2</v>
      </c>
      <c r="H428" s="107">
        <f t="shared" si="459"/>
        <v>0.20476150175464392</v>
      </c>
      <c r="I428" s="107">
        <f t="shared" si="459"/>
        <v>2.305668690747424</v>
      </c>
      <c r="J428" s="107">
        <f t="shared" si="459"/>
        <v>7.1312821061262466E-2</v>
      </c>
      <c r="K428" s="107">
        <f t="shared" si="459"/>
        <v>0</v>
      </c>
      <c r="L428" s="107">
        <f t="shared" si="459"/>
        <v>0.22524860985610518</v>
      </c>
      <c r="M428" s="107">
        <f t="shared" si="459"/>
        <v>2.9426937827075914</v>
      </c>
      <c r="N428" s="107">
        <f t="shared" si="459"/>
        <v>0.23602260180212481</v>
      </c>
      <c r="O428" s="107">
        <f t="shared" si="459"/>
        <v>0</v>
      </c>
      <c r="P428" s="107">
        <f t="shared" si="459"/>
        <v>0</v>
      </c>
      <c r="Q428" s="107">
        <f t="shared" si="459"/>
        <v>0</v>
      </c>
      <c r="R428" s="107">
        <f t="shared" si="459"/>
        <v>0</v>
      </c>
      <c r="S428" s="107">
        <f t="shared" si="459"/>
        <v>0</v>
      </c>
      <c r="T428" s="107">
        <f t="shared" si="459"/>
        <v>0</v>
      </c>
      <c r="U428" s="107">
        <f t="shared" si="459"/>
        <v>0</v>
      </c>
      <c r="V428" s="107">
        <f t="shared" si="459"/>
        <v>0</v>
      </c>
      <c r="W428" s="107">
        <f t="shared" si="459"/>
        <v>0</v>
      </c>
      <c r="X428" s="107">
        <f t="shared" si="459"/>
        <v>0</v>
      </c>
      <c r="Y428" s="107">
        <f t="shared" si="459"/>
        <v>0</v>
      </c>
      <c r="Z428" s="107">
        <f t="shared" si="459"/>
        <v>0</v>
      </c>
      <c r="AA428" s="107">
        <f t="shared" si="459"/>
        <v>0</v>
      </c>
      <c r="AB428" s="107">
        <f t="shared" si="459"/>
        <v>0</v>
      </c>
      <c r="AC428" s="107">
        <f t="shared" si="459"/>
        <v>0</v>
      </c>
      <c r="AD428" s="107">
        <f t="shared" si="459"/>
        <v>0</v>
      </c>
      <c r="AE428" s="107">
        <f t="shared" si="459"/>
        <v>0</v>
      </c>
      <c r="AF428" s="107">
        <f t="shared" si="459"/>
        <v>0</v>
      </c>
      <c r="AG428" s="107">
        <f t="shared" si="459"/>
        <v>0</v>
      </c>
      <c r="AH428" s="107">
        <f t="shared" si="459"/>
        <v>0</v>
      </c>
      <c r="AI428" s="107">
        <f t="shared" si="459"/>
        <v>0</v>
      </c>
      <c r="AJ428" s="107">
        <f t="shared" si="459"/>
        <v>0</v>
      </c>
      <c r="AK428" s="107">
        <f t="shared" si="459"/>
        <v>0</v>
      </c>
      <c r="AL428" s="4"/>
      <c r="AM428" s="43">
        <v>412</v>
      </c>
      <c r="AN428">
        <v>112.44960300291591</v>
      </c>
      <c r="AO428">
        <v>14.304900485751833</v>
      </c>
      <c r="AP428">
        <v>119.00201679734732</v>
      </c>
      <c r="AQ428">
        <v>89.292497872718769</v>
      </c>
      <c r="AR428">
        <v>13.382824598052233</v>
      </c>
      <c r="AS428">
        <v>106.33674025262171</v>
      </c>
      <c r="AT428" t="e">
        <v>#DIV/0!</v>
      </c>
      <c r="AU428" t="e">
        <v>#DIV/0!</v>
      </c>
      <c r="AV428"/>
      <c r="AW428"/>
      <c r="FY428" s="210">
        <v>423</v>
      </c>
      <c r="FZ428">
        <v>12.177997296059875</v>
      </c>
      <c r="GA428">
        <v>31.437130983085829</v>
      </c>
      <c r="GB428">
        <v>24.655653067579905</v>
      </c>
      <c r="GC428">
        <v>11.406941708001819</v>
      </c>
      <c r="GD428">
        <v>3.1838682357884269</v>
      </c>
      <c r="GE428">
        <v>2.2185055449796098</v>
      </c>
      <c r="GF428">
        <v>2.5435815647550508</v>
      </c>
      <c r="GG428">
        <v>3.4883859262506536</v>
      </c>
      <c r="GH428">
        <v>4.1305275968585136</v>
      </c>
      <c r="GI428">
        <v>10.957826699167313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458"/>
        <v>3.9465766449221098</v>
      </c>
      <c r="D429" s="191">
        <f>A$411</f>
        <v>1.28</v>
      </c>
      <c r="E429" s="8"/>
      <c r="F429" s="124"/>
      <c r="G429" s="107">
        <f t="shared" si="460"/>
        <v>0</v>
      </c>
      <c r="H429" s="107">
        <f t="shared" si="459"/>
        <v>2.3772717452186468E-2</v>
      </c>
      <c r="I429" s="107">
        <f t="shared" si="459"/>
        <v>0.25353451228782276</v>
      </c>
      <c r="J429" s="107">
        <f t="shared" si="459"/>
        <v>1.6073620175045182</v>
      </c>
      <c r="K429" s="107">
        <f t="shared" si="459"/>
        <v>0</v>
      </c>
      <c r="L429" s="107">
        <f t="shared" si="459"/>
        <v>0.19695118305515708</v>
      </c>
      <c r="M429" s="107">
        <f t="shared" si="459"/>
        <v>1.8649562146224254</v>
      </c>
      <c r="N429" s="107">
        <f t="shared" si="459"/>
        <v>0</v>
      </c>
      <c r="O429" s="107">
        <f t="shared" si="459"/>
        <v>0</v>
      </c>
      <c r="P429" s="107">
        <f t="shared" si="459"/>
        <v>0</v>
      </c>
      <c r="Q429" s="107">
        <f t="shared" si="459"/>
        <v>0</v>
      </c>
      <c r="R429" s="107">
        <f t="shared" si="459"/>
        <v>0</v>
      </c>
      <c r="S429" s="107">
        <f t="shared" si="459"/>
        <v>0</v>
      </c>
      <c r="T429" s="107">
        <f t="shared" si="459"/>
        <v>0</v>
      </c>
      <c r="U429" s="107">
        <f t="shared" si="459"/>
        <v>0</v>
      </c>
      <c r="V429" s="107">
        <f t="shared" si="459"/>
        <v>0</v>
      </c>
      <c r="W429" s="107">
        <f t="shared" si="459"/>
        <v>0</v>
      </c>
      <c r="X429" s="107">
        <f t="shared" si="459"/>
        <v>0</v>
      </c>
      <c r="Y429" s="107">
        <f t="shared" si="459"/>
        <v>0</v>
      </c>
      <c r="Z429" s="107">
        <f t="shared" si="459"/>
        <v>0</v>
      </c>
      <c r="AA429" s="107">
        <f t="shared" si="459"/>
        <v>0</v>
      </c>
      <c r="AB429" s="107">
        <f t="shared" si="459"/>
        <v>0</v>
      </c>
      <c r="AC429" s="107">
        <f t="shared" si="459"/>
        <v>0</v>
      </c>
      <c r="AD429" s="107">
        <f t="shared" si="459"/>
        <v>0</v>
      </c>
      <c r="AE429" s="107">
        <f t="shared" si="459"/>
        <v>0</v>
      </c>
      <c r="AF429" s="107">
        <f t="shared" si="459"/>
        <v>0</v>
      </c>
      <c r="AG429" s="107">
        <f t="shared" si="459"/>
        <v>0</v>
      </c>
      <c r="AH429" s="107">
        <f t="shared" si="459"/>
        <v>0</v>
      </c>
      <c r="AI429" s="107">
        <f t="shared" si="459"/>
        <v>0</v>
      </c>
      <c r="AJ429" s="107">
        <f t="shared" si="459"/>
        <v>0</v>
      </c>
      <c r="AK429" s="107">
        <f t="shared" si="459"/>
        <v>0</v>
      </c>
      <c r="AL429" s="4"/>
      <c r="AM429" s="43">
        <v>413</v>
      </c>
      <c r="AN429">
        <v>143.89010564018184</v>
      </c>
      <c r="AO429">
        <v>14.091706954748304</v>
      </c>
      <c r="AP429">
        <v>111.26062097444812</v>
      </c>
      <c r="AQ429">
        <v>87.279371462351108</v>
      </c>
      <c r="AR429">
        <v>13.141436658673641</v>
      </c>
      <c r="AS429">
        <v>122.33764869142257</v>
      </c>
      <c r="AT429">
        <v>7.0114147419827608</v>
      </c>
      <c r="AU429">
        <v>-57.448663881810106</v>
      </c>
      <c r="AV429"/>
      <c r="AW429"/>
      <c r="FY429" s="210">
        <v>424</v>
      </c>
      <c r="FZ429">
        <v>1.2831604711191626</v>
      </c>
      <c r="GA429">
        <v>19.749642806741804</v>
      </c>
      <c r="GB429">
        <v>28.918886176680076</v>
      </c>
      <c r="GC429">
        <v>12.767763553087876</v>
      </c>
      <c r="GD429">
        <v>4.0191779818768012</v>
      </c>
      <c r="GE429">
        <v>5.1340936376842947</v>
      </c>
      <c r="GF429">
        <v>2.441686497902281</v>
      </c>
      <c r="GG429">
        <v>3.5227644415876638</v>
      </c>
      <c r="GH429">
        <v>4.7195178886900759</v>
      </c>
      <c r="GI429">
        <v>10.955297110071438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458"/>
        <v>3.396514852015057</v>
      </c>
      <c r="D430" s="191">
        <f>A$412</f>
        <v>4</v>
      </c>
      <c r="E430" s="8"/>
      <c r="F430" s="124"/>
      <c r="G430" s="107">
        <f t="shared" si="460"/>
        <v>0</v>
      </c>
      <c r="H430" s="107">
        <f t="shared" si="459"/>
        <v>0</v>
      </c>
      <c r="I430" s="107">
        <f t="shared" si="459"/>
        <v>0.39422437698381219</v>
      </c>
      <c r="J430" s="107">
        <f t="shared" si="459"/>
        <v>1.3969287252787104</v>
      </c>
      <c r="K430" s="107">
        <f t="shared" si="459"/>
        <v>0</v>
      </c>
      <c r="L430" s="107">
        <f t="shared" si="459"/>
        <v>0</v>
      </c>
      <c r="M430" s="107">
        <f t="shared" si="459"/>
        <v>1.6053617497525345</v>
      </c>
      <c r="N430" s="107">
        <f t="shared" si="459"/>
        <v>0</v>
      </c>
      <c r="O430" s="107">
        <f t="shared" si="459"/>
        <v>0</v>
      </c>
      <c r="P430" s="107">
        <f t="shared" si="459"/>
        <v>0</v>
      </c>
      <c r="Q430" s="107">
        <f t="shared" si="459"/>
        <v>0</v>
      </c>
      <c r="R430" s="107">
        <f t="shared" si="459"/>
        <v>0</v>
      </c>
      <c r="S430" s="107">
        <f t="shared" si="459"/>
        <v>0</v>
      </c>
      <c r="T430" s="107">
        <f t="shared" si="459"/>
        <v>0</v>
      </c>
      <c r="U430" s="107">
        <f t="shared" si="459"/>
        <v>0</v>
      </c>
      <c r="V430" s="107">
        <f t="shared" si="459"/>
        <v>0</v>
      </c>
      <c r="W430" s="107">
        <f t="shared" si="459"/>
        <v>0</v>
      </c>
      <c r="X430" s="107">
        <f t="shared" si="459"/>
        <v>0</v>
      </c>
      <c r="Y430" s="107">
        <f t="shared" si="459"/>
        <v>0</v>
      </c>
      <c r="Z430" s="107">
        <f t="shared" si="459"/>
        <v>0</v>
      </c>
      <c r="AA430" s="107">
        <f t="shared" si="459"/>
        <v>0</v>
      </c>
      <c r="AB430" s="107">
        <f t="shared" si="459"/>
        <v>0</v>
      </c>
      <c r="AC430" s="107">
        <f t="shared" si="459"/>
        <v>0</v>
      </c>
      <c r="AD430" s="107">
        <f t="shared" si="459"/>
        <v>0</v>
      </c>
      <c r="AE430" s="107">
        <f t="shared" si="459"/>
        <v>0</v>
      </c>
      <c r="AF430" s="107">
        <f t="shared" si="459"/>
        <v>0</v>
      </c>
      <c r="AG430" s="107">
        <f t="shared" si="459"/>
        <v>0</v>
      </c>
      <c r="AH430" s="107">
        <f t="shared" si="459"/>
        <v>0</v>
      </c>
      <c r="AI430" s="107">
        <f t="shared" si="459"/>
        <v>0</v>
      </c>
      <c r="AJ430" s="107">
        <f t="shared" si="459"/>
        <v>0</v>
      </c>
      <c r="AK430" s="107">
        <f t="shared" si="459"/>
        <v>0</v>
      </c>
      <c r="AL430" s="4"/>
      <c r="AM430" s="43">
        <v>414</v>
      </c>
      <c r="AN430">
        <v>163.97891694461816</v>
      </c>
      <c r="AO430">
        <v>16.159228138254825</v>
      </c>
      <c r="AP430">
        <v>134.42302835775834</v>
      </c>
      <c r="AQ430">
        <v>105.32561788395292</v>
      </c>
      <c r="AR430">
        <v>15.00006015631106</v>
      </c>
      <c r="AS430">
        <v>134.77095696358856</v>
      </c>
      <c r="AT430">
        <v>8.2312924105472813</v>
      </c>
      <c r="AU430">
        <v>-39.700513560505463</v>
      </c>
      <c r="AV430"/>
      <c r="AW430"/>
      <c r="FY430" s="210">
        <v>425</v>
      </c>
      <c r="FZ430">
        <v>6.9468801777658289</v>
      </c>
      <c r="GA430">
        <v>26.052208883349845</v>
      </c>
      <c r="GB430">
        <v>23.981091632582977</v>
      </c>
      <c r="GC430">
        <v>9.7668997428942248</v>
      </c>
      <c r="GD430">
        <v>2.5091091586864236</v>
      </c>
      <c r="GE430">
        <v>5.8103625926103692</v>
      </c>
      <c r="GF430">
        <v>7.2076078805470534</v>
      </c>
      <c r="GG430">
        <v>1.1988829096148885</v>
      </c>
      <c r="GH430">
        <v>0</v>
      </c>
      <c r="GI430">
        <v>9.8303035330858055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458"/>
        <v>2.9761153791573811</v>
      </c>
      <c r="D431" s="191">
        <f>A$413</f>
        <v>7.33</v>
      </c>
      <c r="E431" s="8"/>
      <c r="F431" s="124"/>
      <c r="G431" s="107">
        <f t="shared" si="460"/>
        <v>0</v>
      </c>
      <c r="H431" s="107">
        <f t="shared" si="459"/>
        <v>1.4788136611138461E-2</v>
      </c>
      <c r="I431" s="107">
        <f t="shared" si="459"/>
        <v>0.22945057576070854</v>
      </c>
      <c r="J431" s="107">
        <f t="shared" si="459"/>
        <v>0.27529144850213855</v>
      </c>
      <c r="K431" s="107">
        <f t="shared" si="459"/>
        <v>0</v>
      </c>
      <c r="L431" s="107">
        <f t="shared" si="459"/>
        <v>0</v>
      </c>
      <c r="M431" s="107">
        <f t="shared" si="459"/>
        <v>2.4565852182833958</v>
      </c>
      <c r="N431" s="107">
        <f t="shared" si="459"/>
        <v>0</v>
      </c>
      <c r="O431" s="107">
        <f t="shared" si="459"/>
        <v>0</v>
      </c>
      <c r="P431" s="107">
        <f t="shared" si="459"/>
        <v>0</v>
      </c>
      <c r="Q431" s="107">
        <f t="shared" si="459"/>
        <v>0</v>
      </c>
      <c r="R431" s="107">
        <f t="shared" si="459"/>
        <v>0</v>
      </c>
      <c r="S431" s="107">
        <f t="shared" si="459"/>
        <v>0</v>
      </c>
      <c r="T431" s="107">
        <f t="shared" si="459"/>
        <v>0</v>
      </c>
      <c r="U431" s="107">
        <f t="shared" si="459"/>
        <v>0</v>
      </c>
      <c r="V431" s="107">
        <f t="shared" si="459"/>
        <v>0</v>
      </c>
      <c r="W431" s="107">
        <f t="shared" si="459"/>
        <v>0</v>
      </c>
      <c r="X431" s="107">
        <f t="shared" si="459"/>
        <v>0</v>
      </c>
      <c r="Y431" s="107">
        <f t="shared" si="459"/>
        <v>0</v>
      </c>
      <c r="Z431" s="107">
        <f t="shared" si="459"/>
        <v>0</v>
      </c>
      <c r="AA431" s="107">
        <f t="shared" si="459"/>
        <v>0</v>
      </c>
      <c r="AB431" s="107">
        <f t="shared" si="459"/>
        <v>0</v>
      </c>
      <c r="AC431" s="107">
        <f t="shared" si="459"/>
        <v>0</v>
      </c>
      <c r="AD431" s="107">
        <f t="shared" si="459"/>
        <v>0</v>
      </c>
      <c r="AE431" s="107">
        <f t="shared" si="459"/>
        <v>0</v>
      </c>
      <c r="AF431" s="107">
        <f t="shared" si="459"/>
        <v>0</v>
      </c>
      <c r="AG431" s="107">
        <f t="shared" si="459"/>
        <v>0</v>
      </c>
      <c r="AH431" s="107">
        <f t="shared" si="459"/>
        <v>0</v>
      </c>
      <c r="AI431" s="107">
        <f t="shared" si="459"/>
        <v>0</v>
      </c>
      <c r="AJ431" s="107">
        <f t="shared" si="459"/>
        <v>0</v>
      </c>
      <c r="AK431" s="107">
        <f t="shared" si="459"/>
        <v>0</v>
      </c>
      <c r="AL431" s="4"/>
      <c r="AM431" s="43">
        <v>415</v>
      </c>
      <c r="AN431">
        <v>208.47969758331465</v>
      </c>
      <c r="AO431">
        <v>15.122764033662872</v>
      </c>
      <c r="AP431">
        <v>118.99462102113496</v>
      </c>
      <c r="AQ431">
        <v>95.345585873565867</v>
      </c>
      <c r="AR431">
        <v>13.931178592742548</v>
      </c>
      <c r="AS431">
        <v>136.08150747759532</v>
      </c>
      <c r="AT431">
        <v>6.4342429746985594</v>
      </c>
      <c r="AU431">
        <v>-6.4378963946511796</v>
      </c>
      <c r="AV431"/>
      <c r="AW431"/>
      <c r="FY431" s="210">
        <v>426</v>
      </c>
      <c r="FZ431">
        <v>6.5199608222851388</v>
      </c>
      <c r="GA431">
        <v>31.023666829885137</v>
      </c>
      <c r="GB431">
        <v>22.568783869803092</v>
      </c>
      <c r="GC431">
        <v>9.1905244633930412</v>
      </c>
      <c r="GD431">
        <v>4.0553590694050294</v>
      </c>
      <c r="GE431">
        <v>6.3902832384360622</v>
      </c>
      <c r="GF431">
        <v>7.2076078805470534</v>
      </c>
      <c r="GG431">
        <v>1.1988829096148885</v>
      </c>
      <c r="GH431">
        <v>0.32186128889656296</v>
      </c>
      <c r="GI431">
        <v>10.342322774306208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458"/>
        <v>9.685008905474044</v>
      </c>
      <c r="D432" s="191">
        <f>A$414</f>
        <v>10.51</v>
      </c>
      <c r="E432" s="8"/>
      <c r="F432" s="124"/>
      <c r="G432" s="107">
        <f t="shared" si="460"/>
        <v>3.0778904794329463E-3</v>
      </c>
      <c r="H432" s="107">
        <f t="shared" ref="H432:AK432" si="461">(($A$453+$A$455*(H$422)+($A$457*$D432))*($E30*H46))</f>
        <v>9.3189560379152214E-2</v>
      </c>
      <c r="I432" s="107">
        <f t="shared" si="461"/>
        <v>2.0241103954466921</v>
      </c>
      <c r="J432" s="107">
        <f t="shared" si="461"/>
        <v>1.3134614937786184</v>
      </c>
      <c r="K432" s="107">
        <f t="shared" si="461"/>
        <v>1.1672278238554274</v>
      </c>
      <c r="L432" s="107">
        <f t="shared" si="461"/>
        <v>1.1966069502416465</v>
      </c>
      <c r="M432" s="107">
        <f t="shared" si="461"/>
        <v>2.9757885566718048</v>
      </c>
      <c r="N432" s="107">
        <f t="shared" si="461"/>
        <v>0.91154623462126994</v>
      </c>
      <c r="O432" s="107">
        <f t="shared" si="461"/>
        <v>0</v>
      </c>
      <c r="P432" s="107">
        <f t="shared" si="461"/>
        <v>0</v>
      </c>
      <c r="Q432" s="107">
        <f t="shared" si="461"/>
        <v>0</v>
      </c>
      <c r="R432" s="107">
        <f t="shared" si="461"/>
        <v>0</v>
      </c>
      <c r="S432" s="107">
        <f t="shared" si="461"/>
        <v>0</v>
      </c>
      <c r="T432" s="107">
        <f t="shared" si="461"/>
        <v>0</v>
      </c>
      <c r="U432" s="107">
        <f t="shared" si="461"/>
        <v>0</v>
      </c>
      <c r="V432" s="107">
        <f t="shared" si="461"/>
        <v>0</v>
      </c>
      <c r="W432" s="107">
        <f t="shared" si="461"/>
        <v>0</v>
      </c>
      <c r="X432" s="107">
        <f t="shared" si="461"/>
        <v>0</v>
      </c>
      <c r="Y432" s="107">
        <f t="shared" si="461"/>
        <v>0</v>
      </c>
      <c r="Z432" s="107">
        <f t="shared" si="461"/>
        <v>0</v>
      </c>
      <c r="AA432" s="107">
        <f t="shared" si="461"/>
        <v>0</v>
      </c>
      <c r="AB432" s="107">
        <f t="shared" si="461"/>
        <v>0</v>
      </c>
      <c r="AC432" s="107">
        <f t="shared" si="461"/>
        <v>0</v>
      </c>
      <c r="AD432" s="107">
        <f t="shared" si="461"/>
        <v>0</v>
      </c>
      <c r="AE432" s="107">
        <f t="shared" si="461"/>
        <v>0</v>
      </c>
      <c r="AF432" s="107">
        <f t="shared" si="461"/>
        <v>0</v>
      </c>
      <c r="AG432" s="107">
        <f t="shared" si="461"/>
        <v>0</v>
      </c>
      <c r="AH432" s="107">
        <f t="shared" si="461"/>
        <v>0</v>
      </c>
      <c r="AI432" s="107">
        <f t="shared" si="461"/>
        <v>0</v>
      </c>
      <c r="AJ432" s="107">
        <f t="shared" si="461"/>
        <v>0</v>
      </c>
      <c r="AK432" s="107">
        <f t="shared" si="461"/>
        <v>0</v>
      </c>
      <c r="AL432" s="4"/>
      <c r="AM432" s="43">
        <v>416</v>
      </c>
      <c r="AN432">
        <v>192.41743609326062</v>
      </c>
      <c r="AO432">
        <v>13.798248558053061</v>
      </c>
      <c r="AP432">
        <v>107.65364117808116</v>
      </c>
      <c r="AQ432">
        <v>85.738921962762575</v>
      </c>
      <c r="AR432">
        <v>12.926963392867235</v>
      </c>
      <c r="AS432">
        <v>146.3215781409769</v>
      </c>
      <c r="AT432" t="e">
        <v>#DIV/0!</v>
      </c>
      <c r="AU432" t="e">
        <v>#DIV/0!</v>
      </c>
      <c r="AV432"/>
      <c r="AW432"/>
      <c r="FY432" s="210">
        <v>427</v>
      </c>
      <c r="FZ432">
        <v>1.2282456218050246</v>
      </c>
      <c r="GA432">
        <v>25.831854857672035</v>
      </c>
      <c r="GB432">
        <v>26.525821417895283</v>
      </c>
      <c r="GC432">
        <v>10.383025891639235</v>
      </c>
      <c r="GD432">
        <v>4.4354661731878036</v>
      </c>
      <c r="GE432">
        <v>5.7586202512270983</v>
      </c>
      <c r="GF432">
        <v>3.845756370494553</v>
      </c>
      <c r="GG432">
        <v>2.7149589872569586</v>
      </c>
      <c r="GH432">
        <v>2.1266217754348196</v>
      </c>
      <c r="GI432">
        <v>10.419620546261871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205.14007936910647</v>
      </c>
      <c r="AO433">
        <v>16.116509707643985</v>
      </c>
      <c r="AP433">
        <v>122.54757213766737</v>
      </c>
      <c r="AQ433">
        <v>94.691537276573939</v>
      </c>
      <c r="AR433">
        <v>14.837757129795786</v>
      </c>
      <c r="AS433">
        <v>147.29157753060491</v>
      </c>
      <c r="AT433">
        <v>6.6540626136909955</v>
      </c>
      <c r="AU433">
        <v>-22.907512516269456</v>
      </c>
      <c r="AV433"/>
      <c r="AW433"/>
      <c r="FY433" s="210">
        <v>428</v>
      </c>
      <c r="FZ433">
        <v>1.4294603877665515</v>
      </c>
      <c r="GA433">
        <v>19.239072655577555</v>
      </c>
      <c r="GB433">
        <v>24.426980249245133</v>
      </c>
      <c r="GC433">
        <v>10.55046377493696</v>
      </c>
      <c r="GD433">
        <v>3.1264058720161119</v>
      </c>
      <c r="GE433">
        <v>7.2949318049212231</v>
      </c>
      <c r="GF433">
        <v>9.2227698910093316</v>
      </c>
      <c r="GG433">
        <v>2.5258157662982295</v>
      </c>
      <c r="GH433">
        <v>2.8443965241048801</v>
      </c>
      <c r="GI433">
        <v>10.292294939249011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160.75714144125789</v>
      </c>
      <c r="AO434">
        <v>13.224991482867264</v>
      </c>
      <c r="AP434">
        <v>109.24190701226286</v>
      </c>
      <c r="AQ434">
        <v>83.55673552764047</v>
      </c>
      <c r="AR434">
        <v>12.303803868821621</v>
      </c>
      <c r="AS434">
        <v>115.07816381274763</v>
      </c>
      <c r="AT434">
        <v>5.3067690287486231</v>
      </c>
      <c r="AU434">
        <v>-11.399236402775415</v>
      </c>
      <c r="AV434"/>
      <c r="AW434"/>
      <c r="FY434" s="210">
        <v>429</v>
      </c>
      <c r="FZ434">
        <v>6.4808236597543747</v>
      </c>
      <c r="GA434">
        <v>30.581628997815201</v>
      </c>
      <c r="GB434">
        <v>17.58655970941658</v>
      </c>
      <c r="GC434">
        <v>7.1573460514947094</v>
      </c>
      <c r="GD434">
        <v>6.2477303572668879</v>
      </c>
      <c r="GE434">
        <v>9.2059748271622297</v>
      </c>
      <c r="GF434">
        <v>6.4223585576721058</v>
      </c>
      <c r="GG434">
        <v>1.8460602590359767</v>
      </c>
      <c r="GH434">
        <v>0.90422588968412598</v>
      </c>
      <c r="GI434">
        <v>10.314364192158406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93.653342897565551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171.59085930389153</v>
      </c>
      <c r="AO435">
        <v>11.935120594817468</v>
      </c>
      <c r="AP435">
        <v>94.042772984660758</v>
      </c>
      <c r="AQ435">
        <v>73.162408935838783</v>
      </c>
      <c r="AR435">
        <v>10.835713057661131</v>
      </c>
      <c r="AS435">
        <v>114.80521978139183</v>
      </c>
      <c r="AT435" t="e">
        <v>#DIV/0!</v>
      </c>
      <c r="AU435" t="e">
        <v>#DIV/0!</v>
      </c>
      <c r="AV435"/>
      <c r="AW435"/>
      <c r="FY435" s="210">
        <v>430</v>
      </c>
      <c r="FZ435">
        <v>1.2383432070847658</v>
      </c>
      <c r="GA435">
        <v>22.650521457350557</v>
      </c>
      <c r="GB435">
        <v>18.163675190107657</v>
      </c>
      <c r="GC435">
        <v>6.6773219359918023</v>
      </c>
      <c r="GD435">
        <v>4.4291687366767327</v>
      </c>
      <c r="GE435">
        <v>6.5321481347722568</v>
      </c>
      <c r="GF435">
        <v>4.274380060782474</v>
      </c>
      <c r="GG435">
        <v>1.8786384168771417</v>
      </c>
      <c r="GH435">
        <v>2.2620319233173167</v>
      </c>
      <c r="GI435">
        <v>8.4357669247033584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196.18123406345421</v>
      </c>
      <c r="AO436">
        <v>15.036519217209275</v>
      </c>
      <c r="AP436">
        <v>127.03166314002536</v>
      </c>
      <c r="AQ436">
        <v>101.11990228263583</v>
      </c>
      <c r="AR436">
        <v>13.862169927952239</v>
      </c>
      <c r="AS436">
        <v>149.15011107495863</v>
      </c>
      <c r="AT436">
        <v>8.0707155499563008</v>
      </c>
      <c r="AU436">
        <v>-31.940775821486621</v>
      </c>
      <c r="AV436"/>
      <c r="AW436"/>
      <c r="FY436" s="210">
        <v>431</v>
      </c>
      <c r="FZ436">
        <v>3.6514259932613182</v>
      </c>
      <c r="GA436">
        <v>25.030193862610343</v>
      </c>
      <c r="GB436">
        <v>18.949214491941831</v>
      </c>
      <c r="GC436">
        <v>7.3852451534862649</v>
      </c>
      <c r="GD436">
        <v>4.619916921019489</v>
      </c>
      <c r="GE436">
        <v>5.3426125791040233</v>
      </c>
      <c r="GF436">
        <v>2.0162368028874913</v>
      </c>
      <c r="GG436">
        <v>1.9741102061044287</v>
      </c>
      <c r="GH436">
        <v>2.5225352352083168</v>
      </c>
      <c r="GI436">
        <v>8.7184987230940134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166.31715144890208</v>
      </c>
      <c r="AO437">
        <v>14.826095466932461</v>
      </c>
      <c r="AP437">
        <v>117.06470047514158</v>
      </c>
      <c r="AQ437">
        <v>90.313544840928699</v>
      </c>
      <c r="AR437">
        <v>13.881781786007602</v>
      </c>
      <c r="AS437">
        <v>132.4366915014219</v>
      </c>
      <c r="AT437">
        <v>5.9440136811648294</v>
      </c>
      <c r="AU437">
        <v>-17.170288803669649</v>
      </c>
      <c r="AV437"/>
      <c r="AW437"/>
      <c r="FY437" s="210">
        <v>432</v>
      </c>
      <c r="FZ437">
        <v>6.5684304481476712</v>
      </c>
      <c r="GA437">
        <v>32.255317782169342</v>
      </c>
      <c r="GB437">
        <v>30.126102008723329</v>
      </c>
      <c r="GC437">
        <v>11.929651173441643</v>
      </c>
      <c r="GD437">
        <v>2.8216637053318472</v>
      </c>
      <c r="GE437">
        <v>3.9227247775598011</v>
      </c>
      <c r="GF437">
        <v>5.5616315529472908</v>
      </c>
      <c r="GG437">
        <v>3.3947144945192114</v>
      </c>
      <c r="GH437">
        <v>3.3617118550568845</v>
      </c>
      <c r="GI437">
        <v>11.703337471929983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127.76815953919613</v>
      </c>
      <c r="AO438">
        <v>12.68107202235657</v>
      </c>
      <c r="AP438">
        <v>107.60907199002108</v>
      </c>
      <c r="AQ438">
        <v>82.917371622973519</v>
      </c>
      <c r="AR438">
        <v>11.804083085795527</v>
      </c>
      <c r="AS438">
        <v>108.85150384952117</v>
      </c>
      <c r="AT438">
        <v>5.5767907873813387</v>
      </c>
      <c r="AU438">
        <v>-15.086528086471763</v>
      </c>
      <c r="AV438"/>
      <c r="AW438"/>
      <c r="FY438" s="210">
        <v>433</v>
      </c>
      <c r="FZ438">
        <v>3.8152762807067777</v>
      </c>
      <c r="GA438">
        <v>25.744626005969081</v>
      </c>
      <c r="GB438">
        <v>24.429296031381085</v>
      </c>
      <c r="GC438">
        <v>8.7780324609491256</v>
      </c>
      <c r="GD438">
        <v>2.8974014736683293</v>
      </c>
      <c r="GE438">
        <v>3.7746871014949344</v>
      </c>
      <c r="GF438">
        <v>3.2885649814776232</v>
      </c>
      <c r="GG438">
        <v>3.9482204122088573</v>
      </c>
      <c r="GH438">
        <v>2.9761153791573811</v>
      </c>
      <c r="GI438">
        <v>9.4065726022929752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143.91783034654213</v>
      </c>
      <c r="AO439">
        <v>16.359745571052944</v>
      </c>
      <c r="AP439">
        <v>134.65190368984881</v>
      </c>
      <c r="AQ439">
        <v>106.200418622527</v>
      </c>
      <c r="AR439">
        <v>15.387458701264377</v>
      </c>
      <c r="AS439">
        <v>131.81330642338131</v>
      </c>
      <c r="AT439">
        <v>7.8626774367861119</v>
      </c>
      <c r="AU439">
        <v>-25.036122122547134</v>
      </c>
      <c r="AV439"/>
      <c r="AW439"/>
      <c r="FY439" s="210">
        <v>434</v>
      </c>
      <c r="FZ439">
        <v>4.6775752942187765</v>
      </c>
      <c r="GA439">
        <v>21.21757679896265</v>
      </c>
      <c r="GB439">
        <v>27.215846288206286</v>
      </c>
      <c r="GC439">
        <v>13.401455254714087</v>
      </c>
      <c r="GD439">
        <v>4.8458720365171128</v>
      </c>
      <c r="GE439">
        <v>6.804483395922805</v>
      </c>
      <c r="GF439">
        <v>5.7792702078023028</v>
      </c>
      <c r="GG439">
        <v>4.2654135802360393</v>
      </c>
      <c r="GH439">
        <v>3.5547886871149497</v>
      </c>
      <c r="GI439">
        <v>11.930113668472405</v>
      </c>
      <c r="GJ439"/>
      <c r="GK439"/>
      <c r="GL439"/>
      <c r="GM439"/>
    </row>
    <row r="440" spans="1:195" s="7" customFormat="1">
      <c r="A440" s="1">
        <v>7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182.19002866147977</v>
      </c>
      <c r="AO440">
        <v>16.387271583025409</v>
      </c>
      <c r="AP440">
        <v>121.35613649065978</v>
      </c>
      <c r="AQ440">
        <v>93.511990565441465</v>
      </c>
      <c r="AR440">
        <v>15.374972207506204</v>
      </c>
      <c r="AS440">
        <v>188.05632095476645</v>
      </c>
      <c r="AT440">
        <v>6.6526366333775213</v>
      </c>
      <c r="AU440">
        <v>-15.175587153579118</v>
      </c>
      <c r="AV440"/>
      <c r="AW440"/>
      <c r="FY440" s="210">
        <v>435</v>
      </c>
      <c r="FZ440">
        <v>1.2783588381677029</v>
      </c>
      <c r="GA440">
        <v>17.261845863432221</v>
      </c>
      <c r="GB440">
        <v>23.384000117863462</v>
      </c>
      <c r="GC440">
        <v>12.073189206110307</v>
      </c>
      <c r="GD440">
        <v>5.6589363394630734</v>
      </c>
      <c r="GE440">
        <v>10.660035413974528</v>
      </c>
      <c r="GF440">
        <v>10.311554829592165</v>
      </c>
      <c r="GG440">
        <v>4.2636132227401937</v>
      </c>
      <c r="GH440">
        <v>4.2622464519110155</v>
      </c>
      <c r="GI440">
        <v>11.931784472902507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462">SUM(G441:AK441)</f>
        <v>7.3130818417196561</v>
      </c>
      <c r="D441" s="191">
        <f>$A$405</f>
        <v>13.69</v>
      </c>
      <c r="E441" s="8"/>
      <c r="F441" s="124"/>
      <c r="G441" s="107" t="str">
        <f t="shared" ref="G441:G450" si="463">IF(G423&lt;=0, "0.000", G423)</f>
        <v>0.000</v>
      </c>
      <c r="H441" s="107" t="str">
        <f t="shared" ref="H441:AK441" si="464">IF(H423&lt;=0, "0.000", H423)</f>
        <v>0.000</v>
      </c>
      <c r="I441" s="107">
        <f t="shared" si="464"/>
        <v>0.34852224467563803</v>
      </c>
      <c r="J441" s="107">
        <f t="shared" si="464"/>
        <v>3.5766183837057239</v>
      </c>
      <c r="K441" s="107">
        <f t="shared" si="464"/>
        <v>3.3879412133382938</v>
      </c>
      <c r="L441" s="107" t="str">
        <f t="shared" si="464"/>
        <v>0.000</v>
      </c>
      <c r="M441" s="107" t="str">
        <f t="shared" si="464"/>
        <v>0.000</v>
      </c>
      <c r="N441" s="107" t="str">
        <f t="shared" si="464"/>
        <v>0.000</v>
      </c>
      <c r="O441" s="107" t="str">
        <f t="shared" si="464"/>
        <v>0.000</v>
      </c>
      <c r="P441" s="107" t="str">
        <f t="shared" si="464"/>
        <v>0.000</v>
      </c>
      <c r="Q441" s="107" t="str">
        <f t="shared" si="464"/>
        <v>0.000</v>
      </c>
      <c r="R441" s="107" t="str">
        <f t="shared" si="464"/>
        <v>0.000</v>
      </c>
      <c r="S441" s="107" t="str">
        <f t="shared" si="464"/>
        <v>0.000</v>
      </c>
      <c r="T441" s="107" t="str">
        <f t="shared" si="464"/>
        <v>0.000</v>
      </c>
      <c r="U441" s="107" t="str">
        <f t="shared" si="464"/>
        <v>0.000</v>
      </c>
      <c r="V441" s="107" t="str">
        <f t="shared" si="464"/>
        <v>0.000</v>
      </c>
      <c r="W441" s="107" t="str">
        <f t="shared" si="464"/>
        <v>0.000</v>
      </c>
      <c r="X441" s="107" t="str">
        <f t="shared" si="464"/>
        <v>0.000</v>
      </c>
      <c r="Y441" s="107" t="str">
        <f t="shared" si="464"/>
        <v>0.000</v>
      </c>
      <c r="Z441" s="107" t="str">
        <f t="shared" si="464"/>
        <v>0.000</v>
      </c>
      <c r="AA441" s="107" t="str">
        <f t="shared" si="464"/>
        <v>0.000</v>
      </c>
      <c r="AB441" s="107" t="str">
        <f t="shared" si="464"/>
        <v>0.000</v>
      </c>
      <c r="AC441" s="107" t="str">
        <f t="shared" si="464"/>
        <v>0.000</v>
      </c>
      <c r="AD441" s="107" t="str">
        <f t="shared" si="464"/>
        <v>0.000</v>
      </c>
      <c r="AE441" s="107" t="str">
        <f t="shared" si="464"/>
        <v>0.000</v>
      </c>
      <c r="AF441" s="107" t="str">
        <f t="shared" si="464"/>
        <v>0.000</v>
      </c>
      <c r="AG441" s="107" t="str">
        <f t="shared" si="464"/>
        <v>0.000</v>
      </c>
      <c r="AH441" s="107" t="str">
        <f t="shared" si="464"/>
        <v>0.000</v>
      </c>
      <c r="AI441" s="107" t="str">
        <f t="shared" si="464"/>
        <v>0.000</v>
      </c>
      <c r="AJ441" s="107" t="str">
        <f t="shared" si="464"/>
        <v>0.000</v>
      </c>
      <c r="AK441" s="107" t="str">
        <f t="shared" si="464"/>
        <v>0.000</v>
      </c>
      <c r="AL441" s="4"/>
      <c r="AM441" s="43">
        <v>425</v>
      </c>
      <c r="AN441">
        <v>168.73157388639473</v>
      </c>
      <c r="AO441">
        <v>14.807181379007611</v>
      </c>
      <c r="AP441">
        <v>120.03338893976719</v>
      </c>
      <c r="AQ441">
        <v>93.303346511137448</v>
      </c>
      <c r="AR441">
        <v>13.504250517787918</v>
      </c>
      <c r="AS441">
        <v>118.30775110513963</v>
      </c>
      <c r="AT441" t="e">
        <v>#DIV/0!</v>
      </c>
      <c r="AU441" t="e">
        <v>#DIV/0!</v>
      </c>
      <c r="AV441"/>
      <c r="AW441"/>
      <c r="FY441" s="210">
        <v>436</v>
      </c>
      <c r="FZ441">
        <v>1.6575673819628083</v>
      </c>
      <c r="GA441">
        <v>17.474058565546905</v>
      </c>
      <c r="GB441">
        <v>17.093050003898522</v>
      </c>
      <c r="GC441">
        <v>8.9688997424636288</v>
      </c>
      <c r="GD441">
        <v>4.6733339892254859</v>
      </c>
      <c r="GE441">
        <v>8.081399545026116</v>
      </c>
      <c r="GF441">
        <v>10.311554829592165</v>
      </c>
      <c r="GG441">
        <v>3.3947144945192114</v>
      </c>
      <c r="GH441">
        <v>3.1012085431658845</v>
      </c>
      <c r="GI441">
        <v>9.6448035582516312</v>
      </c>
      <c r="GJ441"/>
      <c r="GK441"/>
      <c r="GL441"/>
      <c r="GM441"/>
    </row>
    <row r="442" spans="1:195" s="7" customFormat="1">
      <c r="A442" s="1">
        <v>230</v>
      </c>
      <c r="B442" s="48" t="s">
        <v>39</v>
      </c>
      <c r="C442" s="107">
        <f t="shared" si="462"/>
        <v>28.980993354014132</v>
      </c>
      <c r="D442" s="191">
        <f>$A$406</f>
        <v>9.4499999999999993</v>
      </c>
      <c r="E442" s="8"/>
      <c r="F442" s="124"/>
      <c r="G442" s="173" t="str">
        <f t="shared" si="463"/>
        <v>0.000</v>
      </c>
      <c r="H442" s="173" t="str">
        <f t="shared" ref="H442:V442" si="465">IF(H424&lt;=0, "0.000", H424)</f>
        <v>0.000</v>
      </c>
      <c r="I442" s="173">
        <f t="shared" si="465"/>
        <v>0.54381950709210269</v>
      </c>
      <c r="J442" s="173">
        <f t="shared" si="465"/>
        <v>3.8142396579271178</v>
      </c>
      <c r="K442" s="173">
        <f t="shared" si="465"/>
        <v>6.4538350081875411</v>
      </c>
      <c r="L442" s="173">
        <f t="shared" si="465"/>
        <v>6.279171545601268</v>
      </c>
      <c r="M442" s="173">
        <f t="shared" si="465"/>
        <v>10.107539667321449</v>
      </c>
      <c r="N442" s="173">
        <f t="shared" si="465"/>
        <v>1.7823879678846517</v>
      </c>
      <c r="O442" s="173" t="str">
        <f t="shared" si="465"/>
        <v>0.000</v>
      </c>
      <c r="P442" s="173" t="str">
        <f t="shared" si="465"/>
        <v>0.000</v>
      </c>
      <c r="Q442" s="173" t="str">
        <f t="shared" si="465"/>
        <v>0.000</v>
      </c>
      <c r="R442" s="173" t="str">
        <f t="shared" si="465"/>
        <v>0.000</v>
      </c>
      <c r="S442" s="173" t="str">
        <f t="shared" si="465"/>
        <v>0.000</v>
      </c>
      <c r="T442" s="173" t="str">
        <f t="shared" si="465"/>
        <v>0.000</v>
      </c>
      <c r="U442" s="173" t="str">
        <f t="shared" si="465"/>
        <v>0.000</v>
      </c>
      <c r="V442" s="173" t="str">
        <f t="shared" si="465"/>
        <v>0.000</v>
      </c>
      <c r="W442" s="173" t="str">
        <f t="shared" ref="W442:AK442" si="466">IF(W424&lt;=0, "0.000", W424)</f>
        <v>0.000</v>
      </c>
      <c r="X442" s="173" t="str">
        <f t="shared" si="466"/>
        <v>0.000</v>
      </c>
      <c r="Y442" s="173" t="str">
        <f t="shared" si="466"/>
        <v>0.000</v>
      </c>
      <c r="Z442" s="173" t="str">
        <f t="shared" si="466"/>
        <v>0.000</v>
      </c>
      <c r="AA442" s="173" t="str">
        <f t="shared" si="466"/>
        <v>0.000</v>
      </c>
      <c r="AB442" s="173" t="str">
        <f t="shared" si="466"/>
        <v>0.000</v>
      </c>
      <c r="AC442" s="173" t="str">
        <f t="shared" si="466"/>
        <v>0.000</v>
      </c>
      <c r="AD442" s="173" t="str">
        <f t="shared" si="466"/>
        <v>0.000</v>
      </c>
      <c r="AE442" s="173" t="str">
        <f t="shared" si="466"/>
        <v>0.000</v>
      </c>
      <c r="AF442" s="173" t="str">
        <f t="shared" si="466"/>
        <v>0.000</v>
      </c>
      <c r="AG442" s="173" t="str">
        <f t="shared" si="466"/>
        <v>0.000</v>
      </c>
      <c r="AH442" s="173" t="str">
        <f t="shared" si="466"/>
        <v>0.000</v>
      </c>
      <c r="AI442" s="173" t="str">
        <f t="shared" si="466"/>
        <v>0.000</v>
      </c>
      <c r="AJ442" s="173" t="str">
        <f t="shared" si="466"/>
        <v>0.000</v>
      </c>
      <c r="AK442" s="173" t="str">
        <f t="shared" si="466"/>
        <v>0.000</v>
      </c>
      <c r="AL442" s="4"/>
      <c r="AM442" s="43">
        <v>426</v>
      </c>
      <c r="AN442">
        <v>204.89810823086222</v>
      </c>
      <c r="AO442">
        <v>15.542909072980573</v>
      </c>
      <c r="AP442">
        <v>124.40725776740349</v>
      </c>
      <c r="AQ442">
        <v>98.819253146572208</v>
      </c>
      <c r="AR442">
        <v>14.199591502678313</v>
      </c>
      <c r="AS442">
        <v>140.56137711146533</v>
      </c>
      <c r="AT442" t="e">
        <v>#DIV/0!</v>
      </c>
      <c r="AU442" t="e">
        <v>#DIV/0!</v>
      </c>
      <c r="AV442"/>
      <c r="AW442"/>
      <c r="FY442" s="210">
        <v>437</v>
      </c>
      <c r="FZ442">
        <v>7.0726134352548682</v>
      </c>
      <c r="GA442">
        <v>27.356791695963665</v>
      </c>
      <c r="GB442">
        <v>23.500301067740594</v>
      </c>
      <c r="GC442">
        <v>10.284310374098121</v>
      </c>
      <c r="GD442">
        <v>3.7609454424246733</v>
      </c>
      <c r="GE442">
        <v>5.3547473661305904</v>
      </c>
      <c r="GF442">
        <v>6.9497033195396645</v>
      </c>
      <c r="GG442">
        <v>4.0418918439402995</v>
      </c>
      <c r="GH442">
        <v>2.8407052312748844</v>
      </c>
      <c r="GI442">
        <v>10.820388543837389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462"/>
        <v>20.011826708570823</v>
      </c>
      <c r="D443" s="191">
        <f>A$407</f>
        <v>4.03</v>
      </c>
      <c r="E443" s="8"/>
      <c r="F443" s="124"/>
      <c r="G443" s="173" t="str">
        <f t="shared" si="463"/>
        <v>0.000</v>
      </c>
      <c r="H443" s="173">
        <f t="shared" ref="H443:V443" si="467">IF(H425&lt;=0, "0.000", H425)</f>
        <v>0.10223090222549196</v>
      </c>
      <c r="I443" s="173">
        <f t="shared" si="467"/>
        <v>2.2084506903253383</v>
      </c>
      <c r="J443" s="173">
        <f t="shared" si="467"/>
        <v>1.1414047075587033</v>
      </c>
      <c r="K443" s="173">
        <f t="shared" si="467"/>
        <v>2.7053651876914859</v>
      </c>
      <c r="L443" s="173">
        <f t="shared" si="467"/>
        <v>4.2071551394103173</v>
      </c>
      <c r="M443" s="173">
        <f t="shared" si="467"/>
        <v>6.372291202106684</v>
      </c>
      <c r="N443" s="173">
        <f t="shared" si="467"/>
        <v>3.2749288792528013</v>
      </c>
      <c r="O443" s="173" t="str">
        <f t="shared" si="467"/>
        <v>0.000</v>
      </c>
      <c r="P443" s="173" t="str">
        <f t="shared" si="467"/>
        <v>0.000</v>
      </c>
      <c r="Q443" s="173" t="str">
        <f t="shared" si="467"/>
        <v>0.000</v>
      </c>
      <c r="R443" s="173" t="str">
        <f t="shared" si="467"/>
        <v>0.000</v>
      </c>
      <c r="S443" s="173" t="str">
        <f t="shared" si="467"/>
        <v>0.000</v>
      </c>
      <c r="T443" s="173" t="str">
        <f t="shared" si="467"/>
        <v>0.000</v>
      </c>
      <c r="U443" s="173" t="str">
        <f t="shared" si="467"/>
        <v>0.000</v>
      </c>
      <c r="V443" s="173" t="str">
        <f t="shared" si="467"/>
        <v>0.000</v>
      </c>
      <c r="W443" s="173" t="str">
        <f t="shared" ref="W443:AK443" si="468">IF(W425&lt;=0, "0.000", W425)</f>
        <v>0.000</v>
      </c>
      <c r="X443" s="173" t="str">
        <f t="shared" si="468"/>
        <v>0.000</v>
      </c>
      <c r="Y443" s="173" t="str">
        <f t="shared" si="468"/>
        <v>0.000</v>
      </c>
      <c r="Z443" s="173" t="str">
        <f t="shared" si="468"/>
        <v>0.000</v>
      </c>
      <c r="AA443" s="173" t="str">
        <f t="shared" si="468"/>
        <v>0.000</v>
      </c>
      <c r="AB443" s="173" t="str">
        <f t="shared" si="468"/>
        <v>0.000</v>
      </c>
      <c r="AC443" s="173" t="str">
        <f t="shared" si="468"/>
        <v>0.000</v>
      </c>
      <c r="AD443" s="173" t="str">
        <f t="shared" si="468"/>
        <v>0.000</v>
      </c>
      <c r="AE443" s="173" t="str">
        <f t="shared" si="468"/>
        <v>0.000</v>
      </c>
      <c r="AF443" s="173" t="str">
        <f t="shared" si="468"/>
        <v>0.000</v>
      </c>
      <c r="AG443" s="173" t="str">
        <f t="shared" si="468"/>
        <v>0.000</v>
      </c>
      <c r="AH443" s="173" t="str">
        <f t="shared" si="468"/>
        <v>0.000</v>
      </c>
      <c r="AI443" s="173" t="str">
        <f t="shared" si="468"/>
        <v>0.000</v>
      </c>
      <c r="AJ443" s="173" t="str">
        <f t="shared" si="468"/>
        <v>0.000</v>
      </c>
      <c r="AK443" s="173" t="str">
        <f t="shared" si="468"/>
        <v>0.000</v>
      </c>
      <c r="AL443" s="4"/>
      <c r="AM443" s="43">
        <v>427</v>
      </c>
      <c r="AN443">
        <v>220.92873591703938</v>
      </c>
      <c r="AO443">
        <v>15.636483738216176</v>
      </c>
      <c r="AP443">
        <v>119.78403431887249</v>
      </c>
      <c r="AQ443">
        <v>93.269991892874685</v>
      </c>
      <c r="AR443">
        <v>14.548666817662454</v>
      </c>
      <c r="AS443">
        <v>149.41702649416399</v>
      </c>
      <c r="AT443">
        <v>6.3325554642918531</v>
      </c>
      <c r="AU443">
        <v>-36.71768745027881</v>
      </c>
      <c r="AV443"/>
      <c r="AW443"/>
      <c r="FY443" s="210">
        <v>438</v>
      </c>
      <c r="FZ443">
        <v>4.6936111229968187</v>
      </c>
      <c r="GA443">
        <v>30.468273425221113</v>
      </c>
      <c r="GB443">
        <v>29.040823886286041</v>
      </c>
      <c r="GC443">
        <v>12.123862883176596</v>
      </c>
      <c r="GD443">
        <v>4.5934513795112553</v>
      </c>
      <c r="GE443">
        <v>6.3292373491874265</v>
      </c>
      <c r="GF443">
        <v>7.0825198059670171</v>
      </c>
      <c r="GG443">
        <v>6.7458601753263796</v>
      </c>
      <c r="GH443">
        <v>5.5550032157086484</v>
      </c>
      <c r="GI443">
        <v>12.812631383044668</v>
      </c>
      <c r="GJ443"/>
      <c r="GK443"/>
      <c r="GL443"/>
      <c r="GM443"/>
    </row>
    <row r="444" spans="1:195" s="7" customFormat="1">
      <c r="A444" s="1">
        <v>190</v>
      </c>
      <c r="B444" s="48" t="s">
        <v>41</v>
      </c>
      <c r="C444" s="107">
        <f t="shared" si="462"/>
        <v>7.2047522928942414</v>
      </c>
      <c r="D444" s="191">
        <f>A$408</f>
        <v>0.78</v>
      </c>
      <c r="E444" s="8"/>
      <c r="F444" s="124"/>
      <c r="G444" s="173" t="str">
        <f t="shared" si="463"/>
        <v>0.000</v>
      </c>
      <c r="H444" s="173">
        <f t="shared" ref="H444:V444" si="469">IF(H426&lt;=0, "0.000", H426)</f>
        <v>7.7321070436816894E-2</v>
      </c>
      <c r="I444" s="173">
        <f t="shared" si="469"/>
        <v>2.7300223736688261</v>
      </c>
      <c r="J444" s="173">
        <f t="shared" si="469"/>
        <v>0.76069271833948937</v>
      </c>
      <c r="K444" s="173">
        <f t="shared" si="469"/>
        <v>0.80549819096836572</v>
      </c>
      <c r="L444" s="173">
        <f t="shared" si="469"/>
        <v>0.75749779431218778</v>
      </c>
      <c r="M444" s="173">
        <f t="shared" si="469"/>
        <v>0.81194917497971641</v>
      </c>
      <c r="N444" s="173">
        <f t="shared" si="469"/>
        <v>1.2617709701888393</v>
      </c>
      <c r="O444" s="173" t="str">
        <f t="shared" si="469"/>
        <v>0.000</v>
      </c>
      <c r="P444" s="173" t="str">
        <f t="shared" si="469"/>
        <v>0.000</v>
      </c>
      <c r="Q444" s="173" t="str">
        <f t="shared" si="469"/>
        <v>0.000</v>
      </c>
      <c r="R444" s="173" t="str">
        <f t="shared" si="469"/>
        <v>0.000</v>
      </c>
      <c r="S444" s="173" t="str">
        <f t="shared" si="469"/>
        <v>0.000</v>
      </c>
      <c r="T444" s="173" t="str">
        <f t="shared" si="469"/>
        <v>0.000</v>
      </c>
      <c r="U444" s="173" t="str">
        <f t="shared" si="469"/>
        <v>0.000</v>
      </c>
      <c r="V444" s="173" t="str">
        <f t="shared" si="469"/>
        <v>0.000</v>
      </c>
      <c r="W444" s="173" t="str">
        <f t="shared" ref="W444:AK444" si="470">IF(W426&lt;=0, "0.000", W426)</f>
        <v>0.000</v>
      </c>
      <c r="X444" s="173" t="str">
        <f t="shared" si="470"/>
        <v>0.000</v>
      </c>
      <c r="Y444" s="173" t="str">
        <f t="shared" si="470"/>
        <v>0.000</v>
      </c>
      <c r="Z444" s="173" t="str">
        <f t="shared" si="470"/>
        <v>0.000</v>
      </c>
      <c r="AA444" s="173" t="str">
        <f t="shared" si="470"/>
        <v>0.000</v>
      </c>
      <c r="AB444" s="173" t="str">
        <f t="shared" si="470"/>
        <v>0.000</v>
      </c>
      <c r="AC444" s="173" t="str">
        <f t="shared" si="470"/>
        <v>0.000</v>
      </c>
      <c r="AD444" s="173" t="str">
        <f t="shared" si="470"/>
        <v>0.000</v>
      </c>
      <c r="AE444" s="173" t="str">
        <f t="shared" si="470"/>
        <v>0.000</v>
      </c>
      <c r="AF444" s="173" t="str">
        <f t="shared" si="470"/>
        <v>0.000</v>
      </c>
      <c r="AG444" s="173" t="str">
        <f t="shared" si="470"/>
        <v>0.000</v>
      </c>
      <c r="AH444" s="173" t="str">
        <f t="shared" si="470"/>
        <v>0.000</v>
      </c>
      <c r="AI444" s="173" t="str">
        <f t="shared" si="470"/>
        <v>0.000</v>
      </c>
      <c r="AJ444" s="173" t="str">
        <f t="shared" si="470"/>
        <v>0.000</v>
      </c>
      <c r="AK444" s="173" t="str">
        <f t="shared" si="470"/>
        <v>0.000</v>
      </c>
      <c r="AL444" s="4"/>
      <c r="AM444" s="43">
        <v>428</v>
      </c>
      <c r="AN444">
        <v>200.50272988534059</v>
      </c>
      <c r="AO444">
        <v>15.350304560746974</v>
      </c>
      <c r="AP444">
        <v>117.50668895246837</v>
      </c>
      <c r="AQ444">
        <v>90.952591865124987</v>
      </c>
      <c r="AR444">
        <v>14.082154276780617</v>
      </c>
      <c r="AS444">
        <v>135.979267581606</v>
      </c>
      <c r="AT444">
        <v>6.0281811640649083</v>
      </c>
      <c r="AU444">
        <v>-6.2152493578191272</v>
      </c>
      <c r="AV444"/>
      <c r="AW444"/>
      <c r="FY444" s="210">
        <v>439</v>
      </c>
      <c r="FZ444">
        <v>4.2842263463694188</v>
      </c>
      <c r="GA444">
        <v>23.272756077719503</v>
      </c>
      <c r="GB444">
        <v>21.878592226134451</v>
      </c>
      <c r="GC444">
        <v>11.125108144227289</v>
      </c>
      <c r="GD444">
        <v>3.7419805778494055</v>
      </c>
      <c r="GE444">
        <v>2.9466030899471045</v>
      </c>
      <c r="GF444">
        <v>5.343992898092278</v>
      </c>
      <c r="GG444">
        <v>2.4303439770709425</v>
      </c>
      <c r="GH444">
        <v>2.5225352352083168</v>
      </c>
      <c r="GI444">
        <v>9.6594745966059783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462"/>
        <v>4.1417400118835914</v>
      </c>
      <c r="D445" s="191">
        <f>A$409</f>
        <v>0.14000000000000001</v>
      </c>
      <c r="E445" s="8"/>
      <c r="F445" s="124"/>
      <c r="G445" s="173">
        <f t="shared" si="463"/>
        <v>5.4453242302262804E-3</v>
      </c>
      <c r="H445" s="173">
        <f t="shared" ref="H445:V445" si="471">IF(H427&lt;=0, "0.000", H427)</f>
        <v>0.10903688240366539</v>
      </c>
      <c r="I445" s="173">
        <f t="shared" si="471"/>
        <v>2.3838050450344039</v>
      </c>
      <c r="J445" s="173">
        <f t="shared" si="471"/>
        <v>0.29793656640554378</v>
      </c>
      <c r="K445" s="173" t="str">
        <f t="shared" si="471"/>
        <v>0.000</v>
      </c>
      <c r="L445" s="173">
        <f t="shared" si="471"/>
        <v>0.19761254551415558</v>
      </c>
      <c r="M445" s="173">
        <f t="shared" si="471"/>
        <v>1.0316330422219795</v>
      </c>
      <c r="N445" s="173">
        <f t="shared" si="471"/>
        <v>0.11627060607361717</v>
      </c>
      <c r="O445" s="173" t="str">
        <f t="shared" si="471"/>
        <v>0.000</v>
      </c>
      <c r="P445" s="173" t="str">
        <f t="shared" si="471"/>
        <v>0.000</v>
      </c>
      <c r="Q445" s="173" t="str">
        <f t="shared" si="471"/>
        <v>0.000</v>
      </c>
      <c r="R445" s="173" t="str">
        <f t="shared" si="471"/>
        <v>0.000</v>
      </c>
      <c r="S445" s="173" t="str">
        <f t="shared" si="471"/>
        <v>0.000</v>
      </c>
      <c r="T445" s="173" t="str">
        <f t="shared" si="471"/>
        <v>0.000</v>
      </c>
      <c r="U445" s="173" t="str">
        <f t="shared" si="471"/>
        <v>0.000</v>
      </c>
      <c r="V445" s="173" t="str">
        <f t="shared" si="471"/>
        <v>0.000</v>
      </c>
      <c r="W445" s="173" t="str">
        <f t="shared" ref="W445:AK445" si="472">IF(W427&lt;=0, "0.000", W427)</f>
        <v>0.000</v>
      </c>
      <c r="X445" s="173" t="str">
        <f t="shared" si="472"/>
        <v>0.000</v>
      </c>
      <c r="Y445" s="173" t="str">
        <f t="shared" si="472"/>
        <v>0.000</v>
      </c>
      <c r="Z445" s="173" t="str">
        <f t="shared" si="472"/>
        <v>0.000</v>
      </c>
      <c r="AA445" s="173" t="str">
        <f t="shared" si="472"/>
        <v>0.000</v>
      </c>
      <c r="AB445" s="173" t="str">
        <f t="shared" si="472"/>
        <v>0.000</v>
      </c>
      <c r="AC445" s="173" t="str">
        <f t="shared" si="472"/>
        <v>0.000</v>
      </c>
      <c r="AD445" s="173" t="str">
        <f t="shared" si="472"/>
        <v>0.000</v>
      </c>
      <c r="AE445" s="173" t="str">
        <f t="shared" si="472"/>
        <v>0.000</v>
      </c>
      <c r="AF445" s="173" t="str">
        <f t="shared" si="472"/>
        <v>0.000</v>
      </c>
      <c r="AG445" s="173" t="str">
        <f t="shared" si="472"/>
        <v>0.000</v>
      </c>
      <c r="AH445" s="173" t="str">
        <f t="shared" si="472"/>
        <v>0.000</v>
      </c>
      <c r="AI445" s="173" t="str">
        <f t="shared" si="472"/>
        <v>0.000</v>
      </c>
      <c r="AJ445" s="173" t="str">
        <f t="shared" si="472"/>
        <v>0.000</v>
      </c>
      <c r="AK445" s="173" t="str">
        <f t="shared" si="472"/>
        <v>0.000</v>
      </c>
      <c r="AL445" s="4"/>
      <c r="AM445" s="43">
        <v>429</v>
      </c>
      <c r="AN445">
        <v>230.31268995686537</v>
      </c>
      <c r="AO445">
        <v>15.414786059751076</v>
      </c>
      <c r="AP445">
        <v>115.03884924725111</v>
      </c>
      <c r="AQ445">
        <v>96.747072501460607</v>
      </c>
      <c r="AR445">
        <v>14.200898344806456</v>
      </c>
      <c r="AS445">
        <v>160.72800519353513</v>
      </c>
      <c r="AT445" t="e">
        <v>#DIV/0!</v>
      </c>
      <c r="AU445" t="e">
        <v>#DIV/0!</v>
      </c>
      <c r="AV445"/>
      <c r="AW445"/>
      <c r="FY445" s="210">
        <v>440</v>
      </c>
      <c r="FZ445">
        <v>4.3058257986785966</v>
      </c>
      <c r="GA445">
        <v>25.786516345457127</v>
      </c>
      <c r="GB445">
        <v>21.067579049942065</v>
      </c>
      <c r="GC445">
        <v>7.1596510145924039</v>
      </c>
      <c r="GD445">
        <v>2.6690567662981333</v>
      </c>
      <c r="GE445">
        <v>5.9906535658233899</v>
      </c>
      <c r="GF445">
        <v>6.6493416991049106</v>
      </c>
      <c r="GG445">
        <v>1.9723098486085839</v>
      </c>
      <c r="GH445">
        <v>1.4828991976416939</v>
      </c>
      <c r="GI445">
        <v>8.9171494773766273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462"/>
        <v>5.9967329069145201</v>
      </c>
      <c r="D446" s="191">
        <f>A$410</f>
        <v>0.21</v>
      </c>
      <c r="E446" s="8"/>
      <c r="F446" s="124"/>
      <c r="G446" s="173">
        <f t="shared" si="463"/>
        <v>1.1024898985367834E-2</v>
      </c>
      <c r="H446" s="173">
        <f t="shared" ref="H446:V446" si="473">IF(H428&lt;=0, "0.000", H428)</f>
        <v>0.20476150175464392</v>
      </c>
      <c r="I446" s="173">
        <f t="shared" si="473"/>
        <v>2.305668690747424</v>
      </c>
      <c r="J446" s="173">
        <f t="shared" si="473"/>
        <v>7.1312821061262466E-2</v>
      </c>
      <c r="K446" s="173" t="str">
        <f t="shared" si="473"/>
        <v>0.000</v>
      </c>
      <c r="L446" s="173">
        <f t="shared" si="473"/>
        <v>0.22524860985610518</v>
      </c>
      <c r="M446" s="173">
        <f t="shared" si="473"/>
        <v>2.9426937827075914</v>
      </c>
      <c r="N446" s="173">
        <f t="shared" si="473"/>
        <v>0.23602260180212481</v>
      </c>
      <c r="O446" s="173" t="str">
        <f t="shared" si="473"/>
        <v>0.000</v>
      </c>
      <c r="P446" s="173" t="str">
        <f t="shared" si="473"/>
        <v>0.000</v>
      </c>
      <c r="Q446" s="173" t="str">
        <f t="shared" si="473"/>
        <v>0.000</v>
      </c>
      <c r="R446" s="173" t="str">
        <f t="shared" si="473"/>
        <v>0.000</v>
      </c>
      <c r="S446" s="173" t="str">
        <f t="shared" si="473"/>
        <v>0.000</v>
      </c>
      <c r="T446" s="173" t="str">
        <f t="shared" si="473"/>
        <v>0.000</v>
      </c>
      <c r="U446" s="173" t="str">
        <f t="shared" si="473"/>
        <v>0.000</v>
      </c>
      <c r="V446" s="173" t="str">
        <f t="shared" si="473"/>
        <v>0.000</v>
      </c>
      <c r="W446" s="173" t="str">
        <f t="shared" ref="W446:AK446" si="474">IF(W428&lt;=0, "0.000", W428)</f>
        <v>0.000</v>
      </c>
      <c r="X446" s="173" t="str">
        <f t="shared" si="474"/>
        <v>0.000</v>
      </c>
      <c r="Y446" s="173" t="str">
        <f t="shared" si="474"/>
        <v>0.000</v>
      </c>
      <c r="Z446" s="173" t="str">
        <f t="shared" si="474"/>
        <v>0.000</v>
      </c>
      <c r="AA446" s="173" t="str">
        <f t="shared" si="474"/>
        <v>0.000</v>
      </c>
      <c r="AB446" s="173" t="str">
        <f t="shared" si="474"/>
        <v>0.000</v>
      </c>
      <c r="AC446" s="173" t="str">
        <f t="shared" si="474"/>
        <v>0.000</v>
      </c>
      <c r="AD446" s="173" t="str">
        <f t="shared" si="474"/>
        <v>0.000</v>
      </c>
      <c r="AE446" s="173" t="str">
        <f t="shared" si="474"/>
        <v>0.000</v>
      </c>
      <c r="AF446" s="173" t="str">
        <f t="shared" si="474"/>
        <v>0.000</v>
      </c>
      <c r="AG446" s="173" t="str">
        <f t="shared" si="474"/>
        <v>0.000</v>
      </c>
      <c r="AH446" s="173" t="str">
        <f t="shared" si="474"/>
        <v>0.000</v>
      </c>
      <c r="AI446" s="173" t="str">
        <f t="shared" si="474"/>
        <v>0.000</v>
      </c>
      <c r="AJ446" s="173" t="str">
        <f t="shared" si="474"/>
        <v>0.000</v>
      </c>
      <c r="AK446" s="173" t="str">
        <f t="shared" si="474"/>
        <v>0.000</v>
      </c>
      <c r="AL446" s="4"/>
      <c r="AM446" s="43">
        <v>430</v>
      </c>
      <c r="AN446">
        <v>219.50841364918475</v>
      </c>
      <c r="AO446">
        <v>12.579594276294568</v>
      </c>
      <c r="AP446">
        <v>95.250590270702503</v>
      </c>
      <c r="AQ446">
        <v>76.541995987664066</v>
      </c>
      <c r="AR446">
        <v>11.668170814046391</v>
      </c>
      <c r="AS446">
        <v>126.81497143493964</v>
      </c>
      <c r="AT446">
        <v>5.1700925723121971</v>
      </c>
      <c r="AU446">
        <v>-11.834615111482153</v>
      </c>
      <c r="AV446"/>
      <c r="AW446"/>
      <c r="FY446" s="210">
        <v>441</v>
      </c>
      <c r="FZ446">
        <v>7.346910436380087</v>
      </c>
      <c r="GA446">
        <v>21.521547028752398</v>
      </c>
      <c r="GB446">
        <v>19.433746251591458</v>
      </c>
      <c r="GC446">
        <v>10.53202499937311</v>
      </c>
      <c r="GD446">
        <v>4.6600008307217085</v>
      </c>
      <c r="GE446">
        <v>7.6419119976722403</v>
      </c>
      <c r="GF446">
        <v>8.5796815411395304</v>
      </c>
      <c r="GG446">
        <v>2.6194871980296712</v>
      </c>
      <c r="GH446">
        <v>2.6476283992168197</v>
      </c>
      <c r="GI446">
        <v>10.664813517202195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462"/>
        <v>3.9465766449221098</v>
      </c>
      <c r="D447" s="191">
        <f>A$411</f>
        <v>1.28</v>
      </c>
      <c r="E447" s="8"/>
      <c r="F447" s="124"/>
      <c r="G447" s="173" t="str">
        <f t="shared" si="463"/>
        <v>0.000</v>
      </c>
      <c r="H447" s="173">
        <f t="shared" ref="H447:V447" si="475">IF(H429&lt;=0, "0.000", H429)</f>
        <v>2.3772717452186468E-2</v>
      </c>
      <c r="I447" s="173">
        <f t="shared" si="475"/>
        <v>0.25353451228782276</v>
      </c>
      <c r="J447" s="173">
        <f t="shared" si="475"/>
        <v>1.6073620175045182</v>
      </c>
      <c r="K447" s="173" t="str">
        <f t="shared" si="475"/>
        <v>0.000</v>
      </c>
      <c r="L447" s="173">
        <f t="shared" si="475"/>
        <v>0.19695118305515708</v>
      </c>
      <c r="M447" s="173">
        <f t="shared" si="475"/>
        <v>1.8649562146224254</v>
      </c>
      <c r="N447" s="173" t="str">
        <f t="shared" si="475"/>
        <v>0.000</v>
      </c>
      <c r="O447" s="173" t="str">
        <f t="shared" si="475"/>
        <v>0.000</v>
      </c>
      <c r="P447" s="173" t="str">
        <f t="shared" si="475"/>
        <v>0.000</v>
      </c>
      <c r="Q447" s="173" t="str">
        <f t="shared" si="475"/>
        <v>0.000</v>
      </c>
      <c r="R447" s="173" t="str">
        <f t="shared" si="475"/>
        <v>0.000</v>
      </c>
      <c r="S447" s="173" t="str">
        <f t="shared" si="475"/>
        <v>0.000</v>
      </c>
      <c r="T447" s="173" t="str">
        <f t="shared" si="475"/>
        <v>0.000</v>
      </c>
      <c r="U447" s="173" t="str">
        <f t="shared" si="475"/>
        <v>0.000</v>
      </c>
      <c r="V447" s="173" t="str">
        <f t="shared" si="475"/>
        <v>0.000</v>
      </c>
      <c r="W447" s="173" t="str">
        <f t="shared" ref="W447:AK447" si="476">IF(W429&lt;=0, "0.000", W429)</f>
        <v>0.000</v>
      </c>
      <c r="X447" s="173" t="str">
        <f t="shared" si="476"/>
        <v>0.000</v>
      </c>
      <c r="Y447" s="173" t="str">
        <f t="shared" si="476"/>
        <v>0.000</v>
      </c>
      <c r="Z447" s="173" t="str">
        <f t="shared" si="476"/>
        <v>0.000</v>
      </c>
      <c r="AA447" s="173" t="str">
        <f t="shared" si="476"/>
        <v>0.000</v>
      </c>
      <c r="AB447" s="173" t="str">
        <f t="shared" si="476"/>
        <v>0.000</v>
      </c>
      <c r="AC447" s="173" t="str">
        <f t="shared" si="476"/>
        <v>0.000</v>
      </c>
      <c r="AD447" s="173" t="str">
        <f t="shared" si="476"/>
        <v>0.000</v>
      </c>
      <c r="AE447" s="173" t="str">
        <f t="shared" si="476"/>
        <v>0.000</v>
      </c>
      <c r="AF447" s="173" t="str">
        <f t="shared" si="476"/>
        <v>0.000</v>
      </c>
      <c r="AG447" s="173" t="str">
        <f t="shared" si="476"/>
        <v>0.000</v>
      </c>
      <c r="AH447" s="173" t="str">
        <f t="shared" si="476"/>
        <v>0.000</v>
      </c>
      <c r="AI447" s="173" t="str">
        <f t="shared" si="476"/>
        <v>0.000</v>
      </c>
      <c r="AJ447" s="173" t="str">
        <f t="shared" si="476"/>
        <v>0.000</v>
      </c>
      <c r="AK447" s="173" t="str">
        <f t="shared" si="476"/>
        <v>0.000</v>
      </c>
      <c r="AL447" s="4"/>
      <c r="AM447" s="43">
        <v>431</v>
      </c>
      <c r="AN447">
        <v>170.57454960928195</v>
      </c>
      <c r="AO447">
        <v>12.992164994030393</v>
      </c>
      <c r="AP447">
        <v>99.211363487515271</v>
      </c>
      <c r="AQ447">
        <v>80.209989968717522</v>
      </c>
      <c r="AR447">
        <v>12.191221841861134</v>
      </c>
      <c r="AS447">
        <v>121.04583704349193</v>
      </c>
      <c r="AT447">
        <v>6.0672798494533602</v>
      </c>
      <c r="AU447">
        <v>139.81353920005222</v>
      </c>
      <c r="AV447"/>
      <c r="AW447"/>
      <c r="FY447" s="210">
        <v>442</v>
      </c>
      <c r="FZ447">
        <v>10.333092885343923</v>
      </c>
      <c r="GA447">
        <v>33.102578937253618</v>
      </c>
      <c r="GB447">
        <v>25.125337873636941</v>
      </c>
      <c r="GC447">
        <v>10.759557942047108</v>
      </c>
      <c r="GD447">
        <v>3.5070831087873842</v>
      </c>
      <c r="GE447">
        <v>2.8060202314880702</v>
      </c>
      <c r="GF447">
        <v>2.6753232587571909</v>
      </c>
      <c r="GG447">
        <v>3.7137080200422385</v>
      </c>
      <c r="GH447">
        <v>4.980021200581076</v>
      </c>
      <c r="GI447">
        <v>11.10583488125922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462"/>
        <v>3.396514852015057</v>
      </c>
      <c r="D448" s="191">
        <f>A$412</f>
        <v>4</v>
      </c>
      <c r="E448" s="8"/>
      <c r="F448" s="124"/>
      <c r="G448" s="173" t="str">
        <f t="shared" si="463"/>
        <v>0.000</v>
      </c>
      <c r="H448" s="173" t="str">
        <f t="shared" ref="H448:V448" si="477">IF(H430&lt;=0, "0.000", H430)</f>
        <v>0.000</v>
      </c>
      <c r="I448" s="173">
        <f t="shared" si="477"/>
        <v>0.39422437698381219</v>
      </c>
      <c r="J448" s="173">
        <f t="shared" si="477"/>
        <v>1.3969287252787104</v>
      </c>
      <c r="K448" s="173" t="str">
        <f t="shared" si="477"/>
        <v>0.000</v>
      </c>
      <c r="L448" s="173" t="str">
        <f t="shared" si="477"/>
        <v>0.000</v>
      </c>
      <c r="M448" s="173">
        <f t="shared" si="477"/>
        <v>1.6053617497525345</v>
      </c>
      <c r="N448" s="173" t="str">
        <f t="shared" si="477"/>
        <v>0.000</v>
      </c>
      <c r="O448" s="173" t="str">
        <f t="shared" si="477"/>
        <v>0.000</v>
      </c>
      <c r="P448" s="173" t="str">
        <f t="shared" si="477"/>
        <v>0.000</v>
      </c>
      <c r="Q448" s="173" t="str">
        <f t="shared" si="477"/>
        <v>0.000</v>
      </c>
      <c r="R448" s="173" t="str">
        <f t="shared" si="477"/>
        <v>0.000</v>
      </c>
      <c r="S448" s="173" t="str">
        <f t="shared" si="477"/>
        <v>0.000</v>
      </c>
      <c r="T448" s="173" t="str">
        <f t="shared" si="477"/>
        <v>0.000</v>
      </c>
      <c r="U448" s="173" t="str">
        <f t="shared" si="477"/>
        <v>0.000</v>
      </c>
      <c r="V448" s="173" t="str">
        <f t="shared" si="477"/>
        <v>0.000</v>
      </c>
      <c r="W448" s="173" t="str">
        <f t="shared" ref="W448:AK448" si="478">IF(W430&lt;=0, "0.000", W430)</f>
        <v>0.000</v>
      </c>
      <c r="X448" s="173" t="str">
        <f t="shared" si="478"/>
        <v>0.000</v>
      </c>
      <c r="Y448" s="173" t="str">
        <f t="shared" si="478"/>
        <v>0.000</v>
      </c>
      <c r="Z448" s="173" t="str">
        <f t="shared" si="478"/>
        <v>0.000</v>
      </c>
      <c r="AA448" s="173" t="str">
        <f t="shared" si="478"/>
        <v>0.000</v>
      </c>
      <c r="AB448" s="173" t="str">
        <f t="shared" si="478"/>
        <v>0.000</v>
      </c>
      <c r="AC448" s="173" t="str">
        <f t="shared" si="478"/>
        <v>0.000</v>
      </c>
      <c r="AD448" s="173" t="str">
        <f t="shared" si="478"/>
        <v>0.000</v>
      </c>
      <c r="AE448" s="173" t="str">
        <f t="shared" si="478"/>
        <v>0.000</v>
      </c>
      <c r="AF448" s="173" t="str">
        <f t="shared" si="478"/>
        <v>0.000</v>
      </c>
      <c r="AG448" s="173" t="str">
        <f t="shared" si="478"/>
        <v>0.000</v>
      </c>
      <c r="AH448" s="173" t="str">
        <f t="shared" si="478"/>
        <v>0.000</v>
      </c>
      <c r="AI448" s="173" t="str">
        <f t="shared" si="478"/>
        <v>0.000</v>
      </c>
      <c r="AJ448" s="173" t="str">
        <f t="shared" si="478"/>
        <v>0.000</v>
      </c>
      <c r="AK448" s="173" t="str">
        <f t="shared" si="478"/>
        <v>0.000</v>
      </c>
      <c r="AL448" s="4"/>
      <c r="AM448" s="43">
        <v>432</v>
      </c>
      <c r="AN448">
        <v>201.61416210977649</v>
      </c>
      <c r="AO448">
        <v>17.564593928968794</v>
      </c>
      <c r="AP448">
        <v>146.69084996112923</v>
      </c>
      <c r="AQ448">
        <v>111.645285269827</v>
      </c>
      <c r="AR448">
        <v>16.29226060400492</v>
      </c>
      <c r="AS448">
        <v>154.58938799520678</v>
      </c>
      <c r="AT448">
        <v>7.3435869825294064</v>
      </c>
      <c r="AU448">
        <v>-19.094460092083139</v>
      </c>
      <c r="AV448"/>
      <c r="AW448"/>
      <c r="FY448" s="210">
        <v>443</v>
      </c>
      <c r="FZ448">
        <v>2.0689609749526281</v>
      </c>
      <c r="GA448">
        <v>16.569295720884771</v>
      </c>
      <c r="GB448">
        <v>18.757739850289035</v>
      </c>
      <c r="GC448">
        <v>9.0831780040915966</v>
      </c>
      <c r="GD448">
        <v>3.0899216563810836</v>
      </c>
      <c r="GE448">
        <v>2.0935992170265565</v>
      </c>
      <c r="GF448">
        <v>1.8295195676070612</v>
      </c>
      <c r="GG448">
        <v>1.5160760776420703</v>
      </c>
      <c r="GH448">
        <v>2.0652637984292568</v>
      </c>
      <c r="GI448">
        <v>7.4297200677230979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462"/>
        <v>2.9761153791573811</v>
      </c>
      <c r="D449" s="191">
        <f>A$413</f>
        <v>7.33</v>
      </c>
      <c r="E449" s="8"/>
      <c r="F449" s="124"/>
      <c r="G449" s="173" t="str">
        <f t="shared" si="463"/>
        <v>0.000</v>
      </c>
      <c r="H449" s="173">
        <f t="shared" ref="H449:V449" si="479">IF(H431&lt;=0, "0.000", H431)</f>
        <v>1.4788136611138461E-2</v>
      </c>
      <c r="I449" s="173">
        <f t="shared" si="479"/>
        <v>0.22945057576070854</v>
      </c>
      <c r="J449" s="173">
        <f t="shared" si="479"/>
        <v>0.27529144850213855</v>
      </c>
      <c r="K449" s="173" t="str">
        <f t="shared" si="479"/>
        <v>0.000</v>
      </c>
      <c r="L449" s="173" t="str">
        <f t="shared" si="479"/>
        <v>0.000</v>
      </c>
      <c r="M449" s="173">
        <f t="shared" si="479"/>
        <v>2.4565852182833958</v>
      </c>
      <c r="N449" s="173" t="str">
        <f t="shared" si="479"/>
        <v>0.000</v>
      </c>
      <c r="O449" s="173" t="str">
        <f t="shared" si="479"/>
        <v>0.000</v>
      </c>
      <c r="P449" s="173" t="str">
        <f t="shared" si="479"/>
        <v>0.000</v>
      </c>
      <c r="Q449" s="173" t="str">
        <f t="shared" si="479"/>
        <v>0.000</v>
      </c>
      <c r="R449" s="173" t="str">
        <f t="shared" si="479"/>
        <v>0.000</v>
      </c>
      <c r="S449" s="173" t="str">
        <f t="shared" si="479"/>
        <v>0.000</v>
      </c>
      <c r="T449" s="173" t="str">
        <f t="shared" si="479"/>
        <v>0.000</v>
      </c>
      <c r="U449" s="173" t="str">
        <f t="shared" si="479"/>
        <v>0.000</v>
      </c>
      <c r="V449" s="173" t="str">
        <f t="shared" si="479"/>
        <v>0.000</v>
      </c>
      <c r="W449" s="173" t="str">
        <f t="shared" ref="W449:AK449" si="480">IF(W431&lt;=0, "0.000", W431)</f>
        <v>0.000</v>
      </c>
      <c r="X449" s="173" t="str">
        <f t="shared" si="480"/>
        <v>0.000</v>
      </c>
      <c r="Y449" s="173" t="str">
        <f t="shared" si="480"/>
        <v>0.000</v>
      </c>
      <c r="Z449" s="173" t="str">
        <f t="shared" si="480"/>
        <v>0.000</v>
      </c>
      <c r="AA449" s="173" t="str">
        <f t="shared" si="480"/>
        <v>0.000</v>
      </c>
      <c r="AB449" s="173" t="str">
        <f t="shared" si="480"/>
        <v>0.000</v>
      </c>
      <c r="AC449" s="173" t="str">
        <f t="shared" si="480"/>
        <v>0.000</v>
      </c>
      <c r="AD449" s="173" t="str">
        <f t="shared" si="480"/>
        <v>0.000</v>
      </c>
      <c r="AE449" s="173" t="str">
        <f t="shared" si="480"/>
        <v>0.000</v>
      </c>
      <c r="AF449" s="173" t="str">
        <f t="shared" si="480"/>
        <v>0.000</v>
      </c>
      <c r="AG449" s="173" t="str">
        <f t="shared" si="480"/>
        <v>0.000</v>
      </c>
      <c r="AH449" s="173" t="str">
        <f t="shared" si="480"/>
        <v>0.000</v>
      </c>
      <c r="AI449" s="173" t="str">
        <f t="shared" si="480"/>
        <v>0.000</v>
      </c>
      <c r="AJ449" s="173" t="str">
        <f t="shared" si="480"/>
        <v>0.000</v>
      </c>
      <c r="AK449" s="173" t="str">
        <f t="shared" si="480"/>
        <v>0.000</v>
      </c>
      <c r="AL449" s="4"/>
      <c r="AM449" s="43">
        <v>433</v>
      </c>
      <c r="AN449">
        <v>164.66986510657267</v>
      </c>
      <c r="AO449">
        <v>14.045197734865761</v>
      </c>
      <c r="AP449">
        <v>115.76777497141195</v>
      </c>
      <c r="AQ449">
        <v>89.058792729306163</v>
      </c>
      <c r="AR449">
        <v>13.165798722001439</v>
      </c>
      <c r="AS449">
        <v>135.55177034004558</v>
      </c>
      <c r="AT449">
        <v>6.00885121328501</v>
      </c>
      <c r="AU449">
        <v>-14.949138827720464</v>
      </c>
      <c r="AV449"/>
      <c r="AW449"/>
      <c r="FY449" s="210">
        <v>444</v>
      </c>
      <c r="FZ449">
        <v>4.2718649341008881</v>
      </c>
      <c r="GA449">
        <v>28.176197582986447</v>
      </c>
      <c r="GB449">
        <v>31.099094894917446</v>
      </c>
      <c r="GC449">
        <v>13.981992150339252</v>
      </c>
      <c r="GD449">
        <v>3.9720940145529267</v>
      </c>
      <c r="GE449">
        <v>3.9516111498931439</v>
      </c>
      <c r="GF449">
        <v>3.5453947500597991</v>
      </c>
      <c r="GG449">
        <v>2.1958315849043233</v>
      </c>
      <c r="GH449">
        <v>4.2659377447410112</v>
      </c>
      <c r="GI449">
        <v>12.06047723902949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462"/>
        <v>9.685008905474044</v>
      </c>
      <c r="D450" s="191">
        <f>A$414</f>
        <v>10.51</v>
      </c>
      <c r="E450" s="8"/>
      <c r="F450" s="124"/>
      <c r="G450" s="173">
        <f t="shared" si="463"/>
        <v>3.0778904794329463E-3</v>
      </c>
      <c r="H450" s="173">
        <f t="shared" ref="H450:V450" si="481">IF(H432&lt;=0, "0.000", H432)</f>
        <v>9.3189560379152214E-2</v>
      </c>
      <c r="I450" s="173">
        <f t="shared" si="481"/>
        <v>2.0241103954466921</v>
      </c>
      <c r="J450" s="173">
        <f t="shared" si="481"/>
        <v>1.3134614937786184</v>
      </c>
      <c r="K450" s="173">
        <f t="shared" si="481"/>
        <v>1.1672278238554274</v>
      </c>
      <c r="L450" s="173">
        <f t="shared" si="481"/>
        <v>1.1966069502416465</v>
      </c>
      <c r="M450" s="173">
        <f t="shared" si="481"/>
        <v>2.9757885566718048</v>
      </c>
      <c r="N450" s="173">
        <f t="shared" si="481"/>
        <v>0.91154623462126994</v>
      </c>
      <c r="O450" s="173" t="str">
        <f t="shared" si="481"/>
        <v>0.000</v>
      </c>
      <c r="P450" s="173" t="str">
        <f t="shared" si="481"/>
        <v>0.000</v>
      </c>
      <c r="Q450" s="173" t="str">
        <f t="shared" si="481"/>
        <v>0.000</v>
      </c>
      <c r="R450" s="173" t="str">
        <f t="shared" si="481"/>
        <v>0.000</v>
      </c>
      <c r="S450" s="173" t="str">
        <f t="shared" si="481"/>
        <v>0.000</v>
      </c>
      <c r="T450" s="173" t="str">
        <f t="shared" si="481"/>
        <v>0.000</v>
      </c>
      <c r="U450" s="173" t="str">
        <f t="shared" si="481"/>
        <v>0.000</v>
      </c>
      <c r="V450" s="173" t="str">
        <f t="shared" si="481"/>
        <v>0.000</v>
      </c>
      <c r="W450" s="173" t="str">
        <f t="shared" ref="W450:AK450" si="482">IF(W432&lt;=0, "0.000", W432)</f>
        <v>0.000</v>
      </c>
      <c r="X450" s="173" t="str">
        <f t="shared" si="482"/>
        <v>0.000</v>
      </c>
      <c r="Y450" s="173" t="str">
        <f t="shared" si="482"/>
        <v>0.000</v>
      </c>
      <c r="Z450" s="173" t="str">
        <f t="shared" si="482"/>
        <v>0.000</v>
      </c>
      <c r="AA450" s="173" t="str">
        <f t="shared" si="482"/>
        <v>0.000</v>
      </c>
      <c r="AB450" s="173" t="str">
        <f t="shared" si="482"/>
        <v>0.000</v>
      </c>
      <c r="AC450" s="173" t="str">
        <f t="shared" si="482"/>
        <v>0.000</v>
      </c>
      <c r="AD450" s="173" t="str">
        <f t="shared" si="482"/>
        <v>0.000</v>
      </c>
      <c r="AE450" s="173" t="str">
        <f t="shared" si="482"/>
        <v>0.000</v>
      </c>
      <c r="AF450" s="173" t="str">
        <f t="shared" si="482"/>
        <v>0.000</v>
      </c>
      <c r="AG450" s="173" t="str">
        <f t="shared" si="482"/>
        <v>0.000</v>
      </c>
      <c r="AH450" s="173" t="str">
        <f t="shared" si="482"/>
        <v>0.000</v>
      </c>
      <c r="AI450" s="173" t="str">
        <f t="shared" si="482"/>
        <v>0.000</v>
      </c>
      <c r="AJ450" s="173" t="str">
        <f t="shared" si="482"/>
        <v>0.000</v>
      </c>
      <c r="AK450" s="173" t="str">
        <f t="shared" si="482"/>
        <v>0.000</v>
      </c>
      <c r="AL450" s="4"/>
      <c r="AM450" s="43">
        <v>434</v>
      </c>
      <c r="AN450">
        <v>274.25377914410279</v>
      </c>
      <c r="AO450">
        <v>17.919104324358834</v>
      </c>
      <c r="AP450">
        <v>129.96665434841344</v>
      </c>
      <c r="AQ450">
        <v>103.69239521216741</v>
      </c>
      <c r="AR450">
        <v>16.566047086990846</v>
      </c>
      <c r="AS450">
        <v>178.60022330467237</v>
      </c>
      <c r="AT450">
        <v>7.1597168963337587</v>
      </c>
      <c r="AU450">
        <v>-16.993238540536314</v>
      </c>
      <c r="AV450"/>
      <c r="AW450"/>
      <c r="FY450" s="210">
        <v>445</v>
      </c>
      <c r="FZ450">
        <v>3.9908708302659903</v>
      </c>
      <c r="GA450">
        <v>18.319372529081523</v>
      </c>
      <c r="GB450">
        <v>17.559968449295933</v>
      </c>
      <c r="GC450">
        <v>8.5670106371038806</v>
      </c>
      <c r="GD450">
        <v>3.256783672085199</v>
      </c>
      <c r="GE450">
        <v>6.6913946752380049</v>
      </c>
      <c r="GF450">
        <v>9.0403014434272446</v>
      </c>
      <c r="GG450">
        <v>1.9741102061044287</v>
      </c>
      <c r="GH450">
        <v>2.2006739463117539</v>
      </c>
      <c r="GI450">
        <v>8.8982954810482067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275.27541942088794</v>
      </c>
      <c r="AO451">
        <v>17.982776559507446</v>
      </c>
      <c r="AP451">
        <v>124.82426068218432</v>
      </c>
      <c r="AQ451">
        <v>101.08556475615717</v>
      </c>
      <c r="AR451">
        <v>16.359543870402895</v>
      </c>
      <c r="AS451">
        <v>153.16013315987973</v>
      </c>
      <c r="AT451">
        <v>7.6149876474660205</v>
      </c>
      <c r="AU451">
        <v>-49.552165742254125</v>
      </c>
      <c r="AV451"/>
      <c r="AW451"/>
      <c r="FY451" s="210">
        <v>446</v>
      </c>
      <c r="FZ451">
        <v>3.9966705411104182</v>
      </c>
      <c r="GA451">
        <v>19.050818625799437</v>
      </c>
      <c r="GB451">
        <v>22.404168389579425</v>
      </c>
      <c r="GC451">
        <v>12.297404750906381</v>
      </c>
      <c r="GD451">
        <v>4.8640108135980062</v>
      </c>
      <c r="GE451">
        <v>8.4036878382042985</v>
      </c>
      <c r="GF451">
        <v>9.6833897932970459</v>
      </c>
      <c r="GG451">
        <v>2.843008934325411</v>
      </c>
      <c r="GH451">
        <v>4.0054344328500111</v>
      </c>
      <c r="GI451">
        <v>11.484719774360959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237.70145855528557</v>
      </c>
      <c r="AO452">
        <v>14.3959526319525</v>
      </c>
      <c r="AP452">
        <v>103.30346857469237</v>
      </c>
      <c r="AQ452">
        <v>84.40059065365233</v>
      </c>
      <c r="AR452">
        <v>13.078946460914183</v>
      </c>
      <c r="AS452">
        <v>134.1671172365327</v>
      </c>
      <c r="AT452">
        <v>5.9155058359071733</v>
      </c>
      <c r="AU452">
        <v>-1.8854034918248179</v>
      </c>
      <c r="AV452"/>
      <c r="AW452"/>
      <c r="FY452" s="210">
        <v>447</v>
      </c>
      <c r="FZ452">
        <v>4.0442648748235044</v>
      </c>
      <c r="GA452">
        <v>26.765051192764496</v>
      </c>
      <c r="GB452">
        <v>18.041900679447007</v>
      </c>
      <c r="GC452">
        <v>6.3146705016886946</v>
      </c>
      <c r="GD452">
        <v>3.4183000613445529</v>
      </c>
      <c r="GE452">
        <v>2.9741431505085756</v>
      </c>
      <c r="GF452">
        <v>1.915416528459934</v>
      </c>
      <c r="GG452">
        <v>2.0677816378358704</v>
      </c>
      <c r="GH452">
        <v>1.161037908745131</v>
      </c>
      <c r="GI452">
        <v>7.5900891720555403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93.653342897565551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212.16502576539398</v>
      </c>
      <c r="AO453">
        <v>16.140504603668298</v>
      </c>
      <c r="AP453">
        <v>128.43405603598092</v>
      </c>
      <c r="AQ453">
        <v>101.98239832020477</v>
      </c>
      <c r="AR453">
        <v>14.93172918829989</v>
      </c>
      <c r="AS453">
        <v>156.76074325177922</v>
      </c>
      <c r="AT453">
        <v>6.9760689104021738</v>
      </c>
      <c r="AU453">
        <v>-17.954420374541183</v>
      </c>
      <c r="AV453"/>
      <c r="AW453"/>
      <c r="FY453" s="210">
        <v>448</v>
      </c>
      <c r="FZ453">
        <v>7.2098265050919679</v>
      </c>
      <c r="GA453">
        <v>29.3932209361001</v>
      </c>
      <c r="GB453">
        <v>27.053404641778702</v>
      </c>
      <c r="GC453">
        <v>12.044657563084559</v>
      </c>
      <c r="GD453">
        <v>3.114696104739362</v>
      </c>
      <c r="GE453">
        <v>4.4463597742284957</v>
      </c>
      <c r="GF453">
        <v>6.680263118679493</v>
      </c>
      <c r="GG453">
        <v>2.2913033741316107</v>
      </c>
      <c r="GH453">
        <v>2.8407052312748844</v>
      </c>
      <c r="GI453">
        <v>11.373043007977037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227.43963322307022</v>
      </c>
      <c r="AO454">
        <v>19.327636449321165</v>
      </c>
      <c r="AP454">
        <v>152.79760318246622</v>
      </c>
      <c r="AQ454">
        <v>119.44527462642597</v>
      </c>
      <c r="AR454">
        <v>17.80707987719348</v>
      </c>
      <c r="AS454">
        <v>170.17012903416634</v>
      </c>
      <c r="AT454" t="e">
        <v>#DIV/0!</v>
      </c>
      <c r="AU454" t="e">
        <v>#DIV/0!</v>
      </c>
      <c r="AV454"/>
      <c r="AW454"/>
      <c r="FY454" s="210">
        <v>449</v>
      </c>
      <c r="FZ454">
        <v>3.5267066056100278</v>
      </c>
      <c r="GA454">
        <v>25.630000450742116</v>
      </c>
      <c r="GB454">
        <v>24.329358065252638</v>
      </c>
      <c r="GC454">
        <v>10.746714259141292</v>
      </c>
      <c r="GD454">
        <v>4.8197146394547117</v>
      </c>
      <c r="GE454">
        <v>7.6974028509792971</v>
      </c>
      <c r="GF454">
        <v>7.6279618766823933</v>
      </c>
      <c r="GG454">
        <v>6.1923542576367332</v>
      </c>
      <c r="GH454">
        <v>6.2624609805047147</v>
      </c>
      <c r="GI454">
        <v>11.823891493388087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175.12355308951155</v>
      </c>
      <c r="AO455">
        <v>14.404870585748132</v>
      </c>
      <c r="AP455">
        <v>111.09226583114101</v>
      </c>
      <c r="AQ455">
        <v>87.205613169224705</v>
      </c>
      <c r="AR455">
        <v>13.380029647295492</v>
      </c>
      <c r="AS455">
        <v>124.7561349022867</v>
      </c>
      <c r="AT455">
        <v>6.3418844661834681</v>
      </c>
      <c r="AU455">
        <v>-19.858908224436256</v>
      </c>
      <c r="AV455"/>
      <c r="AW455"/>
      <c r="FY455" s="210">
        <v>450</v>
      </c>
      <c r="FZ455">
        <v>6.8072615718833385</v>
      </c>
      <c r="GA455">
        <v>35.607936719632001</v>
      </c>
      <c r="GB455">
        <v>29.821542505917147</v>
      </c>
      <c r="GC455">
        <v>11.435653532969464</v>
      </c>
      <c r="GD455">
        <v>4.0279639511258569</v>
      </c>
      <c r="GE455">
        <v>5.4265493457727683</v>
      </c>
      <c r="GF455">
        <v>4.4071965472098258</v>
      </c>
      <c r="GG455">
        <v>3.7137080200422385</v>
      </c>
      <c r="GH455">
        <v>3.2329273982183868</v>
      </c>
      <c r="GI455">
        <v>12.117167983348983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185.56348112473</v>
      </c>
      <c r="AO456">
        <v>13.34454543790352</v>
      </c>
      <c r="AP456">
        <v>110.96815464726077</v>
      </c>
      <c r="AQ456">
        <v>86.000982763523538</v>
      </c>
      <c r="AR456">
        <v>12.235263705252031</v>
      </c>
      <c r="AS456">
        <v>117.32378828803022</v>
      </c>
      <c r="AT456">
        <v>5.4426878981505524</v>
      </c>
      <c r="AU456">
        <v>-3.4198654464554279</v>
      </c>
      <c r="AV456"/>
      <c r="AW456"/>
      <c r="FY456" s="210">
        <v>451</v>
      </c>
      <c r="FZ456">
        <v>7.1174149073444832</v>
      </c>
      <c r="GA456">
        <v>27.665973068316191</v>
      </c>
      <c r="GB456">
        <v>15.347425029501281</v>
      </c>
      <c r="GC456">
        <v>5.5425729125492484</v>
      </c>
      <c r="GD456">
        <v>3.4779726766973447</v>
      </c>
      <c r="GE456">
        <v>4.3203327596800403</v>
      </c>
      <c r="GF456">
        <v>3.0031266746175542</v>
      </c>
      <c r="GG456">
        <v>3.7462861778834036</v>
      </c>
      <c r="GH456">
        <v>4.9125947207481406</v>
      </c>
      <c r="GI456">
        <v>8.255660388813876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9.0587371312161231</v>
      </c>
      <c r="E457" s="97">
        <f>+G36</f>
        <v>4.6507158099826139E-4</v>
      </c>
      <c r="F457" s="102">
        <f>+D457-D459</f>
        <v>-26.904934691665606</v>
      </c>
      <c r="G457" s="101">
        <f>+D457*E457</f>
        <v>4.2129611994623376E-3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248.19636104139289</v>
      </c>
      <c r="AO457">
        <v>15.881225253625971</v>
      </c>
      <c r="AP457">
        <v>116.23079852809887</v>
      </c>
      <c r="AQ457">
        <v>95.647752200079225</v>
      </c>
      <c r="AR457">
        <v>14.604085730054898</v>
      </c>
      <c r="AS457">
        <v>146.48561237429814</v>
      </c>
      <c r="AT457">
        <v>6.7389851925686832</v>
      </c>
      <c r="AU457">
        <v>-7.8249223240504877</v>
      </c>
      <c r="AV457"/>
      <c r="AW457"/>
      <c r="FY457" s="210">
        <v>452</v>
      </c>
      <c r="FZ457">
        <v>7.0958343783483837</v>
      </c>
      <c r="GA457">
        <v>22.050184839011219</v>
      </c>
      <c r="GB457">
        <v>19.828628544711997</v>
      </c>
      <c r="GC457">
        <v>9.7513087821835782</v>
      </c>
      <c r="GD457">
        <v>4.7945897993908382</v>
      </c>
      <c r="GE457">
        <v>6.7510465534610304</v>
      </c>
      <c r="GF457">
        <v>4.274380060782474</v>
      </c>
      <c r="GG457">
        <v>1.1034111203876014</v>
      </c>
      <c r="GH457">
        <v>0.32186128889656296</v>
      </c>
      <c r="GI457">
        <v>9.6741392900085401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1.2785642757440429E-3</v>
      </c>
      <c r="I458" s="101">
        <f>+H458*F457</f>
        <v>-3.439968833799021E-2</v>
      </c>
      <c r="J458" s="101">
        <f>+I458*$A$440</f>
        <v>-0.24079781836593148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185.2666049619634</v>
      </c>
      <c r="AO458">
        <v>16.437107529816476</v>
      </c>
      <c r="AP458">
        <v>136.50280437398527</v>
      </c>
      <c r="AQ458">
        <v>108.10855833919678</v>
      </c>
      <c r="AR458">
        <v>15.479150689496592</v>
      </c>
      <c r="AS458">
        <v>163.80291140101528</v>
      </c>
      <c r="AT458">
        <v>7.5511990053773239</v>
      </c>
      <c r="AU458">
        <v>-18.879777234820395</v>
      </c>
      <c r="AV458"/>
      <c r="AW458"/>
      <c r="FY458" s="210">
        <v>453</v>
      </c>
      <c r="FZ458">
        <v>9.7270462278166789</v>
      </c>
      <c r="GA458">
        <v>33.610563285078626</v>
      </c>
      <c r="GB458">
        <v>23.984674600599572</v>
      </c>
      <c r="GC458">
        <v>9.0791015720759169</v>
      </c>
      <c r="GD458">
        <v>4.6966856910235544</v>
      </c>
      <c r="GE458">
        <v>9.9703539188765262</v>
      </c>
      <c r="GF458">
        <v>6.5783680518267236</v>
      </c>
      <c r="GG458">
        <v>0.86889872822098235</v>
      </c>
      <c r="GH458">
        <v>2.0652637984292568</v>
      </c>
      <c r="GI458">
        <v>11.723055061823823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35.963671822881729</v>
      </c>
      <c r="E459" s="97">
        <f>+H36</f>
        <v>3.5150000000000003E-3</v>
      </c>
      <c r="F459" s="102">
        <f>+D459-D461</f>
        <v>-68.490949053059836</v>
      </c>
      <c r="G459" s="101">
        <f>+D459*E459</f>
        <v>0.12641230645742929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149.43273041691359</v>
      </c>
      <c r="AO459">
        <v>11.009276517834094</v>
      </c>
      <c r="AP459">
        <v>82.37843188966842</v>
      </c>
      <c r="AQ459">
        <v>64.503274935027164</v>
      </c>
      <c r="AR459">
        <v>10.35424946875214</v>
      </c>
      <c r="AS459">
        <v>111.84633783652833</v>
      </c>
      <c r="AT459">
        <v>4.6918717539089725</v>
      </c>
      <c r="AU459">
        <v>-13.174140725712135</v>
      </c>
      <c r="AV459"/>
      <c r="AW459"/>
      <c r="FY459" s="210">
        <v>454</v>
      </c>
      <c r="FZ459">
        <v>4.6797257746033676</v>
      </c>
      <c r="GA459">
        <v>24.948808161269362</v>
      </c>
      <c r="GB459">
        <v>22.204004349052724</v>
      </c>
      <c r="GC459">
        <v>9.3784199509924786</v>
      </c>
      <c r="GD459">
        <v>4.2879387720345168</v>
      </c>
      <c r="GE459">
        <v>5.9348482989759193</v>
      </c>
      <c r="GF459">
        <v>3.0180499881922387</v>
      </c>
      <c r="GG459">
        <v>2.5130247529315048</v>
      </c>
      <c r="GH459">
        <v>4.2622464519110155</v>
      </c>
      <c r="GI459">
        <v>9.9832202636756087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9.6633585298713659E-3</v>
      </c>
      <c r="I460" s="101">
        <f>+H460*F459</f>
        <v>-0.66185259675087094</v>
      </c>
      <c r="J460" s="101">
        <f>+I460*$A$440</f>
        <v>-4.6329681772560969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185.69786544999528</v>
      </c>
      <c r="AO460">
        <v>18.007865449402527</v>
      </c>
      <c r="AP460">
        <v>140.15912293706782</v>
      </c>
      <c r="AQ460">
        <v>107.52049604552472</v>
      </c>
      <c r="AR460">
        <v>16.846402353317956</v>
      </c>
      <c r="AS460">
        <v>162.96681420581683</v>
      </c>
      <c r="AT460">
        <v>7.4160340403974159</v>
      </c>
      <c r="AU460">
        <v>-25.017108296152934</v>
      </c>
      <c r="AV460"/>
      <c r="AW460"/>
      <c r="FY460" s="210">
        <v>455</v>
      </c>
      <c r="FZ460">
        <v>4.3962096567505817</v>
      </c>
      <c r="GA460">
        <v>23.070703109120426</v>
      </c>
      <c r="GB460">
        <v>19.335142979160015</v>
      </c>
      <c r="GC460">
        <v>8.8607280289983947</v>
      </c>
      <c r="GD460">
        <v>3.5405793208708332</v>
      </c>
      <c r="GE460">
        <v>3.6318282051307014</v>
      </c>
      <c r="GF460">
        <v>5.5616315529472908</v>
      </c>
      <c r="GG460">
        <v>2.6194871980296712</v>
      </c>
      <c r="GH460">
        <v>1.7434025095326939</v>
      </c>
      <c r="GI460">
        <v>8.8193559280400642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104.45462087594156</v>
      </c>
      <c r="E461" s="97">
        <f>+I36</f>
        <v>2.6566286792841443E-2</v>
      </c>
      <c r="F461" s="102">
        <f>+D461-D463</f>
        <v>83.615893670292593</v>
      </c>
      <c r="G461" s="101">
        <f>+D461*E461</f>
        <v>2.7749714150277862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223.41645010980818</v>
      </c>
      <c r="AO461">
        <v>13.250311932841147</v>
      </c>
      <c r="AP461">
        <v>100.38975135936298</v>
      </c>
      <c r="AQ461">
        <v>80.498781869962158</v>
      </c>
      <c r="AR461">
        <v>12.065799124471173</v>
      </c>
      <c r="AS461">
        <v>142.46306241031559</v>
      </c>
      <c r="AT461">
        <v>5.4415500855034473</v>
      </c>
      <c r="AU461">
        <v>-2.3502462299123676</v>
      </c>
      <c r="AV461"/>
      <c r="AW461"/>
      <c r="FY461" s="210">
        <v>456</v>
      </c>
      <c r="FZ461">
        <v>1.7311534206770762</v>
      </c>
      <c r="GA461">
        <v>33.267822510511024</v>
      </c>
      <c r="GB461">
        <v>34.250962389846592</v>
      </c>
      <c r="GC461">
        <v>11.967518138437235</v>
      </c>
      <c r="GD461">
        <v>3.8055210381578624</v>
      </c>
      <c r="GE461">
        <v>8.753344891509478</v>
      </c>
      <c r="GF461">
        <v>7.869868331689883</v>
      </c>
      <c r="GG461">
        <v>2.3849748058630524</v>
      </c>
      <c r="GH461">
        <v>2.904440418277825</v>
      </c>
      <c r="GI461">
        <v>13.015817528014678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4.800074784383223E-2</v>
      </c>
      <c r="I462" s="101">
        <f>+H462*F461</f>
        <v>4.0136254278044019</v>
      </c>
      <c r="J462" s="101">
        <f>+I462*$A$440</f>
        <v>28.095377994630812</v>
      </c>
      <c r="K462" s="61">
        <f>IF(AND(J462&lt;0, J460&lt;0), 0, J462)</f>
        <v>28.095377994630812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263.56572171596378</v>
      </c>
      <c r="AO462">
        <v>17.216571747134427</v>
      </c>
      <c r="AP462">
        <v>123.01262814105927</v>
      </c>
      <c r="AQ462">
        <v>99.03331389403138</v>
      </c>
      <c r="AR462">
        <v>15.742615967473544</v>
      </c>
      <c r="AS462">
        <v>154.58966707927277</v>
      </c>
      <c r="AT462">
        <v>6.6960758818342088</v>
      </c>
      <c r="AU462">
        <v>-12.806536679314965</v>
      </c>
      <c r="AV462"/>
      <c r="AW462"/>
      <c r="FY462" s="210">
        <v>457</v>
      </c>
      <c r="FZ462">
        <v>0.5794063085505855</v>
      </c>
      <c r="GA462">
        <v>20.914954395124546</v>
      </c>
      <c r="GB462">
        <v>21.146418449460285</v>
      </c>
      <c r="GC462">
        <v>9.4097514420919595</v>
      </c>
      <c r="GD462">
        <v>3.9672098682984158</v>
      </c>
      <c r="GE462">
        <v>4.543644131719927</v>
      </c>
      <c r="GF462">
        <v>4.8326462422246159</v>
      </c>
      <c r="GG462">
        <v>3.5245647990835094</v>
      </c>
      <c r="GH462">
        <v>4.6557827016871354</v>
      </c>
      <c r="GI462">
        <v>9.2872816778044402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20.838727205648969</v>
      </c>
      <c r="E463" s="97">
        <f>+J36</f>
        <v>8.6729162096827933E-2</v>
      </c>
      <c r="F463" s="102">
        <f>+D463-D465</f>
        <v>12.783502951445124</v>
      </c>
      <c r="G463" s="101">
        <f>+D463*E463</f>
        <v>1.8073253497103077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162.39144625205984</v>
      </c>
      <c r="AO463">
        <v>11.328561010286972</v>
      </c>
      <c r="AP463">
        <v>93.364070641887366</v>
      </c>
      <c r="AQ463">
        <v>74.292655707673305</v>
      </c>
      <c r="AR463">
        <v>10.551550652296623</v>
      </c>
      <c r="AS463">
        <v>107.04897285545148</v>
      </c>
      <c r="AT463" t="e">
        <v>#DIV/0!</v>
      </c>
      <c r="AU463" t="e">
        <v>#DIV/0!</v>
      </c>
      <c r="AV463"/>
      <c r="AW463"/>
      <c r="FY463" s="210">
        <v>458</v>
      </c>
      <c r="FZ463">
        <v>4.1866573739819586</v>
      </c>
      <c r="GA463">
        <v>22.292881112921282</v>
      </c>
      <c r="GB463">
        <v>24.235222183974152</v>
      </c>
      <c r="GC463">
        <v>11.308270355105725</v>
      </c>
      <c r="GD463">
        <v>3.0692974213304249</v>
      </c>
      <c r="GE463">
        <v>4.7053926640330417</v>
      </c>
      <c r="GF463">
        <v>5.9203563883822357</v>
      </c>
      <c r="GG463">
        <v>1.3269328566833409</v>
      </c>
      <c r="GH463">
        <v>1.3578060336331905</v>
      </c>
      <c r="GI463">
        <v>9.8055697742224375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0.13196257073027046</v>
      </c>
      <c r="I464" s="101">
        <f>+H464*F463</f>
        <v>1.6869439124106984</v>
      </c>
      <c r="J464" s="101">
        <f>+I464*$A$440</f>
        <v>11.80860738687489</v>
      </c>
      <c r="K464" s="61">
        <f>IF(AND(J464&lt;0, J462&lt;0), 0, J464)</f>
        <v>11.80860738687489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161.35111858309006</v>
      </c>
      <c r="AO464">
        <v>17.08182155723215</v>
      </c>
      <c r="AP464">
        <v>138.17184612914463</v>
      </c>
      <c r="AQ464">
        <v>106.44748025708621</v>
      </c>
      <c r="AR464">
        <v>15.732512069631472</v>
      </c>
      <c r="AS464">
        <v>129.71014407306646</v>
      </c>
      <c r="AT464">
        <v>7.8329458491026331</v>
      </c>
      <c r="AU464">
        <v>-40.845066063172624</v>
      </c>
      <c r="AV464"/>
      <c r="AW464"/>
      <c r="FY464" s="210">
        <v>459</v>
      </c>
      <c r="FZ464">
        <v>6.7633416997141929</v>
      </c>
      <c r="GA464">
        <v>25.727441362307907</v>
      </c>
      <c r="GB464">
        <v>18.791649011533735</v>
      </c>
      <c r="GC464">
        <v>7.3849153421014382</v>
      </c>
      <c r="GD464">
        <v>3.6035641914329855</v>
      </c>
      <c r="GE464">
        <v>7.0540336288556755</v>
      </c>
      <c r="GF464">
        <v>6.7661600795323658</v>
      </c>
      <c r="GG464">
        <v>3.5245647990835094</v>
      </c>
      <c r="GH464">
        <v>3.4296955231064463</v>
      </c>
      <c r="GI464">
        <v>9.6069516223062621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8.0552242542038446</v>
      </c>
      <c r="E465" s="97">
        <f>+K36</f>
        <v>0.20078736670256092</v>
      </c>
      <c r="F465" s="102">
        <f>+D465-D467</f>
        <v>3.7262199251995147</v>
      </c>
      <c r="G465" s="101">
        <f>+D465*E465</f>
        <v>1.6173872662001902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223.80111549380499</v>
      </c>
      <c r="AO465">
        <v>17.838743219416344</v>
      </c>
      <c r="AP465">
        <v>136.58047101034924</v>
      </c>
      <c r="AQ465">
        <v>108.65656547939203</v>
      </c>
      <c r="AR465">
        <v>16.342670987493612</v>
      </c>
      <c r="AS465">
        <v>144.87664398409029</v>
      </c>
      <c r="AT465">
        <v>7.2528045125796501</v>
      </c>
      <c r="AU465">
        <v>-12.31479808172265</v>
      </c>
      <c r="AV465"/>
      <c r="AW465"/>
      <c r="FY465" s="210">
        <v>460</v>
      </c>
      <c r="FZ465">
        <v>7.297049144309911</v>
      </c>
      <c r="GA465">
        <v>26.884875294452399</v>
      </c>
      <c r="GB465">
        <v>32.169287209982883</v>
      </c>
      <c r="GC465">
        <v>15.207561495303251</v>
      </c>
      <c r="GD465">
        <v>4.9130164403485539</v>
      </c>
      <c r="GE465">
        <v>6.9587446859448656</v>
      </c>
      <c r="GF465">
        <v>3.6462150244873559</v>
      </c>
      <c r="GG465">
        <v>2.8773874496624217</v>
      </c>
      <c r="GH465">
        <v>4.9162860135781354</v>
      </c>
      <c r="GI465">
        <v>13.410547796089958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0.27805332514874276</v>
      </c>
      <c r="I466" s="101">
        <f>+H466*F465</f>
        <v>1.0360878404372247</v>
      </c>
      <c r="J466" s="101">
        <f>+I466*$A$440</f>
        <v>7.2526148830605726</v>
      </c>
      <c r="K466" s="61">
        <f>IF(AND(J466&lt;0, J464&lt;0), 0, J466)</f>
        <v>7.2526148830605726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197.5646555472108</v>
      </c>
      <c r="AO466">
        <v>18.285634374064234</v>
      </c>
      <c r="AP466">
        <v>149.70994612342446</v>
      </c>
      <c r="AQ466">
        <v>116.59790757612001</v>
      </c>
      <c r="AR466">
        <v>16.861885875747898</v>
      </c>
      <c r="AS466">
        <v>143.62578682169033</v>
      </c>
      <c r="AT466" t="e">
        <v>#DIV/0!</v>
      </c>
      <c r="AU466" t="e">
        <v>#DIV/0!</v>
      </c>
      <c r="AV466"/>
      <c r="AW466"/>
      <c r="FY466" s="210">
        <v>461</v>
      </c>
      <c r="FZ466">
        <v>1.728634538027485</v>
      </c>
      <c r="GA466">
        <v>17.586972980661233</v>
      </c>
      <c r="GB466">
        <v>24.624789401637102</v>
      </c>
      <c r="GC466">
        <v>11.567016769605202</v>
      </c>
      <c r="GD466">
        <v>3.5158508500111618</v>
      </c>
      <c r="GE466">
        <v>4.3255386338145874</v>
      </c>
      <c r="GF466">
        <v>4.3762751276352434</v>
      </c>
      <c r="GG466">
        <v>2.5258157662982295</v>
      </c>
      <c r="GH466">
        <v>2.5225352352083168</v>
      </c>
      <c r="GI466">
        <v>9.6400167971162354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4.3290043290043299</v>
      </c>
      <c r="E467" s="97">
        <f>L36</f>
        <v>0.38505237105281664</v>
      </c>
      <c r="F467" s="102">
        <f>+D467-D469</f>
        <v>-2.0098948670377226</v>
      </c>
      <c r="G467" s="101">
        <f>+D467*E467</f>
        <v>1.6668933811810247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150.72665908838604</v>
      </c>
      <c r="AO467">
        <v>12.364843615671571</v>
      </c>
      <c r="AP467">
        <v>103.26767065924707</v>
      </c>
      <c r="AQ467">
        <v>83.38935931615157</v>
      </c>
      <c r="AR467">
        <v>11.460708562222177</v>
      </c>
      <c r="AS467">
        <v>114.84281112670674</v>
      </c>
      <c r="AT467">
        <v>5.284746769748403</v>
      </c>
      <c r="AU467">
        <v>-10.302180204249312</v>
      </c>
      <c r="AV467"/>
      <c r="AW467"/>
      <c r="FY467" s="210">
        <v>462</v>
      </c>
      <c r="FZ467">
        <v>4.1474037334786962</v>
      </c>
      <c r="GA467">
        <v>21.996419224829779</v>
      </c>
      <c r="GB467">
        <v>17.604757815829991</v>
      </c>
      <c r="GC467">
        <v>7.853795216940437</v>
      </c>
      <c r="GD467">
        <v>3.3507763990336139</v>
      </c>
      <c r="GE467">
        <v>3.1782401805468559</v>
      </c>
      <c r="GF467">
        <v>3.7438613036417827</v>
      </c>
      <c r="GG467">
        <v>1.9741102061044287</v>
      </c>
      <c r="GH467">
        <v>1.9401706344207539</v>
      </c>
      <c r="GI467">
        <v>7.9272158194950899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0.50239492073842684</v>
      </c>
      <c r="I468" s="101">
        <f>+H468*F467</f>
        <v>-1.0097609724179877</v>
      </c>
      <c r="J468" s="101">
        <f>+I468*$A$440</f>
        <v>-7.0683268069259135</v>
      </c>
      <c r="K468" s="61">
        <f>IF(AND(J468&lt;0, J466&lt;0), 0, J468)</f>
        <v>-7.0683268069259135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191.02579401437453</v>
      </c>
      <c r="AO468">
        <v>14.571621298633488</v>
      </c>
      <c r="AP468">
        <v>104.34723151797866</v>
      </c>
      <c r="AQ468">
        <v>85.64538465718222</v>
      </c>
      <c r="AR468">
        <v>13.46628037108543</v>
      </c>
      <c r="AS468">
        <v>129.91568684130223</v>
      </c>
      <c r="AT468" t="e">
        <v>#DIV/0!</v>
      </c>
      <c r="AU468" t="e">
        <v>#DIV/0!</v>
      </c>
      <c r="AV468"/>
      <c r="AW468"/>
      <c r="FY468" s="210">
        <v>463</v>
      </c>
      <c r="FZ468">
        <v>1.251346955557747</v>
      </c>
      <c r="GA468">
        <v>11.645784943958283</v>
      </c>
      <c r="GB468">
        <v>12.763682348492456</v>
      </c>
      <c r="GC468">
        <v>6.452133878550864</v>
      </c>
      <c r="GD468">
        <v>3.7067716104893309</v>
      </c>
      <c r="GE468">
        <v>5.8460634828965006</v>
      </c>
      <c r="GF468">
        <v>4.3053014803570564</v>
      </c>
      <c r="GG468">
        <v>2.2913033741316107</v>
      </c>
      <c r="GH468">
        <v>3.3617118550568845</v>
      </c>
      <c r="GI468">
        <v>6.8700781379836453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6.3388991960420524</v>
      </c>
      <c r="E469" s="97">
        <f>M36</f>
        <v>0.65549695407316177</v>
      </c>
      <c r="F469" s="102">
        <f>+D469-D471</f>
        <v>5.0440630797773647</v>
      </c>
      <c r="G469" s="101">
        <f>+D469*E469</f>
        <v>4.1551291151823797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235.28711872543468</v>
      </c>
      <c r="AO469">
        <v>17.55816576695786</v>
      </c>
      <c r="AP469">
        <v>138.20194873716599</v>
      </c>
      <c r="AQ469">
        <v>112.30401093577167</v>
      </c>
      <c r="AR469">
        <v>16.092479027812633</v>
      </c>
      <c r="AS469">
        <v>149.46749104368675</v>
      </c>
      <c r="AT469" t="e">
        <v>#DIV/0!</v>
      </c>
      <c r="AU469" t="e">
        <v>#DIV/0!</v>
      </c>
      <c r="AV469"/>
      <c r="AW469"/>
      <c r="FY469" s="210">
        <v>464</v>
      </c>
      <c r="FZ469">
        <v>2.0006677121639131</v>
      </c>
      <c r="GA469">
        <v>20.885549657317846</v>
      </c>
      <c r="GB469">
        <v>25.792645261183299</v>
      </c>
      <c r="GC469">
        <v>12.774548489094853</v>
      </c>
      <c r="GD469">
        <v>3.9566504213350671</v>
      </c>
      <c r="GE469">
        <v>3.9524131225549168</v>
      </c>
      <c r="GF469">
        <v>5.5616315529472908</v>
      </c>
      <c r="GG469">
        <v>2.6194871980296712</v>
      </c>
      <c r="GH469">
        <v>1.8047604865382569</v>
      </c>
      <c r="GI469">
        <v>10.349597353706891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0.82081643579936858</v>
      </c>
      <c r="I470" s="101">
        <f>+H470*F469</f>
        <v>4.1402498790900424</v>
      </c>
      <c r="J470" s="101">
        <f>+I470*$A$440</f>
        <v>28.981749153630297</v>
      </c>
      <c r="K470" s="61">
        <f>IF(AND(J470&lt;0, J468&lt;0), 0, J470)</f>
        <v>28.981749153630297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167.45712419018139</v>
      </c>
      <c r="AO470">
        <v>14.934584965766552</v>
      </c>
      <c r="AP470">
        <v>114.4557303014338</v>
      </c>
      <c r="AQ470">
        <v>91.21028676363872</v>
      </c>
      <c r="AR470">
        <v>13.880195320546303</v>
      </c>
      <c r="AS470">
        <v>136.31525883253803</v>
      </c>
      <c r="AT470" t="e">
        <v>#DIV/0!</v>
      </c>
      <c r="AU470" t="e">
        <v>#DIV/0!</v>
      </c>
      <c r="AV470"/>
      <c r="AW470"/>
      <c r="FY470" s="210">
        <v>465</v>
      </c>
      <c r="FZ470">
        <v>6.7634550463183931</v>
      </c>
      <c r="GA470">
        <v>27.734930848091206</v>
      </c>
      <c r="GB470">
        <v>26.16505985433459</v>
      </c>
      <c r="GC470">
        <v>12.474914662276603</v>
      </c>
      <c r="GD470">
        <v>5.6766200027216094</v>
      </c>
      <c r="GE470">
        <v>8.7829534981404329</v>
      </c>
      <c r="GF470">
        <v>6.7661600795323658</v>
      </c>
      <c r="GG470">
        <v>3.8055790942778356</v>
      </c>
      <c r="GH470">
        <v>4.6478429278105189</v>
      </c>
      <c r="GI470">
        <v>12.85252562240731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1.2948361162646878</v>
      </c>
      <c r="E471" s="97">
        <f>+N36</f>
        <v>1.0278302852390999</v>
      </c>
      <c r="F471" s="102">
        <f>+D471-D473</f>
        <v>1.2948361162646878</v>
      </c>
      <c r="G471" s="101">
        <f>+D471*E471</f>
        <v>1.3308717747182224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169.60383150734583</v>
      </c>
      <c r="AO471">
        <v>13.113477553505399</v>
      </c>
      <c r="AP471">
        <v>103.06207946006518</v>
      </c>
      <c r="AQ471">
        <v>81.579068488580688</v>
      </c>
      <c r="AR471">
        <v>12.16047773424053</v>
      </c>
      <c r="AS471">
        <v>128.80790580124614</v>
      </c>
      <c r="AT471">
        <v>6.6303358439964244</v>
      </c>
      <c r="AU471">
        <v>-20.409101066905631</v>
      </c>
      <c r="AV471"/>
      <c r="AW471"/>
      <c r="FY471" s="210">
        <v>466</v>
      </c>
      <c r="FZ471">
        <v>1.3180029356173415</v>
      </c>
      <c r="GA471">
        <v>22.913063458844725</v>
      </c>
      <c r="GB471">
        <v>20.069418341748761</v>
      </c>
      <c r="GC471">
        <v>7.6833731709157238</v>
      </c>
      <c r="GD471">
        <v>3.8448464406444849</v>
      </c>
      <c r="GE471">
        <v>6.6354794136147586</v>
      </c>
      <c r="GF471">
        <v>7.9174210899966999</v>
      </c>
      <c r="GG471">
        <v>5.4968746476920929</v>
      </c>
      <c r="GH471">
        <v>4.268872142955014</v>
      </c>
      <c r="GI471">
        <v>9.5539644982725171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1.2489114889039645</v>
      </c>
      <c r="I472" s="101">
        <f>+H472*F471</f>
        <v>1.6171357018507582</v>
      </c>
      <c r="J472" s="101">
        <f>+I472*$A$440</f>
        <v>11.319949912955307</v>
      </c>
      <c r="K472" s="61">
        <f>IF(AND(J472&lt;0, J470&lt;0), 0, J472)</f>
        <v>11.319949912955307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225.83961369138805</v>
      </c>
      <c r="AO472">
        <v>19.760021779183102</v>
      </c>
      <c r="AP472">
        <v>159.3630834688621</v>
      </c>
      <c r="AQ472">
        <v>119.95142347298471</v>
      </c>
      <c r="AR472">
        <v>18.063796519112834</v>
      </c>
      <c r="AS472">
        <v>155.61201404273251</v>
      </c>
      <c r="AT472">
        <v>8.256075148164383</v>
      </c>
      <c r="AU472">
        <v>-37.129481306485744</v>
      </c>
      <c r="AV472"/>
      <c r="AW472"/>
      <c r="FY472" s="210">
        <v>467</v>
      </c>
      <c r="FZ472">
        <v>7.2325405132666098</v>
      </c>
      <c r="GA472">
        <v>29.584905170583589</v>
      </c>
      <c r="GB472">
        <v>19.979153624723509</v>
      </c>
      <c r="GC472">
        <v>8.3195748426070306</v>
      </c>
      <c r="GD472">
        <v>4.3448767666977544</v>
      </c>
      <c r="GE472">
        <v>5.9336656453612742</v>
      </c>
      <c r="GF472">
        <v>4.1025861390767284</v>
      </c>
      <c r="GG472">
        <v>2.5130247529315048</v>
      </c>
      <c r="GH472">
        <v>3.6798818511234526</v>
      </c>
      <c r="GI472">
        <v>9.9407298666816395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1.517546164494922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216.14811054263879</v>
      </c>
      <c r="AO473">
        <v>13.844161307386077</v>
      </c>
      <c r="AP473">
        <v>105.40993609882254</v>
      </c>
      <c r="AQ473">
        <v>82.86166001604542</v>
      </c>
      <c r="AR473">
        <v>12.844122559722887</v>
      </c>
      <c r="AS473">
        <v>153.44947414097126</v>
      </c>
      <c r="AT473">
        <v>5.5777881443116897</v>
      </c>
      <c r="AU473">
        <v>-6.7839523651251641</v>
      </c>
      <c r="AV473"/>
      <c r="AW473"/>
      <c r="FY473" s="210">
        <v>468</v>
      </c>
      <c r="FZ473">
        <v>1.1527609819642397</v>
      </c>
      <c r="GA473">
        <v>22.281664438742165</v>
      </c>
      <c r="GB473">
        <v>29.928173092068164</v>
      </c>
      <c r="GC473">
        <v>14.44991214496811</v>
      </c>
      <c r="GD473">
        <v>4.3758779847965465</v>
      </c>
      <c r="GE473">
        <v>3.0606696335748</v>
      </c>
      <c r="GF473">
        <v>3.1866699146248534</v>
      </c>
      <c r="GG473">
        <v>4.3572846544716359</v>
      </c>
      <c r="GH473">
        <v>3.4831137262353935</v>
      </c>
      <c r="GI473">
        <v>11.348325054538709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1.8020774061017313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160.22034710434099</v>
      </c>
      <c r="AO474">
        <v>14.761553865862478</v>
      </c>
      <c r="AP474">
        <v>113.34840356064041</v>
      </c>
      <c r="AQ474">
        <v>88.208386164267793</v>
      </c>
      <c r="AR474">
        <v>13.506157498288314</v>
      </c>
      <c r="AS474">
        <v>115.41949313939243</v>
      </c>
      <c r="AT474">
        <v>5.7822508278356244</v>
      </c>
      <c r="AU474">
        <v>-1.8631122320500146</v>
      </c>
      <c r="AV474"/>
      <c r="AW474"/>
      <c r="FY474" s="210">
        <v>469</v>
      </c>
      <c r="FZ474">
        <v>4.1513048431966073</v>
      </c>
      <c r="GA474">
        <v>28.978124396629944</v>
      </c>
      <c r="GB474">
        <v>20.531097739267924</v>
      </c>
      <c r="GC474">
        <v>7.2346777585635351</v>
      </c>
      <c r="GD474">
        <v>3.6217625119710162</v>
      </c>
      <c r="GE474">
        <v>4.2946651451366389</v>
      </c>
      <c r="GF474">
        <v>3.8606796840692374</v>
      </c>
      <c r="GG474">
        <v>2.9384807235526984</v>
      </c>
      <c r="GH474">
        <v>3.1012085431658845</v>
      </c>
      <c r="GI474">
        <v>9.0519626173902381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2.1399566310150369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190.16257364101006</v>
      </c>
      <c r="AO475">
        <v>14.423557224513491</v>
      </c>
      <c r="AP475">
        <v>115.39475841615754</v>
      </c>
      <c r="AQ475">
        <v>92.652317259974524</v>
      </c>
      <c r="AR475">
        <v>13.206605637968659</v>
      </c>
      <c r="AS475">
        <v>132.39192297131672</v>
      </c>
      <c r="AT475">
        <v>6.3703350626609136</v>
      </c>
      <c r="AU475">
        <v>-22.402006958428736</v>
      </c>
      <c r="AV475"/>
      <c r="AW475"/>
      <c r="FY475" s="210">
        <v>470</v>
      </c>
      <c r="FZ475">
        <v>14.807310544401654</v>
      </c>
      <c r="GA475">
        <v>40.104035707661772</v>
      </c>
      <c r="GB475">
        <v>26.262427084010827</v>
      </c>
      <c r="GC475">
        <v>9.9725142880300979</v>
      </c>
      <c r="GD475">
        <v>2.9943242072744569</v>
      </c>
      <c r="GE475">
        <v>4.765443823414218</v>
      </c>
      <c r="GF475">
        <v>4.9025450970775912</v>
      </c>
      <c r="GG475">
        <v>4.0744700017814655</v>
      </c>
      <c r="GH475">
        <v>3.5547886871149497</v>
      </c>
      <c r="GI475">
        <v>11.957533675050211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2.4955435352876569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272.0957701397536</v>
      </c>
      <c r="AO476">
        <v>19.985382750825316</v>
      </c>
      <c r="AP476">
        <v>148.88169128169272</v>
      </c>
      <c r="AQ476">
        <v>118.28097055415974</v>
      </c>
      <c r="AR476">
        <v>18.662959814292449</v>
      </c>
      <c r="AS476">
        <v>206.85019636232778</v>
      </c>
      <c r="AT476">
        <v>8.3703623844244142</v>
      </c>
      <c r="AU476">
        <v>-22.515223236483379</v>
      </c>
      <c r="AV476"/>
      <c r="AW476"/>
      <c r="FY476" s="210">
        <v>471</v>
      </c>
      <c r="FZ476">
        <v>1.9904505175433775</v>
      </c>
      <c r="GA476">
        <v>22.50193817567294</v>
      </c>
      <c r="GB476">
        <v>22.870524064819286</v>
      </c>
      <c r="GC476">
        <v>8.6935940745835811</v>
      </c>
      <c r="GD476">
        <v>3.3959101221834658</v>
      </c>
      <c r="GE476">
        <v>5.4634175249322867</v>
      </c>
      <c r="GF476">
        <v>4.8326462422246159</v>
      </c>
      <c r="GG476">
        <v>1.1988829096148885</v>
      </c>
      <c r="GH476">
        <v>0</v>
      </c>
      <c r="GI476">
        <v>8.8835518308657164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2.9102167054488572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200.03383904070364</v>
      </c>
      <c r="AO477">
        <v>14.347800901750691</v>
      </c>
      <c r="AP477">
        <v>106.19039005406421</v>
      </c>
      <c r="AQ477">
        <v>82.413446100014795</v>
      </c>
      <c r="AR477">
        <v>13.409188194374966</v>
      </c>
      <c r="AS477">
        <v>142.34151936990042</v>
      </c>
      <c r="AT477">
        <v>6.2315653477868436</v>
      </c>
      <c r="AU477">
        <v>-38.086087153928645</v>
      </c>
      <c r="AV477"/>
      <c r="AW477"/>
      <c r="FY477" s="210">
        <v>472</v>
      </c>
      <c r="FZ477">
        <v>1.0931736382476229</v>
      </c>
      <c r="GA477">
        <v>25.535656780582478</v>
      </c>
      <c r="GB477">
        <v>29.52151477085787</v>
      </c>
      <c r="GC477">
        <v>11.402958815426221</v>
      </c>
      <c r="GD477">
        <v>3.7299262065561702</v>
      </c>
      <c r="GE477">
        <v>5.8827036761088607</v>
      </c>
      <c r="GF477">
        <v>4.0684907242290151</v>
      </c>
      <c r="GG477">
        <v>3.616435873319106</v>
      </c>
      <c r="GH477">
        <v>4.5227497638020155</v>
      </c>
      <c r="GI477">
        <v>11.17448707999923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3.3443926245287727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173.64457104722754</v>
      </c>
      <c r="AO478">
        <v>11.752771252099596</v>
      </c>
      <c r="AP478">
        <v>92.515121514673069</v>
      </c>
      <c r="AQ478">
        <v>73.71675053432142</v>
      </c>
      <c r="AR478">
        <v>10.95724757331071</v>
      </c>
      <c r="AS478">
        <v>119.68669250530536</v>
      </c>
      <c r="AT478">
        <v>5.2358928985369459</v>
      </c>
      <c r="AU478">
        <v>-17.680944948262766</v>
      </c>
      <c r="AV478"/>
      <c r="AW478"/>
      <c r="FY478" s="210">
        <v>473</v>
      </c>
      <c r="FZ478">
        <v>3.7295617856689729</v>
      </c>
      <c r="GA478">
        <v>29.436369536162449</v>
      </c>
      <c r="GB478">
        <v>34.461625402485794</v>
      </c>
      <c r="GC478">
        <v>15.920995031072453</v>
      </c>
      <c r="GD478">
        <v>5.6216673539122546</v>
      </c>
      <c r="GE478">
        <v>7.4039933779303615</v>
      </c>
      <c r="GF478">
        <v>5.475734592094418</v>
      </c>
      <c r="GG478">
        <v>2.843008934325411</v>
      </c>
      <c r="GH478">
        <v>4.0054344328500111</v>
      </c>
      <c r="GI478">
        <v>14.059135661854333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3.8433433517375608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156.88808101494539</v>
      </c>
      <c r="AO479">
        <v>10.220133998433269</v>
      </c>
      <c r="AP479">
        <v>71.011771643683844</v>
      </c>
      <c r="AQ479">
        <v>58.49417806747438</v>
      </c>
      <c r="AR479">
        <v>9.4644196744072886</v>
      </c>
      <c r="AS479">
        <v>99.352069745142316</v>
      </c>
      <c r="AT479">
        <v>4.2754655576656644</v>
      </c>
      <c r="AU479">
        <v>-22.23757678214611</v>
      </c>
      <c r="AV479"/>
      <c r="AW479"/>
      <c r="FY479" s="210">
        <v>474</v>
      </c>
      <c r="FZ479">
        <v>4.3453344948426578</v>
      </c>
      <c r="GA479">
        <v>33.549636609751197</v>
      </c>
      <c r="GB479">
        <v>22.58943876270671</v>
      </c>
      <c r="GC479">
        <v>6.106740382856124</v>
      </c>
      <c r="GD479">
        <v>3.6422210065415661</v>
      </c>
      <c r="GE479">
        <v>6.8683378165984408</v>
      </c>
      <c r="GF479">
        <v>6.9657014255395628</v>
      </c>
      <c r="GG479">
        <v>4.1373636331675865</v>
      </c>
      <c r="GH479">
        <v>4.2659377447410112</v>
      </c>
      <c r="GI479">
        <v>10.375597464197693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4.3635775126491616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177.18387521025537</v>
      </c>
      <c r="AO480">
        <v>15.540877472716399</v>
      </c>
      <c r="AP480">
        <v>115.59564092829417</v>
      </c>
      <c r="AQ480">
        <v>89.697951254872009</v>
      </c>
      <c r="AR480">
        <v>14.360382080024557</v>
      </c>
      <c r="AS480">
        <v>136.03028335779669</v>
      </c>
      <c r="AT480">
        <v>6.9609410090825072</v>
      </c>
      <c r="AU480">
        <v>-41.583472143979861</v>
      </c>
      <c r="AV480"/>
      <c r="AW480"/>
      <c r="FY480" s="210">
        <v>475</v>
      </c>
      <c r="FZ480">
        <v>6.9831111771033525</v>
      </c>
      <c r="GA480">
        <v>24.844765668856798</v>
      </c>
      <c r="GB480">
        <v>16.807792927925963</v>
      </c>
      <c r="GC480">
        <v>6.1826788399569814</v>
      </c>
      <c r="GD480">
        <v>3.7335302292987662</v>
      </c>
      <c r="GE480">
        <v>5.10689203567616</v>
      </c>
      <c r="GF480">
        <v>1.2872514921648168</v>
      </c>
      <c r="GG480">
        <v>1.5160760776420703</v>
      </c>
      <c r="GH480">
        <v>2.3257671103202568</v>
      </c>
      <c r="GI480">
        <v>7.9498360558247416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4.9542304619464099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269.6334307407418</v>
      </c>
      <c r="AO481">
        <v>19.300708995964062</v>
      </c>
      <c r="AP481">
        <v>142.85780819957705</v>
      </c>
      <c r="AQ481">
        <v>115.67004163591086</v>
      </c>
      <c r="AR481">
        <v>17.783769679104225</v>
      </c>
      <c r="AS481">
        <v>176.4063773994659</v>
      </c>
      <c r="AT481">
        <v>8.0445040075215619</v>
      </c>
      <c r="AU481">
        <v>-17.123119814798407</v>
      </c>
      <c r="AV481"/>
      <c r="AW481"/>
      <c r="FY481" s="210">
        <v>476</v>
      </c>
      <c r="FZ481">
        <v>7.1631137712993516</v>
      </c>
      <c r="GA481">
        <v>26.254259581298193</v>
      </c>
      <c r="GB481">
        <v>23.745334414964272</v>
      </c>
      <c r="GC481">
        <v>10.354343641916223</v>
      </c>
      <c r="GD481">
        <v>2.3083084783484966</v>
      </c>
      <c r="GE481">
        <v>3.5618763904701085</v>
      </c>
      <c r="GF481">
        <v>7.379401802252799</v>
      </c>
      <c r="GG481">
        <v>3.0775213264920307</v>
      </c>
      <c r="GH481">
        <v>2.2620319233173167</v>
      </c>
      <c r="GI481">
        <v>10.039752390866692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5.5679345085972551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201.14802970467031</v>
      </c>
      <c r="AO482">
        <v>14.350781742108115</v>
      </c>
      <c r="AP482">
        <v>113.98503256482293</v>
      </c>
      <c r="AQ482">
        <v>89.701316140302126</v>
      </c>
      <c r="AR482">
        <v>13.115728431636036</v>
      </c>
      <c r="AS482">
        <v>134.04863431837202</v>
      </c>
      <c r="AT482" t="e">
        <v>#DIV/0!</v>
      </c>
      <c r="AU482" t="e">
        <v>#DIV/0!</v>
      </c>
      <c r="AV482"/>
      <c r="AW482"/>
      <c r="FY482" s="210">
        <v>477</v>
      </c>
      <c r="FZ482">
        <v>1.2292594916427739</v>
      </c>
      <c r="GA482">
        <v>25.632450176180608</v>
      </c>
      <c r="GB482">
        <v>23.861535668229688</v>
      </c>
      <c r="GC482">
        <v>9.5799178115915744</v>
      </c>
      <c r="GD482">
        <v>3.7823856418902455</v>
      </c>
      <c r="GE482">
        <v>5.1687341415502033</v>
      </c>
      <c r="GF482">
        <v>6.2398901100900179</v>
      </c>
      <c r="GG482">
        <v>2.0695819953317161</v>
      </c>
      <c r="GH482">
        <v>2.2620319233173167</v>
      </c>
      <c r="GI482">
        <v>9.8562238344906099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6.2576609889577455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173.61932714502913</v>
      </c>
      <c r="AO483">
        <v>14.924518987837763</v>
      </c>
      <c r="AP483">
        <v>118.5879456692236</v>
      </c>
      <c r="AQ483">
        <v>95.630939173053079</v>
      </c>
      <c r="AR483">
        <v>13.743708567873488</v>
      </c>
      <c r="AS483">
        <v>119.93515711975829</v>
      </c>
      <c r="AT483" t="e">
        <v>#DIV/0!</v>
      </c>
      <c r="AU483" t="e">
        <v>#DIV/0!</v>
      </c>
      <c r="AV483"/>
      <c r="AW483"/>
      <c r="FY483" s="210">
        <v>478</v>
      </c>
      <c r="FZ483">
        <v>4.6246913159484357</v>
      </c>
      <c r="GA483">
        <v>17.815292580057665</v>
      </c>
      <c r="GB483">
        <v>20.766382581208379</v>
      </c>
      <c r="GC483">
        <v>9.9658996649274041</v>
      </c>
      <c r="GD483">
        <v>3.1616442317709743</v>
      </c>
      <c r="GE483">
        <v>6.2691644568853224</v>
      </c>
      <c r="GF483">
        <v>7.2076078805470534</v>
      </c>
      <c r="GG483">
        <v>2.9366803660568532</v>
      </c>
      <c r="GH483">
        <v>3.8700242849675139</v>
      </c>
      <c r="GI483">
        <v>9.6638457422369264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6.9721943476811488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193.91430747098056</v>
      </c>
      <c r="AO484">
        <v>17.205212031557419</v>
      </c>
      <c r="AP484">
        <v>127.51268144034391</v>
      </c>
      <c r="AQ484">
        <v>97.624451625984619</v>
      </c>
      <c r="AR484">
        <v>15.956525212520813</v>
      </c>
      <c r="AS484">
        <v>146.38850275197493</v>
      </c>
      <c r="AT484" t="e">
        <v>#DIV/0!</v>
      </c>
      <c r="AU484" t="e">
        <v>#DIV/0!</v>
      </c>
      <c r="AV484"/>
      <c r="AW484"/>
      <c r="FY484" s="210">
        <v>479</v>
      </c>
      <c r="FZ484">
        <v>1.2132267942330295</v>
      </c>
      <c r="GA484">
        <v>26.072955996604353</v>
      </c>
      <c r="GB484">
        <v>25.943624017328936</v>
      </c>
      <c r="GC484">
        <v>9.913876349859958</v>
      </c>
      <c r="GD484">
        <v>3.7172653404472418</v>
      </c>
      <c r="GE484">
        <v>6.5565354493022543</v>
      </c>
      <c r="GF484">
        <v>7.4103232218273813</v>
      </c>
      <c r="GG484">
        <v>4.3590850119674815</v>
      </c>
      <c r="GH484">
        <v>4.8446110526985784</v>
      </c>
      <c r="GI484">
        <v>10.942824803029852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7.7683169650156332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175.33369295262099</v>
      </c>
      <c r="AO485">
        <v>13.536474888997224</v>
      </c>
      <c r="AP485">
        <v>112.09630147406301</v>
      </c>
      <c r="AQ485">
        <v>87.763963962943706</v>
      </c>
      <c r="AR485">
        <v>12.592146082541865</v>
      </c>
      <c r="AS485">
        <v>131.7752921150603</v>
      </c>
      <c r="AT485">
        <v>5.6435563588785165</v>
      </c>
      <c r="AU485">
        <v>-16.171288281562568</v>
      </c>
      <c r="AV485"/>
      <c r="AW485"/>
      <c r="FY485" s="210">
        <v>480</v>
      </c>
      <c r="FZ485">
        <v>6.3612805700561408</v>
      </c>
      <c r="GA485">
        <v>35.537901232675132</v>
      </c>
      <c r="GB485">
        <v>33.427949306554353</v>
      </c>
      <c r="GC485">
        <v>13.228297268613677</v>
      </c>
      <c r="GD485">
        <v>3.2796188818378536</v>
      </c>
      <c r="GE485">
        <v>2.3921172658705689</v>
      </c>
      <c r="GF485">
        <v>3.2885649814776232</v>
      </c>
      <c r="GG485">
        <v>5.5923464369193798</v>
      </c>
      <c r="GH485">
        <v>5.4949593215357035</v>
      </c>
      <c r="GI485">
        <v>12.706142865568008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8.5909913225905949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190.89149256765324</v>
      </c>
      <c r="AO486">
        <v>17.974510078827091</v>
      </c>
      <c r="AP486">
        <v>155.73748068907867</v>
      </c>
      <c r="AQ486">
        <v>123.39539311581724</v>
      </c>
      <c r="AR486">
        <v>16.594900439684309</v>
      </c>
      <c r="AS486">
        <v>160.52555559965836</v>
      </c>
      <c r="AT486">
        <v>8.4932062584215959</v>
      </c>
      <c r="AU486">
        <v>-18.668991997319015</v>
      </c>
      <c r="AV486"/>
      <c r="AW486"/>
      <c r="FY486" s="210">
        <v>481</v>
      </c>
      <c r="FZ486">
        <v>0.38879919415597203</v>
      </c>
      <c r="GA486">
        <v>16.42314593255416</v>
      </c>
      <c r="GB486">
        <v>16.377341282845155</v>
      </c>
      <c r="GC486">
        <v>7.6156035142481837</v>
      </c>
      <c r="GD486">
        <v>4.0037620269339733</v>
      </c>
      <c r="GE486">
        <v>5.4539423672502743</v>
      </c>
      <c r="GF486">
        <v>4.9334665166521727</v>
      </c>
      <c r="GG486">
        <v>1.9741102061044287</v>
      </c>
      <c r="GH486">
        <v>2.2620319233173167</v>
      </c>
      <c r="GI486">
        <v>7.7379504547418749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9.5007879103293469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184.909719365212</v>
      </c>
      <c r="AO487">
        <v>13.305101678529862</v>
      </c>
      <c r="AP487">
        <v>102.88598903559205</v>
      </c>
      <c r="AQ487">
        <v>79.83091546244016</v>
      </c>
      <c r="AR487">
        <v>12.296373808268536</v>
      </c>
      <c r="AS487">
        <v>126.44245980007267</v>
      </c>
      <c r="AT487" t="e">
        <v>#DIV/0!</v>
      </c>
      <c r="AU487" t="e">
        <v>#DIV/0!</v>
      </c>
      <c r="AV487"/>
      <c r="AW487"/>
      <c r="FY487" s="210">
        <v>482</v>
      </c>
      <c r="FZ487">
        <v>1.5255274787104676</v>
      </c>
      <c r="GA487">
        <v>17.909388386422336</v>
      </c>
      <c r="GB487">
        <v>20.875291473449472</v>
      </c>
      <c r="GC487">
        <v>10.923229292047241</v>
      </c>
      <c r="GD487">
        <v>4.5257887822464875</v>
      </c>
      <c r="GE487">
        <v>6.3577783484742314</v>
      </c>
      <c r="GF487">
        <v>7.191609774547155</v>
      </c>
      <c r="GG487">
        <v>1.8786384168771417</v>
      </c>
      <c r="GH487">
        <v>1.3578060336331905</v>
      </c>
      <c r="GI487">
        <v>9.6689524797162285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10.438871006181465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171.01103653466194</v>
      </c>
      <c r="AO488">
        <v>16.791157789211749</v>
      </c>
      <c r="AP488">
        <v>131.79340884135735</v>
      </c>
      <c r="AQ488">
        <v>100.54809732912858</v>
      </c>
      <c r="AR488">
        <v>15.599104866485831</v>
      </c>
      <c r="AS488">
        <v>137.59179575539363</v>
      </c>
      <c r="AT488">
        <v>7.2000793795721263</v>
      </c>
      <c r="AU488">
        <v>-33.328556930185101</v>
      </c>
      <c r="AV488"/>
      <c r="AW488"/>
      <c r="FY488" s="210">
        <v>483</v>
      </c>
      <c r="FZ488">
        <v>3.8008839973944504</v>
      </c>
      <c r="GA488">
        <v>19.235647715571758</v>
      </c>
      <c r="GB488">
        <v>20.457847901769483</v>
      </c>
      <c r="GC488">
        <v>9.900732235232546</v>
      </c>
      <c r="GD488">
        <v>4.3885302982964234</v>
      </c>
      <c r="GE488">
        <v>5.2960485763347513</v>
      </c>
      <c r="GF488">
        <v>3.845756370494553</v>
      </c>
      <c r="GG488">
        <v>4.4527564436989238</v>
      </c>
      <c r="GH488">
        <v>5.2302075285980818</v>
      </c>
      <c r="GI488">
        <v>9.7468066741291395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11.469577987865909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265.44780591329584</v>
      </c>
      <c r="AO489">
        <v>21.054875525628859</v>
      </c>
      <c r="AP489">
        <v>156.36865798592225</v>
      </c>
      <c r="AQ489">
        <v>122.95752610835645</v>
      </c>
      <c r="AR489">
        <v>19.533293671857784</v>
      </c>
      <c r="AS489">
        <v>197.57098694931662</v>
      </c>
      <c r="AT489">
        <v>8.4734121485452061</v>
      </c>
      <c r="AU489">
        <v>-27.345746406587597</v>
      </c>
      <c r="AV489"/>
      <c r="AW489"/>
      <c r="FY489" s="210">
        <v>484</v>
      </c>
      <c r="FZ489">
        <v>2.0540617567214277</v>
      </c>
      <c r="GA489">
        <v>20.518583048225029</v>
      </c>
      <c r="GB489">
        <v>17.170647300737247</v>
      </c>
      <c r="GC489">
        <v>6.3368861333426603</v>
      </c>
      <c r="GD489">
        <v>2.7259646191850617</v>
      </c>
      <c r="GE489">
        <v>5.1515240748580968</v>
      </c>
      <c r="GF489">
        <v>6.1230717296625627</v>
      </c>
      <c r="GG489">
        <v>2.9366803660568532</v>
      </c>
      <c r="GH489">
        <v>3.4868050190653879</v>
      </c>
      <c r="GI489">
        <v>7.8511657610115035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12.530296865509314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183.28350072161533</v>
      </c>
      <c r="AO490">
        <v>15.382778904450058</v>
      </c>
      <c r="AP490">
        <v>132.24536566726306</v>
      </c>
      <c r="AQ490">
        <v>102.84630934094254</v>
      </c>
      <c r="AR490">
        <v>14.365306794754387</v>
      </c>
      <c r="AS490">
        <v>141.97593291686405</v>
      </c>
      <c r="AT490">
        <v>7.402324744072474</v>
      </c>
      <c r="AU490">
        <v>-29.55369225371151</v>
      </c>
      <c r="AV490"/>
      <c r="AW490"/>
      <c r="FY490" s="210">
        <v>485</v>
      </c>
      <c r="FZ490">
        <v>3.7717247657682016</v>
      </c>
      <c r="GA490">
        <v>22.676076339025819</v>
      </c>
      <c r="GB490">
        <v>20.849588541202603</v>
      </c>
      <c r="GC490">
        <v>8.4254989669979157</v>
      </c>
      <c r="GD490">
        <v>2.867581853682748</v>
      </c>
      <c r="GE490">
        <v>4.0733970965051496</v>
      </c>
      <c r="GF490">
        <v>5.1361818579325007</v>
      </c>
      <c r="GG490">
        <v>2.7149589872569586</v>
      </c>
      <c r="GH490">
        <v>1.8047604865382569</v>
      </c>
      <c r="GI490">
        <v>8.6793293056346119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13.689112162966889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171.83538733276563</v>
      </c>
      <c r="AO491">
        <v>11.718096228477851</v>
      </c>
      <c r="AP491">
        <v>93.339522721347208</v>
      </c>
      <c r="AQ491">
        <v>76.737701614769918</v>
      </c>
      <c r="AR491">
        <v>11.039619604306104</v>
      </c>
      <c r="AS491">
        <v>120.11702446925602</v>
      </c>
      <c r="AT491">
        <v>6.6781922047593438</v>
      </c>
      <c r="AU491">
        <v>-56.184879282505193</v>
      </c>
      <c r="AV491"/>
      <c r="AW491"/>
      <c r="FY491" s="210">
        <v>486</v>
      </c>
      <c r="FZ491">
        <v>1.2338092453361604</v>
      </c>
      <c r="GA491">
        <v>19.263567573843986</v>
      </c>
      <c r="GB491">
        <v>22.912948837206272</v>
      </c>
      <c r="GC491">
        <v>8.8278315708847614</v>
      </c>
      <c r="GD491">
        <v>2.6760901512095292</v>
      </c>
      <c r="GE491">
        <v>6.2251497582283104</v>
      </c>
      <c r="GF491">
        <v>5.9203563883822357</v>
      </c>
      <c r="GG491">
        <v>2.1958315849043233</v>
      </c>
      <c r="GH491">
        <v>2.1969826534817587</v>
      </c>
      <c r="GI491">
        <v>8.9051023077179945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14.879655987662844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188.71850824215403</v>
      </c>
      <c r="AO492">
        <v>14.960555154031809</v>
      </c>
      <c r="AP492">
        <v>124.37840917976094</v>
      </c>
      <c r="AQ492">
        <v>96.145943721225478</v>
      </c>
      <c r="AR492">
        <v>13.825042268589112</v>
      </c>
      <c r="AS492">
        <v>134.96668998373798</v>
      </c>
      <c r="AT492">
        <v>6.6658981251399148</v>
      </c>
      <c r="AU492">
        <v>-9.8938861917132925</v>
      </c>
      <c r="AV492"/>
      <c r="AW492"/>
      <c r="FY492" s="210">
        <v>487</v>
      </c>
      <c r="FZ492">
        <v>1.0854784576449761</v>
      </c>
      <c r="GA492">
        <v>6.9549515150001566</v>
      </c>
      <c r="GB492">
        <v>16.044059045265875</v>
      </c>
      <c r="GC492">
        <v>8.980196546706825</v>
      </c>
      <c r="GD492">
        <v>2.4762964735875408</v>
      </c>
      <c r="GE492">
        <v>4.0049620125911902</v>
      </c>
      <c r="GF492">
        <v>4.8166481362247184</v>
      </c>
      <c r="GG492">
        <v>4.2979917380772044</v>
      </c>
      <c r="GH492">
        <v>4.8512367437425779</v>
      </c>
      <c r="GI492">
        <v>7.2557615098750894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16.173741560110425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200.47212463567004</v>
      </c>
      <c r="AO493">
        <v>14.757455468027029</v>
      </c>
      <c r="AP493">
        <v>116.56708059172998</v>
      </c>
      <c r="AQ493">
        <v>89.682010794314749</v>
      </c>
      <c r="AR493">
        <v>13.625690417694756</v>
      </c>
      <c r="AS493">
        <v>134.81391083873095</v>
      </c>
      <c r="AT493">
        <v>6.0264820124018392</v>
      </c>
      <c r="AU493">
        <v>-25.792188856391242</v>
      </c>
      <c r="AV493"/>
      <c r="AW493"/>
      <c r="FY493" s="210">
        <v>488</v>
      </c>
      <c r="FZ493">
        <v>4.6642000121124978</v>
      </c>
      <c r="GA493">
        <v>27.782748561873731</v>
      </c>
      <c r="GB493">
        <v>27.14124037265913</v>
      </c>
      <c r="GC493">
        <v>9.6843983353935386</v>
      </c>
      <c r="GD493">
        <v>1.7615650219099457</v>
      </c>
      <c r="GE493">
        <v>3.5336364079388778</v>
      </c>
      <c r="GF493">
        <v>4.1884830999296012</v>
      </c>
      <c r="GG493">
        <v>1.3269328566833409</v>
      </c>
      <c r="GH493">
        <v>1.9401706344207539</v>
      </c>
      <c r="GI493">
        <v>9.6102649430082323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17.501264083346147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174.76807471900838</v>
      </c>
      <c r="AO494">
        <v>14.343607772392023</v>
      </c>
      <c r="AP494">
        <v>108.83133034209187</v>
      </c>
      <c r="AQ494">
        <v>86.281233104606528</v>
      </c>
      <c r="AR494">
        <v>13.259513359025632</v>
      </c>
      <c r="AS494">
        <v>133.12488006874162</v>
      </c>
      <c r="AT494">
        <v>6.3432235356761337</v>
      </c>
      <c r="AU494">
        <v>-15.889985497127448</v>
      </c>
      <c r="AV494"/>
      <c r="AW494"/>
      <c r="FY494" s="210">
        <v>489</v>
      </c>
      <c r="FZ494">
        <v>6.6041545125663195</v>
      </c>
      <c r="GA494">
        <v>26.860843016051746</v>
      </c>
      <c r="GB494">
        <v>24.379882000240023</v>
      </c>
      <c r="GC494">
        <v>10.966466651555109</v>
      </c>
      <c r="GD494">
        <v>2.8545013523180378</v>
      </c>
      <c r="GE494">
        <v>4.3434522498301043</v>
      </c>
      <c r="GF494">
        <v>6.5485214246773529</v>
      </c>
      <c r="GG494">
        <v>2.8412085768295654</v>
      </c>
      <c r="GH494">
        <v>4.0691696198529517</v>
      </c>
      <c r="GI494">
        <v>10.597279831079199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18.937748162765295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231.80157012030895</v>
      </c>
      <c r="AO495">
        <v>16.336853493516191</v>
      </c>
      <c r="AP495">
        <v>130.45973708611379</v>
      </c>
      <c r="AQ495">
        <v>100.97432803729907</v>
      </c>
      <c r="AR495">
        <v>15.07290226534321</v>
      </c>
      <c r="AS495">
        <v>158.02430570706508</v>
      </c>
      <c r="AT495">
        <v>6.7173445337547237</v>
      </c>
      <c r="AU495">
        <v>-8.2963512902213168</v>
      </c>
      <c r="AV495"/>
      <c r="AW495"/>
      <c r="FY495" s="210">
        <v>490</v>
      </c>
      <c r="FZ495">
        <v>6.8173591571630787</v>
      </c>
      <c r="GA495">
        <v>35.177892108429987</v>
      </c>
      <c r="GB495">
        <v>28.255213381131231</v>
      </c>
      <c r="GC495">
        <v>10.124767225022243</v>
      </c>
      <c r="GD495">
        <v>3.2679164044190969</v>
      </c>
      <c r="GE495">
        <v>4.8370359723322842</v>
      </c>
      <c r="GF495">
        <v>4.274380060782474</v>
      </c>
      <c r="GG495">
        <v>2.7475371450981236</v>
      </c>
      <c r="GH495">
        <v>3.1012085431658845</v>
      </c>
      <c r="GI495">
        <v>11.245245833612579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20.409369895426476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149.9881574731192</v>
      </c>
      <c r="AO496">
        <v>19.166359701258969</v>
      </c>
      <c r="AP496">
        <v>160.56212492840223</v>
      </c>
      <c r="AQ496">
        <v>121.30917813110844</v>
      </c>
      <c r="AR496">
        <v>17.917973196328827</v>
      </c>
      <c r="AS496">
        <v>148.44447467181965</v>
      </c>
      <c r="AT496">
        <v>8.6386164252197926</v>
      </c>
      <c r="AU496">
        <v>-44.345919437166501</v>
      </c>
      <c r="AV496"/>
      <c r="AW496"/>
      <c r="FY496" s="210">
        <v>491</v>
      </c>
      <c r="FZ496">
        <v>6.6422746738910377</v>
      </c>
      <c r="GA496">
        <v>31.133935585623007</v>
      </c>
      <c r="GB496">
        <v>21.215748939453675</v>
      </c>
      <c r="GC496">
        <v>7.9325369296470445</v>
      </c>
      <c r="GD496">
        <v>3.2795028403463728</v>
      </c>
      <c r="GE496">
        <v>7.5950263857216411</v>
      </c>
      <c r="GF496">
        <v>9.4806744520167197</v>
      </c>
      <c r="GG496">
        <v>2.9710588813938639</v>
      </c>
      <c r="GH496">
        <v>5.3632404664832016</v>
      </c>
      <c r="GI496">
        <v>10.833151872936957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21.995348969067553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164.89268237954272</v>
      </c>
      <c r="AO497">
        <v>11.565302975800963</v>
      </c>
      <c r="AP497">
        <v>83.725648748953333</v>
      </c>
      <c r="AQ497">
        <v>67.170153418803508</v>
      </c>
      <c r="AR497">
        <v>10.67655620564468</v>
      </c>
      <c r="AS497">
        <v>118.49938192069401</v>
      </c>
      <c r="AT497">
        <v>5.7664207006392489</v>
      </c>
      <c r="AU497">
        <v>-49.605018636676789</v>
      </c>
      <c r="AV497"/>
      <c r="AW497"/>
      <c r="FY497" s="210">
        <v>492</v>
      </c>
      <c r="FZ497">
        <v>3.9688998443235146</v>
      </c>
      <c r="GA497">
        <v>27.479262784777291</v>
      </c>
      <c r="GB497">
        <v>25.396666328151344</v>
      </c>
      <c r="GC497">
        <v>9.5737258646343584</v>
      </c>
      <c r="GD497">
        <v>3.9439373326921547</v>
      </c>
      <c r="GE497">
        <v>5.5716798691986034</v>
      </c>
      <c r="GF497">
        <v>2.3557895370494082</v>
      </c>
      <c r="GG497">
        <v>3.933629041346288</v>
      </c>
      <c r="GH497">
        <v>5.7451456495527093</v>
      </c>
      <c r="GI497">
        <v>10.564299585293854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23.618159111580866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176.96068949910278</v>
      </c>
      <c r="AO498">
        <v>14.578101076628295</v>
      </c>
      <c r="AP498">
        <v>102.81306018564452</v>
      </c>
      <c r="AQ498">
        <v>82.214010466123952</v>
      </c>
      <c r="AR498">
        <v>13.298574359356147</v>
      </c>
      <c r="AS498">
        <v>121.99217010761794</v>
      </c>
      <c r="AT498">
        <v>6.0626493739210927</v>
      </c>
      <c r="AU498">
        <v>-26.031943084645032</v>
      </c>
      <c r="AV498"/>
      <c r="AW498"/>
      <c r="FY498" s="210">
        <v>493</v>
      </c>
      <c r="FZ498">
        <v>4.4511087141199379</v>
      </c>
      <c r="GA498">
        <v>23.005546151313315</v>
      </c>
      <c r="GB498">
        <v>23.985701659285198</v>
      </c>
      <c r="GC498">
        <v>9.7827117901320424</v>
      </c>
      <c r="GD498">
        <v>3.9873766196972293</v>
      </c>
      <c r="GE498">
        <v>5.4224780449428867</v>
      </c>
      <c r="GF498">
        <v>1.2712533861649191</v>
      </c>
      <c r="GG498">
        <v>0.55170556019380068</v>
      </c>
      <c r="GH498">
        <v>0.58236460078756302</v>
      </c>
      <c r="GI498">
        <v>9.2979996316038438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25.360699691758413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201.12531177338255</v>
      </c>
      <c r="AO499">
        <v>14.490265090572246</v>
      </c>
      <c r="AP499">
        <v>107.07668400187447</v>
      </c>
      <c r="AQ499">
        <v>86.355217741520107</v>
      </c>
      <c r="AR499">
        <v>13.578934597179288</v>
      </c>
      <c r="AS499">
        <v>139.06736538918904</v>
      </c>
      <c r="AT499">
        <v>6.94444159543123</v>
      </c>
      <c r="AU499">
        <v>-32.773685994685614</v>
      </c>
      <c r="AV499"/>
      <c r="AW499"/>
      <c r="FY499" s="210">
        <v>494</v>
      </c>
      <c r="FZ499">
        <v>6.762576577766219</v>
      </c>
      <c r="GA499">
        <v>32.453736573276657</v>
      </c>
      <c r="GB499">
        <v>22.639127232703842</v>
      </c>
      <c r="GC499">
        <v>9.2078755733617417</v>
      </c>
      <c r="GD499">
        <v>5.3700881583778495</v>
      </c>
      <c r="GE499">
        <v>5.3428846257266507</v>
      </c>
      <c r="GF499">
        <v>1.3880717665923741</v>
      </c>
      <c r="GG499">
        <v>1.5160760776420703</v>
      </c>
      <c r="GH499">
        <v>2.0652637984292568</v>
      </c>
      <c r="GI499">
        <v>10.341761180033391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27.141757859415272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178.01949487744076</v>
      </c>
      <c r="AO500">
        <v>11.647915701779525</v>
      </c>
      <c r="AP500">
        <v>94.950521236624382</v>
      </c>
      <c r="AQ500">
        <v>74.355389808865837</v>
      </c>
      <c r="AR500">
        <v>10.73826483505246</v>
      </c>
      <c r="AS500">
        <v>115.58779662231755</v>
      </c>
      <c r="AT500">
        <v>5.1931055994127986</v>
      </c>
      <c r="AU500">
        <v>-3.8427518919982191</v>
      </c>
      <c r="AV500"/>
      <c r="AW500"/>
      <c r="FY500" s="210">
        <v>495</v>
      </c>
      <c r="FZ500">
        <v>3.9282576689809083</v>
      </c>
      <c r="GA500">
        <v>30.185446523504307</v>
      </c>
      <c r="GB500">
        <v>21.622553118693997</v>
      </c>
      <c r="GC500">
        <v>6.9031104096041727</v>
      </c>
      <c r="GD500">
        <v>3.7260597910898627</v>
      </c>
      <c r="GE500">
        <v>5.6577393676075616</v>
      </c>
      <c r="GF500">
        <v>3.6579643427889095</v>
      </c>
      <c r="GG500">
        <v>1.5160760776420703</v>
      </c>
      <c r="GH500">
        <v>2.0652637984292568</v>
      </c>
      <c r="GI500">
        <v>9.1156540863359741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29.047898072722788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155.24228120796039</v>
      </c>
      <c r="AO501">
        <v>13.021963567142611</v>
      </c>
      <c r="AP501">
        <v>104.32851471812585</v>
      </c>
      <c r="AQ501">
        <v>80.999098200544765</v>
      </c>
      <c r="AR501">
        <v>12.040578767750105</v>
      </c>
      <c r="AS501">
        <v>118.27644468659145</v>
      </c>
      <c r="AT501">
        <v>5.3845978708260853</v>
      </c>
      <c r="AU501">
        <v>-11.412377178247267</v>
      </c>
      <c r="AV501"/>
      <c r="AW501"/>
      <c r="FY501" s="210">
        <v>496</v>
      </c>
      <c r="FZ501">
        <v>1.6204610904758401</v>
      </c>
      <c r="GA501">
        <v>25.156530768412772</v>
      </c>
      <c r="GB501">
        <v>24.519435599330283</v>
      </c>
      <c r="GC501">
        <v>11.181937238298016</v>
      </c>
      <c r="GD501">
        <v>4.6095901847735732</v>
      </c>
      <c r="GE501">
        <v>3.1911118652628421</v>
      </c>
      <c r="GF501">
        <v>2.3717876430493057</v>
      </c>
      <c r="GG501">
        <v>4.0291008305735758</v>
      </c>
      <c r="GH501">
        <v>4.5190584709720207</v>
      </c>
      <c r="GI501">
        <v>10.199962697511598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30.994235846819478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157.92834936207649</v>
      </c>
      <c r="AO502">
        <v>13.386002256767672</v>
      </c>
      <c r="AP502">
        <v>104.75514627685882</v>
      </c>
      <c r="AQ502">
        <v>80.357670071195329</v>
      </c>
      <c r="AR502">
        <v>12.238579004791269</v>
      </c>
      <c r="AS502">
        <v>120.82788091442372</v>
      </c>
      <c r="AT502" t="e">
        <v>#DIV/0!</v>
      </c>
      <c r="AU502" t="e">
        <v>#DIV/0!</v>
      </c>
      <c r="AV502"/>
      <c r="AW502"/>
      <c r="FY502" s="210">
        <v>497</v>
      </c>
      <c r="FZ502">
        <v>6.6237230938317024</v>
      </c>
      <c r="GA502">
        <v>29.278575897593839</v>
      </c>
      <c r="GB502">
        <v>22.094789630767963</v>
      </c>
      <c r="GC502">
        <v>8.5446893055940123</v>
      </c>
      <c r="GD502">
        <v>3.7407900394357223</v>
      </c>
      <c r="GE502">
        <v>5.0466169393412743</v>
      </c>
      <c r="GF502">
        <v>4.5896649947919119</v>
      </c>
      <c r="GG502">
        <v>3.4901862837464988</v>
      </c>
      <c r="GH502">
        <v>3.3617118550568845</v>
      </c>
      <c r="GI502">
        <v>10.073964347603855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33.070986868766035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149.70226308279854</v>
      </c>
      <c r="AO503">
        <v>10.836918719008965</v>
      </c>
      <c r="AP503">
        <v>76.880037381579612</v>
      </c>
      <c r="AQ503">
        <v>60.767582178716154</v>
      </c>
      <c r="AR503">
        <v>9.9967352638089526</v>
      </c>
      <c r="AS503">
        <v>119.72067947967287</v>
      </c>
      <c r="AT503">
        <v>4.4163999603528188</v>
      </c>
      <c r="AU503">
        <v>-5.5574034484670465</v>
      </c>
      <c r="AV503"/>
      <c r="AW503"/>
      <c r="FY503" s="210">
        <v>498</v>
      </c>
      <c r="FZ503">
        <v>1.4021966258985226</v>
      </c>
      <c r="GA503">
        <v>19.879883270406228</v>
      </c>
      <c r="GB503">
        <v>18.570363717740243</v>
      </c>
      <c r="GC503">
        <v>8.7764184343320615</v>
      </c>
      <c r="GD503">
        <v>4.3223213407219623</v>
      </c>
      <c r="GE503">
        <v>5.3545123394251846</v>
      </c>
      <c r="GF503">
        <v>6.4223585576721058</v>
      </c>
      <c r="GG503">
        <v>3.4901862837464988</v>
      </c>
      <c r="GH503">
        <v>3.3617118550568845</v>
      </c>
      <c r="GI503">
        <v>9.0798306286210462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35.18960919840324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131.0028936376566</v>
      </c>
      <c r="AO504">
        <v>14.420674343359593</v>
      </c>
      <c r="AP504">
        <v>122.97017010566823</v>
      </c>
      <c r="AQ504">
        <v>91.633640245929641</v>
      </c>
      <c r="AR504">
        <v>13.383371385494856</v>
      </c>
      <c r="AS504">
        <v>109.99752227787026</v>
      </c>
      <c r="AT504">
        <v>5.5220648858103836</v>
      </c>
      <c r="AU504">
        <v>-12.370250974203515</v>
      </c>
      <c r="AV504"/>
      <c r="AW504"/>
      <c r="FY504" s="210">
        <v>499</v>
      </c>
      <c r="FZ504">
        <v>3.6837464437416081</v>
      </c>
      <c r="GA504">
        <v>23.288314823942279</v>
      </c>
      <c r="GB504">
        <v>22.642478526343577</v>
      </c>
      <c r="GC504">
        <v>9.8072451073881943</v>
      </c>
      <c r="GD504">
        <v>3.4852818977944144</v>
      </c>
      <c r="GE504">
        <v>3.3768655692224785</v>
      </c>
      <c r="GF504">
        <v>2.5425067723298382</v>
      </c>
      <c r="GG504">
        <v>2.8412085768295654</v>
      </c>
      <c r="GH504">
        <v>2.6439371063868249</v>
      </c>
      <c r="GI504">
        <v>9.0974580387338193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37.443956554736779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184.58288724492729</v>
      </c>
      <c r="AO505">
        <v>15.854714334623187</v>
      </c>
      <c r="AP505">
        <v>129.06496302077031</v>
      </c>
      <c r="AQ505">
        <v>100.06547923500042</v>
      </c>
      <c r="AR505">
        <v>14.627839897032805</v>
      </c>
      <c r="AS505">
        <v>138.16371883625371</v>
      </c>
      <c r="AT505">
        <v>7.9149752707810821</v>
      </c>
      <c r="AU505">
        <v>-42.691310778775623</v>
      </c>
      <c r="AV505"/>
      <c r="AW505"/>
      <c r="FY505" s="210">
        <v>500</v>
      </c>
      <c r="FZ505">
        <v>1.3123197027454114</v>
      </c>
      <c r="GA505">
        <v>23.496376027010022</v>
      </c>
      <c r="GB505">
        <v>24.687689807653474</v>
      </c>
      <c r="GC505">
        <v>10.480659476057751</v>
      </c>
      <c r="GD505">
        <v>3.7346419314293944</v>
      </c>
      <c r="GE505">
        <v>3.5777995218377754</v>
      </c>
      <c r="GF505">
        <v>3.2015932281995374</v>
      </c>
      <c r="GG505">
        <v>2.843008934325411</v>
      </c>
      <c r="GH505">
        <v>2.5188439423783215</v>
      </c>
      <c r="GI505">
        <v>9.4970799201208393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39.741843029632626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195.02419980118771</v>
      </c>
      <c r="AO506">
        <v>16.870157905516869</v>
      </c>
      <c r="AP506">
        <v>142.41762447096818</v>
      </c>
      <c r="AQ506">
        <v>109.84855583115697</v>
      </c>
      <c r="AR506">
        <v>15.636721279959074</v>
      </c>
      <c r="AS506">
        <v>150.0020328951467</v>
      </c>
      <c r="AT506">
        <v>7.2061362693576365</v>
      </c>
      <c r="AU506">
        <v>-21.50110029922223</v>
      </c>
      <c r="AV506"/>
      <c r="AW506"/>
      <c r="FY506" s="210">
        <v>501</v>
      </c>
      <c r="FZ506">
        <v>0.85055788276654287</v>
      </c>
      <c r="GA506">
        <v>14.425633311999771</v>
      </c>
      <c r="GB506">
        <v>17.412913210691659</v>
      </c>
      <c r="GC506">
        <v>8.8601506306432931</v>
      </c>
      <c r="GD506">
        <v>3.6969365760675763</v>
      </c>
      <c r="GE506">
        <v>5.7601754824547005</v>
      </c>
      <c r="GF506">
        <v>6.0371747688096917</v>
      </c>
      <c r="GG506">
        <v>3.0665306706211508</v>
      </c>
      <c r="GH506">
        <v>4.1371532879025121</v>
      </c>
      <c r="GI506">
        <v>8.3693285318590416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42.180747781904969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198.30484444822156</v>
      </c>
      <c r="AO507">
        <v>16.148028631351497</v>
      </c>
      <c r="AP507">
        <v>135.17188220171332</v>
      </c>
      <c r="AQ507">
        <v>106.4471510275135</v>
      </c>
      <c r="AR507">
        <v>14.766977665171837</v>
      </c>
      <c r="AS507">
        <v>140.0001519261894</v>
      </c>
      <c r="AT507">
        <v>6.983814603046909</v>
      </c>
      <c r="AU507">
        <v>-4.0619099519864079</v>
      </c>
      <c r="AV507"/>
      <c r="AW507"/>
      <c r="FY507" s="210">
        <v>502</v>
      </c>
      <c r="FZ507">
        <v>6.6874666029270298</v>
      </c>
      <c r="GA507">
        <v>31.932399089699185</v>
      </c>
      <c r="GB507">
        <v>25.260714442503968</v>
      </c>
      <c r="GC507">
        <v>9.4929685170037921</v>
      </c>
      <c r="GD507">
        <v>4.6061953574395416</v>
      </c>
      <c r="GE507">
        <v>8.3774186762237246</v>
      </c>
      <c r="GF507">
        <v>8.3580219798302799</v>
      </c>
      <c r="GG507">
        <v>6.4286670072991976</v>
      </c>
      <c r="GH507">
        <v>4.3939653069635174</v>
      </c>
      <c r="GI507">
        <v>12.22490774133828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44.664853793057219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200.15987072502458</v>
      </c>
      <c r="AO508">
        <v>15.848353881350624</v>
      </c>
      <c r="AP508">
        <v>126.05030094911919</v>
      </c>
      <c r="AQ508">
        <v>98.533035837019526</v>
      </c>
      <c r="AR508">
        <v>14.773483544347728</v>
      </c>
      <c r="AS508">
        <v>148.78444794069799</v>
      </c>
      <c r="AT508">
        <v>6.1978612089049987</v>
      </c>
      <c r="AU508">
        <v>-23.293067616058963</v>
      </c>
      <c r="AV508"/>
      <c r="AW508"/>
      <c r="FY508" s="210">
        <v>503</v>
      </c>
      <c r="FZ508">
        <v>1.2635918898537806</v>
      </c>
      <c r="GA508">
        <v>15.217281736962857</v>
      </c>
      <c r="GB508">
        <v>21.687587603403415</v>
      </c>
      <c r="GC508">
        <v>10.486269818888687</v>
      </c>
      <c r="GD508">
        <v>4.5986983710032749</v>
      </c>
      <c r="GE508">
        <v>9.0641203396709678</v>
      </c>
      <c r="GF508">
        <v>7.9675146108443098</v>
      </c>
      <c r="GG508">
        <v>1.2943546988421759</v>
      </c>
      <c r="GH508">
        <v>0.90422588968412598</v>
      </c>
      <c r="GI508">
        <v>9.9338259495350751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47.295253623051856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202.08689754600633</v>
      </c>
      <c r="AO509">
        <v>13.967586667527446</v>
      </c>
      <c r="AP509">
        <v>104.26002715030214</v>
      </c>
      <c r="AQ509">
        <v>82.338246158240722</v>
      </c>
      <c r="AR509">
        <v>13.050813733376213</v>
      </c>
      <c r="AS509">
        <v>139.08937240971949</v>
      </c>
      <c r="AT509" t="e">
        <v>#DIV/0!</v>
      </c>
      <c r="AU509" t="e">
        <v>#DIV/0!</v>
      </c>
      <c r="AV509"/>
      <c r="AW509"/>
      <c r="FY509" s="210">
        <v>504</v>
      </c>
      <c r="FZ509">
        <v>4.592367734099847</v>
      </c>
      <c r="GA509">
        <v>35.83200876051071</v>
      </c>
      <c r="GB509">
        <v>26.046155438597665</v>
      </c>
      <c r="GC509">
        <v>8.1704595418658528</v>
      </c>
      <c r="GD509">
        <v>3.6616846089321573</v>
      </c>
      <c r="GE509">
        <v>5.1362847700923053</v>
      </c>
      <c r="GF509">
        <v>5.6635266198000602</v>
      </c>
      <c r="GG509">
        <v>6.6485880286032462</v>
      </c>
      <c r="GH509">
        <v>7.7490514709764042</v>
      </c>
      <c r="GI509">
        <v>11.55720013387122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49.972511425288218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189.63989429613309</v>
      </c>
      <c r="AO510">
        <v>15.424227986731234</v>
      </c>
      <c r="AP510">
        <v>119.21750245897482</v>
      </c>
      <c r="AQ510">
        <v>97.087461563910054</v>
      </c>
      <c r="AR510">
        <v>14.434498594273622</v>
      </c>
      <c r="AS510">
        <v>152.69657639489623</v>
      </c>
      <c r="AT510">
        <v>7.1642287304720211</v>
      </c>
      <c r="AU510">
        <v>126.71769063318683</v>
      </c>
      <c r="AV510"/>
      <c r="AW510"/>
      <c r="FY510" s="210">
        <v>505</v>
      </c>
      <c r="FZ510">
        <v>6.7818932797735281</v>
      </c>
      <c r="GA510">
        <v>32.116391245115196</v>
      </c>
      <c r="GB510">
        <v>24.161834064340052</v>
      </c>
      <c r="GC510">
        <v>9.7693813348077221</v>
      </c>
      <c r="GD510">
        <v>3.2581875938223614</v>
      </c>
      <c r="GE510">
        <v>2.1896124851079959</v>
      </c>
      <c r="GF510">
        <v>3.8617544764944505</v>
      </c>
      <c r="GG510">
        <v>3.5856580729737866</v>
      </c>
      <c r="GH510">
        <v>2.7793472542693221</v>
      </c>
      <c r="GI510">
        <v>10.112213671138928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52.801321630578869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161.38225829489039</v>
      </c>
      <c r="AO511">
        <v>13.588222596069324</v>
      </c>
      <c r="AP511">
        <v>112.46068831809755</v>
      </c>
      <c r="AQ511">
        <v>88.378125184677032</v>
      </c>
      <c r="AR511">
        <v>12.614917403888573</v>
      </c>
      <c r="AS511">
        <v>124.66772202475269</v>
      </c>
      <c r="AT511">
        <v>7.4077986444168138</v>
      </c>
      <c r="AU511">
        <v>-44.79869541585861</v>
      </c>
      <c r="AV511"/>
      <c r="AW511"/>
      <c r="FY511" s="210">
        <v>506</v>
      </c>
      <c r="FZ511">
        <v>4.1332601980561456</v>
      </c>
      <c r="GA511">
        <v>35.498125874798127</v>
      </c>
      <c r="GB511">
        <v>31.894996476883591</v>
      </c>
      <c r="GC511">
        <v>12.223236919151983</v>
      </c>
      <c r="GD511">
        <v>4.1206701463773445</v>
      </c>
      <c r="GE511">
        <v>2.6757184476701061</v>
      </c>
      <c r="GF511">
        <v>1.3731484530176894</v>
      </c>
      <c r="GG511">
        <v>2.843008934325411</v>
      </c>
      <c r="GH511">
        <v>3.744931120959011</v>
      </c>
      <c r="GI511">
        <v>11.785857973392906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55.678641318800061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154.43515173639034</v>
      </c>
      <c r="AO512">
        <v>15.335441025905165</v>
      </c>
      <c r="AP512">
        <v>116.93295515868147</v>
      </c>
      <c r="AQ512">
        <v>91.398976388659818</v>
      </c>
      <c r="AR512">
        <v>14.256964882704773</v>
      </c>
      <c r="AS512">
        <v>162.06575480877186</v>
      </c>
      <c r="AT512" t="e">
        <v>#DIV/0!</v>
      </c>
      <c r="AU512" t="e">
        <v>#DIV/0!</v>
      </c>
      <c r="AV512"/>
      <c r="AW512"/>
      <c r="FY512" s="210">
        <v>507</v>
      </c>
      <c r="FZ512">
        <v>1.6077092212609319</v>
      </c>
      <c r="GA512">
        <v>20.599360811942987</v>
      </c>
      <c r="GB512">
        <v>24.32241113731239</v>
      </c>
      <c r="GC512">
        <v>10.196282172707651</v>
      </c>
      <c r="GD512">
        <v>3.1465718412058719</v>
      </c>
      <c r="GE512">
        <v>6.4245800833162896</v>
      </c>
      <c r="GF512">
        <v>6.7810833931070498</v>
      </c>
      <c r="GG512">
        <v>2.3849748058630524</v>
      </c>
      <c r="GH512">
        <v>2.904440418277825</v>
      </c>
      <c r="GI512">
        <v>9.8769360593780036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58.712755729815285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166.27603177221741</v>
      </c>
      <c r="AO513">
        <v>15.059873669955687</v>
      </c>
      <c r="AP513">
        <v>122.22476108606993</v>
      </c>
      <c r="AQ513">
        <v>96.84471238776365</v>
      </c>
      <c r="AR513">
        <v>14.015079421025114</v>
      </c>
      <c r="AS513">
        <v>144.0010899987065</v>
      </c>
      <c r="AT513">
        <v>6.2674365411550035</v>
      </c>
      <c r="AU513">
        <v>-7.9994270180547939</v>
      </c>
      <c r="AV513"/>
      <c r="AW513"/>
      <c r="FY513" s="210">
        <v>508</v>
      </c>
      <c r="FZ513">
        <v>1.0628840588111284</v>
      </c>
      <c r="GA513">
        <v>25.221885321671763</v>
      </c>
      <c r="GB513">
        <v>28.153602796917284</v>
      </c>
      <c r="GC513">
        <v>11.240650364724896</v>
      </c>
      <c r="GD513">
        <v>4.5641667568182696</v>
      </c>
      <c r="GE513">
        <v>6.7706810814029232</v>
      </c>
      <c r="GF513">
        <v>5.1361818579325007</v>
      </c>
      <c r="GG513">
        <v>4.2654135802360393</v>
      </c>
      <c r="GH513">
        <v>4.1371532879025121</v>
      </c>
      <c r="GI513">
        <v>11.479334642308359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61.79702613892146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184.35598102158394</v>
      </c>
      <c r="AO514">
        <v>13.549767278002573</v>
      </c>
      <c r="AP514">
        <v>101.19674322080425</v>
      </c>
      <c r="AQ514">
        <v>80.659783053620743</v>
      </c>
      <c r="AR514">
        <v>12.525527315501717</v>
      </c>
      <c r="AS514">
        <v>114.66214569408025</v>
      </c>
      <c r="AT514">
        <v>6.5149628020362451</v>
      </c>
      <c r="AU514">
        <v>-51.392190027657541</v>
      </c>
      <c r="AV514"/>
      <c r="AW514"/>
      <c r="FY514" s="210">
        <v>509</v>
      </c>
      <c r="FZ514">
        <v>7.342241073345904</v>
      </c>
      <c r="GA514">
        <v>27.587077878962035</v>
      </c>
      <c r="GB514">
        <v>20.070048923812625</v>
      </c>
      <c r="GC514">
        <v>8.6434363739932945</v>
      </c>
      <c r="GD514">
        <v>3.7090644253281417</v>
      </c>
      <c r="GE514">
        <v>3.1426736259324479</v>
      </c>
      <c r="GF514">
        <v>2.5585048783297362</v>
      </c>
      <c r="GG514">
        <v>2.0677816378358704</v>
      </c>
      <c r="GH514">
        <v>1.161037908745131</v>
      </c>
      <c r="GI514">
        <v>8.8706526626787081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65.043317966341974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163.13366216444365</v>
      </c>
      <c r="AO515">
        <v>13.655455721687289</v>
      </c>
      <c r="AP515">
        <v>106.59103920862722</v>
      </c>
      <c r="AQ515">
        <v>83.40904286271261</v>
      </c>
      <c r="AR515">
        <v>12.691396096579981</v>
      </c>
      <c r="AS515">
        <v>126.46263997401225</v>
      </c>
      <c r="AT515">
        <v>6.7053510161524592</v>
      </c>
      <c r="AU515">
        <v>36.108723542084434</v>
      </c>
      <c r="AV515"/>
      <c r="AW515"/>
      <c r="FY515" s="210">
        <v>510</v>
      </c>
      <c r="FZ515">
        <v>0.88867804409126028</v>
      </c>
      <c r="GA515">
        <v>15.894680309104313</v>
      </c>
      <c r="GB515">
        <v>13.299605584733975</v>
      </c>
      <c r="GC515">
        <v>6.5693021092869852</v>
      </c>
      <c r="GD515">
        <v>4.6179010506131792</v>
      </c>
      <c r="GE515">
        <v>8.6233793542674739</v>
      </c>
      <c r="GF515">
        <v>9.1571198238546998</v>
      </c>
      <c r="GG515">
        <v>2.0695819953317161</v>
      </c>
      <c r="GH515">
        <v>1.0359447447366277</v>
      </c>
      <c r="GI515">
        <v>8.002369929238645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68.341407503357516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154.11338205394992</v>
      </c>
      <c r="AO516">
        <v>14.270500086069504</v>
      </c>
      <c r="AP516">
        <v>110.99165154272416</v>
      </c>
      <c r="AQ516">
        <v>85.350012491757951</v>
      </c>
      <c r="AR516">
        <v>13.252448260323227</v>
      </c>
      <c r="AS516">
        <v>128.84873716612361</v>
      </c>
      <c r="AT516">
        <v>7.1609952576590699</v>
      </c>
      <c r="AU516">
        <v>-62.879245065413798</v>
      </c>
      <c r="AV516"/>
      <c r="AW516"/>
      <c r="FY516" s="210">
        <v>511</v>
      </c>
      <c r="FZ516">
        <v>1.7917515028631443</v>
      </c>
      <c r="GA516">
        <v>26.308276588884439</v>
      </c>
      <c r="GB516">
        <v>26.245647054359932</v>
      </c>
      <c r="GC516">
        <v>10.377976392342955</v>
      </c>
      <c r="GD516">
        <v>5.0067706340855009</v>
      </c>
      <c r="GE516">
        <v>7.5466445313146213</v>
      </c>
      <c r="GF516">
        <v>4.4061217547846132</v>
      </c>
      <c r="GG516">
        <v>1.4224046459106283</v>
      </c>
      <c r="GH516">
        <v>1.6796673225297538</v>
      </c>
      <c r="GI516">
        <v>10.793363758574026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71.806730123405515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223.66340308324703</v>
      </c>
      <c r="AO517">
        <v>12.47170939244408</v>
      </c>
      <c r="AP517">
        <v>90.243869506911892</v>
      </c>
      <c r="AQ517">
        <v>72.616554353815943</v>
      </c>
      <c r="AR517">
        <v>11.428595816639367</v>
      </c>
      <c r="AS517">
        <v>135.62902645242769</v>
      </c>
      <c r="AT517">
        <v>5.2218274795549151</v>
      </c>
      <c r="AU517">
        <v>-10.485527695894316</v>
      </c>
      <c r="AV517"/>
      <c r="AW517"/>
      <c r="FY517" s="210">
        <v>512</v>
      </c>
      <c r="FZ517">
        <v>1.4304742576043006</v>
      </c>
      <c r="GA517">
        <v>18.651824628796742</v>
      </c>
      <c r="GB517">
        <v>19.767129046494432</v>
      </c>
      <c r="GC517">
        <v>9.7592481072843356</v>
      </c>
      <c r="GD517">
        <v>5.4218661639760972</v>
      </c>
      <c r="GE517">
        <v>9.3506728930880989</v>
      </c>
      <c r="GF517">
        <v>7.8656195439915404</v>
      </c>
      <c r="GG517">
        <v>1.5160760776420703</v>
      </c>
      <c r="GH517">
        <v>1.7434025095326939</v>
      </c>
      <c r="GI517">
        <v>10.042797279376732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71.806730123405515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253.17197983756205</v>
      </c>
      <c r="AO518">
        <v>18.456380326884378</v>
      </c>
      <c r="AP518">
        <v>147.93292414247605</v>
      </c>
      <c r="AQ518">
        <v>117.76272472122854</v>
      </c>
      <c r="AR518">
        <v>16.913860922463634</v>
      </c>
      <c r="AS518">
        <v>177.07087551472299</v>
      </c>
      <c r="AT518" t="e">
        <v>#DIV/0!</v>
      </c>
      <c r="AU518" t="e">
        <v>#DIV/0!</v>
      </c>
      <c r="AV518"/>
      <c r="AW518"/>
      <c r="FY518" s="210">
        <v>513</v>
      </c>
      <c r="FZ518">
        <v>1.2009818599369959</v>
      </c>
      <c r="GA518">
        <v>19.503649493849178</v>
      </c>
      <c r="GB518">
        <v>17.888797563409433</v>
      </c>
      <c r="GC518">
        <v>7.2085126444091028</v>
      </c>
      <c r="GD518">
        <v>3.2278021299906619</v>
      </c>
      <c r="GE518">
        <v>2.8525732463258557</v>
      </c>
      <c r="GF518">
        <v>2.644401839182609</v>
      </c>
      <c r="GG518">
        <v>3.4883859262506536</v>
      </c>
      <c r="GH518">
        <v>2.6439371063868249</v>
      </c>
      <c r="GI518">
        <v>7.4185929290459471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205.96215651615202</v>
      </c>
      <c r="AO519">
        <v>14.92373891978391</v>
      </c>
      <c r="AP519">
        <v>102.6620412990077</v>
      </c>
      <c r="AQ519">
        <v>82.417470908688657</v>
      </c>
      <c r="AR519">
        <v>13.658538971492087</v>
      </c>
      <c r="AS519">
        <v>122.29700369654991</v>
      </c>
      <c r="AT519" t="e">
        <v>#DIV/0!</v>
      </c>
      <c r="AU519" t="e">
        <v>#DIV/0!</v>
      </c>
      <c r="AV519"/>
      <c r="AW519"/>
      <c r="FY519" s="210">
        <v>514</v>
      </c>
      <c r="FZ519">
        <v>2.2045367620606067</v>
      </c>
      <c r="GA519">
        <v>27.061303271129219</v>
      </c>
      <c r="GB519">
        <v>26.173831595742275</v>
      </c>
      <c r="GC519">
        <v>9.2457138824758012</v>
      </c>
      <c r="GD519">
        <v>3.1336284787134807</v>
      </c>
      <c r="GE519">
        <v>3.2881976300477795</v>
      </c>
      <c r="GF519">
        <v>1.915416528459934</v>
      </c>
      <c r="GG519">
        <v>1.1988829096148885</v>
      </c>
      <c r="GH519">
        <v>0.32186128889656296</v>
      </c>
      <c r="GI519">
        <v>9.0494195710363012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13.483203569676801</v>
      </c>
      <c r="H520" s="63" t="s">
        <v>30</v>
      </c>
      <c r="I520" s="101">
        <f>SUM(K458:K518)</f>
        <v>80.389972524225982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223.56070960217136</v>
      </c>
      <c r="AO520">
        <v>17.141934856163722</v>
      </c>
      <c r="AP520">
        <v>148.50452809312188</v>
      </c>
      <c r="AQ520">
        <v>115.05732710734947</v>
      </c>
      <c r="AR520">
        <v>16.040220464331355</v>
      </c>
      <c r="AS520">
        <v>158.57209703684035</v>
      </c>
      <c r="AT520">
        <v>7.3726448907397248</v>
      </c>
      <c r="AU520">
        <v>-13.881377426346864</v>
      </c>
      <c r="AV520"/>
      <c r="AW520"/>
      <c r="FY520" s="210">
        <v>515</v>
      </c>
      <c r="FZ520">
        <v>2.3186516295132815</v>
      </c>
      <c r="GA520">
        <v>18.916302637943506</v>
      </c>
      <c r="GB520">
        <v>20.943249695860676</v>
      </c>
      <c r="GC520">
        <v>8.5925484198964419</v>
      </c>
      <c r="GD520">
        <v>2.8186178731368079</v>
      </c>
      <c r="GE520">
        <v>4.0544166014900291</v>
      </c>
      <c r="GF520">
        <v>3.7481100913401262</v>
      </c>
      <c r="GG520">
        <v>2.9366803660568532</v>
      </c>
      <c r="GH520">
        <v>2.9657983952833877</v>
      </c>
      <c r="GI520">
        <v>8.3974681651098688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134.67784596944014</v>
      </c>
      <c r="AO521">
        <v>15.215744664631549</v>
      </c>
      <c r="AP521">
        <v>127.6511539779577</v>
      </c>
      <c r="AQ521">
        <v>98.61627347784335</v>
      </c>
      <c r="AR521">
        <v>14.155758782349453</v>
      </c>
      <c r="AS521">
        <v>134.76199020746284</v>
      </c>
      <c r="AT521">
        <v>7.270744503105572</v>
      </c>
      <c r="AU521">
        <v>-22.618297456071108</v>
      </c>
      <c r="AV521"/>
      <c r="AW521"/>
      <c r="FY521" s="210">
        <v>516</v>
      </c>
      <c r="FZ521">
        <v>3.896444153419492</v>
      </c>
      <c r="GA521">
        <v>19.972602056396294</v>
      </c>
      <c r="GB521">
        <v>19.659708136352968</v>
      </c>
      <c r="GC521">
        <v>9.9110187103897918</v>
      </c>
      <c r="GD521">
        <v>4.8636000812961857</v>
      </c>
      <c r="GE521">
        <v>4.5555403774043484</v>
      </c>
      <c r="GF521">
        <v>2.5435815647550508</v>
      </c>
      <c r="GG521">
        <v>1.7505884698086891</v>
      </c>
      <c r="GH521">
        <v>0.96558386668968887</v>
      </c>
      <c r="GI521">
        <v>8.9498117984833616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5.9622308681165279</v>
      </c>
      <c r="G522" s="63"/>
      <c r="H522" s="63" t="s">
        <v>101</v>
      </c>
      <c r="I522">
        <v>199.82888793945312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207.03805686358774</v>
      </c>
      <c r="AO522">
        <v>17.588782610269902</v>
      </c>
      <c r="AP522">
        <v>144.65419472920766</v>
      </c>
      <c r="AQ522">
        <v>110.29295454463232</v>
      </c>
      <c r="AR522">
        <v>16.567369565327233</v>
      </c>
      <c r="AS522">
        <v>174.34438159167655</v>
      </c>
      <c r="AT522" t="e">
        <v>#DIV/0!</v>
      </c>
      <c r="AU522" t="e">
        <v>#DIV/0!</v>
      </c>
      <c r="AV522"/>
      <c r="AW522"/>
      <c r="FY522" s="210">
        <v>517</v>
      </c>
      <c r="FZ522">
        <v>1.2589256581878969</v>
      </c>
      <c r="GA522">
        <v>19.862862684471498</v>
      </c>
      <c r="GB522">
        <v>29.060606127476184</v>
      </c>
      <c r="GC522">
        <v>12.864614587358915</v>
      </c>
      <c r="GD522">
        <v>2.757810989140153</v>
      </c>
      <c r="GE522">
        <v>3.0708055119986217</v>
      </c>
      <c r="GF522">
        <v>3.6590391352141225</v>
      </c>
      <c r="GG522">
        <v>3.7137080200422385</v>
      </c>
      <c r="GH522">
        <v>4.4590145767990759</v>
      </c>
      <c r="GI522">
        <v>10.429667238797306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10.890388718581629</v>
      </c>
      <c r="G523" s="63"/>
      <c r="H523" s="63" t="s">
        <v>103</v>
      </c>
      <c r="I523" s="123">
        <f>+I520*(365/I522)</f>
        <v>146.83732804554779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185.39440349196968</v>
      </c>
      <c r="AO523">
        <v>14.843303763418882</v>
      </c>
      <c r="AP523">
        <v>114.46665854787007</v>
      </c>
      <c r="AQ523">
        <v>88.244349944372061</v>
      </c>
      <c r="AR523">
        <v>13.585230100199347</v>
      </c>
      <c r="AS523">
        <v>130.20053080625323</v>
      </c>
      <c r="AT523">
        <v>6.2741709465124593</v>
      </c>
      <c r="AU523">
        <v>-31.185676701463692</v>
      </c>
      <c r="AV523"/>
      <c r="AW523"/>
      <c r="FY523" s="210">
        <v>518</v>
      </c>
      <c r="FZ523">
        <v>3.947319315327416</v>
      </c>
      <c r="GA523">
        <v>20.765161424279739</v>
      </c>
      <c r="GB523">
        <v>19.014148504188192</v>
      </c>
      <c r="GC523">
        <v>9.2054489429573927</v>
      </c>
      <c r="GD523">
        <v>3.1332718322764754</v>
      </c>
      <c r="GE523">
        <v>2.7675277362352038</v>
      </c>
      <c r="GF523">
        <v>5.1361818579325007</v>
      </c>
      <c r="GG523">
        <v>2.7149589872569586</v>
      </c>
      <c r="GH523">
        <v>1.8047604865382569</v>
      </c>
      <c r="GI523">
        <v>8.3797404868983616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199.68439013941295</v>
      </c>
      <c r="AO524">
        <v>17.285453879085544</v>
      </c>
      <c r="AP524">
        <v>131.8103664612913</v>
      </c>
      <c r="AQ524">
        <v>102.03195374872567</v>
      </c>
      <c r="AR524">
        <v>16.032576030682808</v>
      </c>
      <c r="AS524">
        <v>147.85111880348649</v>
      </c>
      <c r="AT524">
        <v>7.2671211671722533</v>
      </c>
      <c r="AU524">
        <v>-36.035560121756269</v>
      </c>
      <c r="AV524"/>
      <c r="AW524"/>
      <c r="FY524" s="210">
        <v>519</v>
      </c>
      <c r="FZ524">
        <v>1.3325116969021646</v>
      </c>
      <c r="GA524">
        <v>19.811750510557466</v>
      </c>
      <c r="GB524">
        <v>22.31369965260448</v>
      </c>
      <c r="GC524">
        <v>9.586174594469723</v>
      </c>
      <c r="GD524">
        <v>4.2489369703956879</v>
      </c>
      <c r="GE524">
        <v>6.3289060330498552</v>
      </c>
      <c r="GF524">
        <v>4.3911984412099283</v>
      </c>
      <c r="GG524">
        <v>3.8055790942778356</v>
      </c>
      <c r="GH524">
        <v>4.6478429278105189</v>
      </c>
      <c r="GI524">
        <v>9.7850362554381238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175.1233959851134</v>
      </c>
      <c r="AO525">
        <v>13.244366770442642</v>
      </c>
      <c r="AP525">
        <v>106.05321596503843</v>
      </c>
      <c r="AQ525">
        <v>85.152519388963881</v>
      </c>
      <c r="AR525">
        <v>12.327081483917908</v>
      </c>
      <c r="AS525">
        <v>129.64453471973312</v>
      </c>
      <c r="AT525" t="e">
        <v>#DIV/0!</v>
      </c>
      <c r="AU525" t="e">
        <v>#DIV/0!</v>
      </c>
      <c r="AV525"/>
      <c r="AW525"/>
      <c r="FY525" s="210">
        <v>520</v>
      </c>
      <c r="FZ525">
        <v>3.844945578620198</v>
      </c>
      <c r="GA525">
        <v>30.306889803677471</v>
      </c>
      <c r="GB525">
        <v>25.499715523615407</v>
      </c>
      <c r="GC525">
        <v>9.4997536767961517</v>
      </c>
      <c r="GD525">
        <v>3.7191945538935096</v>
      </c>
      <c r="GE525">
        <v>5.1859063398623331</v>
      </c>
      <c r="GF525">
        <v>4.8166481362247184</v>
      </c>
      <c r="GG525">
        <v>1.8786384168771417</v>
      </c>
      <c r="GH525">
        <v>1.6183093455241906</v>
      </c>
      <c r="GI525">
        <v>10.253010414391136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229.35585704976566</v>
      </c>
      <c r="AO526">
        <v>12.011954391778735</v>
      </c>
      <c r="AP526">
        <v>83.762885741691079</v>
      </c>
      <c r="AQ526">
        <v>70.158562945258865</v>
      </c>
      <c r="AR526">
        <v>10.783568031207832</v>
      </c>
      <c r="AS526">
        <v>121.26041135294332</v>
      </c>
      <c r="AT526" t="e">
        <v>#DIV/0!</v>
      </c>
      <c r="AU526" t="e">
        <v>#DIV/0!</v>
      </c>
      <c r="AV526"/>
      <c r="AW526"/>
      <c r="FY526" s="210">
        <v>521</v>
      </c>
      <c r="FZ526">
        <v>4.185016959884539</v>
      </c>
      <c r="GA526">
        <v>26.099960119020672</v>
      </c>
      <c r="GB526">
        <v>28.240121763607636</v>
      </c>
      <c r="GC526">
        <v>13.441648267140113</v>
      </c>
      <c r="GD526">
        <v>4.6476728735193351</v>
      </c>
      <c r="GE526">
        <v>5.1964934618119827</v>
      </c>
      <c r="GF526">
        <v>4.9334665166521727</v>
      </c>
      <c r="GG526">
        <v>1.9741102061044287</v>
      </c>
      <c r="GH526">
        <v>1.3578060336331905</v>
      </c>
      <c r="GI526">
        <v>11.476826614414408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243.60204289446523</v>
      </c>
      <c r="AO527">
        <v>16.122613215101147</v>
      </c>
      <c r="AP527">
        <v>120.84392297046112</v>
      </c>
      <c r="AQ527">
        <v>95.578624185649616</v>
      </c>
      <c r="AR527">
        <v>14.946782191959917</v>
      </c>
      <c r="AS527">
        <v>156.57631582383974</v>
      </c>
      <c r="AT527">
        <v>6.7045137910694139</v>
      </c>
      <c r="AU527">
        <v>-22.349620429519138</v>
      </c>
      <c r="AV527"/>
      <c r="AW527"/>
      <c r="FY527" s="210">
        <v>522</v>
      </c>
      <c r="FZ527">
        <v>4.1732789605073801</v>
      </c>
      <c r="GA527">
        <v>27.97524081105896</v>
      </c>
      <c r="GB527">
        <v>25.379098045470933</v>
      </c>
      <c r="GC527">
        <v>11.02798957347507</v>
      </c>
      <c r="GD527">
        <v>4.2207000148544385</v>
      </c>
      <c r="GE527">
        <v>4.7451908299485126</v>
      </c>
      <c r="GF527">
        <v>3.4594977892069263</v>
      </c>
      <c r="GG527">
        <v>2.4193533212000626</v>
      </c>
      <c r="GH527">
        <v>4.3976565997935122</v>
      </c>
      <c r="GI527">
        <v>10.773850692189395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238.46121556144089</v>
      </c>
      <c r="AO528">
        <v>15.019376424623522</v>
      </c>
      <c r="AP528">
        <v>103.57804503143616</v>
      </c>
      <c r="AQ528">
        <v>85.549110507787049</v>
      </c>
      <c r="AR528">
        <v>13.690586725400927</v>
      </c>
      <c r="AS528">
        <v>147.30749569285382</v>
      </c>
      <c r="AT528">
        <v>5.9607307074907565</v>
      </c>
      <c r="AU528">
        <v>-2.6813406371503397</v>
      </c>
      <c r="AV528"/>
      <c r="AW528"/>
      <c r="FY528" s="210">
        <v>523</v>
      </c>
      <c r="FZ528">
        <v>1.4100272077867457</v>
      </c>
      <c r="GA528">
        <v>20.765328754587721</v>
      </c>
      <c r="GB528">
        <v>31.756600852393866</v>
      </c>
      <c r="GC528">
        <v>14.23322629010115</v>
      </c>
      <c r="GD528">
        <v>3.2861324415993525</v>
      </c>
      <c r="GE528">
        <v>2.9522315377279256</v>
      </c>
      <c r="GF528">
        <v>1.8994184224600366</v>
      </c>
      <c r="GG528">
        <v>3.616435873319106</v>
      </c>
      <c r="GH528">
        <v>4.5841077408075783</v>
      </c>
      <c r="GI528">
        <v>11.150734205405055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121.20415014725097</v>
      </c>
      <c r="AO529">
        <v>11.129132440538017</v>
      </c>
      <c r="AP529">
        <v>87.188067840560677</v>
      </c>
      <c r="AQ529">
        <v>68.077634738787253</v>
      </c>
      <c r="AR529">
        <v>10.375608160491431</v>
      </c>
      <c r="AS529">
        <v>98.538551874658793</v>
      </c>
      <c r="AT529">
        <v>5.881647769962612</v>
      </c>
      <c r="AU529">
        <v>-6.0154503851126488</v>
      </c>
      <c r="AV529"/>
      <c r="AW529"/>
      <c r="FY529" s="210">
        <v>524</v>
      </c>
      <c r="FZ529">
        <v>4.3494969229579654</v>
      </c>
      <c r="GA529">
        <v>25.185733725560205</v>
      </c>
      <c r="GB529">
        <v>20.895964787643322</v>
      </c>
      <c r="GC529">
        <v>10.134780718087823</v>
      </c>
      <c r="GD529">
        <v>5.5821451174690093</v>
      </c>
      <c r="GE529">
        <v>5.1610943631892221</v>
      </c>
      <c r="GF529">
        <v>4.8942754029250102</v>
      </c>
      <c r="GG529">
        <v>3.9156422543676928</v>
      </c>
      <c r="GH529">
        <v>1.9401706344207539</v>
      </c>
      <c r="GI529">
        <v>10.286907291990321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177.63292781366201</v>
      </c>
      <c r="AO530">
        <v>13.51669750155536</v>
      </c>
      <c r="AP530">
        <v>109.97722497009229</v>
      </c>
      <c r="AQ530">
        <v>83.592791918176829</v>
      </c>
      <c r="AR530">
        <v>12.662802523959021</v>
      </c>
      <c r="AS530">
        <v>139.02992708010984</v>
      </c>
      <c r="AT530" t="e">
        <v>#DIV/0!</v>
      </c>
      <c r="AU530" t="e">
        <v>#DIV/0!</v>
      </c>
      <c r="AV530"/>
      <c r="AW530"/>
      <c r="FY530" s="210">
        <v>525</v>
      </c>
      <c r="FZ530">
        <v>1.0823203701592321</v>
      </c>
      <c r="GA530">
        <v>25.531960918148791</v>
      </c>
      <c r="GB530">
        <v>17.158847954897617</v>
      </c>
      <c r="GC530">
        <v>6.4492912781172169</v>
      </c>
      <c r="GD530">
        <v>4.5195518641201362</v>
      </c>
      <c r="GE530">
        <v>5.0645055053318071</v>
      </c>
      <c r="GF530">
        <v>3.5453947500597991</v>
      </c>
      <c r="GG530">
        <v>1.4206042884147827</v>
      </c>
      <c r="GH530">
        <v>2.7089863762223829</v>
      </c>
      <c r="GI530">
        <v>8.135069554326833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41.666666666666664</v>
      </c>
      <c r="E531" s="108">
        <f>E405</f>
        <v>5.3977103496437209E-2</v>
      </c>
      <c r="F531" s="102"/>
      <c r="G531" s="101">
        <f>D531*E531</f>
        <v>2.2490459790182169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156.00577150269933</v>
      </c>
      <c r="AO531">
        <v>12.595601612205822</v>
      </c>
      <c r="AP531">
        <v>98.531479692231983</v>
      </c>
      <c r="AQ531">
        <v>75.691843875630965</v>
      </c>
      <c r="AR531">
        <v>11.719579543868836</v>
      </c>
      <c r="AS531">
        <v>107.81028395942938</v>
      </c>
      <c r="AT531">
        <v>4.8830829332000114</v>
      </c>
      <c r="AU531">
        <v>-19.384375490427818</v>
      </c>
      <c r="AV531"/>
      <c r="AW531"/>
      <c r="FY531" s="210">
        <v>526</v>
      </c>
      <c r="FZ531">
        <v>1.3226722986515229</v>
      </c>
      <c r="GA531">
        <v>23.760388076423723</v>
      </c>
      <c r="GB531">
        <v>25.704962529888626</v>
      </c>
      <c r="GC531">
        <v>12.299197353847783</v>
      </c>
      <c r="GD531">
        <v>5.6903052785528745</v>
      </c>
      <c r="GE531">
        <v>6.9115026317307073</v>
      </c>
      <c r="GF531">
        <v>6.2207180088169904</v>
      </c>
      <c r="GG531">
        <v>3.4901862837464988</v>
      </c>
      <c r="GH531">
        <v>3.3617118550568845</v>
      </c>
      <c r="GI531">
        <v>11.588065459952359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5.6863056241555437E-2</v>
      </c>
      <c r="I532" s="101">
        <f>AVERAGE(D531:D533)</f>
        <v>71.257440476190482</v>
      </c>
      <c r="J532" s="101">
        <f>I532*H532</f>
        <v>4.0519158454269082</v>
      </c>
      <c r="K532" s="61">
        <f>J532/(C533-C531)</f>
        <v>0.15007095723803363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173.63851000562781</v>
      </c>
      <c r="AO532">
        <v>13.392949212842591</v>
      </c>
      <c r="AP532">
        <v>94.532765577505629</v>
      </c>
      <c r="AQ532">
        <v>77.068479214995861</v>
      </c>
      <c r="AR532">
        <v>12.542069067870511</v>
      </c>
      <c r="AS532">
        <v>138.715126097373</v>
      </c>
      <c r="AT532" t="e">
        <v>#DIV/0!</v>
      </c>
      <c r="AU532" t="e">
        <v>#DIV/0!</v>
      </c>
      <c r="AV532"/>
      <c r="AW532"/>
      <c r="FY532" s="210">
        <v>527</v>
      </c>
      <c r="FZ532">
        <v>2.0572229755754692</v>
      </c>
      <c r="GA532">
        <v>19.311559566453031</v>
      </c>
      <c r="GB532">
        <v>17.676043410445153</v>
      </c>
      <c r="GC532">
        <v>7.4819458142407491</v>
      </c>
      <c r="GD532">
        <v>3.2246330300621038</v>
      </c>
      <c r="GE532">
        <v>1.9763910676407239</v>
      </c>
      <c r="GF532">
        <v>1.2563300725902344</v>
      </c>
      <c r="GG532">
        <v>1.8786384168771417</v>
      </c>
      <c r="GH532">
        <v>2.0015286114263167</v>
      </c>
      <c r="GI532">
        <v>7.1012878555806465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100.84821428571429</v>
      </c>
      <c r="E533" s="108">
        <f>E406</f>
        <v>0.11084015973799265</v>
      </c>
      <c r="F533" s="102"/>
      <c r="G533" s="101">
        <f>D533*E533</f>
        <v>11.178032180719883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145.99505364108757</v>
      </c>
      <c r="AO533">
        <v>15.627394380390522</v>
      </c>
      <c r="AP533">
        <v>121.36660092332149</v>
      </c>
      <c r="AQ533">
        <v>91.137054529486008</v>
      </c>
      <c r="AR533">
        <v>14.594712690808043</v>
      </c>
      <c r="AS533">
        <v>159.81226505368215</v>
      </c>
      <c r="AT533">
        <v>6.0748754713933222</v>
      </c>
      <c r="AU533">
        <v>-16.435717350590345</v>
      </c>
      <c r="AV533"/>
      <c r="AW533"/>
      <c r="FY533" s="210">
        <v>528</v>
      </c>
      <c r="FZ533">
        <v>1.1325689878074863</v>
      </c>
      <c r="GA533">
        <v>21.039438909806542</v>
      </c>
      <c r="GB533">
        <v>23.21047801270257</v>
      </c>
      <c r="GC533">
        <v>10.059044923922228</v>
      </c>
      <c r="GD533">
        <v>4.1678605092862826</v>
      </c>
      <c r="GE533">
        <v>7.3444552443673565</v>
      </c>
      <c r="GF533">
        <v>7.191609774547155</v>
      </c>
      <c r="GG533">
        <v>1.9723098486085839</v>
      </c>
      <c r="GH533">
        <v>2.3257671103202568</v>
      </c>
      <c r="GI533">
        <v>10.111675028990319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0.1185989555484754</v>
      </c>
      <c r="I534" s="101">
        <f>AVERAGE(D533:D535)</f>
        <v>110.97098214285714</v>
      </c>
      <c r="J534" s="101">
        <f>I534*H534</f>
        <v>13.16104257833137</v>
      </c>
      <c r="K534" s="61">
        <f>J534/(C535-C533)</f>
        <v>0.32100103849588707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152.92600267614426</v>
      </c>
      <c r="AO534">
        <v>12.526487900189494</v>
      </c>
      <c r="AP534">
        <v>97.859506225948437</v>
      </c>
      <c r="AQ534">
        <v>76.868519573890481</v>
      </c>
      <c r="AR534">
        <v>11.59129732492211</v>
      </c>
      <c r="AS534">
        <v>116.77401695384403</v>
      </c>
      <c r="AT534">
        <v>6.4605200484988883</v>
      </c>
      <c r="AU534">
        <v>-42.200392373303004</v>
      </c>
      <c r="AV534"/>
      <c r="AW534"/>
      <c r="FY534" s="210">
        <v>529</v>
      </c>
      <c r="FZ534">
        <v>6.5251339888698974</v>
      </c>
      <c r="GA534">
        <v>25.659003483558294</v>
      </c>
      <c r="GB534">
        <v>14.959460567894995</v>
      </c>
      <c r="GC534">
        <v>5.6682910682111443</v>
      </c>
      <c r="GD534">
        <v>4.1680684011901352</v>
      </c>
      <c r="GE534">
        <v>7.5197288778744156</v>
      </c>
      <c r="GF534">
        <v>7.4220725401289336</v>
      </c>
      <c r="GG534">
        <v>2.7167593447528047</v>
      </c>
      <c r="GH534">
        <v>1.0359447447366277</v>
      </c>
      <c r="GI534">
        <v>8.6174604650267206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121.09375</v>
      </c>
      <c r="E535" s="108">
        <f>E407</f>
        <v>0.22943911528646804</v>
      </c>
      <c r="F535" s="102"/>
      <c r="G535" s="101">
        <f>D535*E535</f>
        <v>27.78364286672074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215.89796156705938</v>
      </c>
      <c r="AO535">
        <v>14.626682933493626</v>
      </c>
      <c r="AP535">
        <v>108.79875585184988</v>
      </c>
      <c r="AQ535">
        <v>86.251636176715792</v>
      </c>
      <c r="AR535">
        <v>13.579322403152021</v>
      </c>
      <c r="AS535">
        <v>143.51511919676403</v>
      </c>
      <c r="AT535">
        <v>6.0184449140222727</v>
      </c>
      <c r="AU535">
        <v>-8.6235474713964528</v>
      </c>
      <c r="AV535"/>
      <c r="AW535"/>
      <c r="FY535" s="210">
        <v>530</v>
      </c>
      <c r="FZ535">
        <v>4.0663523387384783</v>
      </c>
      <c r="GA535">
        <v>23.876817347908201</v>
      </c>
      <c r="GB535">
        <v>24.050816360278613</v>
      </c>
      <c r="GC535">
        <v>11.049922485139374</v>
      </c>
      <c r="GD535">
        <v>3.8517993456903601</v>
      </c>
      <c r="GE535">
        <v>4.3547263432600216</v>
      </c>
      <c r="GF535">
        <v>3.6462150244873559</v>
      </c>
      <c r="GG535">
        <v>1.4206042884147827</v>
      </c>
      <c r="GH535">
        <v>2.1266217754348196</v>
      </c>
      <c r="GI535">
        <v>9.8557739773755841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-0.1947961677332542</v>
      </c>
      <c r="I536" s="101">
        <f>AVERAGE(D535:D537)</f>
        <v>269.69596495458563</v>
      </c>
      <c r="J536" s="101">
        <f>I536*H536</f>
        <v>-52.535740426275311</v>
      </c>
      <c r="K536" s="61">
        <f>J536/(C537-C535)</f>
        <v>-1.5919921341295549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159.08200865427298</v>
      </c>
      <c r="AO536">
        <v>15.419307484102712</v>
      </c>
      <c r="AP536">
        <v>125.1118268417475</v>
      </c>
      <c r="AQ536">
        <v>96.623011789482263</v>
      </c>
      <c r="AR536">
        <v>14.239254245994644</v>
      </c>
      <c r="AS536">
        <v>123.5812106861279</v>
      </c>
      <c r="AT536">
        <v>7.1664457476842287</v>
      </c>
      <c r="AU536">
        <v>-28.501676259628532</v>
      </c>
      <c r="AV536"/>
      <c r="AW536"/>
      <c r="FY536" s="210">
        <v>531</v>
      </c>
      <c r="FZ536">
        <v>3.7418098513333042</v>
      </c>
      <c r="GA536">
        <v>19.655008546408649</v>
      </c>
      <c r="GB536">
        <v>19.463074784574488</v>
      </c>
      <c r="GC536">
        <v>10.047283382724848</v>
      </c>
      <c r="GD536">
        <v>4.9068196058874083</v>
      </c>
      <c r="GE536">
        <v>10.035988990935085</v>
      </c>
      <c r="GF536">
        <v>11.496911254904211</v>
      </c>
      <c r="GG536">
        <v>4.2636132227401937</v>
      </c>
      <c r="GH536">
        <v>5.488333630491705</v>
      </c>
      <c r="GI536">
        <v>11.297399043796124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418.29817990917121</v>
      </c>
      <c r="E537" s="108">
        <f>E408</f>
        <v>3.4642947553213857E-2</v>
      </c>
      <c r="F537" s="102"/>
      <c r="G537" s="101">
        <f>D537*E537</f>
        <v>14.491081908198232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228.14507806761054</v>
      </c>
      <c r="AO537">
        <v>17.260209055701324</v>
      </c>
      <c r="AP537">
        <v>129.23533974400561</v>
      </c>
      <c r="AQ537">
        <v>101.55312281578848</v>
      </c>
      <c r="AR537">
        <v>15.92509616363717</v>
      </c>
      <c r="AS537">
        <v>176.33656648324194</v>
      </c>
      <c r="AT537">
        <v>7.9953770867345355</v>
      </c>
      <c r="AU537">
        <v>-52.296592931033445</v>
      </c>
      <c r="AV537"/>
      <c r="AW537"/>
      <c r="FY537" s="210">
        <v>532</v>
      </c>
      <c r="FZ537">
        <v>6.5954423307576269</v>
      </c>
      <c r="GA537">
        <v>28.446367893701304</v>
      </c>
      <c r="GB537">
        <v>24.022468287283495</v>
      </c>
      <c r="GC537">
        <v>12.345853715138094</v>
      </c>
      <c r="GD537">
        <v>5.3010869694979847</v>
      </c>
      <c r="GE537">
        <v>7.465836389960506</v>
      </c>
      <c r="GF537">
        <v>8.9352323813013452</v>
      </c>
      <c r="GG537">
        <v>3.6182362308149516</v>
      </c>
      <c r="GH537">
        <v>3.5547886871149497</v>
      </c>
      <c r="GI537">
        <v>12.290252589058543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-7.7485814591877512E-3</v>
      </c>
      <c r="I538" s="101">
        <f>AVERAGE(D537:D539)</f>
        <v>418.03031289830858</v>
      </c>
      <c r="J538" s="101">
        <f>I538*H538</f>
        <v>-3.2391419319022883</v>
      </c>
      <c r="K538" s="61">
        <f>J538/(C539-C537)</f>
        <v>-0.11568364042508172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153.1420371168258</v>
      </c>
      <c r="AO538">
        <v>16.116437695165668</v>
      </c>
      <c r="AP538">
        <v>125.72254305631938</v>
      </c>
      <c r="AQ538">
        <v>98.571856637705196</v>
      </c>
      <c r="AR538">
        <v>14.971063468669046</v>
      </c>
      <c r="AS538">
        <v>125.18355129766533</v>
      </c>
      <c r="AT538" t="e">
        <v>#DIV/0!</v>
      </c>
      <c r="AU538" t="e">
        <v>#DIV/0!</v>
      </c>
      <c r="AV538"/>
      <c r="AW538"/>
      <c r="FY538" s="210">
        <v>533</v>
      </c>
      <c r="FZ538">
        <v>4.045905288920923</v>
      </c>
      <c r="GA538">
        <v>24.262190368167726</v>
      </c>
      <c r="GB538">
        <v>20.48308919480365</v>
      </c>
      <c r="GC538">
        <v>9.6717934866360515</v>
      </c>
      <c r="GD538">
        <v>6.0649641645703518</v>
      </c>
      <c r="GE538">
        <v>8.9068745440371497</v>
      </c>
      <c r="GF538">
        <v>4.7456744889465305</v>
      </c>
      <c r="GG538">
        <v>0</v>
      </c>
      <c r="GH538">
        <v>0</v>
      </c>
      <c r="GI538">
        <v>10.102759101355161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417.76244588744589</v>
      </c>
      <c r="E539" s="108">
        <f>E409</f>
        <v>2.6894366094026106E-2</v>
      </c>
      <c r="F539" s="102"/>
      <c r="G539" s="101">
        <f>D539*E539</f>
        <v>11.23545616003274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143.08636635335935</v>
      </c>
      <c r="AO539">
        <v>16.773276531310007</v>
      </c>
      <c r="AP539">
        <v>127.72052771794289</v>
      </c>
      <c r="AQ539">
        <v>95.654243326188535</v>
      </c>
      <c r="AR539">
        <v>15.737779102456376</v>
      </c>
      <c r="AS539">
        <v>147.87715794271597</v>
      </c>
      <c r="AT539">
        <v>7.1977153684513793</v>
      </c>
      <c r="AU539">
        <v>5.6959472307062322</v>
      </c>
      <c r="AV539"/>
      <c r="AW539"/>
      <c r="FY539" s="210">
        <v>534</v>
      </c>
      <c r="FZ539">
        <v>3.6658182765736447</v>
      </c>
      <c r="GA539">
        <v>23.322939338863087</v>
      </c>
      <c r="GB539">
        <v>25.105608151459613</v>
      </c>
      <c r="GC539">
        <v>11.474476185026841</v>
      </c>
      <c r="GD539">
        <v>3.7879362056520316</v>
      </c>
      <c r="GE539">
        <v>3.7274706470891621</v>
      </c>
      <c r="GF539">
        <v>3.2015932281995374</v>
      </c>
      <c r="GG539">
        <v>2.9366803660568532</v>
      </c>
      <c r="GH539">
        <v>2.322075817490262</v>
      </c>
      <c r="GI539">
        <v>9.9799861492634001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-1.3827499136868985E-2</v>
      </c>
      <c r="I540" s="101">
        <f>AVERAGE(D539:D541)</f>
        <v>526.30257303970529</v>
      </c>
      <c r="J540" s="101">
        <f>I540*H540</f>
        <v>-7.2774483744384506</v>
      </c>
      <c r="K540" s="61">
        <f>J540/(C541-C539)</f>
        <v>-0.30322701560160209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233.03761277583999</v>
      </c>
      <c r="AO540">
        <v>15.335151785624053</v>
      </c>
      <c r="AP540">
        <v>112.76757058099656</v>
      </c>
      <c r="AQ540">
        <v>92.346211218611316</v>
      </c>
      <c r="AR540">
        <v>14.312235889602965</v>
      </c>
      <c r="AS540">
        <v>146.94883213391418</v>
      </c>
      <c r="AT540">
        <v>7.1292011966706292</v>
      </c>
      <c r="AU540">
        <v>119.63527408044216</v>
      </c>
      <c r="AV540"/>
      <c r="AW540"/>
      <c r="FY540" s="210">
        <v>535</v>
      </c>
      <c r="FZ540">
        <v>1.4410756014001873</v>
      </c>
      <c r="GA540">
        <v>23.35926030380751</v>
      </c>
      <c r="GB540">
        <v>23.053333686662818</v>
      </c>
      <c r="GC540">
        <v>8.4691157784724957</v>
      </c>
      <c r="GD540">
        <v>3.302749900316881</v>
      </c>
      <c r="GE540">
        <v>6.8893828018864909</v>
      </c>
      <c r="GF540">
        <v>6.5794428442519362</v>
      </c>
      <c r="GG540">
        <v>0.64717734942108796</v>
      </c>
      <c r="GH540">
        <v>0.58236460078756302</v>
      </c>
      <c r="GI540">
        <v>9.2338894818499959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634.84270019196481</v>
      </c>
      <c r="E541" s="108">
        <f>E410</f>
        <v>1.3066866957157121E-2</v>
      </c>
      <c r="F541" s="102"/>
      <c r="G541" s="101">
        <f>D541*E541</f>
        <v>8.2954051021307897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210.59337164851482</v>
      </c>
      <c r="AO541">
        <v>12.067634813219227</v>
      </c>
      <c r="AP541">
        <v>93.785158908253266</v>
      </c>
      <c r="AQ541">
        <v>75.616532859798596</v>
      </c>
      <c r="AR541">
        <v>11.212725773682168</v>
      </c>
      <c r="AS541">
        <v>126.84557359695953</v>
      </c>
      <c r="AT541">
        <v>5.306661488627415</v>
      </c>
      <c r="AU541">
        <v>-37.609585732325321</v>
      </c>
      <c r="AV541"/>
      <c r="AW541"/>
      <c r="FY541" s="210">
        <v>536</v>
      </c>
      <c r="FZ541">
        <v>4.3761341405663252</v>
      </c>
      <c r="GA541">
        <v>28.518859381591756</v>
      </c>
      <c r="GB541">
        <v>21.566906233714807</v>
      </c>
      <c r="GC541">
        <v>8.2445379332997462</v>
      </c>
      <c r="GD541">
        <v>3.7488452717516765</v>
      </c>
      <c r="GE541">
        <v>5.2023507786904961</v>
      </c>
      <c r="GF541">
        <v>7.5778683558347817</v>
      </c>
      <c r="GG541">
        <v>4.6872688358655417</v>
      </c>
      <c r="GH541">
        <v>4.1305275968585136</v>
      </c>
      <c r="GI541">
        <v>10.265733692991942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4.2002511998977921E-2</v>
      </c>
      <c r="I542" s="101">
        <f>AVERAGE(D541:D543)</f>
        <v>329.46562092931572</v>
      </c>
      <c r="J542" s="101">
        <f>I542*H542</f>
        <v>13.838383696334295</v>
      </c>
      <c r="K542" s="61">
        <f>J542/(C543-C541)</f>
        <v>0.2882996603402978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229.16192698111223</v>
      </c>
      <c r="AO542">
        <v>17.335240665184561</v>
      </c>
      <c r="AP542">
        <v>125.38797228253904</v>
      </c>
      <c r="AQ542">
        <v>100.34970977666796</v>
      </c>
      <c r="AR542">
        <v>16.036565278305424</v>
      </c>
      <c r="AS542">
        <v>156.4021145902604</v>
      </c>
      <c r="AT542">
        <v>7.4166479422873408</v>
      </c>
      <c r="AU542">
        <v>-33.930450788792939</v>
      </c>
      <c r="AV542"/>
      <c r="AW542"/>
      <c r="FY542" s="210">
        <v>537</v>
      </c>
      <c r="FZ542">
        <v>0.76888620650325057</v>
      </c>
      <c r="GA542">
        <v>26.253599145018136</v>
      </c>
      <c r="GB542">
        <v>23.082027868328563</v>
      </c>
      <c r="GC542">
        <v>7.6086386965085264</v>
      </c>
      <c r="GD542">
        <v>3.9662781337145967</v>
      </c>
      <c r="GE542">
        <v>6.6636228090665242</v>
      </c>
      <c r="GF542">
        <v>3.0180499881922387</v>
      </c>
      <c r="GG542">
        <v>2.5130247529315048</v>
      </c>
      <c r="GH542">
        <v>4.2622464519110155</v>
      </c>
      <c r="GI542">
        <v>9.3945437238156195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24.088541666666664</v>
      </c>
      <c r="E543" s="108">
        <f>E411</f>
        <v>5.5069378956135041E-2</v>
      </c>
      <c r="F543" s="102"/>
      <c r="G543" s="101">
        <f>D543*E543</f>
        <v>1.3265410295423152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158.40828763831678</v>
      </c>
      <c r="AO543">
        <v>10.471046023063668</v>
      </c>
      <c r="AP543">
        <v>81.449570129158047</v>
      </c>
      <c r="AQ543">
        <v>63.965580820891567</v>
      </c>
      <c r="AR543">
        <v>9.9280509588612293</v>
      </c>
      <c r="AS543">
        <v>108.89686769260018</v>
      </c>
      <c r="AT543" t="e">
        <v>#DIV/0!</v>
      </c>
      <c r="AU543" t="e">
        <v>#DIV/0!</v>
      </c>
      <c r="AV543"/>
      <c r="AW543"/>
      <c r="FY543" s="210">
        <v>538</v>
      </c>
      <c r="FZ543">
        <v>1.3556161620231846</v>
      </c>
      <c r="GA543">
        <v>20.523763769525843</v>
      </c>
      <c r="GB543">
        <v>24.363536178131927</v>
      </c>
      <c r="GC543">
        <v>9.9575544194201537</v>
      </c>
      <c r="GD543">
        <v>3.6366340246044304</v>
      </c>
      <c r="GE543">
        <v>7.807205869636709</v>
      </c>
      <c r="GF543">
        <v>6.6642650126795946</v>
      </c>
      <c r="GG543">
        <v>2.2895030166357651</v>
      </c>
      <c r="GH543">
        <v>2.904440418277825</v>
      </c>
      <c r="GI543">
        <v>10.114041235399975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9.5539108349672261E-3</v>
      </c>
      <c r="I544" s="101">
        <f>AVERAGE(D543:D545)</f>
        <v>46.656013257575765</v>
      </c>
      <c r="J544" s="101">
        <f>I544*H544</f>
        <v>0.44574739057792767</v>
      </c>
      <c r="K544" s="61">
        <f>J544/(C545-C543)</f>
        <v>7.0753554059988519E-3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198.43111307568898</v>
      </c>
      <c r="AO544">
        <v>15.155295784775728</v>
      </c>
      <c r="AP544">
        <v>113.02932454647249</v>
      </c>
      <c r="AQ544">
        <v>88.555208350358797</v>
      </c>
      <c r="AR544">
        <v>13.925641662155197</v>
      </c>
      <c r="AS544">
        <v>146.00704807773198</v>
      </c>
      <c r="AT544">
        <v>6.54512235226969</v>
      </c>
      <c r="AU544">
        <v>-27.618179711746965</v>
      </c>
      <c r="AV544"/>
      <c r="AW544"/>
      <c r="FY544" s="210">
        <v>539</v>
      </c>
      <c r="FZ544">
        <v>1.4547090705355661</v>
      </c>
      <c r="GA544">
        <v>24.526594427393782</v>
      </c>
      <c r="GB544">
        <v>24.457724027939683</v>
      </c>
      <c r="GC544">
        <v>11.039017957174762</v>
      </c>
      <c r="GD544">
        <v>4.4735360991144288</v>
      </c>
      <c r="GE544">
        <v>2.3024491714363018</v>
      </c>
      <c r="GF544">
        <v>2.6294785256079241</v>
      </c>
      <c r="GG544">
        <v>3.0775213264920307</v>
      </c>
      <c r="GH544">
        <v>3.1048998359958802</v>
      </c>
      <c r="GI544">
        <v>9.8607803968340235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69.223484848484858</v>
      </c>
      <c r="E545" s="108">
        <f>E412</f>
        <v>6.4623289791102267E-2</v>
      </c>
      <c r="F545" s="102"/>
      <c r="G545" s="101">
        <f>D545*E545</f>
        <v>4.4734493217136144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244.15187711168869</v>
      </c>
      <c r="AO545">
        <v>12.849463927132186</v>
      </c>
      <c r="AP545">
        <v>101.04774686188168</v>
      </c>
      <c r="AQ545">
        <v>84.291923482243973</v>
      </c>
      <c r="AR545">
        <v>11.711958424389678</v>
      </c>
      <c r="AS545">
        <v>158.19295438925954</v>
      </c>
      <c r="AT545" t="e">
        <v>#DIV/0!</v>
      </c>
      <c r="AU545" t="e">
        <v>#DIV/0!</v>
      </c>
      <c r="AV545"/>
      <c r="AW545"/>
      <c r="FY545" s="210">
        <v>540</v>
      </c>
      <c r="FZ545">
        <v>6.9174690668815071</v>
      </c>
      <c r="GA545">
        <v>27.655944964075402</v>
      </c>
      <c r="GB545">
        <v>22.700165342802588</v>
      </c>
      <c r="GC545">
        <v>10.358013544031344</v>
      </c>
      <c r="GD545">
        <v>4.5148082981587008</v>
      </c>
      <c r="GE545">
        <v>6.7011640091179236</v>
      </c>
      <c r="GF545">
        <v>6.6653398051048081</v>
      </c>
      <c r="GG545">
        <v>2.0677816378358704</v>
      </c>
      <c r="GH545">
        <v>1.7434025095326939</v>
      </c>
      <c r="GI545">
        <v>10.844687317779549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2.3707161895471507E-2</v>
      </c>
      <c r="I546" s="101">
        <f>AVERAGE(D545:D547)</f>
        <v>46.880260942760948</v>
      </c>
      <c r="J546" s="101">
        <f>I546*H546</f>
        <v>1.1113979358719834</v>
      </c>
      <c r="K546" s="61">
        <f>J546/(C547-C545)</f>
        <v>2.8497382971076499E-2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172.68100769593718</v>
      </c>
      <c r="AO546">
        <v>14.719329599981716</v>
      </c>
      <c r="AP546">
        <v>112.04525316024059</v>
      </c>
      <c r="AQ546">
        <v>88.2996492867276</v>
      </c>
      <c r="AR546">
        <v>13.661499984310096</v>
      </c>
      <c r="AS546">
        <v>127.12806282033999</v>
      </c>
      <c r="AT546">
        <v>6.1667351791129379</v>
      </c>
      <c r="AU546">
        <v>-12.75363132652622</v>
      </c>
      <c r="AV546"/>
      <c r="AW546"/>
      <c r="FY546" s="210">
        <v>541</v>
      </c>
      <c r="FZ546">
        <v>7.0798016809386404</v>
      </c>
      <c r="GA546">
        <v>30.395902015859509</v>
      </c>
      <c r="GB546">
        <v>32.199016368023571</v>
      </c>
      <c r="GC546">
        <v>14.059416117389736</v>
      </c>
      <c r="GD546">
        <v>3.1614900480589121</v>
      </c>
      <c r="GE546">
        <v>3.8462407478968363</v>
      </c>
      <c r="GF546">
        <v>4.5037680339390391</v>
      </c>
      <c r="GG546">
        <v>3.7137080200422385</v>
      </c>
      <c r="GH546">
        <v>3.5547886871149497</v>
      </c>
      <c r="GI546">
        <v>12.315840849288719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24.537037037037038</v>
      </c>
      <c r="E547" s="108">
        <f>E413</f>
        <v>8.8330451686573774E-2</v>
      </c>
      <c r="F547" s="102"/>
      <c r="G547" s="101">
        <f>D547*E547</f>
        <v>2.1673675645316712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244.24467327830999</v>
      </c>
      <c r="AO547">
        <v>16.860206143861852</v>
      </c>
      <c r="AP547">
        <v>122.90215714162568</v>
      </c>
      <c r="AQ547">
        <v>100.39624231379601</v>
      </c>
      <c r="AR547">
        <v>15.367041485845787</v>
      </c>
      <c r="AS547">
        <v>139.19657201790787</v>
      </c>
      <c r="AT547">
        <v>6.9407729338454116</v>
      </c>
      <c r="AU547">
        <v>-14.819722524693633</v>
      </c>
      <c r="AV547"/>
      <c r="AW547"/>
      <c r="FY547" s="210">
        <v>542</v>
      </c>
      <c r="FZ547">
        <v>1.6003855742915836</v>
      </c>
      <c r="GA547">
        <v>23.952260041808231</v>
      </c>
      <c r="GB547">
        <v>23.022908635946994</v>
      </c>
      <c r="GC547">
        <v>8.1198035082344546</v>
      </c>
      <c r="GD547">
        <v>4.0967985981212314</v>
      </c>
      <c r="GE547">
        <v>7.063986409944814</v>
      </c>
      <c r="GF547">
        <v>5.1361818579325007</v>
      </c>
      <c r="GG547">
        <v>3.583857715477941</v>
      </c>
      <c r="GH547">
        <v>3.4868050190653879</v>
      </c>
      <c r="GI547">
        <v>9.87113934281955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-4.5835318491886379E-2</v>
      </c>
      <c r="I548" s="101">
        <f>AVERAGE(D547:D549)</f>
        <v>21.132095001505569</v>
      </c>
      <c r="J548" s="101">
        <f>I548*H548</f>
        <v>-0.96859630479480785</v>
      </c>
      <c r="K548" s="61">
        <f>J548/(C549-C547)</f>
        <v>-2.5489376441968626E-2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251.43525564650457</v>
      </c>
      <c r="AO548">
        <v>18.50701859386124</v>
      </c>
      <c r="AP548">
        <v>138.96456440524133</v>
      </c>
      <c r="AQ548">
        <v>112.5755654746288</v>
      </c>
      <c r="AR548">
        <v>16.845468292465153</v>
      </c>
      <c r="AS548">
        <v>171.99952576424877</v>
      </c>
      <c r="AT548">
        <v>8.0199240650134485</v>
      </c>
      <c r="AU548">
        <v>-22.381638213767403</v>
      </c>
      <c r="AV548"/>
      <c r="AW548"/>
      <c r="FY548" s="210">
        <v>543</v>
      </c>
      <c r="FZ548">
        <v>3.5928556507507476</v>
      </c>
      <c r="GA548">
        <v>33.425352258543349</v>
      </c>
      <c r="GB548">
        <v>24.031751434748411</v>
      </c>
      <c r="GC548">
        <v>7.225875263760889</v>
      </c>
      <c r="GD548">
        <v>3.6673532483785176</v>
      </c>
      <c r="GE548">
        <v>7.2339214181695954</v>
      </c>
      <c r="GF548">
        <v>6.0169278751114499</v>
      </c>
      <c r="GG548">
        <v>1.3269328566833409</v>
      </c>
      <c r="GH548">
        <v>1.6183093455241906</v>
      </c>
      <c r="GI548">
        <v>10.014810296177503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17.727152965974103</v>
      </c>
      <c r="E549" s="108">
        <f>E414</f>
        <v>4.2495133194687396E-2</v>
      </c>
      <c r="F549" s="102"/>
      <c r="G549" s="101">
        <f>D549*E549</f>
        <v>0.75331772645166717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244.65531071686411</v>
      </c>
      <c r="AO549">
        <v>15.149024131907566</v>
      </c>
      <c r="AP549">
        <v>105.03760198750862</v>
      </c>
      <c r="AQ549">
        <v>88.283250637437547</v>
      </c>
      <c r="AR549">
        <v>13.865363274046627</v>
      </c>
      <c r="AS549">
        <v>171.85385767847592</v>
      </c>
      <c r="AT549" t="e">
        <v>#DIV/0!</v>
      </c>
      <c r="AU549" t="e">
        <v>#DIV/0!</v>
      </c>
      <c r="AV549"/>
      <c r="AW549"/>
      <c r="FY549" s="210">
        <v>544</v>
      </c>
      <c r="FZ549">
        <v>4.3080896256673853</v>
      </c>
      <c r="GA549">
        <v>21.217030556093263</v>
      </c>
      <c r="GB549">
        <v>19.892279810141794</v>
      </c>
      <c r="GC549">
        <v>7.8158331267288901</v>
      </c>
      <c r="GD549">
        <v>3.8573880639251463</v>
      </c>
      <c r="GE549">
        <v>8.9432457887254575</v>
      </c>
      <c r="GF549">
        <v>8.0534115716971826</v>
      </c>
      <c r="GG549">
        <v>3.4901862837464988</v>
      </c>
      <c r="GH549">
        <v>3.1012085431658845</v>
      </c>
      <c r="GI549">
        <v>9.8514740184423584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-4.2495133194687396E-2</v>
      </c>
      <c r="I550" s="101">
        <f>AVERAGE(D549:D551)</f>
        <v>8.8635764829870514</v>
      </c>
      <c r="J550" s="101">
        <f>I550*H550</f>
        <v>-0.37665886322583358</v>
      </c>
      <c r="K550" s="61">
        <f>J550/(C551-C549)</f>
        <v>9.419532928847715E-6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200.1914166146307</v>
      </c>
      <c r="AO550">
        <v>15.092776102790946</v>
      </c>
      <c r="AP550">
        <v>114.78540809506944</v>
      </c>
      <c r="AQ550">
        <v>89.524584365674428</v>
      </c>
      <c r="AR550">
        <v>13.946018075135443</v>
      </c>
      <c r="AS550">
        <v>134.03690414977015</v>
      </c>
      <c r="AT550" t="e">
        <v>#DIV/0!</v>
      </c>
      <c r="AU550" t="e">
        <v>#DIV/0!</v>
      </c>
      <c r="AV550"/>
      <c r="AW550"/>
      <c r="FY550" s="210">
        <v>545</v>
      </c>
      <c r="FZ550">
        <v>4.4270093024742483</v>
      </c>
      <c r="GA550">
        <v>27.384899293008722</v>
      </c>
      <c r="GB550">
        <v>33.563582276264938</v>
      </c>
      <c r="GC550">
        <v>13.991580753976358</v>
      </c>
      <c r="GD550">
        <v>3.6027960158175953</v>
      </c>
      <c r="GE550">
        <v>7.5111788641728943</v>
      </c>
      <c r="GF550">
        <v>6.5794428442519362</v>
      </c>
      <c r="GG550">
        <v>2.2913033741316107</v>
      </c>
      <c r="GH550">
        <v>3.3617118550568845</v>
      </c>
      <c r="GI550">
        <v>12.88668699602791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186.64709490624645</v>
      </c>
      <c r="AO551">
        <v>13.876475166566999</v>
      </c>
      <c r="AP551">
        <v>108.50857173245467</v>
      </c>
      <c r="AQ551">
        <v>83.55779234885695</v>
      </c>
      <c r="AR551">
        <v>12.708361373108346</v>
      </c>
      <c r="AS551">
        <v>123.45087861604409</v>
      </c>
      <c r="AT551" t="e">
        <v>#DIV/0!</v>
      </c>
      <c r="AU551" t="e">
        <v>#DIV/0!</v>
      </c>
      <c r="AV551"/>
      <c r="AW551"/>
      <c r="FY551" s="210">
        <v>546</v>
      </c>
      <c r="FZ551">
        <v>1.2753330205992373</v>
      </c>
      <c r="GA551">
        <v>27.877876597775774</v>
      </c>
      <c r="GB551">
        <v>26.473588396564768</v>
      </c>
      <c r="GC551">
        <v>9.131398540592933</v>
      </c>
      <c r="GD551">
        <v>3.96123313389448</v>
      </c>
      <c r="GE551">
        <v>8.3931987191357624</v>
      </c>
      <c r="GF551">
        <v>6.462624463824481</v>
      </c>
      <c r="GG551">
        <v>1.4206042884147827</v>
      </c>
      <c r="GH551">
        <v>2.3257671103202568</v>
      </c>
      <c r="GI551">
        <v>10.69816493763002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203.91733812442354</v>
      </c>
      <c r="AO552">
        <v>15.237139044230053</v>
      </c>
      <c r="AP552">
        <v>125.550820483918</v>
      </c>
      <c r="AQ552">
        <v>98.319032221165585</v>
      </c>
      <c r="AR552">
        <v>14.186245031219897</v>
      </c>
      <c r="AS552">
        <v>145.53311667978238</v>
      </c>
      <c r="AT552">
        <v>7.4173692756787553</v>
      </c>
      <c r="AU552">
        <v>-32.898609779738408</v>
      </c>
      <c r="AV552"/>
      <c r="AW552"/>
      <c r="FY552" s="210">
        <v>547</v>
      </c>
      <c r="FZ552">
        <v>4.4033979024343548</v>
      </c>
      <c r="GA552">
        <v>29.336878872672354</v>
      </c>
      <c r="GB552">
        <v>26.518002388493638</v>
      </c>
      <c r="GC552">
        <v>9.4109933215156829</v>
      </c>
      <c r="GD552">
        <v>1.9008851011360735</v>
      </c>
      <c r="GE552">
        <v>4.3905093429539761</v>
      </c>
      <c r="GF552">
        <v>6.462624463824481</v>
      </c>
      <c r="GG552">
        <v>2.9710588813938639</v>
      </c>
      <c r="GH552">
        <v>4.1371532879025121</v>
      </c>
      <c r="GI552">
        <v>10.253149123971905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173.138158219921</v>
      </c>
      <c r="AO553">
        <v>14.066507355361072</v>
      </c>
      <c r="AP553">
        <v>111.80469346753321</v>
      </c>
      <c r="AQ553">
        <v>87.530917775989963</v>
      </c>
      <c r="AR553">
        <v>13.010186260491668</v>
      </c>
      <c r="AS553">
        <v>130.13271939149834</v>
      </c>
      <c r="AT553" t="e">
        <v>#DIV/0!</v>
      </c>
      <c r="AU553" t="e">
        <v>#DIV/0!</v>
      </c>
      <c r="AV553"/>
      <c r="AW553"/>
      <c r="FY553" s="210">
        <v>548</v>
      </c>
      <c r="FZ553">
        <v>1.2887083027055171</v>
      </c>
      <c r="GA553">
        <v>17.54443460385496</v>
      </c>
      <c r="GB553">
        <v>23.352276468308247</v>
      </c>
      <c r="GC553">
        <v>10.727947749500323</v>
      </c>
      <c r="GD553">
        <v>4.2239663021244569</v>
      </c>
      <c r="GE553">
        <v>6.2235115109875663</v>
      </c>
      <c r="GF553">
        <v>4.4029477595114823</v>
      </c>
      <c r="GG553">
        <v>2.1632534270631583</v>
      </c>
      <c r="GH553">
        <v>2.0652637984292568</v>
      </c>
      <c r="GI553">
        <v>9.6287662998553305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202.31129589075005</v>
      </c>
      <c r="AO554">
        <v>15.207033833795995</v>
      </c>
      <c r="AP554">
        <v>114.74707019453064</v>
      </c>
      <c r="AQ554">
        <v>89.616560106335413</v>
      </c>
      <c r="AR554">
        <v>13.905201502652611</v>
      </c>
      <c r="AS554">
        <v>143.37542492978125</v>
      </c>
      <c r="AT554">
        <v>5.9661000065583041</v>
      </c>
      <c r="AU554">
        <v>-3.2903107510923508</v>
      </c>
      <c r="AV554"/>
      <c r="AW554"/>
      <c r="FY554" s="210">
        <v>549</v>
      </c>
      <c r="FZ554">
        <v>1.9317479051155289</v>
      </c>
      <c r="GA554">
        <v>16.210446111462129</v>
      </c>
      <c r="GB554">
        <v>17.732872303455341</v>
      </c>
      <c r="GC554">
        <v>8.3994343847913662</v>
      </c>
      <c r="GD554">
        <v>4.2902136580549843</v>
      </c>
      <c r="GE554">
        <v>6.9376752066318153</v>
      </c>
      <c r="GF554">
        <v>6.2047199028170921</v>
      </c>
      <c r="GG554">
        <v>5.0388405192297343</v>
      </c>
      <c r="GH554">
        <v>5.0376878847566431</v>
      </c>
      <c r="GI554">
        <v>9.1579463814566768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195.28882370150174</v>
      </c>
      <c r="AO555">
        <v>14.567875767403072</v>
      </c>
      <c r="AP555">
        <v>111.60868776975624</v>
      </c>
      <c r="AQ555">
        <v>86.9267108385244</v>
      </c>
      <c r="AR555">
        <v>13.816463341315991</v>
      </c>
      <c r="AS555">
        <v>152.29806624351605</v>
      </c>
      <c r="AT555" t="e">
        <v>#DIV/0!</v>
      </c>
      <c r="AU555" t="e">
        <v>#DIV/0!</v>
      </c>
      <c r="AV555"/>
      <c r="AW555"/>
      <c r="FY555" s="210">
        <v>550</v>
      </c>
      <c r="FZ555">
        <v>3.6107838179187119</v>
      </c>
      <c r="GA555">
        <v>22.520366670234587</v>
      </c>
      <c r="GB555">
        <v>19.13872713244924</v>
      </c>
      <c r="GC555">
        <v>8.0050994126759374</v>
      </c>
      <c r="GD555">
        <v>3.0046378930123381</v>
      </c>
      <c r="GE555">
        <v>3.6549611465593683</v>
      </c>
      <c r="GF555">
        <v>4.3869496535115839</v>
      </c>
      <c r="GG555">
        <v>3.7119076625463934</v>
      </c>
      <c r="GH555">
        <v>4.8446110526985784</v>
      </c>
      <c r="GI555">
        <v>8.594432066540568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6.9961116532549887</v>
      </c>
      <c r="H556" s="63" t="s">
        <v>103</v>
      </c>
      <c r="I556" s="123">
        <f>SUM(J532:J552)+G531</f>
        <v>-29.540052475075985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227.52773382452011</v>
      </c>
      <c r="AO556">
        <v>16.251041579729627</v>
      </c>
      <c r="AP556">
        <v>124.46761138388416</v>
      </c>
      <c r="AQ556">
        <v>100.16877649532037</v>
      </c>
      <c r="AR556">
        <v>14.938722937725943</v>
      </c>
      <c r="AS556">
        <v>159.96180726480148</v>
      </c>
      <c r="AT556">
        <v>6.8959962340083498</v>
      </c>
      <c r="AU556">
        <v>-12.218060188539067</v>
      </c>
      <c r="AV556"/>
      <c r="AW556"/>
      <c r="FY556" s="210">
        <v>551</v>
      </c>
      <c r="FZ556">
        <v>3.8748636244233934</v>
      </c>
      <c r="GA556">
        <v>18.878341730902861</v>
      </c>
      <c r="GB556">
        <v>19.172335216832519</v>
      </c>
      <c r="GC556">
        <v>8.1677859713293657</v>
      </c>
      <c r="GD556">
        <v>3.0453228964989485</v>
      </c>
      <c r="GE556">
        <v>5.2521723358830963</v>
      </c>
      <c r="GF556">
        <v>4.9494646226520711</v>
      </c>
      <c r="GG556">
        <v>2.0695819953317161</v>
      </c>
      <c r="GH556">
        <v>1.9401706344207539</v>
      </c>
      <c r="GI556">
        <v>8.3315353898059286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173.68443071438497</v>
      </c>
      <c r="AO557">
        <v>18.564793020782425</v>
      </c>
      <c r="AP557">
        <v>149.69268428183366</v>
      </c>
      <c r="AQ557">
        <v>114.82997256855214</v>
      </c>
      <c r="AR557">
        <v>17.166893147377696</v>
      </c>
      <c r="AS557">
        <v>161.08345193884273</v>
      </c>
      <c r="AT557">
        <v>8.5354297826778005</v>
      </c>
      <c r="AU557">
        <v>-47.293326396182401</v>
      </c>
      <c r="AV557"/>
      <c r="AW557"/>
      <c r="FY557" s="210">
        <v>552</v>
      </c>
      <c r="FZ557">
        <v>4.1850138285162419</v>
      </c>
      <c r="GA557">
        <v>24.099220908456097</v>
      </c>
      <c r="GB557">
        <v>16.735921440333204</v>
      </c>
      <c r="GC557">
        <v>7.152348751734543</v>
      </c>
      <c r="GD557">
        <v>3.6793470383952918</v>
      </c>
      <c r="GE557">
        <v>5.1085742637207199</v>
      </c>
      <c r="GF557">
        <v>7.9216698776950434</v>
      </c>
      <c r="GG557">
        <v>3.9464200547130126</v>
      </c>
      <c r="GH557">
        <v>2.5188439423783215</v>
      </c>
      <c r="GI557">
        <v>8.8020316648803405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198.1093577795595</v>
      </c>
      <c r="AO558">
        <v>14.747763991344552</v>
      </c>
      <c r="AP558">
        <v>114.94575510112264</v>
      </c>
      <c r="AQ558">
        <v>89.93412670364269</v>
      </c>
      <c r="AR558">
        <v>13.724900355468932</v>
      </c>
      <c r="AS558">
        <v>140.70557501901226</v>
      </c>
      <c r="AT558">
        <v>6.6609607836761171</v>
      </c>
      <c r="AU558">
        <v>-30.310533398859143</v>
      </c>
      <c r="AV558"/>
      <c r="AW558"/>
      <c r="FY558" s="210">
        <v>553</v>
      </c>
      <c r="FZ558">
        <v>4.2394280056481009</v>
      </c>
      <c r="GA558">
        <v>26.106327436197645</v>
      </c>
      <c r="GB558">
        <v>29.640016033938071</v>
      </c>
      <c r="GC558">
        <v>12.599644769497486</v>
      </c>
      <c r="GD558">
        <v>4.1992221364633266</v>
      </c>
      <c r="GE558">
        <v>6.3682535620227583</v>
      </c>
      <c r="GF558">
        <v>5.0193634775050455</v>
      </c>
      <c r="GG558">
        <v>3.3010430627877696</v>
      </c>
      <c r="GH558">
        <v>2.6542540902608187</v>
      </c>
      <c r="GI558">
        <v>11.823201630800838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-4.2223529210446884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212.13640112231661</v>
      </c>
      <c r="AO559">
        <v>15.035933981747657</v>
      </c>
      <c r="AP559">
        <v>125.78411984483576</v>
      </c>
      <c r="AQ559">
        <v>98.154089647847997</v>
      </c>
      <c r="AR559">
        <v>13.751605166160658</v>
      </c>
      <c r="AS559">
        <v>158.6172782886199</v>
      </c>
      <c r="AT559">
        <v>6.2651349878279499</v>
      </c>
      <c r="AU559">
        <v>-19.632917946327026</v>
      </c>
      <c r="AV559"/>
      <c r="AW559"/>
      <c r="FY559" s="210">
        <v>554</v>
      </c>
      <c r="FZ559">
        <v>3.2636406689430952</v>
      </c>
      <c r="GA559">
        <v>22.990333547209307</v>
      </c>
      <c r="GB559">
        <v>26.541233050919789</v>
      </c>
      <c r="GC559">
        <v>11.292985304455563</v>
      </c>
      <c r="GD559">
        <v>3.4503646360675901</v>
      </c>
      <c r="GE559">
        <v>4.4847822310644263</v>
      </c>
      <c r="GF559">
        <v>1.727624500754291</v>
      </c>
      <c r="GG559">
        <v>0.77522729648954036</v>
      </c>
      <c r="GH559">
        <v>1.6796673225297538</v>
      </c>
      <c r="GI559">
        <v>9.7032312967471253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217.36874035052838</v>
      </c>
      <c r="AO560">
        <v>14.736402868616874</v>
      </c>
      <c r="AP560">
        <v>112.73989560775533</v>
      </c>
      <c r="AQ560">
        <v>90.530147388333859</v>
      </c>
      <c r="AR560">
        <v>13.522221199250076</v>
      </c>
      <c r="AS560">
        <v>169.18747280435187</v>
      </c>
      <c r="AT560">
        <v>6.7317415612945455</v>
      </c>
      <c r="AU560">
        <v>-58.920887894079726</v>
      </c>
      <c r="AV560"/>
      <c r="AW560"/>
      <c r="FY560" s="210">
        <v>555</v>
      </c>
      <c r="FZ560">
        <v>1.4786951355770566</v>
      </c>
      <c r="GA560">
        <v>19.192080515536844</v>
      </c>
      <c r="GB560">
        <v>25.546298283341503</v>
      </c>
      <c r="GC560">
        <v>12.966824727470314</v>
      </c>
      <c r="GD560">
        <v>4.9344009535672066</v>
      </c>
      <c r="GE560">
        <v>4.951998843410176</v>
      </c>
      <c r="GF560">
        <v>3.0148759929191078</v>
      </c>
      <c r="GG560">
        <v>1.5160760776420703</v>
      </c>
      <c r="GH560">
        <v>1.161037908745131</v>
      </c>
      <c r="GI560">
        <v>10.208113770253378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235.96655619583103</v>
      </c>
      <c r="AO561">
        <v>19.323278297183677</v>
      </c>
      <c r="AP561">
        <v>150.51537292781367</v>
      </c>
      <c r="AQ561">
        <v>115.60019157518308</v>
      </c>
      <c r="AR561">
        <v>17.830906805323092</v>
      </c>
      <c r="AS561">
        <v>162.62745734315956</v>
      </c>
      <c r="AT561">
        <v>7.777989126950243</v>
      </c>
      <c r="AU561">
        <v>-21.72580776607159</v>
      </c>
      <c r="AV561"/>
      <c r="AW561"/>
      <c r="FY561" s="210">
        <v>556</v>
      </c>
      <c r="FZ561">
        <v>1.4059843890122332</v>
      </c>
      <c r="GA561">
        <v>20.945893606372508</v>
      </c>
      <c r="GB561">
        <v>24.430305375544037</v>
      </c>
      <c r="GC561">
        <v>10.750457207634396</v>
      </c>
      <c r="GD561">
        <v>4.7468940625787353</v>
      </c>
      <c r="GE561">
        <v>6.5291462719413591</v>
      </c>
      <c r="GF561">
        <v>4.2594567472077891</v>
      </c>
      <c r="GG561">
        <v>3.2992427052919244</v>
      </c>
      <c r="GH561">
        <v>2.8407052312748844</v>
      </c>
      <c r="GI561">
        <v>10.25636680267556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203.48325435884954</v>
      </c>
      <c r="AO562">
        <v>16.057394331383467</v>
      </c>
      <c r="AP562">
        <v>126.5154840280296</v>
      </c>
      <c r="AQ562">
        <v>98.019789208752513</v>
      </c>
      <c r="AR562">
        <v>14.74659139521464</v>
      </c>
      <c r="AS562">
        <v>131.47614185933935</v>
      </c>
      <c r="AT562">
        <v>6.3014887500116314</v>
      </c>
      <c r="AU562">
        <v>-9.1177546330709465</v>
      </c>
      <c r="AV562"/>
      <c r="AW562"/>
      <c r="FY562" s="210">
        <v>557</v>
      </c>
      <c r="FZ562">
        <v>3.8204525786598325</v>
      </c>
      <c r="GA562">
        <v>26.292342704392649</v>
      </c>
      <c r="GB562">
        <v>21.023724750289706</v>
      </c>
      <c r="GC562">
        <v>8.6853534832569874</v>
      </c>
      <c r="GD562">
        <v>3.8694457309646593</v>
      </c>
      <c r="GE562">
        <v>5.035096700539075</v>
      </c>
      <c r="GF562">
        <v>5.5925529725218732</v>
      </c>
      <c r="GG562">
        <v>3.0321521552841406</v>
      </c>
      <c r="GH562">
        <v>3.8086663079619516</v>
      </c>
      <c r="GI562">
        <v>9.6782871288205836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186.49341863638477</v>
      </c>
      <c r="AO563">
        <v>15.403579964564804</v>
      </c>
      <c r="AP563">
        <v>132.71440757253504</v>
      </c>
      <c r="AQ563">
        <v>99.784652686298841</v>
      </c>
      <c r="AR563">
        <v>14.146878345789945</v>
      </c>
      <c r="AS563">
        <v>129.50107914612713</v>
      </c>
      <c r="AT563">
        <v>5.8224799698845366</v>
      </c>
      <c r="AU563">
        <v>-4.3661010324690039</v>
      </c>
      <c r="AV563"/>
      <c r="AW563"/>
      <c r="FY563" s="210">
        <v>558</v>
      </c>
      <c r="FZ563">
        <v>7.5020516733851483</v>
      </c>
      <c r="GA563">
        <v>27.152128667181877</v>
      </c>
      <c r="GB563">
        <v>16.611968941677262</v>
      </c>
      <c r="GC563">
        <v>5.3931321619135995</v>
      </c>
      <c r="GD563">
        <v>3.6408155574590544</v>
      </c>
      <c r="GE563">
        <v>10.610818119925632</v>
      </c>
      <c r="GF563">
        <v>11.61797842303001</v>
      </c>
      <c r="GG563">
        <v>3.583857715477941</v>
      </c>
      <c r="GH563">
        <v>3.2263017071743878</v>
      </c>
      <c r="GI563">
        <v>10.057590255616125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190.70531948320982</v>
      </c>
      <c r="AO564">
        <v>14.45276394456908</v>
      </c>
      <c r="AP564">
        <v>103.24840598946341</v>
      </c>
      <c r="AQ564">
        <v>81.621076222340292</v>
      </c>
      <c r="AR564">
        <v>13.396291977869597</v>
      </c>
      <c r="AS564">
        <v>135.85595207210287</v>
      </c>
      <c r="AT564">
        <v>5.4272730603898802</v>
      </c>
      <c r="AU564">
        <v>-1.6830621826325125</v>
      </c>
      <c r="AV564"/>
      <c r="AW564"/>
      <c r="FY564" s="210">
        <v>559</v>
      </c>
      <c r="FZ564">
        <v>7.1271378276226276</v>
      </c>
      <c r="GA564">
        <v>30.572592669890359</v>
      </c>
      <c r="GB564">
        <v>28.080314331370513</v>
      </c>
      <c r="GC564">
        <v>11.205415429157281</v>
      </c>
      <c r="GD564">
        <v>5.0454455306108885</v>
      </c>
      <c r="GE564">
        <v>8.6654638950895571</v>
      </c>
      <c r="GF564">
        <v>5.678449933374746</v>
      </c>
      <c r="GG564">
        <v>4.2654135802360393</v>
      </c>
      <c r="GH564">
        <v>3.5547886871149497</v>
      </c>
      <c r="GI564">
        <v>12.642643522331005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183.01123349110986</v>
      </c>
      <c r="AO565">
        <v>13.68296328193874</v>
      </c>
      <c r="AP565">
        <v>99.662350745276711</v>
      </c>
      <c r="AQ565">
        <v>80.941584257771311</v>
      </c>
      <c r="AR565">
        <v>12.619163186901398</v>
      </c>
      <c r="AS565">
        <v>128.67455869587917</v>
      </c>
      <c r="AT565">
        <v>5.787707410390194</v>
      </c>
      <c r="AU565">
        <v>-22.041353795463635</v>
      </c>
      <c r="AV565"/>
      <c r="AW565"/>
      <c r="FY565" s="210">
        <v>560</v>
      </c>
      <c r="FZ565">
        <v>4.9282798186171792</v>
      </c>
      <c r="GA565">
        <v>22.238768696343012</v>
      </c>
      <c r="GB565">
        <v>24.713364680048226</v>
      </c>
      <c r="GC565">
        <v>10.422828591649086</v>
      </c>
      <c r="GD565">
        <v>2.7528391932048999</v>
      </c>
      <c r="GE565">
        <v>6.2599384602469268</v>
      </c>
      <c r="GF565">
        <v>6.6642650126795946</v>
      </c>
      <c r="GG565">
        <v>0.55170556019380068</v>
      </c>
      <c r="GH565">
        <v>0</v>
      </c>
      <c r="GI565">
        <v>9.779178845472952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176.52668301803214</v>
      </c>
      <c r="AO566">
        <v>12.733160182595606</v>
      </c>
      <c r="AP566">
        <v>103.49374053007411</v>
      </c>
      <c r="AQ566">
        <v>81.472476508147309</v>
      </c>
      <c r="AR566">
        <v>11.854262447309264</v>
      </c>
      <c r="AS566">
        <v>122.84903853917827</v>
      </c>
      <c r="AT566">
        <v>5.7551755517537169</v>
      </c>
      <c r="AU566">
        <v>-18.052231278821726</v>
      </c>
      <c r="AV566"/>
      <c r="AW566"/>
      <c r="FY566" s="210">
        <v>561</v>
      </c>
      <c r="FZ566">
        <v>6.9438512288290655</v>
      </c>
      <c r="GA566">
        <v>23.434229543197329</v>
      </c>
      <c r="GB566">
        <v>21.977516920645854</v>
      </c>
      <c r="GC566">
        <v>10.20388528127199</v>
      </c>
      <c r="GD566">
        <v>5.3310219862963679</v>
      </c>
      <c r="GE566">
        <v>8.3250294457285623</v>
      </c>
      <c r="GF566">
        <v>3.7630334049148111</v>
      </c>
      <c r="GG566">
        <v>2.3849748058630524</v>
      </c>
      <c r="GH566">
        <v>2.904440418277825</v>
      </c>
      <c r="GI566">
        <v>10.769478088112429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190.36616665657908</v>
      </c>
      <c r="AO567">
        <v>12.39218405864357</v>
      </c>
      <c r="AP567">
        <v>95.299236925051545</v>
      </c>
      <c r="AQ567">
        <v>75.681574418080658</v>
      </c>
      <c r="AR567">
        <v>11.482192512331503</v>
      </c>
      <c r="AS567">
        <v>119.44980040562707</v>
      </c>
      <c r="AT567">
        <v>5.2926141756109297</v>
      </c>
      <c r="AU567">
        <v>-15.108300269072164</v>
      </c>
      <c r="AV567"/>
      <c r="AW567"/>
      <c r="FY567" s="210">
        <v>562</v>
      </c>
      <c r="FZ567">
        <v>6.8878029003363839</v>
      </c>
      <c r="GA567">
        <v>26.158580216484523</v>
      </c>
      <c r="GB567">
        <v>15.118772164850256</v>
      </c>
      <c r="GC567">
        <v>5.6945287336029509</v>
      </c>
      <c r="GD567">
        <v>2.9891988880076674</v>
      </c>
      <c r="GE567">
        <v>4.8367175559362998</v>
      </c>
      <c r="GF567">
        <v>5.2730192508140892</v>
      </c>
      <c r="GG567">
        <v>1.3269328566833409</v>
      </c>
      <c r="GH567">
        <v>2.58389321221388</v>
      </c>
      <c r="GI567">
        <v>7.9086447536152491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184.38345963685137</v>
      </c>
      <c r="AO568">
        <v>13.157190772080853</v>
      </c>
      <c r="AP568">
        <v>105.10354805152068</v>
      </c>
      <c r="AQ568">
        <v>84.149391770822817</v>
      </c>
      <c r="AR568">
        <v>12.043965725186522</v>
      </c>
      <c r="AS568">
        <v>131.82059236195397</v>
      </c>
      <c r="AT568">
        <v>5.9563728071043061</v>
      </c>
      <c r="AU568">
        <v>-1.3113714718226082</v>
      </c>
      <c r="AV568"/>
      <c r="AW568"/>
      <c r="FY568" s="210">
        <v>563</v>
      </c>
      <c r="FZ568">
        <v>4.5476827399827293</v>
      </c>
      <c r="GA568">
        <v>25.269411339565416</v>
      </c>
      <c r="GB568">
        <v>27.119757535548153</v>
      </c>
      <c r="GC568">
        <v>12.092065651622717</v>
      </c>
      <c r="GD568">
        <v>3.3579272596776786</v>
      </c>
      <c r="GE568">
        <v>5.2930400501696795</v>
      </c>
      <c r="GF568">
        <v>6.1379950432372485</v>
      </c>
      <c r="GG568">
        <v>3.8417579671106914</v>
      </c>
      <c r="GH568">
        <v>4.8512367437425779</v>
      </c>
      <c r="GI568">
        <v>11.325883572235766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211.91055971411998</v>
      </c>
      <c r="AO569">
        <v>17.778990555636177</v>
      </c>
      <c r="AP569">
        <v>136.1736212826699</v>
      </c>
      <c r="AQ569">
        <v>105.95075420512187</v>
      </c>
      <c r="AR569">
        <v>16.475062535962664</v>
      </c>
      <c r="AS569">
        <v>160.43502399639243</v>
      </c>
      <c r="AT569">
        <v>7.2540060713597185</v>
      </c>
      <c r="AU569">
        <v>-23.295092486866189</v>
      </c>
      <c r="AV569"/>
      <c r="AW569"/>
      <c r="FY569" s="210">
        <v>564</v>
      </c>
      <c r="FZ569">
        <v>1.4078798587704529</v>
      </c>
      <c r="GA569">
        <v>20.359708367256754</v>
      </c>
      <c r="GB569">
        <v>15.705200961240417</v>
      </c>
      <c r="GC569">
        <v>7.2944069707551353</v>
      </c>
      <c r="GD569">
        <v>4.5614368960688179</v>
      </c>
      <c r="GE569">
        <v>5.4269132241334495</v>
      </c>
      <c r="GF569">
        <v>4.1025861390767284</v>
      </c>
      <c r="GG569">
        <v>0.86889872822098235</v>
      </c>
      <c r="GH569">
        <v>1.161037908745131</v>
      </c>
      <c r="GI569">
        <v>7.6964234473929523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161.25299235610356</v>
      </c>
      <c r="AO570">
        <v>14.609463428792504</v>
      </c>
      <c r="AP570">
        <v>111.2457443657683</v>
      </c>
      <c r="AQ570">
        <v>85.909089855180468</v>
      </c>
      <c r="AR570">
        <v>13.571218482185154</v>
      </c>
      <c r="AS570">
        <v>124.73677957639673</v>
      </c>
      <c r="AT570" t="e">
        <v>#DIV/0!</v>
      </c>
      <c r="AU570" t="e">
        <v>#DIV/0!</v>
      </c>
      <c r="AV570"/>
      <c r="AW570"/>
      <c r="FY570" s="210">
        <v>565</v>
      </c>
      <c r="FZ570">
        <v>6.8990339647946683</v>
      </c>
      <c r="GA570">
        <v>33.807083734049023</v>
      </c>
      <c r="GB570">
        <v>29.201104220618163</v>
      </c>
      <c r="GC570">
        <v>11.840440575402841</v>
      </c>
      <c r="GD570">
        <v>3.2909160330272371</v>
      </c>
      <c r="GE570">
        <v>5.2709752895618056</v>
      </c>
      <c r="GF570">
        <v>6.680263118679493</v>
      </c>
      <c r="GG570">
        <v>3.8417579671106914</v>
      </c>
      <c r="GH570">
        <v>4.8512367437425779</v>
      </c>
      <c r="GI570">
        <v>12.258129041786756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193.77111549947438</v>
      </c>
      <c r="AO571">
        <v>15.415419487014043</v>
      </c>
      <c r="AP571">
        <v>107.53974284908172</v>
      </c>
      <c r="AQ571">
        <v>84.970402208462772</v>
      </c>
      <c r="AR571">
        <v>14.254755857724101</v>
      </c>
      <c r="AS571">
        <v>142.87144931287375</v>
      </c>
      <c r="AT571" t="e">
        <v>#DIV/0!</v>
      </c>
      <c r="AU571" t="e">
        <v>#DIV/0!</v>
      </c>
      <c r="AV571"/>
      <c r="AW571"/>
      <c r="FY571" s="210">
        <v>566</v>
      </c>
      <c r="FZ571">
        <v>1.3878012112178988</v>
      </c>
      <c r="GA571">
        <v>22.044474525707827</v>
      </c>
      <c r="GB571">
        <v>22.295375838947237</v>
      </c>
      <c r="GC571">
        <v>11.020216790967904</v>
      </c>
      <c r="GD571">
        <v>4.7515195701315198</v>
      </c>
      <c r="GE571">
        <v>4.7514266821388276</v>
      </c>
      <c r="GF571">
        <v>6.9657014255395628</v>
      </c>
      <c r="GG571">
        <v>4.1373636331675865</v>
      </c>
      <c r="GH571">
        <v>3.6835731439534483</v>
      </c>
      <c r="GI571">
        <v>10.429622678284813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223.15398537525684</v>
      </c>
      <c r="AO572">
        <v>15.320181773231052</v>
      </c>
      <c r="AP572">
        <v>112.08500786117069</v>
      </c>
      <c r="AQ572">
        <v>89.464452399533428</v>
      </c>
      <c r="AR572">
        <v>14.216064081616953</v>
      </c>
      <c r="AS572">
        <v>151.96971405650223</v>
      </c>
      <c r="AT572">
        <v>6.9032514610639337</v>
      </c>
      <c r="AU572">
        <v>-33.76457537688696</v>
      </c>
      <c r="AV572"/>
      <c r="AW572"/>
      <c r="FY572" s="210">
        <v>567</v>
      </c>
      <c r="FZ572">
        <v>4.0693812876752418</v>
      </c>
      <c r="GA572">
        <v>27.2139664247368</v>
      </c>
      <c r="GB572">
        <v>22.6814046643286</v>
      </c>
      <c r="GC572">
        <v>9.2354532554295012</v>
      </c>
      <c r="GD572">
        <v>2.7767297348407105</v>
      </c>
      <c r="GE572">
        <v>7.6011019992842943</v>
      </c>
      <c r="GF572">
        <v>13.011145888501835</v>
      </c>
      <c r="GG572">
        <v>4.0744700017814655</v>
      </c>
      <c r="GH572">
        <v>3.8152919990059497</v>
      </c>
      <c r="GI572">
        <v>10.914523039849392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221.70100767514722</v>
      </c>
      <c r="AO573">
        <v>14.375584415004326</v>
      </c>
      <c r="AP573">
        <v>114.42849360275548</v>
      </c>
      <c r="AQ573">
        <v>90.838074512691463</v>
      </c>
      <c r="AR573">
        <v>13.323499147195395</v>
      </c>
      <c r="AS573">
        <v>144.66283662333561</v>
      </c>
      <c r="AT573">
        <v>6.3330196650673471</v>
      </c>
      <c r="AU573">
        <v>-15.669161217306074</v>
      </c>
      <c r="AV573"/>
      <c r="AW573"/>
      <c r="FY573" s="210">
        <v>568</v>
      </c>
      <c r="FZ573">
        <v>4.7218887547025972</v>
      </c>
      <c r="GA573">
        <v>23.300364792747146</v>
      </c>
      <c r="GB573">
        <v>21.014831434354761</v>
      </c>
      <c r="GC573">
        <v>8.9673150199150058</v>
      </c>
      <c r="GD573">
        <v>3.7530602621805835</v>
      </c>
      <c r="GE573">
        <v>6.2295859452324933</v>
      </c>
      <c r="GF573">
        <v>6.9848735268125903</v>
      </c>
      <c r="GG573">
        <v>3.5856580729737866</v>
      </c>
      <c r="GH573">
        <v>2.1969826534817587</v>
      </c>
      <c r="GI573">
        <v>9.7501512194004611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258.40115381805208</v>
      </c>
      <c r="AO574">
        <v>14.951623454666352</v>
      </c>
      <c r="AP574">
        <v>121.78825740134546</v>
      </c>
      <c r="AQ574">
        <v>99.396643222841035</v>
      </c>
      <c r="AR574">
        <v>13.564999427487574</v>
      </c>
      <c r="AS574">
        <v>158.99592943677436</v>
      </c>
      <c r="AT574">
        <v>6.496290619510984</v>
      </c>
      <c r="AU574">
        <v>4.2691552337114667</v>
      </c>
      <c r="AV574"/>
      <c r="AW574"/>
      <c r="FY574" s="210">
        <v>569</v>
      </c>
      <c r="FZ574">
        <v>6.9823460551553787</v>
      </c>
      <c r="GA574">
        <v>22.491428574234831</v>
      </c>
      <c r="GB574">
        <v>23.910905051199734</v>
      </c>
      <c r="GC574">
        <v>11.608432961892454</v>
      </c>
      <c r="GD574">
        <v>2.8413960649186452</v>
      </c>
      <c r="GE574">
        <v>3.3477124564233742</v>
      </c>
      <c r="GF574">
        <v>3.0180499881922387</v>
      </c>
      <c r="GG574">
        <v>0.86889872822098235</v>
      </c>
      <c r="GH574">
        <v>1.7434025095326939</v>
      </c>
      <c r="GI574">
        <v>9.4537587670355858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255.99093792588468</v>
      </c>
      <c r="AO575">
        <v>19.036258667183311</v>
      </c>
      <c r="AP575">
        <v>146.58646642690684</v>
      </c>
      <c r="AQ575">
        <v>116.83766540679798</v>
      </c>
      <c r="AR575">
        <v>17.602234192044804</v>
      </c>
      <c r="AS575">
        <v>166.09469240925822</v>
      </c>
      <c r="AT575">
        <v>7.9636092275325501</v>
      </c>
      <c r="AU575">
        <v>-33.495469882167527</v>
      </c>
      <c r="AV575"/>
      <c r="AW575"/>
      <c r="FY575" s="210">
        <v>570</v>
      </c>
      <c r="FZ575">
        <v>3.9505970121539544</v>
      </c>
      <c r="GA575">
        <v>23.695943359955031</v>
      </c>
      <c r="GB575">
        <v>20.06380526351569</v>
      </c>
      <c r="GC575">
        <v>7.9513692903470883</v>
      </c>
      <c r="GD575">
        <v>4.1345362220090793</v>
      </c>
      <c r="GE575">
        <v>7.8371044720947918</v>
      </c>
      <c r="GF575">
        <v>7.5068947085565938</v>
      </c>
      <c r="GG575">
        <v>3.583857715477941</v>
      </c>
      <c r="GH575">
        <v>3.5481629960709515</v>
      </c>
      <c r="GI575">
        <v>9.9785714370884673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171.14949226893344</v>
      </c>
      <c r="AO576">
        <v>14.744454387565748</v>
      </c>
      <c r="AP576">
        <v>114.66184896936946</v>
      </c>
      <c r="AQ576">
        <v>88.311168858455673</v>
      </c>
      <c r="AR576">
        <v>13.480117514737277</v>
      </c>
      <c r="AS576">
        <v>124.81445912362202</v>
      </c>
      <c r="AT576" t="e">
        <v>#DIV/0!</v>
      </c>
      <c r="AU576" t="e">
        <v>#DIV/0!</v>
      </c>
      <c r="AV576"/>
      <c r="AW576"/>
      <c r="FY576" s="210">
        <v>571</v>
      </c>
      <c r="FZ576">
        <v>1.3539757479257664</v>
      </c>
      <c r="GA576">
        <v>21.550232643815466</v>
      </c>
      <c r="GB576">
        <v>28.440741511520791</v>
      </c>
      <c r="GC576">
        <v>12.335584111824327</v>
      </c>
      <c r="GD576">
        <v>3.7673883377384807</v>
      </c>
      <c r="GE576">
        <v>4.0884455744937229</v>
      </c>
      <c r="GF576">
        <v>1.8135214616071638</v>
      </c>
      <c r="GG576">
        <v>1.3269328566833409</v>
      </c>
      <c r="GH576">
        <v>2.7830385470993173</v>
      </c>
      <c r="GI576">
        <v>10.270980446916528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229.28426560464794</v>
      </c>
      <c r="AO577">
        <v>16.107840498107173</v>
      </c>
      <c r="AP577">
        <v>116.12032985903132</v>
      </c>
      <c r="AQ577">
        <v>96.037461123137291</v>
      </c>
      <c r="AR577">
        <v>14.93732634730568</v>
      </c>
      <c r="AS577">
        <v>156.75593198647533</v>
      </c>
      <c r="AT577">
        <v>7.6460288311114013</v>
      </c>
      <c r="AU577">
        <v>-50.635198260748147</v>
      </c>
      <c r="AV577"/>
      <c r="AW577"/>
      <c r="FY577" s="210">
        <v>572</v>
      </c>
      <c r="FZ577">
        <v>4.1675957276354492</v>
      </c>
      <c r="GA577">
        <v>25.310333480098056</v>
      </c>
      <c r="GB577">
        <v>30.751679023842915</v>
      </c>
      <c r="GC577">
        <v>13.281390413619633</v>
      </c>
      <c r="GD577">
        <v>3.7567093681058288</v>
      </c>
      <c r="GE577">
        <v>4.8017246379454122</v>
      </c>
      <c r="GF577">
        <v>1.727624500754291</v>
      </c>
      <c r="GG577">
        <v>1.6441260247105225</v>
      </c>
      <c r="GH577">
        <v>3.3617118550568845</v>
      </c>
      <c r="GI577">
        <v>11.326061726260711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170.14102467548543</v>
      </c>
      <c r="AO578">
        <v>11.662105925299487</v>
      </c>
      <c r="AP578">
        <v>97.521274581765908</v>
      </c>
      <c r="AQ578">
        <v>78.778090532544638</v>
      </c>
      <c r="AR578">
        <v>10.801710997042491</v>
      </c>
      <c r="AS578">
        <v>112.77086590355218</v>
      </c>
      <c r="AT578">
        <v>5.1872053681570769</v>
      </c>
      <c r="AU578">
        <v>-9.360743144468616</v>
      </c>
      <c r="AV578"/>
      <c r="AW578"/>
      <c r="FY578" s="210">
        <v>573</v>
      </c>
      <c r="FZ578">
        <v>4.1460151986393514</v>
      </c>
      <c r="GA578">
        <v>23.468795613640971</v>
      </c>
      <c r="GB578">
        <v>22.197501771827618</v>
      </c>
      <c r="GC578">
        <v>9.7756102870222499</v>
      </c>
      <c r="GD578">
        <v>4.9786886085920621</v>
      </c>
      <c r="GE578">
        <v>7.6461202775817982</v>
      </c>
      <c r="GF578">
        <v>4.6299309009442879</v>
      </c>
      <c r="GG578">
        <v>3.0647303131253056</v>
      </c>
      <c r="GH578">
        <v>3.6798818511234526</v>
      </c>
      <c r="GI578">
        <v>10.481032097424324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187.19883554245087</v>
      </c>
      <c r="AO579">
        <v>17.036330920172389</v>
      </c>
      <c r="AP579">
        <v>134.26844471547744</v>
      </c>
      <c r="AQ579">
        <v>103.83675790289267</v>
      </c>
      <c r="AR579">
        <v>15.662116588483247</v>
      </c>
      <c r="AS579">
        <v>147.15081517793607</v>
      </c>
      <c r="AT579">
        <v>7.3638610503004722</v>
      </c>
      <c r="AU579">
        <v>-37.535097082531266</v>
      </c>
      <c r="AV579"/>
      <c r="AW579"/>
      <c r="FY579" s="210">
        <v>574</v>
      </c>
      <c r="FZ579">
        <v>4.6879278901248895</v>
      </c>
      <c r="GA579">
        <v>25.556177090434666</v>
      </c>
      <c r="GB579">
        <v>22.508612426294885</v>
      </c>
      <c r="GC579">
        <v>10.885926197280671</v>
      </c>
      <c r="GD579">
        <v>3.8649330422819661</v>
      </c>
      <c r="GE579">
        <v>3.4350668918391722</v>
      </c>
      <c r="GF579">
        <v>6.1198977343894327</v>
      </c>
      <c r="GG579">
        <v>3.4901862837464988</v>
      </c>
      <c r="GH579">
        <v>3.744931120959011</v>
      </c>
      <c r="GI579">
        <v>10.279084481697343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203.85333016828659</v>
      </c>
      <c r="AO580">
        <v>11.513020191031071</v>
      </c>
      <c r="AP580">
        <v>83.444490258651541</v>
      </c>
      <c r="AQ580">
        <v>68.584492501660819</v>
      </c>
      <c r="AR580">
        <v>10.531813995312229</v>
      </c>
      <c r="AS580">
        <v>121.87670750351332</v>
      </c>
      <c r="AT580" t="e">
        <v>#DIV/0!</v>
      </c>
      <c r="AU580" t="e">
        <v>#DIV/0!</v>
      </c>
      <c r="AV580"/>
      <c r="AW580"/>
      <c r="FY580" s="210">
        <v>575</v>
      </c>
      <c r="FZ580">
        <v>4.7181009915888872</v>
      </c>
      <c r="GA580">
        <v>28.528754435090331</v>
      </c>
      <c r="GB580">
        <v>27.234549929149594</v>
      </c>
      <c r="GC580">
        <v>11.409605836633133</v>
      </c>
      <c r="GD580">
        <v>3.5530877865288066</v>
      </c>
      <c r="GE580">
        <v>6.8771496639195222</v>
      </c>
      <c r="GF580">
        <v>8.3961383011322308</v>
      </c>
      <c r="GG580">
        <v>2.2895030166357651</v>
      </c>
      <c r="GH580">
        <v>3.5481629960709515</v>
      </c>
      <c r="GI580">
        <v>11.722784841078866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225.6105064254034</v>
      </c>
      <c r="AO581">
        <v>18.489045152792649</v>
      </c>
      <c r="AP581">
        <v>152.78146039485657</v>
      </c>
      <c r="AQ581">
        <v>117.94094068877325</v>
      </c>
      <c r="AR581">
        <v>16.94386634000298</v>
      </c>
      <c r="AS581">
        <v>160.97619545179614</v>
      </c>
      <c r="AT581">
        <v>7.255115695537163</v>
      </c>
      <c r="AU581">
        <v>-15.934203124048492</v>
      </c>
      <c r="AV581"/>
      <c r="AW581"/>
      <c r="FY581" s="210">
        <v>576</v>
      </c>
      <c r="FZ581">
        <v>4.6721470719732174</v>
      </c>
      <c r="GA581">
        <v>25.473918283187302</v>
      </c>
      <c r="GB581">
        <v>19.779287374629313</v>
      </c>
      <c r="GC581">
        <v>8.3652772696037907</v>
      </c>
      <c r="GD581">
        <v>3.7279907475782759</v>
      </c>
      <c r="GE581">
        <v>5.741527342011544</v>
      </c>
      <c r="GF581">
        <v>5.3930116265146761</v>
      </c>
      <c r="GG581">
        <v>0.86889872822098235</v>
      </c>
      <c r="GH581">
        <v>2.9081317111078202</v>
      </c>
      <c r="GI581">
        <v>9.2591548900395111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194.78542270313159</v>
      </c>
      <c r="AO582">
        <v>15.584847332713419</v>
      </c>
      <c r="AP582">
        <v>115.86215393525634</v>
      </c>
      <c r="AQ582">
        <v>91.467075500056623</v>
      </c>
      <c r="AR582">
        <v>14.458174945743213</v>
      </c>
      <c r="AS582">
        <v>147.52536647456898</v>
      </c>
      <c r="AT582">
        <v>6.008110831301142</v>
      </c>
      <c r="AU582">
        <v>0.86173239336704555</v>
      </c>
      <c r="AV582"/>
      <c r="AW582"/>
      <c r="FY582" s="210">
        <v>577</v>
      </c>
      <c r="FZ582">
        <v>0.65969258134283015</v>
      </c>
      <c r="GA582">
        <v>25.001518591725038</v>
      </c>
      <c r="GB582">
        <v>25.786263385279067</v>
      </c>
      <c r="GC582">
        <v>11.388074628239131</v>
      </c>
      <c r="GD582">
        <v>4.5279302729524007</v>
      </c>
      <c r="GE582">
        <v>6.0294491325790123</v>
      </c>
      <c r="GF582">
        <v>6.6493416991049106</v>
      </c>
      <c r="GG582">
        <v>1.9723098486085839</v>
      </c>
      <c r="GH582">
        <v>4.0728609126829465</v>
      </c>
      <c r="GI582">
        <v>11.067528206983296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248.00388858279356</v>
      </c>
      <c r="AO583">
        <v>16.412797877705621</v>
      </c>
      <c r="AP583">
        <v>135.55404597720636</v>
      </c>
      <c r="AQ583">
        <v>105.39346829543379</v>
      </c>
      <c r="AR583">
        <v>14.730997807033472</v>
      </c>
      <c r="AS583">
        <v>143.03136746130085</v>
      </c>
      <c r="AT583">
        <v>6.5397864553255145</v>
      </c>
      <c r="AU583">
        <v>17.726474263095746</v>
      </c>
      <c r="AV583"/>
      <c r="AW583"/>
      <c r="FY583" s="210">
        <v>578</v>
      </c>
      <c r="FZ583">
        <v>1.0642725936504736</v>
      </c>
      <c r="GA583">
        <v>27.078848893403283</v>
      </c>
      <c r="GB583">
        <v>33.103674911299841</v>
      </c>
      <c r="GC583">
        <v>14.023686334352575</v>
      </c>
      <c r="GD583">
        <v>4.550686879647774</v>
      </c>
      <c r="GE583">
        <v>4.7635456818752875</v>
      </c>
      <c r="GF583">
        <v>2.5585048783297362</v>
      </c>
      <c r="GG583">
        <v>2.843008934325411</v>
      </c>
      <c r="GH583">
        <v>2.1969826534817587</v>
      </c>
      <c r="GI583">
        <v>11.92466789857075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209.26065005223433</v>
      </c>
      <c r="AO584">
        <v>14.606486110545635</v>
      </c>
      <c r="AP584">
        <v>113.68307197616535</v>
      </c>
      <c r="AQ584">
        <v>90.504711681801183</v>
      </c>
      <c r="AR584">
        <v>13.40761240812458</v>
      </c>
      <c r="AS584">
        <v>140.1692233741488</v>
      </c>
      <c r="AT584" t="e">
        <v>#DIV/0!</v>
      </c>
      <c r="AU584" t="e">
        <v>#DIV/0!</v>
      </c>
      <c r="AV584"/>
      <c r="AW584"/>
      <c r="FY584" s="210">
        <v>579</v>
      </c>
      <c r="FZ584">
        <v>3.6870241405681465</v>
      </c>
      <c r="GA584">
        <v>20.230824521119128</v>
      </c>
      <c r="GB584">
        <v>17.121412518145348</v>
      </c>
      <c r="GC584">
        <v>8.3724889588483773</v>
      </c>
      <c r="GD584">
        <v>3.7879139981984635</v>
      </c>
      <c r="GE584">
        <v>4.5870157853816567</v>
      </c>
      <c r="GF584">
        <v>6.1038996283895353</v>
      </c>
      <c r="GG584">
        <v>2.6194871980296712</v>
      </c>
      <c r="GH584">
        <v>1.7434025095326939</v>
      </c>
      <c r="GI584">
        <v>8.4174354684558299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204.77472855135773</v>
      </c>
      <c r="AO585">
        <v>14.145892029473728</v>
      </c>
      <c r="AP585">
        <v>109.57796586926929</v>
      </c>
      <c r="AQ585">
        <v>86.266331156805919</v>
      </c>
      <c r="AR585">
        <v>13.073206618902493</v>
      </c>
      <c r="AS585">
        <v>135.71079590141039</v>
      </c>
      <c r="AT585" t="e">
        <v>#DIV/0!</v>
      </c>
      <c r="AU585" t="e">
        <v>#DIV/0!</v>
      </c>
      <c r="AV585"/>
      <c r="AW585"/>
      <c r="FY585" s="210">
        <v>580</v>
      </c>
      <c r="FZ585">
        <v>3.632871281833685</v>
      </c>
      <c r="GA585">
        <v>28.269803956155528</v>
      </c>
      <c r="GB585">
        <v>21.654502186469088</v>
      </c>
      <c r="GC585">
        <v>7.6073847049781289</v>
      </c>
      <c r="GD585">
        <v>4.7683348120103659</v>
      </c>
      <c r="GE585">
        <v>7.5423411227911465</v>
      </c>
      <c r="GF585">
        <v>4.4071965472098258</v>
      </c>
      <c r="GG585">
        <v>3.7137080200422385</v>
      </c>
      <c r="GH585">
        <v>4.1371532879025121</v>
      </c>
      <c r="GI585">
        <v>10.18924729779102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203.83548231982275</v>
      </c>
      <c r="AO586">
        <v>14.952011706185839</v>
      </c>
      <c r="AP586">
        <v>115.55394166772203</v>
      </c>
      <c r="AQ586">
        <v>92.250842477269586</v>
      </c>
      <c r="AR586">
        <v>13.760531756739612</v>
      </c>
      <c r="AS586">
        <v>119.65327037906886</v>
      </c>
      <c r="AT586">
        <v>5.8060726364634609</v>
      </c>
      <c r="AU586">
        <v>-11.161844831273307</v>
      </c>
      <c r="AV586"/>
      <c r="AW586"/>
      <c r="FY586" s="210">
        <v>581</v>
      </c>
      <c r="FZ586">
        <v>3.6698610953481565</v>
      </c>
      <c r="GA586">
        <v>16.994458986534788</v>
      </c>
      <c r="GB586">
        <v>21.101205946191719</v>
      </c>
      <c r="GC586">
        <v>11.400097413639688</v>
      </c>
      <c r="GD586">
        <v>4.4427056217449747</v>
      </c>
      <c r="GE586">
        <v>6.7053500067243466</v>
      </c>
      <c r="GF586">
        <v>6.6653398051048081</v>
      </c>
      <c r="GG586">
        <v>3.6182362308149516</v>
      </c>
      <c r="GH586">
        <v>4.4590145767990759</v>
      </c>
      <c r="GI586">
        <v>10.328428860028355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167.34962419719901</v>
      </c>
      <c r="AO587">
        <v>15.358432378914063</v>
      </c>
      <c r="AP587">
        <v>115.48446223554791</v>
      </c>
      <c r="AQ587">
        <v>87.730841239624894</v>
      </c>
      <c r="AR587">
        <v>14.443718442236337</v>
      </c>
      <c r="AS587">
        <v>133.4402706652086</v>
      </c>
      <c r="AT587">
        <v>6.6087492829830383</v>
      </c>
      <c r="AU587">
        <v>-41.695486027854081</v>
      </c>
      <c r="AV587"/>
      <c r="AW587"/>
      <c r="FY587" s="210">
        <v>582</v>
      </c>
      <c r="FZ587">
        <v>4.5789893206252694</v>
      </c>
      <c r="GA587">
        <v>27.6931022488642</v>
      </c>
      <c r="GB587">
        <v>29.433170161687901</v>
      </c>
      <c r="GC587">
        <v>12.196254745594672</v>
      </c>
      <c r="GD587">
        <v>4.0113476437830684</v>
      </c>
      <c r="GE587">
        <v>4.610868217590177</v>
      </c>
      <c r="GF587">
        <v>1.9143417360347212</v>
      </c>
      <c r="GG587">
        <v>3.0647303131253056</v>
      </c>
      <c r="GH587">
        <v>3.3580205622268897</v>
      </c>
      <c r="GI587">
        <v>11.270205290347292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188.97402269066282</v>
      </c>
      <c r="AO588">
        <v>16.984008015132936</v>
      </c>
      <c r="AP588">
        <v>129.97962524974167</v>
      </c>
      <c r="AQ588">
        <v>100.12895675802969</v>
      </c>
      <c r="AR588">
        <v>15.857268434206057</v>
      </c>
      <c r="AS588">
        <v>154.88541863985935</v>
      </c>
      <c r="AT588" t="e">
        <v>#DIV/0!</v>
      </c>
      <c r="AU588" t="e">
        <v>#DIV/0!</v>
      </c>
      <c r="AV588"/>
      <c r="AW588"/>
      <c r="FY588" s="210">
        <v>583</v>
      </c>
      <c r="FZ588">
        <v>4.0407289909678665</v>
      </c>
      <c r="GA588">
        <v>29.170432813531356</v>
      </c>
      <c r="GB588">
        <v>22.762530040729708</v>
      </c>
      <c r="GC588">
        <v>8.5907082917502819</v>
      </c>
      <c r="GD588">
        <v>4.2097122560652336</v>
      </c>
      <c r="GE588">
        <v>9.5636927747276772</v>
      </c>
      <c r="GF588">
        <v>10.224583076314079</v>
      </c>
      <c r="GG588">
        <v>2.1021601531728811</v>
      </c>
      <c r="GH588">
        <v>2.0718894894732554</v>
      </c>
      <c r="GI588">
        <v>11.014963196647308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250.24538073675512</v>
      </c>
      <c r="AO589">
        <v>15.695236011975942</v>
      </c>
      <c r="AP589">
        <v>115.93274923732839</v>
      </c>
      <c r="AQ589">
        <v>94.068306919921426</v>
      </c>
      <c r="AR589">
        <v>14.483742175608166</v>
      </c>
      <c r="AS589">
        <v>158.41746095441542</v>
      </c>
      <c r="AT589">
        <v>6.3508621214364913</v>
      </c>
      <c r="AU589">
        <v>-17.838310792190931</v>
      </c>
      <c r="AV589"/>
      <c r="AW589"/>
      <c r="FY589" s="210">
        <v>584</v>
      </c>
      <c r="FZ589">
        <v>3.9938997792027546</v>
      </c>
      <c r="GA589">
        <v>24.298252621500556</v>
      </c>
      <c r="GB589">
        <v>17.689723825576873</v>
      </c>
      <c r="GC589">
        <v>6.0477139160870337</v>
      </c>
      <c r="GD589">
        <v>2.2148471301538248</v>
      </c>
      <c r="GE589">
        <v>5.1319620760132363</v>
      </c>
      <c r="GF589">
        <v>6.0360999763844774</v>
      </c>
      <c r="GG589">
        <v>0.77522729648954036</v>
      </c>
      <c r="GH589">
        <v>1.9401706344207539</v>
      </c>
      <c r="GI589">
        <v>7.7330569137913914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195.78203956760547</v>
      </c>
      <c r="AO590">
        <v>15.285174476040178</v>
      </c>
      <c r="AP590">
        <v>120.28054734539971</v>
      </c>
      <c r="AQ590">
        <v>94.572743159048514</v>
      </c>
      <c r="AR590">
        <v>14.21165934363839</v>
      </c>
      <c r="AS590">
        <v>155.58265862592592</v>
      </c>
      <c r="AT590">
        <v>6.6710066114818964</v>
      </c>
      <c r="AU590">
        <v>-18.356062374354707</v>
      </c>
      <c r="AV590"/>
      <c r="AW590"/>
      <c r="FY590" s="210">
        <v>585</v>
      </c>
      <c r="FZ590">
        <v>1.2579086569818503</v>
      </c>
      <c r="GA590">
        <v>23.185770051899638</v>
      </c>
      <c r="GB590">
        <v>19.908148822196726</v>
      </c>
      <c r="GC590">
        <v>8.0816139605071164</v>
      </c>
      <c r="GD590">
        <v>3.5217406603714494</v>
      </c>
      <c r="GE590">
        <v>5.1262499410041915</v>
      </c>
      <c r="GF590">
        <v>7.4103232218273813</v>
      </c>
      <c r="GG590">
        <v>3.396514852015057</v>
      </c>
      <c r="GH590">
        <v>2.0718894894732554</v>
      </c>
      <c r="GI590">
        <v>8.9092619569576001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235.51383534105261</v>
      </c>
      <c r="AO591">
        <v>17.579034862888726</v>
      </c>
      <c r="AP591">
        <v>140.21971898496926</v>
      </c>
      <c r="AQ591">
        <v>108.27783779782808</v>
      </c>
      <c r="AR591">
        <v>16.117509305167481</v>
      </c>
      <c r="AS591">
        <v>155.11782133615401</v>
      </c>
      <c r="AT591">
        <v>6.9382811313842128</v>
      </c>
      <c r="AU591">
        <v>-3.5730920393594157</v>
      </c>
      <c r="AV591"/>
      <c r="AW591"/>
      <c r="FY591" s="210">
        <v>586</v>
      </c>
      <c r="FZ591">
        <v>10.125061407331923</v>
      </c>
      <c r="GA591">
        <v>35.768601668703567</v>
      </c>
      <c r="GB591">
        <v>23.582457835380517</v>
      </c>
      <c r="GC591">
        <v>7.5437115025998303</v>
      </c>
      <c r="GD591">
        <v>2.7506458712418844</v>
      </c>
      <c r="GE591">
        <v>5.176247155884548</v>
      </c>
      <c r="GF591">
        <v>6.4234333500973175</v>
      </c>
      <c r="GG591">
        <v>3.268464904946605</v>
      </c>
      <c r="GH591">
        <v>1.9401706344207539</v>
      </c>
      <c r="GI591">
        <v>10.481753038687168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215.31407800695797</v>
      </c>
      <c r="AO592">
        <v>13.711396680461586</v>
      </c>
      <c r="AP592">
        <v>107.76021738296582</v>
      </c>
      <c r="AQ592">
        <v>86.189345044866428</v>
      </c>
      <c r="AR592">
        <v>12.675753140454379</v>
      </c>
      <c r="AS592">
        <v>133.28059052127054</v>
      </c>
      <c r="AT592" t="e">
        <v>#DIV/0!</v>
      </c>
      <c r="AU592" t="e">
        <v>#DIV/0!</v>
      </c>
      <c r="AV592"/>
      <c r="AW592"/>
      <c r="FY592" s="210">
        <v>587</v>
      </c>
      <c r="FZ592">
        <v>0.9543201543131058</v>
      </c>
      <c r="GA592">
        <v>18.191488643631754</v>
      </c>
      <c r="GB592">
        <v>23.540434654989934</v>
      </c>
      <c r="GC592">
        <v>10.325757138512465</v>
      </c>
      <c r="GD592">
        <v>3.7169783554966109</v>
      </c>
      <c r="GE592">
        <v>4.5720427473992284</v>
      </c>
      <c r="GF592">
        <v>2.5745029843296336</v>
      </c>
      <c r="GG592">
        <v>2.1632534270631583</v>
      </c>
      <c r="GH592">
        <v>2.6476283992168197</v>
      </c>
      <c r="GI592">
        <v>9.0744642838411256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200.43280444112878</v>
      </c>
      <c r="AO593">
        <v>16.475248414833331</v>
      </c>
      <c r="AP593">
        <v>125.60599504729385</v>
      </c>
      <c r="AQ593">
        <v>97.154969259497221</v>
      </c>
      <c r="AR593">
        <v>15.319909079645424</v>
      </c>
      <c r="AS593">
        <v>130.80724448510864</v>
      </c>
      <c r="AT593">
        <v>7.9441392378317213</v>
      </c>
      <c r="AU593">
        <v>-54.815696289759494</v>
      </c>
      <c r="AV593"/>
      <c r="AW593"/>
      <c r="FY593" s="210">
        <v>588</v>
      </c>
      <c r="FZ593">
        <v>3.8414096947645602</v>
      </c>
      <c r="GA593">
        <v>29.217396232220899</v>
      </c>
      <c r="GB593">
        <v>24.770096155185477</v>
      </c>
      <c r="GC593">
        <v>9.1414333115378827</v>
      </c>
      <c r="GD593">
        <v>2.9180480373806863</v>
      </c>
      <c r="GE593">
        <v>6.5287447465362867</v>
      </c>
      <c r="GF593">
        <v>9.1571198238546998</v>
      </c>
      <c r="GG593">
        <v>1.2943546988421759</v>
      </c>
      <c r="GH593">
        <v>2.068955091259252</v>
      </c>
      <c r="GI593">
        <v>10.476144885836431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151.51738646788976</v>
      </c>
      <c r="AO594">
        <v>18.066949783517689</v>
      </c>
      <c r="AP594">
        <v>136.22152308018869</v>
      </c>
      <c r="AQ594">
        <v>104.10787965893688</v>
      </c>
      <c r="AR594">
        <v>16.757873761524884</v>
      </c>
      <c r="AS594">
        <v>215.51844724412518</v>
      </c>
      <c r="AT594" t="e">
        <v>#DIV/0!</v>
      </c>
      <c r="AU594" t="e">
        <v>#DIV/0!</v>
      </c>
      <c r="AV594"/>
      <c r="AW594"/>
      <c r="FY594" s="210">
        <v>589</v>
      </c>
      <c r="FZ594">
        <v>3.4151137521752419</v>
      </c>
      <c r="GA594">
        <v>19.997534100213819</v>
      </c>
      <c r="GB594">
        <v>16.998823665540034</v>
      </c>
      <c r="GC594">
        <v>8.1063675891185234</v>
      </c>
      <c r="GD594">
        <v>4.9706709495816614</v>
      </c>
      <c r="GE594">
        <v>9.7789207664496658</v>
      </c>
      <c r="GF594">
        <v>9.7692867541499204</v>
      </c>
      <c r="GG594">
        <v>1.7505884698086891</v>
      </c>
      <c r="GH594">
        <v>0</v>
      </c>
      <c r="GI594">
        <v>9.4583070145888399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167.50211733610041</v>
      </c>
      <c r="AO595">
        <v>12.585454023999793</v>
      </c>
      <c r="AP595">
        <v>95.211765421365328</v>
      </c>
      <c r="AQ595">
        <v>76.670904726668866</v>
      </c>
      <c r="AR595">
        <v>11.571890217369969</v>
      </c>
      <c r="AS595">
        <v>118.8843957870894</v>
      </c>
      <c r="AT595">
        <v>5.7910403033904574</v>
      </c>
      <c r="AU595">
        <v>-8.4270519996115905</v>
      </c>
      <c r="AV595"/>
      <c r="AW595"/>
      <c r="FY595" s="210">
        <v>590</v>
      </c>
      <c r="FZ595">
        <v>4.714058172814374</v>
      </c>
      <c r="GA595">
        <v>26.894949747796318</v>
      </c>
      <c r="GB595">
        <v>27.670196829749401</v>
      </c>
      <c r="GC595">
        <v>12.834822222321284</v>
      </c>
      <c r="GD595">
        <v>5.8284480148823237</v>
      </c>
      <c r="GE595">
        <v>5.8891082209284935</v>
      </c>
      <c r="GF595">
        <v>1.2712533861649191</v>
      </c>
      <c r="GG595">
        <v>2.8773874496624217</v>
      </c>
      <c r="GH595">
        <v>4.2725634357850089</v>
      </c>
      <c r="GI595">
        <v>11.897025638719613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229.64272472242624</v>
      </c>
      <c r="AO596">
        <v>15.265808815248672</v>
      </c>
      <c r="AP596">
        <v>119.57130623425563</v>
      </c>
      <c r="AQ596">
        <v>95.922543217183517</v>
      </c>
      <c r="AR596">
        <v>14.140961041629355</v>
      </c>
      <c r="AS596">
        <v>145.72569195509482</v>
      </c>
      <c r="AT596">
        <v>6.2035963447259164</v>
      </c>
      <c r="AU596">
        <v>-21.821830619473651</v>
      </c>
      <c r="AV596"/>
      <c r="AW596"/>
      <c r="FY596" s="210">
        <v>591</v>
      </c>
      <c r="FZ596">
        <v>1.5666765889719483</v>
      </c>
      <c r="GA596">
        <v>20.552774065316832</v>
      </c>
      <c r="GB596">
        <v>23.499425508675152</v>
      </c>
      <c r="GC596">
        <v>11.363731744090392</v>
      </c>
      <c r="GD596">
        <v>4.4158615068524778</v>
      </c>
      <c r="GE596">
        <v>4.7223412728388414</v>
      </c>
      <c r="GF596">
        <v>5.1521799639323982</v>
      </c>
      <c r="GG596">
        <v>5.3234555294157513</v>
      </c>
      <c r="GH596">
        <v>5.1627810487651473</v>
      </c>
      <c r="GI596">
        <v>10.446398610608057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221.62560511786745</v>
      </c>
      <c r="AO597">
        <v>15.423337539314257</v>
      </c>
      <c r="AP597">
        <v>110.29465459665445</v>
      </c>
      <c r="AQ597">
        <v>89.384698542930863</v>
      </c>
      <c r="AR597">
        <v>14.202682007639554</v>
      </c>
      <c r="AS597">
        <v>155.0925925080995</v>
      </c>
      <c r="AT597">
        <v>6.6749017486884128</v>
      </c>
      <c r="AU597">
        <v>-19.693051459931326</v>
      </c>
      <c r="AV597"/>
      <c r="AW597"/>
      <c r="FY597" s="210">
        <v>592</v>
      </c>
      <c r="FZ597">
        <v>1.7849410535492658</v>
      </c>
      <c r="GA597">
        <v>28.698301447473909</v>
      </c>
      <c r="GB597">
        <v>26.556717643362735</v>
      </c>
      <c r="GC597">
        <v>9.0210529564673045</v>
      </c>
      <c r="GD597">
        <v>3.0725266270281941</v>
      </c>
      <c r="GE597">
        <v>6.0764791447336179</v>
      </c>
      <c r="GF597">
        <v>6.6653398051048081</v>
      </c>
      <c r="GG597">
        <v>2.843008934325411</v>
      </c>
      <c r="GH597">
        <v>3.1012085431658845</v>
      </c>
      <c r="GI597">
        <v>10.422540756656444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163.48355570258553</v>
      </c>
      <c r="AO598">
        <v>17.019913662100691</v>
      </c>
      <c r="AP598">
        <v>132.24828625761671</v>
      </c>
      <c r="AQ598">
        <v>102.13103023987949</v>
      </c>
      <c r="AR598">
        <v>15.828898934881453</v>
      </c>
      <c r="AS598">
        <v>147.46146973879277</v>
      </c>
      <c r="AT598" t="e">
        <v>#DIV/0!</v>
      </c>
      <c r="AU598" t="e">
        <v>#DIV/0!</v>
      </c>
      <c r="AV598"/>
      <c r="AW598"/>
      <c r="FY598" s="210">
        <v>593</v>
      </c>
      <c r="FZ598">
        <v>1.7849410535492658</v>
      </c>
      <c r="GA598">
        <v>13.495479716812007</v>
      </c>
      <c r="GB598">
        <v>15.555867561085329</v>
      </c>
      <c r="GC598">
        <v>8.8340015467565056</v>
      </c>
      <c r="GD598">
        <v>4.759334501932817</v>
      </c>
      <c r="GE598">
        <v>6.7684672082603647</v>
      </c>
      <c r="GF598">
        <v>6.7469879782593374</v>
      </c>
      <c r="GG598">
        <v>2.6194871980296712</v>
      </c>
      <c r="GH598">
        <v>1.7434025095326939</v>
      </c>
      <c r="GI598">
        <v>8.4219433079441153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232.79125013911954</v>
      </c>
      <c r="AO599">
        <v>16.676026281431344</v>
      </c>
      <c r="AP599">
        <v>131.52869718150569</v>
      </c>
      <c r="AQ599">
        <v>103.75140108337962</v>
      </c>
      <c r="AR599">
        <v>15.025321657550013</v>
      </c>
      <c r="AS599">
        <v>144.57529401332653</v>
      </c>
      <c r="AT599" t="e">
        <v>#DIV/0!</v>
      </c>
      <c r="AU599" t="e">
        <v>#DIV/0!</v>
      </c>
      <c r="AV599"/>
      <c r="AW599"/>
      <c r="FY599" s="210">
        <v>594</v>
      </c>
      <c r="FZ599">
        <v>2.2297885761979188</v>
      </c>
      <c r="GA599">
        <v>21.53761651928744</v>
      </c>
      <c r="GB599">
        <v>24.761925100251144</v>
      </c>
      <c r="GC599">
        <v>9.5904601623809036</v>
      </c>
      <c r="GD599">
        <v>3.4539400940381149</v>
      </c>
      <c r="GE599">
        <v>4.9962428859190631</v>
      </c>
      <c r="GF599">
        <v>3.3034882950523081</v>
      </c>
      <c r="GG599">
        <v>2.7149589872569586</v>
      </c>
      <c r="GH599">
        <v>2.0652637984292568</v>
      </c>
      <c r="GI599">
        <v>9.4481061148692635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151.61054609505317</v>
      </c>
      <c r="AO600">
        <v>11.556596999953287</v>
      </c>
      <c r="AP600">
        <v>97.988935820752218</v>
      </c>
      <c r="AQ600">
        <v>75.860954169620442</v>
      </c>
      <c r="AR600">
        <v>10.547561549137198</v>
      </c>
      <c r="AS600">
        <v>106.72856440174363</v>
      </c>
      <c r="AT600" t="e">
        <v>#DIV/0!</v>
      </c>
      <c r="AU600" t="e">
        <v>#DIV/0!</v>
      </c>
      <c r="AV600"/>
      <c r="AW600"/>
      <c r="FY600" s="210">
        <v>595</v>
      </c>
      <c r="FZ600">
        <v>4.3048119288408468</v>
      </c>
      <c r="GA600">
        <v>23.650981497498446</v>
      </c>
      <c r="GB600">
        <v>21.567776136345191</v>
      </c>
      <c r="GC600">
        <v>9.230734262293435</v>
      </c>
      <c r="GD600">
        <v>4.0802445741826894</v>
      </c>
      <c r="GE600">
        <v>4.4123714656313524</v>
      </c>
      <c r="GF600">
        <v>1.7127011871796063</v>
      </c>
      <c r="GG600">
        <v>1.4206042884147827</v>
      </c>
      <c r="GH600">
        <v>2.0652637984292568</v>
      </c>
      <c r="GI600">
        <v>9.0402617110506078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192.17859813797313</v>
      </c>
      <c r="AO601">
        <v>13.420936233846964</v>
      </c>
      <c r="AP601">
        <v>106.29489780783831</v>
      </c>
      <c r="AQ601">
        <v>82.869421613234266</v>
      </c>
      <c r="AR601">
        <v>12.230705499044964</v>
      </c>
      <c r="AS601">
        <v>122.55166154648361</v>
      </c>
      <c r="AT601" t="e">
        <v>#DIV/0!</v>
      </c>
      <c r="AU601" t="e">
        <v>#DIV/0!</v>
      </c>
      <c r="AV601"/>
      <c r="AW601"/>
      <c r="FY601" s="210">
        <v>596</v>
      </c>
      <c r="FZ601">
        <v>1.2311549614009933</v>
      </c>
      <c r="GA601">
        <v>21.137985340020084</v>
      </c>
      <c r="GB601">
        <v>19.962224720544064</v>
      </c>
      <c r="GC601">
        <v>8.2345838775902322</v>
      </c>
      <c r="GD601">
        <v>3.7067371120628678</v>
      </c>
      <c r="GE601">
        <v>3.5594662465788076</v>
      </c>
      <c r="GF601">
        <v>3.1866699146248534</v>
      </c>
      <c r="GG601">
        <v>3.3947144945192114</v>
      </c>
      <c r="GH601">
        <v>2.7793472542693221</v>
      </c>
      <c r="GI601">
        <v>8.3157625847755998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171.06657621944265</v>
      </c>
      <c r="AO602">
        <v>15.651462651232489</v>
      </c>
      <c r="AP602">
        <v>137.41041890804578</v>
      </c>
      <c r="AQ602">
        <v>107.06054736929414</v>
      </c>
      <c r="AR602">
        <v>14.535712531677049</v>
      </c>
      <c r="AS602">
        <v>125.12650348405755</v>
      </c>
      <c r="AT602">
        <v>8.0771917600000975</v>
      </c>
      <c r="AU602">
        <v>-32.50015860771817</v>
      </c>
      <c r="AV602"/>
      <c r="AW602"/>
      <c r="FY602" s="210">
        <v>597</v>
      </c>
      <c r="FZ602">
        <v>4.2452277164925274</v>
      </c>
      <c r="GA602">
        <v>18.808371951397962</v>
      </c>
      <c r="GB602">
        <v>17.710704445265428</v>
      </c>
      <c r="GC602">
        <v>9.576472279708895</v>
      </c>
      <c r="GD602">
        <v>4.3854836445498826</v>
      </c>
      <c r="GE602">
        <v>6.9082242324539811</v>
      </c>
      <c r="GF602">
        <v>8.4788612667119718</v>
      </c>
      <c r="GG602">
        <v>4.1699417910087515</v>
      </c>
      <c r="GH602">
        <v>3.5547886871149497</v>
      </c>
      <c r="GI602">
        <v>9.749299208225457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159.11123121894377</v>
      </c>
      <c r="AO603">
        <v>13.542864062440561</v>
      </c>
      <c r="AP603">
        <v>99.950980542936648</v>
      </c>
      <c r="AQ603">
        <v>77.760870788793824</v>
      </c>
      <c r="AR603">
        <v>12.702793794135165</v>
      </c>
      <c r="AS603">
        <v>110.26855934738572</v>
      </c>
      <c r="AT603">
        <v>6.2946215865044826</v>
      </c>
      <c r="AU603">
        <v>-75.314890482583777</v>
      </c>
      <c r="AV603"/>
      <c r="AW603"/>
      <c r="FY603" s="210">
        <v>598</v>
      </c>
      <c r="FZ603">
        <v>1.3668472264814691</v>
      </c>
      <c r="GA603">
        <v>26.819165345290589</v>
      </c>
      <c r="GB603">
        <v>26.718245328681672</v>
      </c>
      <c r="GC603">
        <v>10.187403120051357</v>
      </c>
      <c r="GD603">
        <v>4.1677889025716732</v>
      </c>
      <c r="GE603">
        <v>5.3035920658754749</v>
      </c>
      <c r="GF603">
        <v>3.8297582644946551</v>
      </c>
      <c r="GG603">
        <v>2.5258157662982295</v>
      </c>
      <c r="GH603">
        <v>2.58389321221388</v>
      </c>
      <c r="GI603">
        <v>10.391662628908959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220.39707734024486</v>
      </c>
      <c r="AO604">
        <v>15.576951322439115</v>
      </c>
      <c r="AP604">
        <v>129.21710725718299</v>
      </c>
      <c r="AQ604">
        <v>99.413702677418357</v>
      </c>
      <c r="AR604">
        <v>14.306377023987871</v>
      </c>
      <c r="AS604">
        <v>153.63887235769872</v>
      </c>
      <c r="AT604" t="e">
        <v>#DIV/0!</v>
      </c>
      <c r="AU604" t="e">
        <v>#DIV/0!</v>
      </c>
      <c r="AV604"/>
      <c r="AW604"/>
      <c r="FY604" s="210">
        <v>599</v>
      </c>
      <c r="FZ604">
        <v>4.3982216044812983</v>
      </c>
      <c r="GA604">
        <v>27.297107375029732</v>
      </c>
      <c r="GB604">
        <v>21.671451317211531</v>
      </c>
      <c r="GC604">
        <v>7.4927162513790027</v>
      </c>
      <c r="GD604">
        <v>1.8816641115552148</v>
      </c>
      <c r="GE604">
        <v>0.91575389609113667</v>
      </c>
      <c r="GF604">
        <v>0.54226807544224453</v>
      </c>
      <c r="GG604">
        <v>0.77522729648954036</v>
      </c>
      <c r="GH604">
        <v>2.8443965241048801</v>
      </c>
      <c r="GI604">
        <v>7.6769090911196276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282.50881377060233</v>
      </c>
      <c r="AO605">
        <v>14.271991122131405</v>
      </c>
      <c r="AP605">
        <v>101.19399588906577</v>
      </c>
      <c r="AQ605">
        <v>84.245613061626401</v>
      </c>
      <c r="AR605">
        <v>12.831550841909824</v>
      </c>
      <c r="AS605">
        <v>138.4963837430281</v>
      </c>
      <c r="AT605" t="e">
        <v>#DIV/0!</v>
      </c>
      <c r="AU605" t="e">
        <v>#DIV/0!</v>
      </c>
      <c r="AV605"/>
      <c r="AW605"/>
      <c r="FY605" s="210">
        <v>600</v>
      </c>
      <c r="FZ605">
        <v>4.4740967012684605</v>
      </c>
      <c r="GA605">
        <v>28.172843870250336</v>
      </c>
      <c r="GB605">
        <v>20.690366233293258</v>
      </c>
      <c r="GC605">
        <v>8.0168002253688826</v>
      </c>
      <c r="GD605">
        <v>4.0949979272848624</v>
      </c>
      <c r="GE605">
        <v>5.4643634415214608</v>
      </c>
      <c r="GF605">
        <v>4.1025861390767284</v>
      </c>
      <c r="GG605">
        <v>3.288252049421045</v>
      </c>
      <c r="GH605">
        <v>5.5586945085386441</v>
      </c>
      <c r="GI605">
        <v>9.8623583037894758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242.73451918497966</v>
      </c>
      <c r="AO606">
        <v>17.753249449225116</v>
      </c>
      <c r="AP606">
        <v>129.24273042075836</v>
      </c>
      <c r="AQ606">
        <v>104.14981311882414</v>
      </c>
      <c r="AR606">
        <v>16.654912233563579</v>
      </c>
      <c r="AS606">
        <v>188.72908058592409</v>
      </c>
      <c r="AT606">
        <v>7.3891165325800747</v>
      </c>
      <c r="AU606">
        <v>188.00973164708986</v>
      </c>
      <c r="AV606"/>
      <c r="AW606"/>
      <c r="FY606" s="210">
        <v>601</v>
      </c>
      <c r="FZ606">
        <v>6.4293187771840543</v>
      </c>
      <c r="GA606">
        <v>29.077388990686234</v>
      </c>
      <c r="GB606">
        <v>22.854655033361482</v>
      </c>
      <c r="GC606">
        <v>8.1549556084222985</v>
      </c>
      <c r="GD606">
        <v>2.3390545543910579</v>
      </c>
      <c r="GE606">
        <v>6.2962892567361868</v>
      </c>
      <c r="GF606">
        <v>8.6148517484124554</v>
      </c>
      <c r="GG606">
        <v>3.7137080200422385</v>
      </c>
      <c r="GH606">
        <v>3.2329273982183868</v>
      </c>
      <c r="GI606">
        <v>10.169682298887128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187.77655725753749</v>
      </c>
      <c r="AO607">
        <v>15.696296391771583</v>
      </c>
      <c r="AP607">
        <v>116.66861405941886</v>
      </c>
      <c r="AQ607">
        <v>92.205625839467004</v>
      </c>
      <c r="AR607">
        <v>14.518441182763802</v>
      </c>
      <c r="AS607">
        <v>138.0668580435717</v>
      </c>
      <c r="AT607">
        <v>6.6861855166408235</v>
      </c>
      <c r="AU607">
        <v>-21.982371015493023</v>
      </c>
      <c r="AV607"/>
      <c r="AW607"/>
      <c r="FY607" s="210">
        <v>602</v>
      </c>
      <c r="FZ607">
        <v>6.9406900099750244</v>
      </c>
      <c r="GA607">
        <v>29.066676884447286</v>
      </c>
      <c r="GB607">
        <v>20.678206657026308</v>
      </c>
      <c r="GC607">
        <v>7.5780137519478057</v>
      </c>
      <c r="GD607">
        <v>2.8342126598373412</v>
      </c>
      <c r="GE607">
        <v>4.4992466441377106</v>
      </c>
      <c r="GF607">
        <v>5.5616315529472908</v>
      </c>
      <c r="GG607">
        <v>4.9451690874982921</v>
      </c>
      <c r="GH607">
        <v>6.0773239223232656</v>
      </c>
      <c r="GI607">
        <v>9.8183521825678177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179.99626856721642</v>
      </c>
      <c r="AO608">
        <v>15.625159198873032</v>
      </c>
      <c r="AP608">
        <v>129.50660184985037</v>
      </c>
      <c r="AQ608">
        <v>98.242116911867569</v>
      </c>
      <c r="AR608">
        <v>14.40091111172554</v>
      </c>
      <c r="AS608">
        <v>138.17778712307711</v>
      </c>
      <c r="AT608">
        <v>7.5020513892880842</v>
      </c>
      <c r="AU608">
        <v>-58.089432687296615</v>
      </c>
      <c r="AV608"/>
      <c r="AW608"/>
      <c r="FY608" s="210">
        <v>603</v>
      </c>
      <c r="FZ608">
        <v>1.6077092212609316</v>
      </c>
      <c r="GA608">
        <v>23.252482335787867</v>
      </c>
      <c r="GB608">
        <v>27.651261043555341</v>
      </c>
      <c r="GC608">
        <v>11.510895090390145</v>
      </c>
      <c r="GD608">
        <v>3.1242820413386849</v>
      </c>
      <c r="GE608">
        <v>4.3815309752249263</v>
      </c>
      <c r="GF608">
        <v>5.678449933374746</v>
      </c>
      <c r="GG608">
        <v>2.7149589872569586</v>
      </c>
      <c r="GH608">
        <v>1.161037908745131</v>
      </c>
      <c r="GI608">
        <v>10.196739111991679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200.37036256142412</v>
      </c>
      <c r="AO609">
        <v>12.542578358872072</v>
      </c>
      <c r="AP609">
        <v>84.771912202515338</v>
      </c>
      <c r="AQ609">
        <v>70.729912582162115</v>
      </c>
      <c r="AR609">
        <v>11.527291100476305</v>
      </c>
      <c r="AS609">
        <v>123.8533866293146</v>
      </c>
      <c r="AT609">
        <v>6.1918015193721452</v>
      </c>
      <c r="AU609">
        <v>-54.749220525937695</v>
      </c>
      <c r="AV609"/>
      <c r="AW609"/>
      <c r="FY609" s="210">
        <v>604</v>
      </c>
      <c r="FZ609">
        <v>0.87012646403192495</v>
      </c>
      <c r="GA609">
        <v>24.218703131125139</v>
      </c>
      <c r="GB609">
        <v>26.533818812578623</v>
      </c>
      <c r="GC609">
        <v>10.370206884718014</v>
      </c>
      <c r="GD609">
        <v>3.29131005400945</v>
      </c>
      <c r="GE609">
        <v>7.8264109751968025</v>
      </c>
      <c r="GF609">
        <v>8.9544044825743718</v>
      </c>
      <c r="GG609">
        <v>2.1976319424001689</v>
      </c>
      <c r="GH609">
        <v>3.5584799799449449</v>
      </c>
      <c r="GI609">
        <v>10.921987219772191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161.41874993422906</v>
      </c>
      <c r="AO610">
        <v>14.068830810234772</v>
      </c>
      <c r="AP610">
        <v>109.06419041075554</v>
      </c>
      <c r="AQ610">
        <v>84.101790533682376</v>
      </c>
      <c r="AR610">
        <v>13.219589726245191</v>
      </c>
      <c r="AS610">
        <v>131.59372694713983</v>
      </c>
      <c r="AT610">
        <v>6.5197294566119313</v>
      </c>
      <c r="AU610">
        <v>-42.549361097604276</v>
      </c>
      <c r="AV610"/>
      <c r="AW610"/>
      <c r="FY610" s="210">
        <v>605</v>
      </c>
      <c r="FZ610">
        <v>3.9454207142008988</v>
      </c>
      <c r="GA610">
        <v>21.121900706730507</v>
      </c>
      <c r="GB610">
        <v>25.607840766131929</v>
      </c>
      <c r="GC610">
        <v>12.331938858023051</v>
      </c>
      <c r="GD610">
        <v>3.4919596955070755</v>
      </c>
      <c r="GE610">
        <v>5.7842151867587717</v>
      </c>
      <c r="GF610">
        <v>7.191609774547155</v>
      </c>
      <c r="GG610">
        <v>3.5227644415876638</v>
      </c>
      <c r="GH610">
        <v>4.1371532879025121</v>
      </c>
      <c r="GI610">
        <v>11.028091042630729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202.16636292895222</v>
      </c>
      <c r="AO611">
        <v>13.515378566007811</v>
      </c>
      <c r="AP611">
        <v>102.53919481022868</v>
      </c>
      <c r="AQ611">
        <v>81.485750849866207</v>
      </c>
      <c r="AR611">
        <v>12.64712026617174</v>
      </c>
      <c r="AS611">
        <v>118.09564325614301</v>
      </c>
      <c r="AT611">
        <v>5.4925093767945237</v>
      </c>
      <c r="AU611">
        <v>-25.815719722374997</v>
      </c>
      <c r="AV611"/>
      <c r="AW611"/>
      <c r="FY611" s="210">
        <v>606</v>
      </c>
      <c r="FZ611">
        <v>4.1090253851248795</v>
      </c>
      <c r="GA611">
        <v>27.408356023196401</v>
      </c>
      <c r="GB611">
        <v>26.635603945861174</v>
      </c>
      <c r="GC611">
        <v>10.906835996805151</v>
      </c>
      <c r="GD611">
        <v>4.7862428174486951</v>
      </c>
      <c r="GE611">
        <v>5.766205510345852</v>
      </c>
      <c r="GF611">
        <v>2.4576846039021785</v>
      </c>
      <c r="GG611">
        <v>3.6182362308149516</v>
      </c>
      <c r="GH611">
        <v>3.8766499760115121</v>
      </c>
      <c r="GI611">
        <v>11.112791725409462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157.69185094593655</v>
      </c>
      <c r="AO612">
        <v>12.39868833159969</v>
      </c>
      <c r="AP612">
        <v>95.98764269212927</v>
      </c>
      <c r="AQ612">
        <v>75.508646506386029</v>
      </c>
      <c r="AR612">
        <v>11.569863158110968</v>
      </c>
      <c r="AS612">
        <v>123.36465877073537</v>
      </c>
      <c r="AT612">
        <v>5.7259502079896825</v>
      </c>
      <c r="AU612">
        <v>-16.896634882151119</v>
      </c>
      <c r="AV612"/>
      <c r="AW612"/>
      <c r="FY612" s="210">
        <v>607</v>
      </c>
      <c r="FZ612">
        <v>3.7752606496238403</v>
      </c>
      <c r="GA612">
        <v>21.414172871323444</v>
      </c>
      <c r="GB612">
        <v>22.095977684941577</v>
      </c>
      <c r="GC612">
        <v>10.188722952358811</v>
      </c>
      <c r="GD612">
        <v>5.093487458727318</v>
      </c>
      <c r="GE612">
        <v>9.3576894722610131</v>
      </c>
      <c r="GF612">
        <v>7.2924300489747118</v>
      </c>
      <c r="GG612">
        <v>1.1034111203876014</v>
      </c>
      <c r="GH612">
        <v>0.90422588968412598</v>
      </c>
      <c r="GI612">
        <v>10.556274605082978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207.958331495317</v>
      </c>
      <c r="AO613">
        <v>14.641687770323831</v>
      </c>
      <c r="AP613">
        <v>107.00683191667783</v>
      </c>
      <c r="AQ613">
        <v>87.587375222929793</v>
      </c>
      <c r="AR613">
        <v>13.321644895444106</v>
      </c>
      <c r="AS613">
        <v>142.92150685473391</v>
      </c>
      <c r="AT613">
        <v>6.6299878168508286</v>
      </c>
      <c r="AU613">
        <v>-28.632603406947844</v>
      </c>
      <c r="AV613"/>
      <c r="AW613"/>
      <c r="FY613" s="210">
        <v>608</v>
      </c>
      <c r="FZ613">
        <v>9.6314860717916382</v>
      </c>
      <c r="GA613">
        <v>31.159685138360199</v>
      </c>
      <c r="GB613">
        <v>21.487834334841779</v>
      </c>
      <c r="GC613">
        <v>8.2257596578311727</v>
      </c>
      <c r="GD613">
        <v>3.9167014067294081</v>
      </c>
      <c r="GE613">
        <v>6.2537791002198011</v>
      </c>
      <c r="GF613">
        <v>2.9172297137646819</v>
      </c>
      <c r="GG613">
        <v>1.7377974564419647</v>
      </c>
      <c r="GH613">
        <v>2.904440418277825</v>
      </c>
      <c r="GI613">
        <v>10.062490607490915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206.01839579424072</v>
      </c>
      <c r="AO614">
        <v>15.507637126699223</v>
      </c>
      <c r="AP614">
        <v>121.24559995774527</v>
      </c>
      <c r="AQ614">
        <v>93.894171860867957</v>
      </c>
      <c r="AR614">
        <v>14.491617748509896</v>
      </c>
      <c r="AS614">
        <v>149.82783580247292</v>
      </c>
      <c r="AT614">
        <v>6.169952699999361</v>
      </c>
      <c r="AU614">
        <v>-6.7090054999900879</v>
      </c>
      <c r="AV614"/>
      <c r="AW614"/>
      <c r="FY614" s="210">
        <v>609</v>
      </c>
      <c r="FZ614">
        <v>4.1727720255885066</v>
      </c>
      <c r="GA614">
        <v>25.783123460617215</v>
      </c>
      <c r="GB614">
        <v>26.632825972309512</v>
      </c>
      <c r="GC614">
        <v>11.456231547370436</v>
      </c>
      <c r="GD614">
        <v>4.4275129443634178</v>
      </c>
      <c r="GE614">
        <v>8.0105577114579702</v>
      </c>
      <c r="GF614">
        <v>7.8197748108422722</v>
      </c>
      <c r="GG614">
        <v>2.4303439770709425</v>
      </c>
      <c r="GH614">
        <v>2.0015286114263167</v>
      </c>
      <c r="GI614">
        <v>11.608014903594301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116.79137440656116</v>
      </c>
      <c r="AO615">
        <v>11.297633866047478</v>
      </c>
      <c r="AP615">
        <v>100.060912673896</v>
      </c>
      <c r="AQ615">
        <v>75.495715542904222</v>
      </c>
      <c r="AR615">
        <v>10.72865560908606</v>
      </c>
      <c r="AS615">
        <v>115.18165826170413</v>
      </c>
      <c r="AT615" t="e">
        <v>#DIV/0!</v>
      </c>
      <c r="AU615" t="e">
        <v>#DIV/0!</v>
      </c>
      <c r="AV615"/>
      <c r="AW615"/>
      <c r="FY615" s="210">
        <v>610</v>
      </c>
      <c r="FZ615">
        <v>1.1525091027061669</v>
      </c>
      <c r="GA615">
        <v>14.565911899143229</v>
      </c>
      <c r="GB615">
        <v>20.430979508247717</v>
      </c>
      <c r="GC615">
        <v>10.362903327187251</v>
      </c>
      <c r="GD615">
        <v>3.5905678329271935</v>
      </c>
      <c r="GE615">
        <v>4.5787145803084002</v>
      </c>
      <c r="GF615">
        <v>4.1884830999296012</v>
      </c>
      <c r="GG615">
        <v>1.4206042884147827</v>
      </c>
      <c r="GH615">
        <v>2.0652637984292568</v>
      </c>
      <c r="GI615">
        <v>8.4912401753612077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187.74836814411589</v>
      </c>
      <c r="AO616">
        <v>14.685931015233052</v>
      </c>
      <c r="AP616">
        <v>118.19729662576802</v>
      </c>
      <c r="AQ616">
        <v>93.725359399813172</v>
      </c>
      <c r="AR616">
        <v>13.63889739783037</v>
      </c>
      <c r="AS616">
        <v>136.05242882755465</v>
      </c>
      <c r="AT616" t="e">
        <v>#DIV/0!</v>
      </c>
      <c r="AU616" t="e">
        <v>#DIV/0!</v>
      </c>
      <c r="AV616"/>
      <c r="AW616"/>
      <c r="FY616" s="210">
        <v>611</v>
      </c>
      <c r="FZ616">
        <v>1.6719596652751347</v>
      </c>
      <c r="GA616">
        <v>21.093204115789405</v>
      </c>
      <c r="GB616">
        <v>28.036992659886533</v>
      </c>
      <c r="GC616">
        <v>12.611912568850979</v>
      </c>
      <c r="GD616">
        <v>3.9036740883800833</v>
      </c>
      <c r="GE616">
        <v>4.3037985778361492</v>
      </c>
      <c r="GF616">
        <v>4.6915600616446822</v>
      </c>
      <c r="GG616">
        <v>6.6503883860990927</v>
      </c>
      <c r="GH616">
        <v>6.198725793501775</v>
      </c>
      <c r="GI616">
        <v>11.340815586993461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187.60984677264733</v>
      </c>
      <c r="AO617">
        <v>15.407091372516987</v>
      </c>
      <c r="AP617">
        <v>130.94523124682016</v>
      </c>
      <c r="AQ617">
        <v>100.88283168634152</v>
      </c>
      <c r="AR617">
        <v>13.963751712124591</v>
      </c>
      <c r="AS617">
        <v>123.42281066207345</v>
      </c>
      <c r="AT617" t="e">
        <v>#DIV/0!</v>
      </c>
      <c r="AU617" t="e">
        <v>#DIV/0!</v>
      </c>
      <c r="AV617"/>
      <c r="AW617"/>
      <c r="FY617" s="210">
        <v>612</v>
      </c>
      <c r="FZ617">
        <v>1.2142406640707786</v>
      </c>
      <c r="GA617">
        <v>27.858683368649064</v>
      </c>
      <c r="GB617">
        <v>34.26426949789797</v>
      </c>
      <c r="GC617">
        <v>14.585764366618372</v>
      </c>
      <c r="GD617">
        <v>4.3096528555338161</v>
      </c>
      <c r="GE617">
        <v>3.8847831110214255</v>
      </c>
      <c r="GF617">
        <v>3.9476514373473228</v>
      </c>
      <c r="GG617">
        <v>3.268464904946605</v>
      </c>
      <c r="GH617">
        <v>1.6183093455241906</v>
      </c>
      <c r="GI617">
        <v>12.218519489557025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185.37739003723058</v>
      </c>
      <c r="AO618">
        <v>14.595256726643205</v>
      </c>
      <c r="AP618">
        <v>125.15786864044827</v>
      </c>
      <c r="AQ618">
        <v>97.999523352708138</v>
      </c>
      <c r="AR618">
        <v>13.586647851167555</v>
      </c>
      <c r="AS618">
        <v>138.52478481533419</v>
      </c>
      <c r="AT618">
        <v>6.3287886743822561</v>
      </c>
      <c r="AU618">
        <v>-16.025036133668646</v>
      </c>
      <c r="AV618"/>
      <c r="AW618"/>
      <c r="FY618" s="210">
        <v>613</v>
      </c>
      <c r="FZ618">
        <v>4.1054895012692425</v>
      </c>
      <c r="GA618">
        <v>25.22491449486958</v>
      </c>
      <c r="GB618">
        <v>25.605577651280232</v>
      </c>
      <c r="GC618">
        <v>11.024192667136745</v>
      </c>
      <c r="GD618">
        <v>4.4926363599668528</v>
      </c>
      <c r="GE618">
        <v>5.483692904341007</v>
      </c>
      <c r="GF618">
        <v>3.9465766449221098</v>
      </c>
      <c r="GG618">
        <v>2.6212875555255168</v>
      </c>
      <c r="GH618">
        <v>1.6796673225297538</v>
      </c>
      <c r="GI618">
        <v>10.617221601419738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197.79831474401652</v>
      </c>
      <c r="AO619">
        <v>15.366828781672305</v>
      </c>
      <c r="AP619">
        <v>119.76442357432768</v>
      </c>
      <c r="AQ619">
        <v>91.27934664892642</v>
      </c>
      <c r="AR619">
        <v>14.143974391605742</v>
      </c>
      <c r="AS619">
        <v>162.59626060639135</v>
      </c>
      <c r="AT619" t="e">
        <v>#DIV/0!</v>
      </c>
      <c r="AU619" t="e">
        <v>#DIV/0!</v>
      </c>
      <c r="AV619"/>
      <c r="AW619"/>
      <c r="FY619" s="210">
        <v>614</v>
      </c>
      <c r="FZ619">
        <v>1.2014887948558703</v>
      </c>
      <c r="GA619">
        <v>15.537464583492993</v>
      </c>
      <c r="GB619">
        <v>19.69574687368166</v>
      </c>
      <c r="GC619">
        <v>8.1396508899760072</v>
      </c>
      <c r="GD619">
        <v>3.3326102520666199</v>
      </c>
      <c r="GE619">
        <v>6.9620674277973009</v>
      </c>
      <c r="GF619">
        <v>4.7307511753718456</v>
      </c>
      <c r="GG619">
        <v>2.2895030166357651</v>
      </c>
      <c r="GH619">
        <v>4.1918855738640763</v>
      </c>
      <c r="GI619">
        <v>8.5732735493896151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210.08461778435921</v>
      </c>
      <c r="AO620">
        <v>16.390411848657124</v>
      </c>
      <c r="AP620">
        <v>129.26168887756984</v>
      </c>
      <c r="AQ620">
        <v>98.743079946351642</v>
      </c>
      <c r="AR620">
        <v>14.970424114575874</v>
      </c>
      <c r="AS620">
        <v>132.88765452480487</v>
      </c>
      <c r="AT620">
        <v>7.0058007808266387</v>
      </c>
      <c r="AU620">
        <v>-31.876698807976709</v>
      </c>
      <c r="AV620"/>
      <c r="AW620"/>
      <c r="FY620" s="210">
        <v>615</v>
      </c>
      <c r="FZ620">
        <v>6.9703561765201467</v>
      </c>
      <c r="GA620">
        <v>31.043139736902504</v>
      </c>
      <c r="GB620">
        <v>25.877803414673924</v>
      </c>
      <c r="GC620">
        <v>11.20429748361674</v>
      </c>
      <c r="GD620">
        <v>5.168898004125186</v>
      </c>
      <c r="GE620">
        <v>5.549891705366492</v>
      </c>
      <c r="GF620">
        <v>1.9303398420346187</v>
      </c>
      <c r="GG620">
        <v>3.0665306706211508</v>
      </c>
      <c r="GH620">
        <v>3.8152919990059497</v>
      </c>
      <c r="GI620">
        <v>11.435118666058864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206.63306802653742</v>
      </c>
      <c r="AO621">
        <v>16.574836686800715</v>
      </c>
      <c r="AP621">
        <v>126.02181663383527</v>
      </c>
      <c r="AQ621">
        <v>98.162894474020305</v>
      </c>
      <c r="AR621">
        <v>15.219252303577925</v>
      </c>
      <c r="AS621">
        <v>151.49265553220565</v>
      </c>
      <c r="AT621">
        <v>6.2465604770994174</v>
      </c>
      <c r="AU621">
        <v>-3.722358374730705</v>
      </c>
      <c r="AV621"/>
      <c r="AW621"/>
      <c r="FY621" s="210">
        <v>616</v>
      </c>
      <c r="FZ621">
        <v>7.4999074557371532</v>
      </c>
      <c r="GA621">
        <v>27.055093557229227</v>
      </c>
      <c r="GB621">
        <v>24.011970989157724</v>
      </c>
      <c r="GC621">
        <v>10.135515084371843</v>
      </c>
      <c r="GD621">
        <v>2.497166920027198</v>
      </c>
      <c r="GE621">
        <v>3.0696548474714236</v>
      </c>
      <c r="GF621">
        <v>5.035361583504943</v>
      </c>
      <c r="GG621">
        <v>3.4901862837464988</v>
      </c>
      <c r="GH621">
        <v>3.4230698320624482</v>
      </c>
      <c r="GI621">
        <v>10.057361918099039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202.70241241664172</v>
      </c>
      <c r="AO622">
        <v>16.680436117768402</v>
      </c>
      <c r="AP622">
        <v>127.45802869609822</v>
      </c>
      <c r="AQ622">
        <v>100.67763221492027</v>
      </c>
      <c r="AR622">
        <v>15.56874397292165</v>
      </c>
      <c r="AS622">
        <v>145.37129026852588</v>
      </c>
      <c r="AT622">
        <v>6.5584366371844469</v>
      </c>
      <c r="AU622">
        <v>-22.343190869144934</v>
      </c>
      <c r="AV622"/>
      <c r="AW622"/>
      <c r="FY622" s="210">
        <v>617</v>
      </c>
      <c r="FZ622">
        <v>3.5590270560903186</v>
      </c>
      <c r="GA622">
        <v>17.259989414805169</v>
      </c>
      <c r="GB622">
        <v>20.540646052408633</v>
      </c>
      <c r="GC622">
        <v>10.121257432964605</v>
      </c>
      <c r="GD622">
        <v>4.8022477112927131</v>
      </c>
      <c r="GE622">
        <v>7.8988330612408193</v>
      </c>
      <c r="GF622">
        <v>4.6299309009442879</v>
      </c>
      <c r="GG622">
        <v>0.55170556019380068</v>
      </c>
      <c r="GH622">
        <v>0.64372257779312592</v>
      </c>
      <c r="GI622">
        <v>9.3971201177549517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232.10858690742776</v>
      </c>
      <c r="AO623">
        <v>15.825888959671314</v>
      </c>
      <c r="AP623">
        <v>112.6776133357362</v>
      </c>
      <c r="AQ623">
        <v>91.781652753365421</v>
      </c>
      <c r="AR623">
        <v>14.506924698556993</v>
      </c>
      <c r="AS623">
        <v>149.7548491974396</v>
      </c>
      <c r="AT623" t="e">
        <v>#DIV/0!</v>
      </c>
      <c r="AU623" t="e">
        <v>#DIV/0!</v>
      </c>
      <c r="AV623"/>
      <c r="AW623"/>
      <c r="FY623" s="210">
        <v>618</v>
      </c>
      <c r="FZ623">
        <v>4.1398250308485469</v>
      </c>
      <c r="GA623">
        <v>20.16723729789102</v>
      </c>
      <c r="GB623">
        <v>26.568227187551535</v>
      </c>
      <c r="GC623">
        <v>13.316325880800129</v>
      </c>
      <c r="GD623">
        <v>4.8484007257082826</v>
      </c>
      <c r="GE623">
        <v>6.791058701720841</v>
      </c>
      <c r="GF623">
        <v>4.8166481362247184</v>
      </c>
      <c r="GG623">
        <v>1.9723098486085839</v>
      </c>
      <c r="GH623">
        <v>2.6476283992168197</v>
      </c>
      <c r="GI623">
        <v>11.4146956468851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192.61450615230802</v>
      </c>
      <c r="AO624">
        <v>15.081932540607628</v>
      </c>
      <c r="AP624">
        <v>121.97867026451699</v>
      </c>
      <c r="AQ624">
        <v>98.297203905749384</v>
      </c>
      <c r="AR624">
        <v>13.963355108231926</v>
      </c>
      <c r="AS624">
        <v>137.15828538183098</v>
      </c>
      <c r="AT624" t="e">
        <v>#DIV/0!</v>
      </c>
      <c r="AU624" t="e">
        <v>#DIV/0!</v>
      </c>
      <c r="AV624"/>
      <c r="AW624"/>
      <c r="FY624" s="210">
        <v>619</v>
      </c>
      <c r="FZ624">
        <v>7.562769364912012</v>
      </c>
      <c r="GA624">
        <v>36.304902816103478</v>
      </c>
      <c r="GB624">
        <v>30.030505024447642</v>
      </c>
      <c r="GC624">
        <v>10.295791225577297</v>
      </c>
      <c r="GD624">
        <v>2.5177396233194971</v>
      </c>
      <c r="GE624">
        <v>3.174951640707715</v>
      </c>
      <c r="GF624">
        <v>3.6121196096396426</v>
      </c>
      <c r="GG624">
        <v>4.0744700017814655</v>
      </c>
      <c r="GH624">
        <v>3.8766499760115121</v>
      </c>
      <c r="GI624">
        <v>11.367235205175596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259.18746313459104</v>
      </c>
      <c r="AO625">
        <v>17.415748835051218</v>
      </c>
      <c r="AP625">
        <v>132.32661506562596</v>
      </c>
      <c r="AQ625">
        <v>104.34268596464089</v>
      </c>
      <c r="AR625">
        <v>16.002614369496357</v>
      </c>
      <c r="AS625">
        <v>168.59442280499002</v>
      </c>
      <c r="AT625">
        <v>6.9233775206162989</v>
      </c>
      <c r="AU625">
        <v>-14.362273915702614</v>
      </c>
      <c r="AV625"/>
      <c r="AW625"/>
      <c r="FY625" s="210">
        <v>620</v>
      </c>
      <c r="FZ625">
        <v>7.1944203519418917</v>
      </c>
      <c r="GA625">
        <v>27.676520716501923</v>
      </c>
      <c r="GB625">
        <v>16.50937976760634</v>
      </c>
      <c r="GC625">
        <v>6.0910618673041794</v>
      </c>
      <c r="GD625">
        <v>3.8424956021989263</v>
      </c>
      <c r="GE625">
        <v>5.9367179787760884</v>
      </c>
      <c r="GF625">
        <v>6.3066149696698623</v>
      </c>
      <c r="GG625">
        <v>3.1729931157193176</v>
      </c>
      <c r="GH625">
        <v>1.6183093455241906</v>
      </c>
      <c r="GI625">
        <v>8.8246216075949224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148.07570219484018</v>
      </c>
      <c r="AO626">
        <v>12.751704894744638</v>
      </c>
      <c r="AP626">
        <v>90.342834174803215</v>
      </c>
      <c r="AQ626">
        <v>70.847177612654804</v>
      </c>
      <c r="AR626">
        <v>11.788125067972688</v>
      </c>
      <c r="AS626">
        <v>113.60847587583999</v>
      </c>
      <c r="AT626">
        <v>4.7799311989325277</v>
      </c>
      <c r="AU626">
        <v>-5.83196375222761</v>
      </c>
      <c r="AV626"/>
      <c r="AW626"/>
      <c r="FY626" s="210">
        <v>621</v>
      </c>
      <c r="FZ626">
        <v>4.4825506960480554</v>
      </c>
      <c r="GA626">
        <v>23.45574720540171</v>
      </c>
      <c r="GB626">
        <v>20.122387796616025</v>
      </c>
      <c r="GC626">
        <v>8.2288772323715875</v>
      </c>
      <c r="GD626">
        <v>4.8331018322881425</v>
      </c>
      <c r="GE626">
        <v>6.0497032659073655</v>
      </c>
      <c r="GF626">
        <v>1.7985981480324789</v>
      </c>
      <c r="GG626">
        <v>2.7475371450981236</v>
      </c>
      <c r="GH626">
        <v>2.5188439423783215</v>
      </c>
      <c r="GI626">
        <v>9.1896218251642257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225.58635144493138</v>
      </c>
      <c r="AO627">
        <v>16.976978065819925</v>
      </c>
      <c r="AP627">
        <v>129.70451217135485</v>
      </c>
      <c r="AQ627">
        <v>100.50303150425729</v>
      </c>
      <c r="AR627">
        <v>15.823584890043122</v>
      </c>
      <c r="AS627">
        <v>169.72742021381237</v>
      </c>
      <c r="AT627">
        <v>7.0685996566942011</v>
      </c>
      <c r="AU627">
        <v>-7.8753606699123031</v>
      </c>
      <c r="AV627"/>
      <c r="AW627"/>
      <c r="FY627" s="210">
        <v>622</v>
      </c>
      <c r="FZ627">
        <v>4.5730479007242399</v>
      </c>
      <c r="GA627">
        <v>31.444941483339509</v>
      </c>
      <c r="GB627">
        <v>31.585637265194919</v>
      </c>
      <c r="GC627">
        <v>12.853435840051723</v>
      </c>
      <c r="GD627">
        <v>3.4099465623445209</v>
      </c>
      <c r="GE627">
        <v>3.8213820705954014</v>
      </c>
      <c r="GF627">
        <v>3.6462150244873559</v>
      </c>
      <c r="GG627">
        <v>2.1021601531728811</v>
      </c>
      <c r="GH627">
        <v>2.0718894894732554</v>
      </c>
      <c r="GI627">
        <v>11.578952053250058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200.54718011473619</v>
      </c>
      <c r="AO628">
        <v>18.368051288825288</v>
      </c>
      <c r="AP628">
        <v>140.86185473979549</v>
      </c>
      <c r="AQ628">
        <v>107.17033904116657</v>
      </c>
      <c r="AR628">
        <v>17.126839384618279</v>
      </c>
      <c r="AS628">
        <v>183.18253711503067</v>
      </c>
      <c r="AT628">
        <v>7.1932813442162749</v>
      </c>
      <c r="AU628">
        <v>-12.152378230869729</v>
      </c>
      <c r="AV628"/>
      <c r="AW628"/>
      <c r="FY628" s="210">
        <v>623</v>
      </c>
      <c r="FZ628">
        <v>4.3222331610899367</v>
      </c>
      <c r="GA628">
        <v>21.395657605400071</v>
      </c>
      <c r="GB628">
        <v>14.130574238884899</v>
      </c>
      <c r="GC628">
        <v>7.8345923466248664</v>
      </c>
      <c r="GD628">
        <v>4.7228891241599724</v>
      </c>
      <c r="GE628">
        <v>4.6011001684321391</v>
      </c>
      <c r="GF628">
        <v>5.3589162116669629</v>
      </c>
      <c r="GG628">
        <v>1.1034111203876014</v>
      </c>
      <c r="GH628">
        <v>1.4865904904716891</v>
      </c>
      <c r="GI628">
        <v>8.1426811216520889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180.58072915198971</v>
      </c>
      <c r="AO629">
        <v>15.920425116024095</v>
      </c>
      <c r="AP629">
        <v>120.14392974723404</v>
      </c>
      <c r="AQ629">
        <v>94.801256703260776</v>
      </c>
      <c r="AR629">
        <v>14.830909211589079</v>
      </c>
      <c r="AS629">
        <v>147.33639106435831</v>
      </c>
      <c r="AT629">
        <v>6.480760188435581</v>
      </c>
      <c r="AU629">
        <v>-12.065337723565383</v>
      </c>
      <c r="AV629"/>
      <c r="AW629"/>
      <c r="FY629" s="210">
        <v>624</v>
      </c>
      <c r="FZ629">
        <v>1.131296930940638</v>
      </c>
      <c r="GA629">
        <v>24.416021375177596</v>
      </c>
      <c r="GB629">
        <v>28.816240633233893</v>
      </c>
      <c r="GC629">
        <v>11.733361400173939</v>
      </c>
      <c r="GD629">
        <v>2.9542047796502393</v>
      </c>
      <c r="GE629">
        <v>3.7550557936713655</v>
      </c>
      <c r="GF629">
        <v>4.0684907242290151</v>
      </c>
      <c r="GG629">
        <v>1.8786384168771417</v>
      </c>
      <c r="GH629">
        <v>1.3578060336331905</v>
      </c>
      <c r="GI629">
        <v>10.042862962584168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170.18138242773006</v>
      </c>
      <c r="AO630">
        <v>12.685664244824157</v>
      </c>
      <c r="AP630">
        <v>94.122330174434239</v>
      </c>
      <c r="AQ630">
        <v>74.654442137131753</v>
      </c>
      <c r="AR630">
        <v>11.80929601559288</v>
      </c>
      <c r="AS630">
        <v>117.58928012469561</v>
      </c>
      <c r="AT630">
        <v>5.1627889114039096</v>
      </c>
      <c r="AU630">
        <v>-23.234621090710995</v>
      </c>
      <c r="AV630"/>
      <c r="AW630"/>
      <c r="FY630" s="210">
        <v>625</v>
      </c>
      <c r="FZ630">
        <v>7.6573156510993039</v>
      </c>
      <c r="GA630">
        <v>27.09437873251337</v>
      </c>
      <c r="GB630">
        <v>33.237044043268867</v>
      </c>
      <c r="GC630">
        <v>14.851163844113582</v>
      </c>
      <c r="GD630">
        <v>3.0688695917845505</v>
      </c>
      <c r="GE630">
        <v>3.8066842724221415</v>
      </c>
      <c r="GF630">
        <v>3.9156552253475279</v>
      </c>
      <c r="GG630">
        <v>3.0775213264920307</v>
      </c>
      <c r="GH630">
        <v>1.0359447447366277</v>
      </c>
      <c r="GI630">
        <v>12.120973493750816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232.32289940410661</v>
      </c>
      <c r="AO631">
        <v>17.12902765569191</v>
      </c>
      <c r="AP631">
        <v>131.76342808859104</v>
      </c>
      <c r="AQ631">
        <v>106.06166769892558</v>
      </c>
      <c r="AR631">
        <v>15.959216576350929</v>
      </c>
      <c r="AS631">
        <v>159.61467405222535</v>
      </c>
      <c r="AT631">
        <v>7.2505547422911532</v>
      </c>
      <c r="AU631">
        <v>-19.216790041505828</v>
      </c>
      <c r="AV631"/>
      <c r="AW631"/>
      <c r="FY631" s="210">
        <v>626</v>
      </c>
      <c r="FZ631">
        <v>1.1331924006988576</v>
      </c>
      <c r="GA631">
        <v>18.12581408488338</v>
      </c>
      <c r="GB631">
        <v>21.090682798939667</v>
      </c>
      <c r="GC631">
        <v>10.00043879195646</v>
      </c>
      <c r="GD631">
        <v>4.3481624118592324</v>
      </c>
      <c r="GE631">
        <v>5.1839707030089519</v>
      </c>
      <c r="GF631">
        <v>3.7481100913401262</v>
      </c>
      <c r="GG631">
        <v>2.843008934325411</v>
      </c>
      <c r="GH631">
        <v>2.7793472542693221</v>
      </c>
      <c r="GI631">
        <v>9.0676731244662268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145.01691321958779</v>
      </c>
      <c r="AO632">
        <v>15.046685668122853</v>
      </c>
      <c r="AP632">
        <v>124.9473908966267</v>
      </c>
      <c r="AQ632">
        <v>96.275288471407492</v>
      </c>
      <c r="AR632">
        <v>14.013999294111745</v>
      </c>
      <c r="AS632">
        <v>126.60206012330163</v>
      </c>
      <c r="AT632">
        <v>6.1667234114453029</v>
      </c>
      <c r="AU632">
        <v>-11.22160886436275</v>
      </c>
      <c r="AV632"/>
      <c r="AW632"/>
      <c r="FY632" s="210">
        <v>627</v>
      </c>
      <c r="FZ632">
        <v>4.2323562379368251</v>
      </c>
      <c r="GA632">
        <v>26.451426819371918</v>
      </c>
      <c r="GB632">
        <v>27.865346392019841</v>
      </c>
      <c r="GC632">
        <v>12.626294901538724</v>
      </c>
      <c r="GD632">
        <v>5.344202204335601</v>
      </c>
      <c r="GE632">
        <v>5.4997786363736765</v>
      </c>
      <c r="GF632">
        <v>1.3880717665923741</v>
      </c>
      <c r="GG632">
        <v>2.2913033741316107</v>
      </c>
      <c r="GH632">
        <v>3.1012085431658845</v>
      </c>
      <c r="GI632">
        <v>11.434266142064788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228.55311115366857</v>
      </c>
      <c r="AO633">
        <v>14.056817150971488</v>
      </c>
      <c r="AP633">
        <v>96.364034773254247</v>
      </c>
      <c r="AQ633">
        <v>79.404479885488428</v>
      </c>
      <c r="AR633">
        <v>12.957657116131031</v>
      </c>
      <c r="AS633">
        <v>131.87178017871824</v>
      </c>
      <c r="AT633" t="e">
        <v>#DIV/0!</v>
      </c>
      <c r="AU633" t="e">
        <v>#DIV/0!</v>
      </c>
      <c r="AV633"/>
      <c r="AW633"/>
      <c r="FY633" s="210">
        <v>628</v>
      </c>
      <c r="FZ633">
        <v>1.2497065414603288</v>
      </c>
      <c r="GA633">
        <v>12.670831553971073</v>
      </c>
      <c r="GB633">
        <v>17.389437569420693</v>
      </c>
      <c r="GC633">
        <v>8.7769517638088725</v>
      </c>
      <c r="GD633">
        <v>2.5596183236988885</v>
      </c>
      <c r="GE633">
        <v>4.4274714472055905</v>
      </c>
      <c r="GF633">
        <v>5.3930116265146761</v>
      </c>
      <c r="GG633">
        <v>0.77522729648954036</v>
      </c>
      <c r="GH633">
        <v>2.7830385470993173</v>
      </c>
      <c r="GI633">
        <v>7.4493775124769988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194.59891517127005</v>
      </c>
      <c r="AO634">
        <v>17.097314842441826</v>
      </c>
      <c r="AP634">
        <v>121.38026633349878</v>
      </c>
      <c r="AQ634">
        <v>96.682356855455566</v>
      </c>
      <c r="AR634">
        <v>15.891647451208387</v>
      </c>
      <c r="AS634">
        <v>150.37516966777935</v>
      </c>
      <c r="AT634">
        <v>6.6348437224027785</v>
      </c>
      <c r="AU634">
        <v>-16.508668465030109</v>
      </c>
      <c r="AV634"/>
      <c r="AW634"/>
      <c r="FY634" s="210">
        <v>629</v>
      </c>
      <c r="FZ634">
        <v>3.5533438232183885</v>
      </c>
      <c r="GA634">
        <v>27.947205105733957</v>
      </c>
      <c r="GB634">
        <v>22.440232579836096</v>
      </c>
      <c r="GC634">
        <v>7.7119087188136168</v>
      </c>
      <c r="GD634">
        <v>1.9956158411576164</v>
      </c>
      <c r="GE634">
        <v>4.3957475026199324</v>
      </c>
      <c r="GF634">
        <v>6.680263118679493</v>
      </c>
      <c r="GG634">
        <v>3.9354293988421332</v>
      </c>
      <c r="GH634">
        <v>5.0376878847566431</v>
      </c>
      <c r="GI634">
        <v>9.3265206841857466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156.84571310893458</v>
      </c>
      <c r="AO635">
        <v>17.060265717057241</v>
      </c>
      <c r="AP635">
        <v>148.8864065706706</v>
      </c>
      <c r="AQ635">
        <v>112.81713448767584</v>
      </c>
      <c r="AR635">
        <v>15.914566429940244</v>
      </c>
      <c r="AS635">
        <v>146.61297322183563</v>
      </c>
      <c r="AT635">
        <v>6.9606392462989612</v>
      </c>
      <c r="AU635">
        <v>-17.203603196441591</v>
      </c>
      <c r="AV635"/>
      <c r="AW635"/>
      <c r="FY635" s="210">
        <v>630</v>
      </c>
      <c r="FZ635">
        <v>4.3699439727755216</v>
      </c>
      <c r="GA635">
        <v>16.139835756636316</v>
      </c>
      <c r="GB635">
        <v>15.037971647907892</v>
      </c>
      <c r="GC635">
        <v>7.4815454749990522</v>
      </c>
      <c r="GD635">
        <v>2.5397254187812157</v>
      </c>
      <c r="GE635">
        <v>2.2393404967873827</v>
      </c>
      <c r="GF635">
        <v>3.7289379900670978</v>
      </c>
      <c r="GG635">
        <v>1.7505884698086891</v>
      </c>
      <c r="GH635">
        <v>1.2260871785806891</v>
      </c>
      <c r="GI635">
        <v>6.7355198531770935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171.54747186283961</v>
      </c>
      <c r="AO636">
        <v>13.133320980292288</v>
      </c>
      <c r="AP636">
        <v>106.82036960896251</v>
      </c>
      <c r="AQ636">
        <v>87.173135322837652</v>
      </c>
      <c r="AR636">
        <v>12.128941428140532</v>
      </c>
      <c r="AS636">
        <v>134.67337439184067</v>
      </c>
      <c r="AT636">
        <v>6.1161876426779402</v>
      </c>
      <c r="AU636">
        <v>-9.5141733330036793</v>
      </c>
      <c r="AV636"/>
      <c r="AW636"/>
      <c r="FY636" s="210">
        <v>631</v>
      </c>
      <c r="FZ636">
        <v>6.4347501307979122</v>
      </c>
      <c r="GA636">
        <v>26.424723063047626</v>
      </c>
      <c r="GB636">
        <v>17.818203580310147</v>
      </c>
      <c r="GC636">
        <v>7.0777513226856534</v>
      </c>
      <c r="GD636">
        <v>3.5250054144776346</v>
      </c>
      <c r="GE636">
        <v>4.5978019204950495</v>
      </c>
      <c r="GF636">
        <v>4.1693109986565728</v>
      </c>
      <c r="GG636">
        <v>3.616435873319106</v>
      </c>
      <c r="GH636">
        <v>3.9403851630144526</v>
      </c>
      <c r="GI636">
        <v>8.8028494912549213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225.88268119246081</v>
      </c>
      <c r="AO637">
        <v>13.665148457060686</v>
      </c>
      <c r="AP637">
        <v>101.3444385004703</v>
      </c>
      <c r="AQ637">
        <v>83.426969089306041</v>
      </c>
      <c r="AR637">
        <v>12.787601561417159</v>
      </c>
      <c r="AS637">
        <v>134.99438195636898</v>
      </c>
      <c r="AT637">
        <v>5.9543574270316038</v>
      </c>
      <c r="AU637">
        <v>-26.462020030499836</v>
      </c>
      <c r="AV637"/>
      <c r="AW637"/>
      <c r="FY637" s="210">
        <v>632</v>
      </c>
      <c r="FZ637">
        <v>1.4759180658983659</v>
      </c>
      <c r="GA637">
        <v>19.327265715147679</v>
      </c>
      <c r="GB637">
        <v>26.10801087974394</v>
      </c>
      <c r="GC637">
        <v>11.05061529226543</v>
      </c>
      <c r="GD637">
        <v>1.7712200369981359</v>
      </c>
      <c r="GE637">
        <v>4.5459657573886414</v>
      </c>
      <c r="GF637">
        <v>6.477547777399165</v>
      </c>
      <c r="GG637">
        <v>3.3819234811524872</v>
      </c>
      <c r="GH637">
        <v>6.649371539236836</v>
      </c>
      <c r="GI637">
        <v>10.036946729678862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172.0188219464676</v>
      </c>
      <c r="AO638">
        <v>17.524155701419197</v>
      </c>
      <c r="AP638">
        <v>141.58789194763091</v>
      </c>
      <c r="AQ638">
        <v>107.08760784263387</v>
      </c>
      <c r="AR638">
        <v>16.191653461949223</v>
      </c>
      <c r="AS638">
        <v>171.14362103998138</v>
      </c>
      <c r="AT638" t="e">
        <v>#DIV/0!</v>
      </c>
      <c r="AU638" t="e">
        <v>#DIV/0!</v>
      </c>
      <c r="AV638"/>
      <c r="AW638"/>
      <c r="FY638" s="210">
        <v>633</v>
      </c>
      <c r="FZ638">
        <v>0.75827855493633733</v>
      </c>
      <c r="GA638">
        <v>25.066509880738089</v>
      </c>
      <c r="GB638">
        <v>27.645832401462073</v>
      </c>
      <c r="GC638">
        <v>10.919204003660122</v>
      </c>
      <c r="GD638">
        <v>2.9997109925532714</v>
      </c>
      <c r="GE638">
        <v>3.874265570070401</v>
      </c>
      <c r="GF638">
        <v>6.3882631428243908</v>
      </c>
      <c r="GG638">
        <v>6.2377234288446228</v>
      </c>
      <c r="GH638">
        <v>5.6200524855442069</v>
      </c>
      <c r="GI638">
        <v>10.791531020992867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155.08901274559622</v>
      </c>
      <c r="AO639">
        <v>12.031854684846341</v>
      </c>
      <c r="AP639">
        <v>87.804890700436019</v>
      </c>
      <c r="AQ639">
        <v>73.098645588770225</v>
      </c>
      <c r="AR639">
        <v>11.170643999408652</v>
      </c>
      <c r="AS639">
        <v>118.41479269179364</v>
      </c>
      <c r="AT639" t="e">
        <v>#DIV/0!</v>
      </c>
      <c r="AU639" t="e">
        <v>#DIV/0!</v>
      </c>
      <c r="AV639"/>
      <c r="AW639"/>
      <c r="FY639" s="210">
        <v>634</v>
      </c>
      <c r="FZ639">
        <v>0.8312411807592337</v>
      </c>
      <c r="GA639">
        <v>24.193419207435305</v>
      </c>
      <c r="GB639">
        <v>24.705574071623325</v>
      </c>
      <c r="GC639">
        <v>9.6838547997333784</v>
      </c>
      <c r="GD639">
        <v>3.8904355958121406</v>
      </c>
      <c r="GE639">
        <v>5.7907952859030498</v>
      </c>
      <c r="GF639">
        <v>3.5603180636344836</v>
      </c>
      <c r="GG639">
        <v>1.7377974564419647</v>
      </c>
      <c r="GH639">
        <v>2.6439371063868249</v>
      </c>
      <c r="GI639">
        <v>9.6319288498552051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161.00608230248744</v>
      </c>
      <c r="AO640">
        <v>15.171390042583354</v>
      </c>
      <c r="AP640">
        <v>119.96678536036755</v>
      </c>
      <c r="AQ640">
        <v>90.153979050171188</v>
      </c>
      <c r="AR640">
        <v>13.999427319613833</v>
      </c>
      <c r="AS640">
        <v>134.93556442437398</v>
      </c>
      <c r="AT640">
        <v>5.8180644444190355</v>
      </c>
      <c r="AU640">
        <v>-32.62663582115939</v>
      </c>
      <c r="AV640"/>
      <c r="AW640"/>
      <c r="FY640" s="210">
        <v>635</v>
      </c>
      <c r="FZ640">
        <v>3.6251761012310384</v>
      </c>
      <c r="GA640">
        <v>29.67793276846557</v>
      </c>
      <c r="GB640">
        <v>25.235373527625626</v>
      </c>
      <c r="GC640">
        <v>9.9804514453408721</v>
      </c>
      <c r="GD640">
        <v>5.1460000386837637</v>
      </c>
      <c r="GE640">
        <v>5.2506819562663063</v>
      </c>
      <c r="GF640">
        <v>2.660399945182506</v>
      </c>
      <c r="GG640">
        <v>5.1343123084570212</v>
      </c>
      <c r="GH640">
        <v>4.3939653069635174</v>
      </c>
      <c r="GI640">
        <v>10.986882472787167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150.77048305899817</v>
      </c>
      <c r="AO641">
        <v>18.329929858416385</v>
      </c>
      <c r="AP641">
        <v>143.32490272547534</v>
      </c>
      <c r="AQ641">
        <v>109.86555092552881</v>
      </c>
      <c r="AR641">
        <v>17.004791401731651</v>
      </c>
      <c r="AS641">
        <v>142.10529965496514</v>
      </c>
      <c r="AT641" t="e">
        <v>#DIV/0!</v>
      </c>
      <c r="AU641" t="e">
        <v>#DIV/0!</v>
      </c>
      <c r="AV641"/>
      <c r="AW641"/>
      <c r="FY641" s="210">
        <v>636</v>
      </c>
      <c r="FZ641">
        <v>1.4827379543515689</v>
      </c>
      <c r="GA641">
        <v>23.68235387544004</v>
      </c>
      <c r="GB641">
        <v>24.951746728837335</v>
      </c>
      <c r="GC641">
        <v>9.6047054022503069</v>
      </c>
      <c r="GD641">
        <v>3.7677773364189298</v>
      </c>
      <c r="GE641">
        <v>10.341169720709196</v>
      </c>
      <c r="GF641">
        <v>12.144248392472356</v>
      </c>
      <c r="GG641">
        <v>2.5258157662982295</v>
      </c>
      <c r="GH641">
        <v>1.0359447447366277</v>
      </c>
      <c r="GI641">
        <v>11.096226619310695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215.42127316279206</v>
      </c>
      <c r="AO642">
        <v>13.543562323111734</v>
      </c>
      <c r="AP642">
        <v>97.370348745775942</v>
      </c>
      <c r="AQ642">
        <v>78.320400595747628</v>
      </c>
      <c r="AR642">
        <v>12.545445788030879</v>
      </c>
      <c r="AS642">
        <v>144.80118729739991</v>
      </c>
      <c r="AT642">
        <v>5.8218585067267741</v>
      </c>
      <c r="AU642">
        <v>-8.3931605525950772</v>
      </c>
      <c r="AV642"/>
      <c r="AW642"/>
      <c r="FY642" s="210">
        <v>637</v>
      </c>
      <c r="FZ642">
        <v>6.8908318492731464</v>
      </c>
      <c r="GA642">
        <v>27.176093753309932</v>
      </c>
      <c r="GB642">
        <v>17.850416209636094</v>
      </c>
      <c r="GC642">
        <v>7.8898121934357146</v>
      </c>
      <c r="GD642">
        <v>4.5637903237973774</v>
      </c>
      <c r="GE642">
        <v>5.9923874462059867</v>
      </c>
      <c r="GF642">
        <v>7.679763422687552</v>
      </c>
      <c r="GG642">
        <v>6.0160020500447295</v>
      </c>
      <c r="GH642">
        <v>3.8152919990059497</v>
      </c>
      <c r="GI642">
        <v>10.130110486175706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209.57206948666999</v>
      </c>
      <c r="AO643">
        <v>17.131535375421798</v>
      </c>
      <c r="AP643">
        <v>126.2128032357875</v>
      </c>
      <c r="AQ643">
        <v>100.23425501753125</v>
      </c>
      <c r="AR643">
        <v>16.041186063524762</v>
      </c>
      <c r="AS643">
        <v>201.01810705053526</v>
      </c>
      <c r="AT643">
        <v>8.1839619260671164</v>
      </c>
      <c r="AU643">
        <v>131.9599461914267</v>
      </c>
      <c r="AV643"/>
      <c r="AW643"/>
      <c r="FY643" s="210">
        <v>638</v>
      </c>
      <c r="FZ643">
        <v>6.685826188829612</v>
      </c>
      <c r="GA643">
        <v>30.941634849478817</v>
      </c>
      <c r="GB643">
        <v>26.127107044303258</v>
      </c>
      <c r="GC643">
        <v>11.317128807147785</v>
      </c>
      <c r="GD643">
        <v>3.8740942348887808</v>
      </c>
      <c r="GE643">
        <v>3.0177281515811263</v>
      </c>
      <c r="GF643">
        <v>1.9143417360347212</v>
      </c>
      <c r="GG643">
        <v>3.6526147461519618</v>
      </c>
      <c r="GH643">
        <v>5.0480048686306374</v>
      </c>
      <c r="GI643">
        <v>10.888085129602933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190.41057928792171</v>
      </c>
      <c r="AO644">
        <v>11.008957157485646</v>
      </c>
      <c r="AP644">
        <v>81.199551087754756</v>
      </c>
      <c r="AQ644">
        <v>63.47467218214598</v>
      </c>
      <c r="AR644">
        <v>10.167908036374067</v>
      </c>
      <c r="AS644">
        <v>104.94676085797467</v>
      </c>
      <c r="AT644" t="e">
        <v>#DIV/0!</v>
      </c>
      <c r="AU644" t="e">
        <v>#DIV/0!</v>
      </c>
      <c r="AV644"/>
      <c r="AW644"/>
      <c r="FY644" s="210">
        <v>639</v>
      </c>
      <c r="FZ644">
        <v>3.8743566895045198</v>
      </c>
      <c r="GA644">
        <v>20.723367852075871</v>
      </c>
      <c r="GB644">
        <v>17.524252141887992</v>
      </c>
      <c r="GC644">
        <v>7.6289824287993273</v>
      </c>
      <c r="GD644">
        <v>2.3411580216320118</v>
      </c>
      <c r="GE644">
        <v>0.93686911330788492</v>
      </c>
      <c r="GF644">
        <v>2.644401839182609</v>
      </c>
      <c r="GG644">
        <v>2.5258157662982295</v>
      </c>
      <c r="GH644">
        <v>1.6183093455241906</v>
      </c>
      <c r="GI644">
        <v>7.018785339260539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165.73165828779392</v>
      </c>
      <c r="AO645">
        <v>14.012959568201669</v>
      </c>
      <c r="AP645">
        <v>122.46583103442491</v>
      </c>
      <c r="AQ645">
        <v>93.023954657843618</v>
      </c>
      <c r="AR645">
        <v>12.795817256533937</v>
      </c>
      <c r="AS645">
        <v>119.38434152500855</v>
      </c>
      <c r="AT645">
        <v>5.9042382357884122</v>
      </c>
      <c r="AU645">
        <v>-15.369022653301364</v>
      </c>
      <c r="AV645"/>
      <c r="AW645"/>
      <c r="FY645" s="210">
        <v>640</v>
      </c>
      <c r="FZ645">
        <v>4.2447176502053559</v>
      </c>
      <c r="GA645">
        <v>31.2663149357194</v>
      </c>
      <c r="GB645">
        <v>21.905717700742137</v>
      </c>
      <c r="GC645">
        <v>9.1087221805690302</v>
      </c>
      <c r="GD645">
        <v>5.2118845350198022</v>
      </c>
      <c r="GE645">
        <v>4.5515385038321323</v>
      </c>
      <c r="GF645">
        <v>4.063395025349565</v>
      </c>
      <c r="GG645">
        <v>3.6793295047052283</v>
      </c>
      <c r="GH645">
        <v>2.6439371063868249</v>
      </c>
      <c r="GI645">
        <v>10.263464048913509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133.00059621473363</v>
      </c>
      <c r="AO646">
        <v>9.9325685440926801</v>
      </c>
      <c r="AP646">
        <v>76.750545481618886</v>
      </c>
      <c r="AQ646">
        <v>61.249496259520953</v>
      </c>
      <c r="AR646">
        <v>9.3179809032023471</v>
      </c>
      <c r="AS646">
        <v>103.80498083062341</v>
      </c>
      <c r="AT646" t="e">
        <v>#DIV/0!</v>
      </c>
      <c r="AU646" t="e">
        <v>#DIV/0!</v>
      </c>
      <c r="AV646"/>
      <c r="AW646"/>
      <c r="FY646" s="210">
        <v>641</v>
      </c>
      <c r="FZ646">
        <v>6.7223090674252095</v>
      </c>
      <c r="GA646">
        <v>36.758247840296733</v>
      </c>
      <c r="GB646">
        <v>29.734754623878253</v>
      </c>
      <c r="GC646">
        <v>10.784741381493433</v>
      </c>
      <c r="GD646">
        <v>3.1637472797064023</v>
      </c>
      <c r="GE646">
        <v>5.0735680949720026</v>
      </c>
      <c r="GF646">
        <v>7.4962201826802524</v>
      </c>
      <c r="GG646">
        <v>4.8171191404298401</v>
      </c>
      <c r="GH646">
        <v>5.3018824894776397</v>
      </c>
      <c r="GI646">
        <v>12.517669761810607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193.71162298648829</v>
      </c>
      <c r="AO647">
        <v>13.129195337960562</v>
      </c>
      <c r="AP647">
        <v>107.42362810813016</v>
      </c>
      <c r="AQ647">
        <v>86.407216958059067</v>
      </c>
      <c r="AR647">
        <v>12.15017017918956</v>
      </c>
      <c r="AS647">
        <v>130.63160402000508</v>
      </c>
      <c r="AT647">
        <v>6.0886078654805429</v>
      </c>
      <c r="AU647">
        <v>-14.64437977646034</v>
      </c>
      <c r="AV647"/>
      <c r="AW647"/>
      <c r="FY647" s="210">
        <v>642</v>
      </c>
      <c r="FZ647">
        <v>6.6653791390120567</v>
      </c>
      <c r="GA647">
        <v>27.998692924104937</v>
      </c>
      <c r="GB647">
        <v>23.213712068667487</v>
      </c>
      <c r="GC647">
        <v>9.9225146529804711</v>
      </c>
      <c r="GD647">
        <v>3.6053115103663975</v>
      </c>
      <c r="GE647">
        <v>5.9342511723315914</v>
      </c>
      <c r="GF647">
        <v>5.2921913520871193</v>
      </c>
      <c r="GG647">
        <v>1.6441260247105225</v>
      </c>
      <c r="GH647">
        <v>3.6835731439534483</v>
      </c>
      <c r="GI647">
        <v>10.442207406571727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174.52576932174745</v>
      </c>
      <c r="AO648">
        <v>14.938780002850649</v>
      </c>
      <c r="AP648">
        <v>121.493293581713</v>
      </c>
      <c r="AQ648">
        <v>90.824785274909544</v>
      </c>
      <c r="AR648">
        <v>13.812019798578191</v>
      </c>
      <c r="AS648">
        <v>147.48706911437878</v>
      </c>
      <c r="AT648" t="e">
        <v>#DIV/0!</v>
      </c>
      <c r="AU648" t="e">
        <v>#DIV/0!</v>
      </c>
      <c r="AV648"/>
      <c r="AW648"/>
      <c r="FY648" s="210">
        <v>643</v>
      </c>
      <c r="FZ648">
        <v>6.5733548668426529</v>
      </c>
      <c r="GA648">
        <v>26.818556784477586</v>
      </c>
      <c r="GB648">
        <v>29.440924009039094</v>
      </c>
      <c r="GC648">
        <v>13.603169930417238</v>
      </c>
      <c r="GD648">
        <v>4.3624716477268315</v>
      </c>
      <c r="GE648">
        <v>6.5700693118320235</v>
      </c>
      <c r="GF648">
        <v>4.9483898302268585</v>
      </c>
      <c r="GG648">
        <v>0.64717734942108796</v>
      </c>
      <c r="GH648">
        <v>0.58236460078756302</v>
      </c>
      <c r="GI648">
        <v>11.886362689710397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168.7211633386938</v>
      </c>
      <c r="AO649">
        <v>16.146043686438251</v>
      </c>
      <c r="AP649">
        <v>132.26516889747217</v>
      </c>
      <c r="AQ649">
        <v>100.30137148162638</v>
      </c>
      <c r="AR649">
        <v>14.982526309320823</v>
      </c>
      <c r="AS649">
        <v>133.94413294776109</v>
      </c>
      <c r="AT649">
        <v>7.0627408939707719</v>
      </c>
      <c r="AU649">
        <v>-20.566328970663701</v>
      </c>
      <c r="AV649"/>
      <c r="AW649"/>
      <c r="FY649" s="210">
        <v>644</v>
      </c>
      <c r="FZ649">
        <v>7.2412526950753016</v>
      </c>
      <c r="GA649">
        <v>25.237677177073916</v>
      </c>
      <c r="GB649">
        <v>25.629397973768363</v>
      </c>
      <c r="GC649">
        <v>11.367499696393507</v>
      </c>
      <c r="GD649">
        <v>2.6997949493445246</v>
      </c>
      <c r="GE649">
        <v>4.5197908713726136</v>
      </c>
      <c r="GF649">
        <v>4.1025861390767284</v>
      </c>
      <c r="GG649">
        <v>1.6441260247105225</v>
      </c>
      <c r="GH649">
        <v>3.1012085431658845</v>
      </c>
      <c r="GI649">
        <v>10.307705363659135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188.39309895460514</v>
      </c>
      <c r="AO650">
        <v>14.522289522883289</v>
      </c>
      <c r="AP650">
        <v>111.73540425119667</v>
      </c>
      <c r="AQ650">
        <v>86.669301617584921</v>
      </c>
      <c r="AR650">
        <v>13.35527068782255</v>
      </c>
      <c r="AS650">
        <v>128.55900477229449</v>
      </c>
      <c r="AT650" t="e">
        <v>#DIV/0!</v>
      </c>
      <c r="AU650" t="e">
        <v>#DIV/0!</v>
      </c>
      <c r="AV650"/>
      <c r="AW650"/>
      <c r="FY650" s="210">
        <v>645</v>
      </c>
      <c r="FZ650">
        <v>1.1696721479261571</v>
      </c>
      <c r="GA650">
        <v>19.243234432953852</v>
      </c>
      <c r="GB650">
        <v>20.023351977953094</v>
      </c>
      <c r="GC650">
        <v>7.8866739356334072</v>
      </c>
      <c r="GD650">
        <v>3.1644288467012216</v>
      </c>
      <c r="GE650">
        <v>4.9531018584549074</v>
      </c>
      <c r="GF650">
        <v>5.6635266198000602</v>
      </c>
      <c r="GG650">
        <v>4.8171191404298401</v>
      </c>
      <c r="GH650">
        <v>4.1985112649080758</v>
      </c>
      <c r="GI650">
        <v>8.7058678160942691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223.89410720684106</v>
      </c>
      <c r="AO651">
        <v>16.526088431376269</v>
      </c>
      <c r="AP651">
        <v>128.36637723478125</v>
      </c>
      <c r="AQ651">
        <v>102.0911758710034</v>
      </c>
      <c r="AR651">
        <v>15.37591141684026</v>
      </c>
      <c r="AS651">
        <v>172.16253694618069</v>
      </c>
      <c r="AT651" t="e">
        <v>#DIV/0!</v>
      </c>
      <c r="AU651" t="e">
        <v>#DIV/0!</v>
      </c>
      <c r="AV651"/>
      <c r="AW651"/>
      <c r="FY651" s="210">
        <v>646</v>
      </c>
      <c r="FZ651">
        <v>4.6427359610888956</v>
      </c>
      <c r="GA651">
        <v>18.378727238586837</v>
      </c>
      <c r="GB651">
        <v>14.819507464698505</v>
      </c>
      <c r="GC651">
        <v>7.3145839719823442</v>
      </c>
      <c r="GD651">
        <v>5.5616461897731178</v>
      </c>
      <c r="GE651">
        <v>8.0062263938264362</v>
      </c>
      <c r="GF651">
        <v>4.2594567472077891</v>
      </c>
      <c r="GG651">
        <v>2.5240154088023843</v>
      </c>
      <c r="GH651">
        <v>2.1266217754348196</v>
      </c>
      <c r="GI651">
        <v>8.7050262947210069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242.34590508469819</v>
      </c>
      <c r="AO652">
        <v>16.775567258933414</v>
      </c>
      <c r="AP652">
        <v>129.46607012572341</v>
      </c>
      <c r="AQ652">
        <v>100.63272654082526</v>
      </c>
      <c r="AR652">
        <v>15.098019141792783</v>
      </c>
      <c r="AS652">
        <v>134.1413696337282</v>
      </c>
      <c r="AT652" t="e">
        <v>#DIV/0!</v>
      </c>
      <c r="AU652" t="e">
        <v>#DIV/0!</v>
      </c>
      <c r="AV652"/>
      <c r="AW652"/>
      <c r="FY652" s="210">
        <v>647</v>
      </c>
      <c r="FZ652">
        <v>3.9481977838795892</v>
      </c>
      <c r="GA652">
        <v>27.311664496093666</v>
      </c>
      <c r="GB652">
        <v>28.72261494838683</v>
      </c>
      <c r="GC652">
        <v>11.485278151927945</v>
      </c>
      <c r="GD652">
        <v>2.9735409463701492</v>
      </c>
      <c r="GE652">
        <v>3.1658554068786939</v>
      </c>
      <c r="GF652">
        <v>3.9316533313474258</v>
      </c>
      <c r="GG652">
        <v>4.9107905721612823</v>
      </c>
      <c r="GH652">
        <v>5.2278303186007049</v>
      </c>
      <c r="GI652">
        <v>11.028967854346062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228.68912138381125</v>
      </c>
      <c r="AO653">
        <v>15.128406762673055</v>
      </c>
      <c r="AP653">
        <v>119.86070468147544</v>
      </c>
      <c r="AQ653">
        <v>98.004499733572203</v>
      </c>
      <c r="AR653">
        <v>13.960681731434441</v>
      </c>
      <c r="AS653">
        <v>151.12629222543288</v>
      </c>
      <c r="AT653">
        <v>7.6925318152004643</v>
      </c>
      <c r="AU653">
        <v>-37.022470689717899</v>
      </c>
      <c r="AV653"/>
      <c r="AW653"/>
      <c r="FY653" s="210">
        <v>648</v>
      </c>
      <c r="FZ653">
        <v>9.4408758260287264</v>
      </c>
      <c r="GA653">
        <v>28.865424330789647</v>
      </c>
      <c r="GB653">
        <v>25.283857312378125</v>
      </c>
      <c r="GC653">
        <v>11.659732006805186</v>
      </c>
      <c r="GD653">
        <v>3.530303581077848</v>
      </c>
      <c r="GE653">
        <v>4.1450187891276924</v>
      </c>
      <c r="GF653">
        <v>4.2903781667823706</v>
      </c>
      <c r="GG653">
        <v>3.7119076625463934</v>
      </c>
      <c r="GH653">
        <v>3.6798818511234526</v>
      </c>
      <c r="GI653">
        <v>11.154799721571914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214.25179530445175</v>
      </c>
      <c r="AO654">
        <v>16.283608608599874</v>
      </c>
      <c r="AP654">
        <v>131.85568882196748</v>
      </c>
      <c r="AQ654">
        <v>103.46656575664963</v>
      </c>
      <c r="AR654">
        <v>15.190782422261</v>
      </c>
      <c r="AS654">
        <v>165.30858195525096</v>
      </c>
      <c r="AT654">
        <v>7.4951055640835351</v>
      </c>
      <c r="AU654">
        <v>53.186820726389946</v>
      </c>
      <c r="AV654"/>
      <c r="AW654"/>
      <c r="FY654" s="210">
        <v>649</v>
      </c>
      <c r="FZ654">
        <v>3.7505189017737002</v>
      </c>
      <c r="GA654">
        <v>24.785377190354964</v>
      </c>
      <c r="GB654">
        <v>17.743805371234483</v>
      </c>
      <c r="GC654">
        <v>7.4875182304481589</v>
      </c>
      <c r="GD654">
        <v>4.5208501965964754</v>
      </c>
      <c r="GE654">
        <v>4.192540052899977</v>
      </c>
      <c r="GF654">
        <v>3.3893852559051805</v>
      </c>
      <c r="GG654">
        <v>2.3977658192297771</v>
      </c>
      <c r="GH654">
        <v>1.164729201575126</v>
      </c>
      <c r="GI654">
        <v>8.3885837876433644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121.92683010586975</v>
      </c>
      <c r="AO655">
        <v>10.461548083707253</v>
      </c>
      <c r="AP655">
        <v>86.310125969203185</v>
      </c>
      <c r="AQ655">
        <v>66.836298537473169</v>
      </c>
      <c r="AR655">
        <v>9.7833208419673614</v>
      </c>
      <c r="AS655">
        <v>95.791194861652528</v>
      </c>
      <c r="AT655">
        <v>5.1231665439670397</v>
      </c>
      <c r="AU655">
        <v>4.4690736793539987</v>
      </c>
      <c r="AV655"/>
      <c r="AW655"/>
      <c r="FY655" s="210">
        <v>650</v>
      </c>
      <c r="FZ655">
        <v>6.5363650533281827</v>
      </c>
      <c r="GA655">
        <v>29.632403138686957</v>
      </c>
      <c r="GB655">
        <v>21.869769761041688</v>
      </c>
      <c r="GC655">
        <v>9.3889315030699194</v>
      </c>
      <c r="GD655">
        <v>5.6153721158292775</v>
      </c>
      <c r="GE655">
        <v>8.921401674197293</v>
      </c>
      <c r="GF655">
        <v>6.8829784599598209</v>
      </c>
      <c r="GG655">
        <v>4.5826067482632213</v>
      </c>
      <c r="GH655">
        <v>6.141059109326207</v>
      </c>
      <c r="GI655">
        <v>11.962595491783468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218.48242711776143</v>
      </c>
      <c r="AO656">
        <v>15.385182560411874</v>
      </c>
      <c r="AP656">
        <v>120.67790653438155</v>
      </c>
      <c r="AQ656">
        <v>96.939021191442976</v>
      </c>
      <c r="AR656">
        <v>14.266468904357502</v>
      </c>
      <c r="AS656">
        <v>156.17834966067863</v>
      </c>
      <c r="AT656">
        <v>6.6681159258581735</v>
      </c>
      <c r="AU656">
        <v>-5.0104461626423582</v>
      </c>
      <c r="AV656"/>
      <c r="AW656"/>
      <c r="FY656" s="210">
        <v>651</v>
      </c>
      <c r="FZ656">
        <v>1.4655686013605522</v>
      </c>
      <c r="GA656">
        <v>34.538356047335085</v>
      </c>
      <c r="GB656">
        <v>29.12416528703865</v>
      </c>
      <c r="GC656">
        <v>9.7363375320585721</v>
      </c>
      <c r="GD656">
        <v>3.8017782849997301</v>
      </c>
      <c r="GE656">
        <v>4.5390168213849105</v>
      </c>
      <c r="GF656">
        <v>3.4563237939337945</v>
      </c>
      <c r="GG656">
        <v>0.64717734942108796</v>
      </c>
      <c r="GH656">
        <v>0.90422588968412598</v>
      </c>
      <c r="GI656">
        <v>10.440612171167771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203.89170444643528</v>
      </c>
      <c r="AO657">
        <v>18.740003739659567</v>
      </c>
      <c r="AP657">
        <v>160.21267973669839</v>
      </c>
      <c r="AQ657">
        <v>122.37025986217036</v>
      </c>
      <c r="AR657">
        <v>17.38981740970199</v>
      </c>
      <c r="AS657">
        <v>154.06302350475545</v>
      </c>
      <c r="AT657">
        <v>9.1680855064510531</v>
      </c>
      <c r="AU657">
        <v>-41.290339207986769</v>
      </c>
      <c r="AV657"/>
      <c r="AW657"/>
      <c r="FY657" s="210">
        <v>652</v>
      </c>
      <c r="FZ657">
        <v>7.5959745466810702</v>
      </c>
      <c r="GA657">
        <v>30.326670453842834</v>
      </c>
      <c r="GB657">
        <v>28.457614003937064</v>
      </c>
      <c r="GC657">
        <v>12.236683110677463</v>
      </c>
      <c r="GD657">
        <v>2.7896424160276387</v>
      </c>
      <c r="GE657">
        <v>3.0791177792798834</v>
      </c>
      <c r="GF657">
        <v>5.5776296589471874</v>
      </c>
      <c r="GG657">
        <v>5.1343123084570212</v>
      </c>
      <c r="GH657">
        <v>4.9763299077510812</v>
      </c>
      <c r="GI657">
        <v>11.666246031360338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211.65653367950267</v>
      </c>
      <c r="AO658">
        <v>15.569739733061487</v>
      </c>
      <c r="AP658">
        <v>124.12665195575167</v>
      </c>
      <c r="AQ658">
        <v>98.401959394785735</v>
      </c>
      <c r="AR658">
        <v>14.36514458617501</v>
      </c>
      <c r="AS658">
        <v>137.73105738800024</v>
      </c>
      <c r="AT658" t="e">
        <v>#DIV/0!</v>
      </c>
      <c r="AU658" t="e">
        <v>#DIV/0!</v>
      </c>
      <c r="AV658"/>
      <c r="AW658"/>
      <c r="FY658" s="210">
        <v>653</v>
      </c>
      <c r="FZ658">
        <v>3.8032895334398429</v>
      </c>
      <c r="GA658">
        <v>16.333198934906658</v>
      </c>
      <c r="GB658">
        <v>15.813478980395853</v>
      </c>
      <c r="GC658">
        <v>8.7584756932095704</v>
      </c>
      <c r="GD658">
        <v>4.529926966334636</v>
      </c>
      <c r="GE658">
        <v>5.8187757253150272</v>
      </c>
      <c r="GF658">
        <v>4.1884830999296012</v>
      </c>
      <c r="GG658">
        <v>2.9710588813938639</v>
      </c>
      <c r="GH658">
        <v>3.2329273982183868</v>
      </c>
      <c r="GI658">
        <v>8.4392361489262324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223.22626574863057</v>
      </c>
      <c r="AO659">
        <v>17.91969271089501</v>
      </c>
      <c r="AP659">
        <v>133.96434167205678</v>
      </c>
      <c r="AQ659">
        <v>105.43284102048133</v>
      </c>
      <c r="AR659">
        <v>16.515163582295457</v>
      </c>
      <c r="AS659">
        <v>161.28936044123225</v>
      </c>
      <c r="AT659" t="e">
        <v>#DIV/0!</v>
      </c>
      <c r="AU659" t="e">
        <v>#DIV/0!</v>
      </c>
      <c r="AV659"/>
      <c r="AW659"/>
      <c r="FY659" s="210">
        <v>654</v>
      </c>
      <c r="FZ659">
        <v>4.1567361968104635</v>
      </c>
      <c r="GA659">
        <v>24.455653116579168</v>
      </c>
      <c r="GB659">
        <v>16.748183664393366</v>
      </c>
      <c r="GC659">
        <v>6.7487054162342917</v>
      </c>
      <c r="GD659">
        <v>4.1560622689853295</v>
      </c>
      <c r="GE659">
        <v>9.3493111151559525</v>
      </c>
      <c r="GF659">
        <v>11.3843416621751</v>
      </c>
      <c r="GG659">
        <v>2.5240154088023843</v>
      </c>
      <c r="GH659">
        <v>1.8047604865382569</v>
      </c>
      <c r="GI659">
        <v>9.6226442598867319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158.68828770259489</v>
      </c>
      <c r="AO660">
        <v>15.458708783112334</v>
      </c>
      <c r="AP660">
        <v>123.2799498718436</v>
      </c>
      <c r="AQ660">
        <v>95.851039433640494</v>
      </c>
      <c r="AR660">
        <v>14.280370878862112</v>
      </c>
      <c r="AS660">
        <v>134.52935909610147</v>
      </c>
      <c r="AT660" t="e">
        <v>#DIV/0!</v>
      </c>
      <c r="AU660" t="e">
        <v>#DIV/0!</v>
      </c>
      <c r="AV660"/>
      <c r="AW660"/>
      <c r="FY660" s="210">
        <v>655</v>
      </c>
      <c r="FZ660">
        <v>5.0704204385175595</v>
      </c>
      <c r="GA660">
        <v>29.751384449567126</v>
      </c>
      <c r="GB660">
        <v>22.361356063739439</v>
      </c>
      <c r="GC660">
        <v>8.8945769919834099</v>
      </c>
      <c r="GD660">
        <v>3.9984123688759583</v>
      </c>
      <c r="GE660">
        <v>3.0234046804246284</v>
      </c>
      <c r="GF660">
        <v>1.8135214616071638</v>
      </c>
      <c r="GG660">
        <v>0.55170556019380068</v>
      </c>
      <c r="GH660">
        <v>1.164729201575126</v>
      </c>
      <c r="GI660">
        <v>9.1699233990763567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188.70824822634737</v>
      </c>
      <c r="AO661">
        <v>12.9903901987072</v>
      </c>
      <c r="AP661">
        <v>102.5133015337702</v>
      </c>
      <c r="AQ661">
        <v>79.825488040854893</v>
      </c>
      <c r="AR661">
        <v>12.057525916730484</v>
      </c>
      <c r="AS661">
        <v>129.23837595647677</v>
      </c>
      <c r="AT661">
        <v>5.2640767353567233</v>
      </c>
      <c r="AU661">
        <v>-4.4033912872261176</v>
      </c>
      <c r="AV661"/>
      <c r="AW661"/>
      <c r="FY661" s="210">
        <v>656</v>
      </c>
      <c r="FZ661">
        <v>6.9196164158978002</v>
      </c>
      <c r="GA661">
        <v>32.674147811209792</v>
      </c>
      <c r="GB661">
        <v>23.510821581967903</v>
      </c>
      <c r="GC661">
        <v>9.1239587122906851</v>
      </c>
      <c r="GD661">
        <v>4.5054609368217351</v>
      </c>
      <c r="GE661">
        <v>4.2503334164630422</v>
      </c>
      <c r="GF661">
        <v>1.3880717665923741</v>
      </c>
      <c r="GG661">
        <v>1.4224046459106283</v>
      </c>
      <c r="GH661">
        <v>2.0015286114263167</v>
      </c>
      <c r="GI661">
        <v>10.063174055140568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298.79615469490778</v>
      </c>
      <c r="AO662">
        <v>12.842033782696898</v>
      </c>
      <c r="AP662">
        <v>87.812858829291514</v>
      </c>
      <c r="AQ662">
        <v>76.338547446122135</v>
      </c>
      <c r="AR662">
        <v>11.968729843361164</v>
      </c>
      <c r="AS662">
        <v>153.43767321742169</v>
      </c>
      <c r="AT662">
        <v>6.1601377957048378</v>
      </c>
      <c r="AU662">
        <v>-23.546864612722437</v>
      </c>
      <c r="AV662"/>
      <c r="AW662"/>
      <c r="FY662" s="210">
        <v>657</v>
      </c>
      <c r="FZ662">
        <v>3.9394887334391928</v>
      </c>
      <c r="GA662">
        <v>27.711708283403656</v>
      </c>
      <c r="GB662">
        <v>25.837072536962577</v>
      </c>
      <c r="GC662">
        <v>10.144604870056975</v>
      </c>
      <c r="GD662">
        <v>4.2648695949282596</v>
      </c>
      <c r="GE662">
        <v>7.8762804438642862</v>
      </c>
      <c r="GF662">
        <v>5.1871222899612173</v>
      </c>
      <c r="GG662">
        <v>0.86889872822098235</v>
      </c>
      <c r="GH662">
        <v>1.4828991976416939</v>
      </c>
      <c r="GI662">
        <v>10.694936211939176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160.74920229718899</v>
      </c>
      <c r="AO663">
        <v>16.449830304756841</v>
      </c>
      <c r="AP663">
        <v>135.01586283847212</v>
      </c>
      <c r="AQ663">
        <v>102.70639380999235</v>
      </c>
      <c r="AR663">
        <v>15.449072191605488</v>
      </c>
      <c r="AS663">
        <v>167.42799516371053</v>
      </c>
      <c r="AT663">
        <v>6.8932079159665491</v>
      </c>
      <c r="AU663">
        <v>-20.030905834169932</v>
      </c>
      <c r="AV663"/>
      <c r="AW663"/>
      <c r="FY663" s="210">
        <v>658</v>
      </c>
      <c r="FZ663">
        <v>3.902124254923125</v>
      </c>
      <c r="GA663">
        <v>31.636360232585908</v>
      </c>
      <c r="GB663">
        <v>24.836006482083835</v>
      </c>
      <c r="GC663">
        <v>7.8986321646228301</v>
      </c>
      <c r="GD663">
        <v>3.6157479653085485</v>
      </c>
      <c r="GE663">
        <v>4.6894310251753932</v>
      </c>
      <c r="GF663">
        <v>1.7127011871796063</v>
      </c>
      <c r="GG663">
        <v>2.1958315849043233</v>
      </c>
      <c r="GH663">
        <v>3.4230698320624482</v>
      </c>
      <c r="GI663">
        <v>9.7467187608472194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169.42741477624028</v>
      </c>
      <c r="AO664">
        <v>16.829460850490172</v>
      </c>
      <c r="AP664">
        <v>134.41284689231551</v>
      </c>
      <c r="AQ664">
        <v>105.76217924823136</v>
      </c>
      <c r="AR664">
        <v>15.556162178408419</v>
      </c>
      <c r="AS664">
        <v>137.84067731210612</v>
      </c>
      <c r="AT664">
        <v>8.0931196048896457</v>
      </c>
      <c r="AU664">
        <v>-29.821637174829597</v>
      </c>
      <c r="AV664"/>
      <c r="AW664"/>
      <c r="FY664" s="210">
        <v>659</v>
      </c>
      <c r="FZ664">
        <v>4.2144280707688608</v>
      </c>
      <c r="GA664">
        <v>23.516948250603228</v>
      </c>
      <c r="GB664">
        <v>17.770030454815981</v>
      </c>
      <c r="GC664">
        <v>6.541964186029718</v>
      </c>
      <c r="GD664">
        <v>3.3580962615338068</v>
      </c>
      <c r="GE664">
        <v>3.8388317939367029</v>
      </c>
      <c r="GF664">
        <v>2.5435815647550508</v>
      </c>
      <c r="GG664">
        <v>4.1699417910087515</v>
      </c>
      <c r="GH664">
        <v>4.5203725538046386</v>
      </c>
      <c r="GI664">
        <v>8.1709466214368227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180.59103917090601</v>
      </c>
      <c r="AO665">
        <v>12.475801544297443</v>
      </c>
      <c r="AP665">
        <v>96.111648055887045</v>
      </c>
      <c r="AQ665">
        <v>77.82107400766121</v>
      </c>
      <c r="AR665">
        <v>11.690048257062536</v>
      </c>
      <c r="AS665">
        <v>127.54954827697453</v>
      </c>
      <c r="AT665" t="e">
        <v>#DIV/0!</v>
      </c>
      <c r="AU665" t="e">
        <v>#DIV/0!</v>
      </c>
      <c r="AV665"/>
      <c r="AW665"/>
      <c r="FY665" s="210">
        <v>660</v>
      </c>
      <c r="FZ665">
        <v>4.0679927528358961</v>
      </c>
      <c r="GA665">
        <v>25.863756797073304</v>
      </c>
      <c r="GB665">
        <v>23.798694643482921</v>
      </c>
      <c r="GC665">
        <v>10.564700025380578</v>
      </c>
      <c r="GD665">
        <v>3.9377483868648193</v>
      </c>
      <c r="GE665">
        <v>5.572647816356004</v>
      </c>
      <c r="GF665">
        <v>5.1871222899612173</v>
      </c>
      <c r="GG665">
        <v>3.1945806176896032</v>
      </c>
      <c r="GH665">
        <v>4.5907334318515778</v>
      </c>
      <c r="GI665">
        <v>10.509846822534319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295.2915637161542</v>
      </c>
      <c r="AO666">
        <v>17.87375333829311</v>
      </c>
      <c r="AP666">
        <v>136.53513221512742</v>
      </c>
      <c r="AQ666">
        <v>111.53348305548602</v>
      </c>
      <c r="AR666">
        <v>16.511191412255357</v>
      </c>
      <c r="AS666">
        <v>175.95465362171566</v>
      </c>
      <c r="AT666">
        <v>7.2805065161942766</v>
      </c>
      <c r="AU666">
        <v>-18.310530179441542</v>
      </c>
      <c r="AV666"/>
      <c r="AW666"/>
      <c r="FY666" s="210">
        <v>661</v>
      </c>
      <c r="FZ666">
        <v>2.120459549751923</v>
      </c>
      <c r="GA666">
        <v>29.332458256786435</v>
      </c>
      <c r="GB666">
        <v>26.55240195818693</v>
      </c>
      <c r="GC666">
        <v>10.702882463314953</v>
      </c>
      <c r="GD666">
        <v>4.3965698061205618</v>
      </c>
      <c r="GE666">
        <v>4.9181035551481331</v>
      </c>
      <c r="GF666">
        <v>6.0729782088149529</v>
      </c>
      <c r="GG666">
        <v>3.8509482654857257</v>
      </c>
      <c r="GH666">
        <v>3.744931120959011</v>
      </c>
      <c r="GI666">
        <v>11.212377800133028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185.68281626134143</v>
      </c>
      <c r="AO667">
        <v>15.582603936046647</v>
      </c>
      <c r="AP667">
        <v>129.76470921142311</v>
      </c>
      <c r="AQ667">
        <v>98.653561778384272</v>
      </c>
      <c r="AR667">
        <v>14.496019485247848</v>
      </c>
      <c r="AS667">
        <v>150.90994808069814</v>
      </c>
      <c r="AT667" t="e">
        <v>#DIV/0!</v>
      </c>
      <c r="AU667" t="e">
        <v>#DIV/0!</v>
      </c>
      <c r="AV667"/>
      <c r="AW667"/>
      <c r="FY667" s="210">
        <v>662</v>
      </c>
      <c r="FZ667">
        <v>4.1398250308485469</v>
      </c>
      <c r="GA667">
        <v>23.161838732138833</v>
      </c>
      <c r="GB667">
        <v>20.664096249624194</v>
      </c>
      <c r="GC667">
        <v>8.3963706256603921</v>
      </c>
      <c r="GD667">
        <v>3.1976317008902675</v>
      </c>
      <c r="GE667">
        <v>3.4821185514682362</v>
      </c>
      <c r="GF667">
        <v>3.1866699146248534</v>
      </c>
      <c r="GG667">
        <v>3.3010430627877696</v>
      </c>
      <c r="GH667">
        <v>3.5584799799449449</v>
      </c>
      <c r="GI667">
        <v>8.7398710790700562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191.02266507116792</v>
      </c>
      <c r="AO668">
        <v>17.501421644842246</v>
      </c>
      <c r="AP668">
        <v>145.55582583361038</v>
      </c>
      <c r="AQ668">
        <v>111.84022021696157</v>
      </c>
      <c r="AR668">
        <v>16.218296845190213</v>
      </c>
      <c r="AS668">
        <v>156.48147084580407</v>
      </c>
      <c r="AT668">
        <v>7.4940092338015143</v>
      </c>
      <c r="AU668">
        <v>-16.29502975474697</v>
      </c>
      <c r="AV668"/>
      <c r="AW668"/>
      <c r="FY668" s="210">
        <v>663</v>
      </c>
      <c r="FZ668">
        <v>1.6980930793329176</v>
      </c>
      <c r="GA668">
        <v>29.094342425006325</v>
      </c>
      <c r="GB668">
        <v>25.092907117596347</v>
      </c>
      <c r="GC668">
        <v>9.0067475243743189</v>
      </c>
      <c r="GD668">
        <v>3.651484524712207</v>
      </c>
      <c r="GE668">
        <v>6.2554953293367355</v>
      </c>
      <c r="GF668">
        <v>6.5634447382520378</v>
      </c>
      <c r="GG668">
        <v>3.7462861778834036</v>
      </c>
      <c r="GH668">
        <v>5.4949593215357035</v>
      </c>
      <c r="GI668">
        <v>10.753384982164707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188.48927712661177</v>
      </c>
      <c r="AO669">
        <v>12.685565578607147</v>
      </c>
      <c r="AP669">
        <v>88.56571005441802</v>
      </c>
      <c r="AQ669">
        <v>73.888851362069673</v>
      </c>
      <c r="AR669">
        <v>11.632254778317467</v>
      </c>
      <c r="AS669">
        <v>118.33589978421149</v>
      </c>
      <c r="AT669" t="e">
        <v>#DIV/0!</v>
      </c>
      <c r="AU669" t="e">
        <v>#DIV/0!</v>
      </c>
      <c r="AV669"/>
      <c r="AW669"/>
      <c r="FY669" s="210">
        <v>664</v>
      </c>
      <c r="FZ669">
        <v>2.1126320992319974</v>
      </c>
      <c r="GA669">
        <v>24.018109825836692</v>
      </c>
      <c r="GB669">
        <v>27.111748528781703</v>
      </c>
      <c r="GC669">
        <v>13.023925404589978</v>
      </c>
      <c r="GD669">
        <v>5.6732722205284025</v>
      </c>
      <c r="GE669">
        <v>6.7971646739017384</v>
      </c>
      <c r="GF669">
        <v>4.3053014803570564</v>
      </c>
      <c r="GG669">
        <v>2.1976319424001689</v>
      </c>
      <c r="GH669">
        <v>3.2366186910483812</v>
      </c>
      <c r="GI669">
        <v>11.697540199080043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256.6861935239491</v>
      </c>
      <c r="AO670">
        <v>14.363835882979311</v>
      </c>
      <c r="AP670">
        <v>111.5200688198358</v>
      </c>
      <c r="AQ670">
        <v>90.950413595561045</v>
      </c>
      <c r="AR670">
        <v>12.951525109634794</v>
      </c>
      <c r="AS670">
        <v>148.21496264224615</v>
      </c>
      <c r="AT670">
        <v>5.9926777864334015</v>
      </c>
      <c r="AU670">
        <v>17.022181354948888</v>
      </c>
      <c r="AV670"/>
      <c r="AW670"/>
      <c r="FY670" s="210">
        <v>665</v>
      </c>
      <c r="FZ670">
        <v>7.2662526299545416</v>
      </c>
      <c r="GA670">
        <v>23.515091177857027</v>
      </c>
      <c r="GB670">
        <v>18.851236071433483</v>
      </c>
      <c r="GC670">
        <v>9.1214598886161617</v>
      </c>
      <c r="GD670">
        <v>3.5369246687638594</v>
      </c>
      <c r="GE670">
        <v>4.7810978509739712</v>
      </c>
      <c r="GF670">
        <v>5.8003640126816496</v>
      </c>
      <c r="GG670">
        <v>1.9723098486085839</v>
      </c>
      <c r="GH670">
        <v>3.5518542889009459</v>
      </c>
      <c r="GI670">
        <v>9.4863119584685602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160.55684481048166</v>
      </c>
      <c r="AO671">
        <v>13.623615042869337</v>
      </c>
      <c r="AP671">
        <v>109.44218090969855</v>
      </c>
      <c r="AQ671">
        <v>85.799434615560571</v>
      </c>
      <c r="AR671">
        <v>12.813988415476773</v>
      </c>
      <c r="AS671">
        <v>129.06340205507149</v>
      </c>
      <c r="AT671" t="e">
        <v>#DIV/0!</v>
      </c>
      <c r="AU671" t="e">
        <v>#DIV/0!</v>
      </c>
      <c r="AV671"/>
      <c r="AW671"/>
      <c r="FY671" s="210">
        <v>666</v>
      </c>
      <c r="FZ671">
        <v>6.4752758281680212</v>
      </c>
      <c r="GA671">
        <v>34.412136126832273</v>
      </c>
      <c r="GB671">
        <v>24.090758591911161</v>
      </c>
      <c r="GC671">
        <v>8.6288814402705789</v>
      </c>
      <c r="GD671">
        <v>3.9745041861620658</v>
      </c>
      <c r="GE671">
        <v>3.9767945574513979</v>
      </c>
      <c r="GF671">
        <v>1.8135214616071638</v>
      </c>
      <c r="GG671">
        <v>1.4206042884147827</v>
      </c>
      <c r="GH671">
        <v>2.0652637984292568</v>
      </c>
      <c r="GI671">
        <v>9.9257716334929782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195.08429490228139</v>
      </c>
      <c r="AO672">
        <v>14.969732534489632</v>
      </c>
      <c r="AP672">
        <v>119.94252820357369</v>
      </c>
      <c r="AQ672">
        <v>95.85951795372084</v>
      </c>
      <c r="AR672">
        <v>14.049970796099796</v>
      </c>
      <c r="AS672">
        <v>152.74896570368506</v>
      </c>
      <c r="AT672">
        <v>6.6881773637907864</v>
      </c>
      <c r="AU672">
        <v>66.549572937844445</v>
      </c>
      <c r="AV672"/>
      <c r="AW672"/>
      <c r="FY672" s="210">
        <v>667</v>
      </c>
      <c r="FZ672">
        <v>0.99181690274645173</v>
      </c>
      <c r="GA672">
        <v>25.952418678819544</v>
      </c>
      <c r="GB672">
        <v>24.198511351535032</v>
      </c>
      <c r="GC672">
        <v>8.1673601452745039</v>
      </c>
      <c r="GD672">
        <v>3.0600879214199628</v>
      </c>
      <c r="GE672">
        <v>3.0712426759542879</v>
      </c>
      <c r="GF672">
        <v>2.7462969060353788</v>
      </c>
      <c r="GG672">
        <v>4.7234477086983979</v>
      </c>
      <c r="GH672">
        <v>4.2725634357850089</v>
      </c>
      <c r="GI672">
        <v>9.1462424244009153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232.86240511862312</v>
      </c>
      <c r="AO673">
        <v>16.066579420778048</v>
      </c>
      <c r="AP673">
        <v>123.36655396746644</v>
      </c>
      <c r="AQ673">
        <v>98.007880890418036</v>
      </c>
      <c r="AR673">
        <v>14.707859834978064</v>
      </c>
      <c r="AS673">
        <v>156.8200881800696</v>
      </c>
      <c r="AT673" t="e">
        <v>#DIV/0!</v>
      </c>
      <c r="AU673" t="e">
        <v>#DIV/0!</v>
      </c>
      <c r="AV673"/>
      <c r="AW673"/>
      <c r="FY673" s="210">
        <v>668</v>
      </c>
      <c r="FZ673">
        <v>1.650495614251533</v>
      </c>
      <c r="GA673">
        <v>17.673527942765624</v>
      </c>
      <c r="GB673">
        <v>22.70785497547871</v>
      </c>
      <c r="GC673">
        <v>10.488256920729487</v>
      </c>
      <c r="GD673">
        <v>3.0437543918510896</v>
      </c>
      <c r="GE673">
        <v>3.8111149737042824</v>
      </c>
      <c r="GF673">
        <v>4.3911984412099283</v>
      </c>
      <c r="GG673">
        <v>2.0677816378358704</v>
      </c>
      <c r="GH673">
        <v>2.1266217754348196</v>
      </c>
      <c r="GI673">
        <v>8.8056870666610525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180.39672294128627</v>
      </c>
      <c r="AO674">
        <v>14.574760184735046</v>
      </c>
      <c r="AP674">
        <v>121.71118642109847</v>
      </c>
      <c r="AQ674">
        <v>93.656623489693231</v>
      </c>
      <c r="AR674">
        <v>13.673576991939852</v>
      </c>
      <c r="AS674">
        <v>141.90595184588045</v>
      </c>
      <c r="AT674">
        <v>6.0298543238892854</v>
      </c>
      <c r="AU674">
        <v>-23.276405566077596</v>
      </c>
      <c r="AV674"/>
      <c r="AW674"/>
      <c r="FY674" s="210">
        <v>669</v>
      </c>
      <c r="FZ674">
        <v>3.7978581798259854</v>
      </c>
      <c r="GA674">
        <v>27.545063773233878</v>
      </c>
      <c r="GB674">
        <v>24.300270714172836</v>
      </c>
      <c r="GC674">
        <v>10.721317796995708</v>
      </c>
      <c r="GD674">
        <v>4.1772351198861211</v>
      </c>
      <c r="GE674">
        <v>3.6973632958726812</v>
      </c>
      <c r="GF674">
        <v>4.3720263399368999</v>
      </c>
      <c r="GG674">
        <v>3.4883859262506536</v>
      </c>
      <c r="GH674">
        <v>2.9657983952833877</v>
      </c>
      <c r="GI674">
        <v>10.332484365997091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149.26727094429859</v>
      </c>
      <c r="AO675">
        <v>12.097120244152169</v>
      </c>
      <c r="AP675">
        <v>98.696778765643018</v>
      </c>
      <c r="AQ675">
        <v>78.645141548693559</v>
      </c>
      <c r="AR675">
        <v>11.392449598692973</v>
      </c>
      <c r="AS675">
        <v>123.20659321849868</v>
      </c>
      <c r="AT675">
        <v>5.7810560010196381</v>
      </c>
      <c r="AU675">
        <v>-31.41156622275296</v>
      </c>
      <c r="AV675"/>
      <c r="AW675"/>
      <c r="FY675" s="210">
        <v>670</v>
      </c>
      <c r="FZ675">
        <v>1.9350256019420677</v>
      </c>
      <c r="GA675">
        <v>18.316919838197187</v>
      </c>
      <c r="GB675">
        <v>24.061355408159937</v>
      </c>
      <c r="GC675">
        <v>11.538067067615948</v>
      </c>
      <c r="GD675">
        <v>4.3378162046101325</v>
      </c>
      <c r="GE675">
        <v>6.2947748135122854</v>
      </c>
      <c r="GF675">
        <v>6.0030793539619776</v>
      </c>
      <c r="GG675">
        <v>4.1699417910087515</v>
      </c>
      <c r="GH675">
        <v>4.3976565997935122</v>
      </c>
      <c r="GI675">
        <v>10.65101302725235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220.17985185913622</v>
      </c>
      <c r="AO676">
        <v>15.810711131914545</v>
      </c>
      <c r="AP676">
        <v>123.29234298719783</v>
      </c>
      <c r="AQ676">
        <v>97.287823584030249</v>
      </c>
      <c r="AR676">
        <v>14.478206472973667</v>
      </c>
      <c r="AS676">
        <v>131.39475860513625</v>
      </c>
      <c r="AT676" t="e">
        <v>#DIV/0!</v>
      </c>
      <c r="AU676" t="e">
        <v>#DIV/0!</v>
      </c>
      <c r="AV676"/>
      <c r="AW676"/>
      <c r="FY676" s="210">
        <v>671</v>
      </c>
      <c r="FZ676">
        <v>3.7863752361096283</v>
      </c>
      <c r="GA676">
        <v>25.441860323897266</v>
      </c>
      <c r="GB676">
        <v>19.473289818341563</v>
      </c>
      <c r="GC676">
        <v>7.9421610404225227</v>
      </c>
      <c r="GD676">
        <v>3.7824941172268955</v>
      </c>
      <c r="GE676">
        <v>3.3060587676216651</v>
      </c>
      <c r="GF676">
        <v>3.3034882950523081</v>
      </c>
      <c r="GG676">
        <v>1.8460602590359767</v>
      </c>
      <c r="GH676">
        <v>1.2260871785806891</v>
      </c>
      <c r="GI676">
        <v>8.3725459369486543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207.63061871012255</v>
      </c>
      <c r="AO677">
        <v>16.714171457488884</v>
      </c>
      <c r="AP677">
        <v>132.81388392410702</v>
      </c>
      <c r="AQ677">
        <v>102.90411098470166</v>
      </c>
      <c r="AR677">
        <v>15.566136772626255</v>
      </c>
      <c r="AS677">
        <v>160.8272505181869</v>
      </c>
      <c r="AT677">
        <v>6.9589483588728696</v>
      </c>
      <c r="AU677">
        <v>-10.018616018267339</v>
      </c>
      <c r="AV677"/>
      <c r="AW677"/>
      <c r="FY677" s="210">
        <v>672</v>
      </c>
      <c r="FZ677">
        <v>4.1741574290595533</v>
      </c>
      <c r="GA677">
        <v>22.973698952772793</v>
      </c>
      <c r="GB677">
        <v>22.483037045287027</v>
      </c>
      <c r="GC677">
        <v>9.5164474453114707</v>
      </c>
      <c r="GD677">
        <v>4.3168598452790308</v>
      </c>
      <c r="GE677">
        <v>5.5102292543493387</v>
      </c>
      <c r="GF677">
        <v>1.8295195676070612</v>
      </c>
      <c r="GG677">
        <v>2.2913033741316107</v>
      </c>
      <c r="GH677">
        <v>3.744931120959011</v>
      </c>
      <c r="GI677">
        <v>9.6612816559504413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157.26507358734875</v>
      </c>
      <c r="AO678">
        <v>12.924003897570216</v>
      </c>
      <c r="AP678">
        <v>104.05613073130773</v>
      </c>
      <c r="AQ678">
        <v>81.827944927058098</v>
      </c>
      <c r="AR678">
        <v>12.154592198157449</v>
      </c>
      <c r="AS678">
        <v>123.33757937159527</v>
      </c>
      <c r="AT678">
        <v>5.7414082028029734</v>
      </c>
      <c r="AU678">
        <v>-15.412099349881766</v>
      </c>
      <c r="AV678"/>
      <c r="AW678"/>
      <c r="FY678" s="210">
        <v>673</v>
      </c>
      <c r="FZ678">
        <v>4.4445470126958346</v>
      </c>
      <c r="GA678">
        <v>24.809345317583411</v>
      </c>
      <c r="GB678">
        <v>25.982022564343634</v>
      </c>
      <c r="GC678">
        <v>11.681601728903839</v>
      </c>
      <c r="GD678">
        <v>3.1948456876725868</v>
      </c>
      <c r="GE678">
        <v>1.9648326053902443</v>
      </c>
      <c r="GF678">
        <v>2.4267631843275965</v>
      </c>
      <c r="GG678">
        <v>1.6551166805814024</v>
      </c>
      <c r="GH678">
        <v>0.90422588968412598</v>
      </c>
      <c r="GI678">
        <v>9.5423194127840283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192.33858149757404</v>
      </c>
      <c r="AO679">
        <v>16.110844648208257</v>
      </c>
      <c r="AP679">
        <v>132.04512281896027</v>
      </c>
      <c r="AQ679">
        <v>101.3571452201947</v>
      </c>
      <c r="AR679">
        <v>14.841695985668146</v>
      </c>
      <c r="AS679">
        <v>143.87428523483493</v>
      </c>
      <c r="AT679">
        <v>6.3356002538775664</v>
      </c>
      <c r="AU679">
        <v>-20.759546314731676</v>
      </c>
      <c r="AV679"/>
      <c r="AW679"/>
      <c r="FY679" s="210">
        <v>674</v>
      </c>
      <c r="FZ679">
        <v>4.0094255416936244</v>
      </c>
      <c r="GA679">
        <v>27.579618596589533</v>
      </c>
      <c r="GB679">
        <v>31.243507270535126</v>
      </c>
      <c r="GC679">
        <v>15.305768027543841</v>
      </c>
      <c r="GD679">
        <v>4.3747336077624013</v>
      </c>
      <c r="GE679">
        <v>2.1094607159383232</v>
      </c>
      <c r="GF679">
        <v>4.6606386420700989</v>
      </c>
      <c r="GG679">
        <v>3.724698675913118</v>
      </c>
      <c r="GH679">
        <v>1.6183093455241906</v>
      </c>
      <c r="GI679">
        <v>12.065069732590333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236.90445532524899</v>
      </c>
      <c r="AO680">
        <v>17.535450439778959</v>
      </c>
      <c r="AP680">
        <v>125.40917300908032</v>
      </c>
      <c r="AQ680">
        <v>100.17394506575614</v>
      </c>
      <c r="AR680">
        <v>16.252390384251264</v>
      </c>
      <c r="AS680">
        <v>162.52075688604037</v>
      </c>
      <c r="AT680">
        <v>7.0554806091627009</v>
      </c>
      <c r="AU680">
        <v>-24.207487921596336</v>
      </c>
      <c r="AV680"/>
      <c r="AW680"/>
      <c r="FY680" s="210">
        <v>675</v>
      </c>
      <c r="FZ680">
        <v>4.3551770244615984</v>
      </c>
      <c r="GA680">
        <v>15.686317458020641</v>
      </c>
      <c r="GB680">
        <v>21.101636438143895</v>
      </c>
      <c r="GC680">
        <v>11.476644761228204</v>
      </c>
      <c r="GD680">
        <v>5.2655607847888204</v>
      </c>
      <c r="GE680">
        <v>7.0371976003021697</v>
      </c>
      <c r="GF680">
        <v>2.9988778869192103</v>
      </c>
      <c r="GG680">
        <v>1.4206042884147827</v>
      </c>
      <c r="GH680">
        <v>2.0652637984292568</v>
      </c>
      <c r="GI680">
        <v>9.8488542220395079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173.29038035275386</v>
      </c>
      <c r="AO681">
        <v>13.99487187486719</v>
      </c>
      <c r="AP681">
        <v>109.47847476882889</v>
      </c>
      <c r="AQ681">
        <v>87.882902396258785</v>
      </c>
      <c r="AR681">
        <v>13.076252621450768</v>
      </c>
      <c r="AS681">
        <v>116.96599270383741</v>
      </c>
      <c r="AT681">
        <v>6.0751414572818199</v>
      </c>
      <c r="AU681">
        <v>-11.499797040955514</v>
      </c>
      <c r="AV681"/>
      <c r="AW681"/>
      <c r="FY681" s="210">
        <v>676</v>
      </c>
      <c r="FZ681">
        <v>4.5544994520332018</v>
      </c>
      <c r="GA681">
        <v>26.238673014826375</v>
      </c>
      <c r="GB681">
        <v>25.836035638409605</v>
      </c>
      <c r="GC681">
        <v>11.769739924524716</v>
      </c>
      <c r="GD681">
        <v>4.4071819719812746</v>
      </c>
      <c r="GE681">
        <v>4.1964653220583203</v>
      </c>
      <c r="GF681">
        <v>1.6268042263267337</v>
      </c>
      <c r="GG681">
        <v>1.7377974564419647</v>
      </c>
      <c r="GH681">
        <v>2.6439371063868249</v>
      </c>
      <c r="GI681">
        <v>10.38840056453032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190.18041277649536</v>
      </c>
      <c r="AO682">
        <v>14.809222196316886</v>
      </c>
      <c r="AP682">
        <v>123.0396121925767</v>
      </c>
      <c r="AQ682">
        <v>96.783511912739669</v>
      </c>
      <c r="AR682">
        <v>13.842950478118256</v>
      </c>
      <c r="AS682">
        <v>141.98582545608414</v>
      </c>
      <c r="AT682">
        <v>6.403618678930048</v>
      </c>
      <c r="AU682">
        <v>-23.360723767223092</v>
      </c>
      <c r="AV682"/>
      <c r="AW682"/>
      <c r="FY682" s="210">
        <v>677</v>
      </c>
      <c r="FZ682">
        <v>1.4942208980679264</v>
      </c>
      <c r="GA682">
        <v>29.957427562339021</v>
      </c>
      <c r="GB682">
        <v>27.455658944313246</v>
      </c>
      <c r="GC682">
        <v>9.6991877830225697</v>
      </c>
      <c r="GD682">
        <v>3.5733526270086631</v>
      </c>
      <c r="GE682">
        <v>4.4632554273801901</v>
      </c>
      <c r="GF682">
        <v>3.0031266746175542</v>
      </c>
      <c r="GG682">
        <v>2.1021601531728811</v>
      </c>
      <c r="GH682">
        <v>2.715612067266381</v>
      </c>
      <c r="GI682">
        <v>10.131508054775555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130.84742271791453</v>
      </c>
      <c r="AO683">
        <v>13.644590314593312</v>
      </c>
      <c r="AP683">
        <v>113.66962593467323</v>
      </c>
      <c r="AQ683">
        <v>86.329988150669465</v>
      </c>
      <c r="AR683">
        <v>12.845194598161095</v>
      </c>
      <c r="AS683">
        <v>127.94191674643926</v>
      </c>
      <c r="AT683" t="e">
        <v>#DIV/0!</v>
      </c>
      <c r="AU683" t="e">
        <v>#DIV/0!</v>
      </c>
      <c r="AV683"/>
      <c r="AW683"/>
      <c r="FY683" s="210">
        <v>678</v>
      </c>
      <c r="FZ683">
        <v>9.4959102846836601</v>
      </c>
      <c r="GA683">
        <v>38.770961317220916</v>
      </c>
      <c r="GB683">
        <v>36.608906516158015</v>
      </c>
      <c r="GC683">
        <v>15.18469805547679</v>
      </c>
      <c r="GD683">
        <v>3.0268330375925836</v>
      </c>
      <c r="GE683">
        <v>2.0490077936134177</v>
      </c>
      <c r="GF683">
        <v>1.8135214616071638</v>
      </c>
      <c r="GG683">
        <v>2.1958315849043233</v>
      </c>
      <c r="GH683">
        <v>3.9440764558444483</v>
      </c>
      <c r="GI683">
        <v>13.282306056595967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178.2138980796548</v>
      </c>
      <c r="AO684">
        <v>13.107902836630492</v>
      </c>
      <c r="AP684">
        <v>99.13780282407329</v>
      </c>
      <c r="AQ684">
        <v>76.766293739922389</v>
      </c>
      <c r="AR684">
        <v>12.179845073272254</v>
      </c>
      <c r="AS684">
        <v>125.91943661256761</v>
      </c>
      <c r="AT684">
        <v>6.0902387359700763</v>
      </c>
      <c r="AU684">
        <v>-40.817467730412929</v>
      </c>
      <c r="AV684"/>
      <c r="AW684"/>
      <c r="FY684" s="210">
        <v>679</v>
      </c>
      <c r="FZ684">
        <v>3.7649111850860262</v>
      </c>
      <c r="GA684">
        <v>23.36086721272849</v>
      </c>
      <c r="GB684">
        <v>17.225755250764959</v>
      </c>
      <c r="GC684">
        <v>6.7281620642849571</v>
      </c>
      <c r="GD684">
        <v>2.9230051797075949</v>
      </c>
      <c r="GE684">
        <v>3.7597410681700554</v>
      </c>
      <c r="GF684">
        <v>5.5616315529472908</v>
      </c>
      <c r="GG684">
        <v>2.6194871980296712</v>
      </c>
      <c r="GH684">
        <v>2.6476283992168197</v>
      </c>
      <c r="GI684">
        <v>7.9989978486267024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194.90027091367301</v>
      </c>
      <c r="AO685">
        <v>15.528265257276152</v>
      </c>
      <c r="AP685">
        <v>121.98996941317294</v>
      </c>
      <c r="AQ685">
        <v>95.397803907455227</v>
      </c>
      <c r="AR685">
        <v>14.395459466313172</v>
      </c>
      <c r="AS685">
        <v>155.1291259753726</v>
      </c>
      <c r="AT685">
        <v>6.6087434614101177</v>
      </c>
      <c r="AU685">
        <v>-23.870275965199767</v>
      </c>
      <c r="AV685"/>
      <c r="AW685"/>
      <c r="FY685" s="210">
        <v>680</v>
      </c>
      <c r="FZ685">
        <v>1.6210876347355092</v>
      </c>
      <c r="GA685">
        <v>21.197320406339596</v>
      </c>
      <c r="GB685">
        <v>25.628260739913912</v>
      </c>
      <c r="GC685">
        <v>10.457078025860909</v>
      </c>
      <c r="GD685">
        <v>3.5639178439020229</v>
      </c>
      <c r="GE685">
        <v>4.5809406210865937</v>
      </c>
      <c r="GF685">
        <v>1.7127011871796063</v>
      </c>
      <c r="GG685">
        <v>3.933629041346288</v>
      </c>
      <c r="GH685">
        <v>4.8409197598685845</v>
      </c>
      <c r="GI685">
        <v>9.7807369221117639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207.68231864392655</v>
      </c>
      <c r="AO686">
        <v>15.964980252760039</v>
      </c>
      <c r="AP686">
        <v>116.6502880397436</v>
      </c>
      <c r="AQ686">
        <v>91.705649706054146</v>
      </c>
      <c r="AR686">
        <v>14.803974126129813</v>
      </c>
      <c r="AS686">
        <v>151.81679617692714</v>
      </c>
      <c r="AT686">
        <v>7.078856083005995</v>
      </c>
      <c r="AU686">
        <v>-64.470499041089155</v>
      </c>
      <c r="AV686"/>
      <c r="AW686"/>
      <c r="FY686" s="210">
        <v>681</v>
      </c>
      <c r="FZ686">
        <v>3.9032577341016688</v>
      </c>
      <c r="GA686">
        <v>22.46922943515645</v>
      </c>
      <c r="GB686">
        <v>16.830954474271994</v>
      </c>
      <c r="GC686">
        <v>5.7617291050061503</v>
      </c>
      <c r="GD686">
        <v>2.2351796863891713</v>
      </c>
      <c r="GE686">
        <v>4.1554324702252803</v>
      </c>
      <c r="GF686">
        <v>4.3053014803570564</v>
      </c>
      <c r="GG686">
        <v>1.5160760776420703</v>
      </c>
      <c r="GH686">
        <v>2.969489688113383</v>
      </c>
      <c r="GI686">
        <v>7.3516129569048321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188.7300831123699</v>
      </c>
      <c r="AO687">
        <v>12.372279988425575</v>
      </c>
      <c r="AP687">
        <v>98.488282615092132</v>
      </c>
      <c r="AQ687">
        <v>78.480420973237173</v>
      </c>
      <c r="AR687">
        <v>11.606131636844523</v>
      </c>
      <c r="AS687">
        <v>135.4168020762354</v>
      </c>
      <c r="AT687" t="e">
        <v>#DIV/0!</v>
      </c>
      <c r="AU687" t="e">
        <v>#DIV/0!</v>
      </c>
      <c r="AV687"/>
      <c r="AW687"/>
      <c r="FY687" s="210">
        <v>682</v>
      </c>
      <c r="FZ687">
        <v>1.1141338857206478</v>
      </c>
      <c r="GA687">
        <v>17.604872515583622</v>
      </c>
      <c r="GB687">
        <v>20.413980660659263</v>
      </c>
      <c r="GC687">
        <v>10.929192548943544</v>
      </c>
      <c r="GD687">
        <v>5.3220103768298603</v>
      </c>
      <c r="GE687">
        <v>5.6248505035013538</v>
      </c>
      <c r="GF687">
        <v>4.3911984412099283</v>
      </c>
      <c r="GG687">
        <v>1.9741102061044287</v>
      </c>
      <c r="GH687">
        <v>1.6183093455241906</v>
      </c>
      <c r="GI687">
        <v>9.401936524058506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174.86280148979756</v>
      </c>
      <c r="AO688">
        <v>14.358514265004279</v>
      </c>
      <c r="AP688">
        <v>108.14320805672932</v>
      </c>
      <c r="AQ688">
        <v>86.501465690707349</v>
      </c>
      <c r="AR688">
        <v>13.498736139559124</v>
      </c>
      <c r="AS688">
        <v>119.944755894689</v>
      </c>
      <c r="AT688">
        <v>6.453986621011282</v>
      </c>
      <c r="AU688">
        <v>-36.58002194756326</v>
      </c>
      <c r="AV688"/>
      <c r="AW688"/>
      <c r="FY688" s="210">
        <v>683</v>
      </c>
      <c r="FZ688">
        <v>1.3544858142129383</v>
      </c>
      <c r="GA688">
        <v>23.497058707284321</v>
      </c>
      <c r="GB688">
        <v>27.605858133932067</v>
      </c>
      <c r="GC688">
        <v>11.371922375931423</v>
      </c>
      <c r="GD688">
        <v>3.2963750434950918</v>
      </c>
      <c r="GE688">
        <v>4.2866388486163869</v>
      </c>
      <c r="GF688">
        <v>3.5453947500597991</v>
      </c>
      <c r="GG688">
        <v>1.4206042884147827</v>
      </c>
      <c r="GH688">
        <v>2.3871250873258196</v>
      </c>
      <c r="GI688">
        <v>10.031688735879731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191.94243284430678</v>
      </c>
      <c r="AO689">
        <v>14.231432153469887</v>
      </c>
      <c r="AP689">
        <v>112.16519499912697</v>
      </c>
      <c r="AQ689">
        <v>86.605620083966699</v>
      </c>
      <c r="AR689">
        <v>13.324703477340989</v>
      </c>
      <c r="AS689">
        <v>147.072158364258</v>
      </c>
      <c r="AT689" t="e">
        <v>#DIV/0!</v>
      </c>
      <c r="AU689" t="e">
        <v>#DIV/0!</v>
      </c>
      <c r="AV689"/>
      <c r="AW689"/>
      <c r="FY689" s="210">
        <v>684</v>
      </c>
      <c r="FZ689">
        <v>3.7455944830787167</v>
      </c>
      <c r="GA689">
        <v>21.858335381195474</v>
      </c>
      <c r="GB689">
        <v>29.274720850281241</v>
      </c>
      <c r="GC689">
        <v>14.127942720230841</v>
      </c>
      <c r="GD689">
        <v>3.7796801690748603</v>
      </c>
      <c r="GE689">
        <v>2.5555779456453509</v>
      </c>
      <c r="GF689">
        <v>2.7462969060353788</v>
      </c>
      <c r="GG689">
        <v>3.1729931157193176</v>
      </c>
      <c r="GH689">
        <v>1.3578060336331905</v>
      </c>
      <c r="GI689">
        <v>10.759724002329666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183.60985446472858</v>
      </c>
      <c r="AO690">
        <v>18.216303369935147</v>
      </c>
      <c r="AP690">
        <v>139.03442606102561</v>
      </c>
      <c r="AQ690">
        <v>106.69123015616059</v>
      </c>
      <c r="AR690">
        <v>16.935376786154734</v>
      </c>
      <c r="AS690">
        <v>155.21866977624438</v>
      </c>
      <c r="AT690">
        <v>8.0174669785603747</v>
      </c>
      <c r="AU690">
        <v>-33.335572872072007</v>
      </c>
      <c r="AV690"/>
      <c r="AW690"/>
      <c r="FY690" s="210">
        <v>685</v>
      </c>
      <c r="FZ690">
        <v>4.0859209200038595</v>
      </c>
      <c r="GA690">
        <v>23.487274130858761</v>
      </c>
      <c r="GB690">
        <v>24.066439675258209</v>
      </c>
      <c r="GC690">
        <v>9.8737418477040855</v>
      </c>
      <c r="GD690">
        <v>2.8063774796187761</v>
      </c>
      <c r="GE690">
        <v>2.9492659866979003</v>
      </c>
      <c r="GF690">
        <v>3.1866699146248534</v>
      </c>
      <c r="GG690">
        <v>5.0388405192297343</v>
      </c>
      <c r="GH690">
        <v>5.298191196647644</v>
      </c>
      <c r="GI690">
        <v>9.6964967617282412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202.10521932295347</v>
      </c>
      <c r="AO691">
        <v>14.710894522116524</v>
      </c>
      <c r="AP691">
        <v>98.106730187428354</v>
      </c>
      <c r="AQ691">
        <v>81.256134262748063</v>
      </c>
      <c r="AR691">
        <v>13.705447414178321</v>
      </c>
      <c r="AS691">
        <v>132.36194877398557</v>
      </c>
      <c r="AT691">
        <v>6.3245034844033938</v>
      </c>
      <c r="AU691">
        <v>-28.913817025383391</v>
      </c>
      <c r="AV691"/>
      <c r="AW691"/>
      <c r="FY691" s="210">
        <v>686</v>
      </c>
      <c r="FZ691">
        <v>1.5921834587700623</v>
      </c>
      <c r="GA691">
        <v>19.681847463314377</v>
      </c>
      <c r="GB691">
        <v>20.494819789799916</v>
      </c>
      <c r="GC691">
        <v>7.690869106693011</v>
      </c>
      <c r="GD691">
        <v>1.9483929953254593</v>
      </c>
      <c r="GE691">
        <v>3.9217900264173196</v>
      </c>
      <c r="GF691">
        <v>4.8315714497994025</v>
      </c>
      <c r="GG691">
        <v>3.8399576096148458</v>
      </c>
      <c r="GH691">
        <v>5.2981911966476432</v>
      </c>
      <c r="GI691">
        <v>8.2138981515235994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173.68372652603625</v>
      </c>
      <c r="AO692">
        <v>15.587530385691698</v>
      </c>
      <c r="AP692">
        <v>118.30363343431991</v>
      </c>
      <c r="AQ692">
        <v>93.399534677519341</v>
      </c>
      <c r="AR692">
        <v>14.493922502014318</v>
      </c>
      <c r="AS692">
        <v>132.75161569034771</v>
      </c>
      <c r="AT692" t="e">
        <v>#DIV/0!</v>
      </c>
      <c r="AU692" t="e">
        <v>#DIV/0!</v>
      </c>
      <c r="AV692"/>
      <c r="AW692"/>
      <c r="FY692" s="210">
        <v>687</v>
      </c>
      <c r="FZ692">
        <v>1.4460000200951701</v>
      </c>
      <c r="GA692">
        <v>17.606641760914624</v>
      </c>
      <c r="GB692">
        <v>15.023769645491047</v>
      </c>
      <c r="GC692">
        <v>7.3532799318392197</v>
      </c>
      <c r="GD692">
        <v>4.3491458471199023</v>
      </c>
      <c r="GE692">
        <v>3.6240189573104535</v>
      </c>
      <c r="GF692">
        <v>1.9303398420346187</v>
      </c>
      <c r="GG692">
        <v>2.2913033741316107</v>
      </c>
      <c r="GH692">
        <v>3.1625665201714481</v>
      </c>
      <c r="GI692">
        <v>7.3044432071698973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176.07886503369411</v>
      </c>
      <c r="AO693">
        <v>15.217052080325946</v>
      </c>
      <c r="AP693">
        <v>124.23521195083327</v>
      </c>
      <c r="AQ693">
        <v>94.595510191963967</v>
      </c>
      <c r="AR693">
        <v>14.11945258613668</v>
      </c>
      <c r="AS693">
        <v>121.56897391320159</v>
      </c>
      <c r="AT693">
        <v>6.430569046147717</v>
      </c>
      <c r="AU693">
        <v>-22.202975091312823</v>
      </c>
      <c r="AV693"/>
      <c r="AW693"/>
      <c r="FY693" s="210">
        <v>688</v>
      </c>
      <c r="FZ693">
        <v>1.7325419555164212</v>
      </c>
      <c r="GA693">
        <v>30.820450541628269</v>
      </c>
      <c r="GB693">
        <v>26.848668981231963</v>
      </c>
      <c r="GC693">
        <v>9.0169438929240915</v>
      </c>
      <c r="GD693">
        <v>5.1431372150514898</v>
      </c>
      <c r="GE693">
        <v>7.7696451823104162</v>
      </c>
      <c r="GF693">
        <v>3.3024135026270955</v>
      </c>
      <c r="GG693">
        <v>3.6182362308149516</v>
      </c>
      <c r="GH693">
        <v>4.1371532879025121</v>
      </c>
      <c r="GI693">
        <v>11.215715928372886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158.09999690454842</v>
      </c>
      <c r="AO694">
        <v>19.955155920131549</v>
      </c>
      <c r="AP694">
        <v>167.21792140527575</v>
      </c>
      <c r="AQ694">
        <v>126.37205256369728</v>
      </c>
      <c r="AR694">
        <v>18.680131574445344</v>
      </c>
      <c r="AS694">
        <v>162.23319532319275</v>
      </c>
      <c r="AT694">
        <v>10.018786352939879</v>
      </c>
      <c r="AU694">
        <v>-58.610680555235653</v>
      </c>
      <c r="AV694"/>
      <c r="AW694"/>
      <c r="FY694" s="210">
        <v>689</v>
      </c>
      <c r="FZ694">
        <v>1.8383350981067799</v>
      </c>
      <c r="GA694">
        <v>16.977909017601561</v>
      </c>
      <c r="GB694">
        <v>20.843811452680541</v>
      </c>
      <c r="GC694">
        <v>9.4345605111348601</v>
      </c>
      <c r="GD694">
        <v>4.5445507803272571</v>
      </c>
      <c r="GE694">
        <v>7.1566293001872969</v>
      </c>
      <c r="GF694">
        <v>3.5453947500597991</v>
      </c>
      <c r="GG694">
        <v>2.1021601531728811</v>
      </c>
      <c r="GH694">
        <v>3.0374733561629448</v>
      </c>
      <c r="GI694">
        <v>9.2485130800924047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178.76022758698886</v>
      </c>
      <c r="AO695">
        <v>11.843652158026952</v>
      </c>
      <c r="AP695">
        <v>97.155419402642849</v>
      </c>
      <c r="AQ695">
        <v>76.590186959562558</v>
      </c>
      <c r="AR695">
        <v>11.006832557681445</v>
      </c>
      <c r="AS695">
        <v>123.93778701408318</v>
      </c>
      <c r="AT695">
        <v>5.1849735887677246</v>
      </c>
      <c r="AU695">
        <v>-12.149206921870803</v>
      </c>
      <c r="AV695"/>
      <c r="AW695"/>
      <c r="FY695" s="210">
        <v>690</v>
      </c>
      <c r="FZ695">
        <v>4.1155902179172816</v>
      </c>
      <c r="GA695">
        <v>27.631223160205884</v>
      </c>
      <c r="GB695">
        <v>25.896360048763956</v>
      </c>
      <c r="GC695">
        <v>10.921086808044924</v>
      </c>
      <c r="GD695">
        <v>5.305564387427367</v>
      </c>
      <c r="GE695">
        <v>6.7563833928330901</v>
      </c>
      <c r="GF695">
        <v>4.0473969193496675</v>
      </c>
      <c r="GG695">
        <v>2.6212875555255168</v>
      </c>
      <c r="GH695">
        <v>1.3578060336331905</v>
      </c>
      <c r="GI695">
        <v>11.092486262659495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167.8358412907055</v>
      </c>
      <c r="AO696">
        <v>14.718542411323757</v>
      </c>
      <c r="AP696">
        <v>112.71987962104734</v>
      </c>
      <c r="AQ696">
        <v>87.316592182344777</v>
      </c>
      <c r="AR696">
        <v>13.693790161323687</v>
      </c>
      <c r="AS696">
        <v>139.6753615304043</v>
      </c>
      <c r="AT696">
        <v>5.8841867685594602</v>
      </c>
      <c r="AU696">
        <v>-31.484199144903993</v>
      </c>
      <c r="AV696"/>
      <c r="AW696"/>
      <c r="FY696" s="210">
        <v>691</v>
      </c>
      <c r="FZ696">
        <v>3.7279213715715542</v>
      </c>
      <c r="GA696">
        <v>26.722969101805283</v>
      </c>
      <c r="GB696">
        <v>21.607855676758742</v>
      </c>
      <c r="GC696">
        <v>9.0592032869795815</v>
      </c>
      <c r="GD696">
        <v>3.5148576643847971</v>
      </c>
      <c r="GE696">
        <v>3.0245421696122246</v>
      </c>
      <c r="GF696">
        <v>3.0031266746175542</v>
      </c>
      <c r="GG696">
        <v>2.9710588813938639</v>
      </c>
      <c r="GH696">
        <v>4.3976565997935122</v>
      </c>
      <c r="GI696">
        <v>9.2143339645969355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142.00139294827616</v>
      </c>
      <c r="AO697">
        <v>10.888072484456883</v>
      </c>
      <c r="AP697">
        <v>92.228383100650973</v>
      </c>
      <c r="AQ697">
        <v>71.498263108168061</v>
      </c>
      <c r="AR697">
        <v>10.142831794450316</v>
      </c>
      <c r="AS697">
        <v>100.89282290660255</v>
      </c>
      <c r="AT697">
        <v>4.9610911627120542</v>
      </c>
      <c r="AU697">
        <v>-22.92543964080032</v>
      </c>
      <c r="AV697"/>
      <c r="AW697"/>
      <c r="FY697" s="210">
        <v>692</v>
      </c>
      <c r="FZ697">
        <v>7.059351499752788</v>
      </c>
      <c r="GA697">
        <v>20.996040244088633</v>
      </c>
      <c r="GB697">
        <v>24.852076706213317</v>
      </c>
      <c r="GC697">
        <v>11.905608825056657</v>
      </c>
      <c r="GD697">
        <v>2.6834201397249768</v>
      </c>
      <c r="GE697">
        <v>4.2967700274665974</v>
      </c>
      <c r="GF697">
        <v>5.7792702078023028</v>
      </c>
      <c r="GG697">
        <v>3.4901862837464988</v>
      </c>
      <c r="GH697">
        <v>2.8407052312748844</v>
      </c>
      <c r="GI697">
        <v>10.342372820992878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238.55869031914708</v>
      </c>
      <c r="AO698">
        <v>14.09578361361684</v>
      </c>
      <c r="AP698">
        <v>95.977766467565516</v>
      </c>
      <c r="AQ698">
        <v>78.394595008135354</v>
      </c>
      <c r="AR698">
        <v>13.015171959541611</v>
      </c>
      <c r="AS698">
        <v>135.1002174840126</v>
      </c>
      <c r="AT698">
        <v>5.8617545037269503</v>
      </c>
      <c r="AU698">
        <v>-38.253819249702474</v>
      </c>
      <c r="AV698"/>
      <c r="AW698"/>
      <c r="FY698" s="210">
        <v>693</v>
      </c>
      <c r="FZ698">
        <v>1.5557005801744654</v>
      </c>
      <c r="GA698">
        <v>19.411353161286041</v>
      </c>
      <c r="GB698">
        <v>27.242873533226796</v>
      </c>
      <c r="GC698">
        <v>11.783223194440628</v>
      </c>
      <c r="GD698">
        <v>3.0538248275994273</v>
      </c>
      <c r="GE698">
        <v>5.8095673074868674</v>
      </c>
      <c r="GF698">
        <v>6.0062533492351085</v>
      </c>
      <c r="GG698">
        <v>3.5227644415876638</v>
      </c>
      <c r="GH698">
        <v>3.8152919990059497</v>
      </c>
      <c r="GI698">
        <v>10.533963500107621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195.42295723767452</v>
      </c>
      <c r="AO699">
        <v>14.992774257637056</v>
      </c>
      <c r="AP699">
        <v>116.63018027132038</v>
      </c>
      <c r="AQ699">
        <v>88.797151785152352</v>
      </c>
      <c r="AR699">
        <v>13.952701352281538</v>
      </c>
      <c r="AS699">
        <v>141.85120037924335</v>
      </c>
      <c r="AT699">
        <v>5.9182381804052691</v>
      </c>
      <c r="AU699">
        <v>-26.373585915335266</v>
      </c>
      <c r="AV699"/>
      <c r="AW699"/>
      <c r="FY699" s="210">
        <v>694</v>
      </c>
      <c r="FZ699">
        <v>4.6489261288797001</v>
      </c>
      <c r="GA699">
        <v>26.604093694417578</v>
      </c>
      <c r="GB699">
        <v>16.903183800840978</v>
      </c>
      <c r="GC699">
        <v>4.1313261094495841</v>
      </c>
      <c r="GD699">
        <v>2.3369046743571751</v>
      </c>
      <c r="GE699">
        <v>8.6570672546178464</v>
      </c>
      <c r="GF699">
        <v>10.225657868739292</v>
      </c>
      <c r="GG699">
        <v>2.0677816378358704</v>
      </c>
      <c r="GH699">
        <v>3.8737155777975092</v>
      </c>
      <c r="GI699">
        <v>8.7974985884876737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189.21757742207174</v>
      </c>
      <c r="AO700">
        <v>16.201039243529525</v>
      </c>
      <c r="AP700">
        <v>120.78561185186027</v>
      </c>
      <c r="AQ700">
        <v>93.378671607224064</v>
      </c>
      <c r="AR700">
        <v>15.113065647106772</v>
      </c>
      <c r="AS700">
        <v>158.91371025837898</v>
      </c>
      <c r="AT700" t="e">
        <v>#DIV/0!</v>
      </c>
      <c r="AU700" t="e">
        <v>#DIV/0!</v>
      </c>
      <c r="AV700"/>
      <c r="AW700"/>
      <c r="FY700" s="210">
        <v>695</v>
      </c>
      <c r="FZ700">
        <v>1.1661362640705193</v>
      </c>
      <c r="GA700">
        <v>21.691928200940282</v>
      </c>
      <c r="GB700">
        <v>22.723514793119968</v>
      </c>
      <c r="GC700">
        <v>9.9348495834881287</v>
      </c>
      <c r="GD700">
        <v>3.7088595008271361</v>
      </c>
      <c r="GE700">
        <v>4.3973761191064966</v>
      </c>
      <c r="GF700">
        <v>3.4594977892069263</v>
      </c>
      <c r="GG700">
        <v>0.77522729648954036</v>
      </c>
      <c r="GH700">
        <v>1.6183093455241906</v>
      </c>
      <c r="GI700">
        <v>8.90678638069007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132.68688588113653</v>
      </c>
      <c r="AO701">
        <v>14.565902921017742</v>
      </c>
      <c r="AP701">
        <v>118.27373753830699</v>
      </c>
      <c r="AQ701">
        <v>90.48921843237207</v>
      </c>
      <c r="AR701">
        <v>13.615613652870168</v>
      </c>
      <c r="AS701">
        <v>127.82954581119975</v>
      </c>
      <c r="AT701">
        <v>6.14545541004372</v>
      </c>
      <c r="AU701">
        <v>-28.030135762140333</v>
      </c>
      <c r="AV701"/>
      <c r="AW701"/>
      <c r="FY701" s="210">
        <v>696</v>
      </c>
      <c r="FZ701">
        <v>0.92162503883121949</v>
      </c>
      <c r="GA701">
        <v>28.821652829304121</v>
      </c>
      <c r="GB701">
        <v>28.881182466139325</v>
      </c>
      <c r="GC701">
        <v>10.748778848484427</v>
      </c>
      <c r="GD701">
        <v>3.8787674021529557</v>
      </c>
      <c r="GE701">
        <v>5.5531920612759125</v>
      </c>
      <c r="GF701">
        <v>4.9494646226520711</v>
      </c>
      <c r="GG701">
        <v>2.0695819953317161</v>
      </c>
      <c r="GH701">
        <v>3.1048998359958802</v>
      </c>
      <c r="GI701">
        <v>11.020446551778823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127.69650689651644</v>
      </c>
      <c r="AO702">
        <v>12.259118008368862</v>
      </c>
      <c r="AP702">
        <v>102.27896357879317</v>
      </c>
      <c r="AQ702">
        <v>77.513521247905643</v>
      </c>
      <c r="AR702">
        <v>11.32695834108528</v>
      </c>
      <c r="AS702">
        <v>111.10563453811113</v>
      </c>
      <c r="AT702">
        <v>5.8360403035877164</v>
      </c>
      <c r="AU702">
        <v>-49.162967863203406</v>
      </c>
      <c r="AV702"/>
      <c r="AW702"/>
      <c r="FY702" s="210">
        <v>697</v>
      </c>
      <c r="FZ702">
        <v>4.4208191346834438</v>
      </c>
      <c r="GA702">
        <v>23.850908846323112</v>
      </c>
      <c r="GB702">
        <v>24.516489046341309</v>
      </c>
      <c r="GC702">
        <v>9.539725666286305</v>
      </c>
      <c r="GD702">
        <v>2.4355860229636086</v>
      </c>
      <c r="GE702">
        <v>3.0423039953790201</v>
      </c>
      <c r="GF702">
        <v>2.5585048783297362</v>
      </c>
      <c r="GG702">
        <v>1.9741102061044287</v>
      </c>
      <c r="GH702">
        <v>1.9401706344207539</v>
      </c>
      <c r="GI702">
        <v>8.9837042036518877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196.44389855815945</v>
      </c>
      <c r="AO703">
        <v>10.772739434833134</v>
      </c>
      <c r="AP703">
        <v>77.719836125217782</v>
      </c>
      <c r="AQ703">
        <v>64.091509106277982</v>
      </c>
      <c r="AR703">
        <v>10.115267122557237</v>
      </c>
      <c r="AS703">
        <v>115.77650040775744</v>
      </c>
      <c r="AT703">
        <v>4.8841474772154596</v>
      </c>
      <c r="AU703">
        <v>-12.162272107333262</v>
      </c>
      <c r="AV703"/>
      <c r="AW703"/>
      <c r="FY703" s="210">
        <v>698</v>
      </c>
      <c r="FZ703">
        <v>3.7272979586801824</v>
      </c>
      <c r="GA703">
        <v>21.815216581853562</v>
      </c>
      <c r="GB703">
        <v>33.789013546119143</v>
      </c>
      <c r="GC703">
        <v>16.987411155061807</v>
      </c>
      <c r="GD703">
        <v>4.3134388673406008</v>
      </c>
      <c r="GE703">
        <v>5.9865007631382019</v>
      </c>
      <c r="GF703">
        <v>6.9646266331143485</v>
      </c>
      <c r="GG703">
        <v>3.4901862837464988</v>
      </c>
      <c r="GH703">
        <v>2.5188439423783215</v>
      </c>
      <c r="GI703">
        <v>13.196513220281227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211.78015198574741</v>
      </c>
      <c r="AO704">
        <v>16.843984176707227</v>
      </c>
      <c r="AP704">
        <v>131.88293581433234</v>
      </c>
      <c r="AQ704">
        <v>103.60490671838009</v>
      </c>
      <c r="AR704">
        <v>15.668677068054706</v>
      </c>
      <c r="AS704">
        <v>169.33967651409372</v>
      </c>
      <c r="AT704">
        <v>8.4462660745571565</v>
      </c>
      <c r="AU704">
        <v>213.05152005964717</v>
      </c>
      <c r="AV704"/>
      <c r="AW704"/>
      <c r="FY704" s="210">
        <v>699</v>
      </c>
      <c r="FZ704">
        <v>7.5154332182280239</v>
      </c>
      <c r="GA704">
        <v>32.209666180842667</v>
      </c>
      <c r="GB704">
        <v>29.632811831232186</v>
      </c>
      <c r="GC704">
        <v>12.394312596118951</v>
      </c>
      <c r="GD704">
        <v>3.5088115301575939</v>
      </c>
      <c r="GE704">
        <v>4.545913507981771</v>
      </c>
      <c r="GF704">
        <v>5.573380871248844</v>
      </c>
      <c r="GG704">
        <v>2.6212875555255168</v>
      </c>
      <c r="GH704">
        <v>2.2620319233173167</v>
      </c>
      <c r="GI704">
        <v>11.95143202041247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181.48086421836123</v>
      </c>
      <c r="AO705">
        <v>13.789398194440958</v>
      </c>
      <c r="AP705">
        <v>97.435842966229174</v>
      </c>
      <c r="AQ705">
        <v>78.729337499526338</v>
      </c>
      <c r="AR705">
        <v>12.827108944119715</v>
      </c>
      <c r="AS705">
        <v>118.69821680672142</v>
      </c>
      <c r="AT705">
        <v>5.8737681007400111</v>
      </c>
      <c r="AU705">
        <v>-31.3807578485427</v>
      </c>
      <c r="AV705"/>
      <c r="AW705"/>
      <c r="FY705" s="210">
        <v>700</v>
      </c>
      <c r="FZ705">
        <v>9.2699506395036941</v>
      </c>
      <c r="GA705">
        <v>26.098478769255024</v>
      </c>
      <c r="GB705">
        <v>21.286560253298674</v>
      </c>
      <c r="GC705">
        <v>10.996184278385469</v>
      </c>
      <c r="GD705">
        <v>3.8194427818228247</v>
      </c>
      <c r="GE705">
        <v>5.249249390286586</v>
      </c>
      <c r="GF705">
        <v>7.4103232218273813</v>
      </c>
      <c r="GG705">
        <v>3.4901862837464988</v>
      </c>
      <c r="GH705">
        <v>3.9440764558444483</v>
      </c>
      <c r="GI705">
        <v>10.915607856318172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244.57158301992052</v>
      </c>
      <c r="AO706">
        <v>16.638448691116437</v>
      </c>
      <c r="AP706">
        <v>124.27410864041904</v>
      </c>
      <c r="AQ706">
        <v>99.745184786360355</v>
      </c>
      <c r="AR706">
        <v>15.435340798611868</v>
      </c>
      <c r="AS706">
        <v>172.98739342833346</v>
      </c>
      <c r="AT706">
        <v>7.2305059252781732</v>
      </c>
      <c r="AU706">
        <v>177.80478328261745</v>
      </c>
      <c r="AV706"/>
      <c r="AW706"/>
      <c r="FY706" s="210">
        <v>701</v>
      </c>
      <c r="FZ706">
        <v>9.4681395878967543</v>
      </c>
      <c r="GA706">
        <v>32.087604006266965</v>
      </c>
      <c r="GB706">
        <v>16.114593237945684</v>
      </c>
      <c r="GC706">
        <v>5.4120316247516547</v>
      </c>
      <c r="GD706">
        <v>4.2670029875039681</v>
      </c>
      <c r="GE706">
        <v>8.4111520386484493</v>
      </c>
      <c r="GF706">
        <v>5.9352797019569206</v>
      </c>
      <c r="GG706">
        <v>0.77522729648954036</v>
      </c>
      <c r="GH706">
        <v>1.9401706344207539</v>
      </c>
      <c r="GI706">
        <v>9.30332338225009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194.78824510568853</v>
      </c>
      <c r="AO707">
        <v>13.733749289425973</v>
      </c>
      <c r="AP707">
        <v>111.48300603513468</v>
      </c>
      <c r="AQ707">
        <v>87.243525391514012</v>
      </c>
      <c r="AR707">
        <v>12.778134002691312</v>
      </c>
      <c r="AS707">
        <v>125.75265331888966</v>
      </c>
      <c r="AT707">
        <v>6.1870148266201062</v>
      </c>
      <c r="AU707">
        <v>-16.224526940772837</v>
      </c>
      <c r="AV707"/>
      <c r="AW707"/>
      <c r="FY707" s="210">
        <v>702</v>
      </c>
      <c r="FZ707">
        <v>6.5159180035106257</v>
      </c>
      <c r="GA707">
        <v>31.042926787790162</v>
      </c>
      <c r="GB707">
        <v>22.194299105893748</v>
      </c>
      <c r="GC707">
        <v>9.1264358121001887</v>
      </c>
      <c r="GD707">
        <v>3.5519323150888669</v>
      </c>
      <c r="GE707">
        <v>6.7637208730768279</v>
      </c>
      <c r="GF707">
        <v>8.8375861021469184</v>
      </c>
      <c r="GG707">
        <v>2.1958315849043233</v>
      </c>
      <c r="GH707">
        <v>2.1969826534817587</v>
      </c>
      <c r="GI707">
        <v>10.549790670857364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162.58783875673035</v>
      </c>
      <c r="AO708">
        <v>15.517178337916373</v>
      </c>
      <c r="AP708">
        <v>120.97852352190807</v>
      </c>
      <c r="AQ708">
        <v>94.245801986119517</v>
      </c>
      <c r="AR708">
        <v>14.352650890090739</v>
      </c>
      <c r="AS708">
        <v>134.0840624843047</v>
      </c>
      <c r="AT708">
        <v>6.6679464973694111</v>
      </c>
      <c r="AU708">
        <v>-28.709203381821965</v>
      </c>
      <c r="AV708"/>
      <c r="AW708"/>
      <c r="FY708" s="210">
        <v>703</v>
      </c>
      <c r="FZ708">
        <v>2.3765954277641823</v>
      </c>
      <c r="GA708">
        <v>24.242753145978249</v>
      </c>
      <c r="GB708">
        <v>23.676426206463571</v>
      </c>
      <c r="GC708">
        <v>8.2739713237393122</v>
      </c>
      <c r="GD708">
        <v>2.5077093547992244</v>
      </c>
      <c r="GE708">
        <v>4.9489148792741551</v>
      </c>
      <c r="GF708">
        <v>6.1038996283895353</v>
      </c>
      <c r="GG708">
        <v>4.1699417910087515</v>
      </c>
      <c r="GH708">
        <v>3.5547886871149497</v>
      </c>
      <c r="GI708">
        <v>9.3946817233612983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194.78116363277078</v>
      </c>
      <c r="AO709">
        <v>15.818658268252259</v>
      </c>
      <c r="AP709">
        <v>121.13727146573555</v>
      </c>
      <c r="AQ709">
        <v>92.734815894150572</v>
      </c>
      <c r="AR709">
        <v>14.570973422674388</v>
      </c>
      <c r="AS709">
        <v>144.76629557197819</v>
      </c>
      <c r="AT709">
        <v>6.3934297914302824</v>
      </c>
      <c r="AU709">
        <v>-4.4024245299889602</v>
      </c>
      <c r="AV709"/>
      <c r="AW709"/>
      <c r="FY709" s="210">
        <v>704</v>
      </c>
      <c r="FZ709">
        <v>1.5450960599758494</v>
      </c>
      <c r="GA709">
        <v>20.470306202080188</v>
      </c>
      <c r="GB709">
        <v>21.969222771582356</v>
      </c>
      <c r="GC709">
        <v>9.8637660966802407</v>
      </c>
      <c r="GD709">
        <v>5.0415760891850825</v>
      </c>
      <c r="GE709">
        <v>7.9371360989723794</v>
      </c>
      <c r="GF709">
        <v>6.002004561536765</v>
      </c>
      <c r="GG709">
        <v>3.616435873319106</v>
      </c>
      <c r="GH709">
        <v>3.3580205622268897</v>
      </c>
      <c r="GI709">
        <v>10.300506934106291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188.60957853190914</v>
      </c>
      <c r="AO710">
        <v>12.908405188283618</v>
      </c>
      <c r="AP710">
        <v>112.83403942941909</v>
      </c>
      <c r="AQ710">
        <v>88.246155335423197</v>
      </c>
      <c r="AR710">
        <v>11.883105498106046</v>
      </c>
      <c r="AS710">
        <v>115.27413705324354</v>
      </c>
      <c r="AT710">
        <v>6.5293705064817233</v>
      </c>
      <c r="AU710">
        <v>-51.191665419720508</v>
      </c>
      <c r="AV710"/>
      <c r="AW710"/>
      <c r="FY710" s="210">
        <v>705</v>
      </c>
      <c r="FZ710">
        <v>0.89953757491624631</v>
      </c>
      <c r="GA710">
        <v>22.110574040616441</v>
      </c>
      <c r="GB710">
        <v>22.617025989643409</v>
      </c>
      <c r="GC710">
        <v>10.068224642916565</v>
      </c>
      <c r="GD710">
        <v>4.7608254469716309</v>
      </c>
      <c r="GE710">
        <v>4.1770347963429035</v>
      </c>
      <c r="GF710">
        <v>2.660399945182506</v>
      </c>
      <c r="GG710">
        <v>1.8460602590359767</v>
      </c>
      <c r="GH710">
        <v>1.2260871785806891</v>
      </c>
      <c r="GI710">
        <v>9.2055911750537334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166.75148972720297</v>
      </c>
      <c r="AO711">
        <v>13.37100925871014</v>
      </c>
      <c r="AP711">
        <v>100.71854014849788</v>
      </c>
      <c r="AQ711">
        <v>78.382485273463274</v>
      </c>
      <c r="AR711">
        <v>12.336726403338972</v>
      </c>
      <c r="AS711">
        <v>120.37583087654239</v>
      </c>
      <c r="AT711" t="e">
        <v>#DIV/0!</v>
      </c>
      <c r="AU711" t="e">
        <v>#DIV/0!</v>
      </c>
      <c r="AV711"/>
      <c r="AW711"/>
      <c r="FY711" s="210">
        <v>706</v>
      </c>
      <c r="FZ711">
        <v>4.3884955528348559</v>
      </c>
      <c r="GA711">
        <v>21.930447031663256</v>
      </c>
      <c r="GB711">
        <v>21.376369579609882</v>
      </c>
      <c r="GC711">
        <v>9.7316516565743054</v>
      </c>
      <c r="GD711">
        <v>4.1915073448210869</v>
      </c>
      <c r="GE711">
        <v>7.723801319492642</v>
      </c>
      <c r="GF711">
        <v>7.5260668098296222</v>
      </c>
      <c r="GG711">
        <v>2.1632534270631583</v>
      </c>
      <c r="GH711">
        <v>1.8047604865382569</v>
      </c>
      <c r="GI711">
        <v>10.101693131079582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207.05940077518176</v>
      </c>
      <c r="AO712">
        <v>16.463022420257936</v>
      </c>
      <c r="AP712">
        <v>131.24010577497836</v>
      </c>
      <c r="AQ712">
        <v>99.949591651946449</v>
      </c>
      <c r="AR712">
        <v>15.342277438541261</v>
      </c>
      <c r="AS712">
        <v>132.85964026633795</v>
      </c>
      <c r="AT712">
        <v>6.49340375857295</v>
      </c>
      <c r="AU712">
        <v>-23.605128808017874</v>
      </c>
      <c r="AV712"/>
      <c r="AW712"/>
      <c r="FY712" s="210">
        <v>707</v>
      </c>
      <c r="FZ712">
        <v>6.6648722040931832</v>
      </c>
      <c r="GA712">
        <v>28.730511680187895</v>
      </c>
      <c r="GB712">
        <v>15.221242568971299</v>
      </c>
      <c r="GC712">
        <v>4.830160927437813</v>
      </c>
      <c r="GD712">
        <v>3.1728592096661425</v>
      </c>
      <c r="GE712">
        <v>7.5464792106282808</v>
      </c>
      <c r="GF712">
        <v>7.6671529904095559</v>
      </c>
      <c r="GG712">
        <v>0.77522729648954036</v>
      </c>
      <c r="GH712">
        <v>3.1048998359958802</v>
      </c>
      <c r="GI712">
        <v>8.5479500459255817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138.0768062616819</v>
      </c>
      <c r="AO713">
        <v>13.45465106256427</v>
      </c>
      <c r="AP713">
        <v>109.34650401131209</v>
      </c>
      <c r="AQ713">
        <v>83.262322634483596</v>
      </c>
      <c r="AR713">
        <v>12.590581285267231</v>
      </c>
      <c r="AS713">
        <v>124.49139312866726</v>
      </c>
      <c r="AT713">
        <v>5.3036420286918569</v>
      </c>
      <c r="AU713">
        <v>-13.854277317597031</v>
      </c>
      <c r="AV713"/>
      <c r="AW713"/>
      <c r="FY713" s="210">
        <v>708</v>
      </c>
      <c r="FZ713">
        <v>1.2767184240702849</v>
      </c>
      <c r="GA713">
        <v>14.736684045419933</v>
      </c>
      <c r="GB713">
        <v>20.16878709694252</v>
      </c>
      <c r="GC713">
        <v>8.8143923408301976</v>
      </c>
      <c r="GD713">
        <v>3.6582365805668635</v>
      </c>
      <c r="GE713">
        <v>8.1461375129865878</v>
      </c>
      <c r="GF713">
        <v>5.3930116265146761</v>
      </c>
      <c r="GG713">
        <v>2.5130247529315048</v>
      </c>
      <c r="GH713">
        <v>5.1664723415951421</v>
      </c>
      <c r="GI713">
        <v>9.1725159689584412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204.6236129519354</v>
      </c>
      <c r="AO714">
        <v>19.929511504343576</v>
      </c>
      <c r="AP714">
        <v>145.53979019160818</v>
      </c>
      <c r="AQ714">
        <v>112.78904895171391</v>
      </c>
      <c r="AR714">
        <v>18.327732935755279</v>
      </c>
      <c r="AS714">
        <v>163.76793315347325</v>
      </c>
      <c r="AT714">
        <v>8.1621341861718264</v>
      </c>
      <c r="AU714">
        <v>-20.609375192856941</v>
      </c>
      <c r="AV714"/>
      <c r="AW714"/>
      <c r="FY714" s="210">
        <v>709</v>
      </c>
      <c r="FZ714">
        <v>6.7865626428077093</v>
      </c>
      <c r="GA714">
        <v>29.71015385174973</v>
      </c>
      <c r="GB714">
        <v>23.957816453779881</v>
      </c>
      <c r="GC714">
        <v>8.1667689164410699</v>
      </c>
      <c r="GD714">
        <v>1.2201188199581554</v>
      </c>
      <c r="GE714">
        <v>4.2622168820839423</v>
      </c>
      <c r="GF714">
        <v>7.3084281549746102</v>
      </c>
      <c r="GG714">
        <v>3.7119076625463934</v>
      </c>
      <c r="GH714">
        <v>3.6798818511234526</v>
      </c>
      <c r="GI714">
        <v>9.6349248042549931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182.40190185776945</v>
      </c>
      <c r="AO715">
        <v>17.902275626790431</v>
      </c>
      <c r="AP715">
        <v>145.01831341875305</v>
      </c>
      <c r="AQ715">
        <v>112.21508123506533</v>
      </c>
      <c r="AR715">
        <v>16.632410962907866</v>
      </c>
      <c r="AS715">
        <v>147.98680676079243</v>
      </c>
      <c r="AT715">
        <v>7.4210218349260231</v>
      </c>
      <c r="AU715">
        <v>-23.845046193034321</v>
      </c>
      <c r="AV715"/>
      <c r="AW715"/>
      <c r="FY715" s="210">
        <v>710</v>
      </c>
      <c r="FZ715">
        <v>3.6211332824565261</v>
      </c>
      <c r="GA715">
        <v>21.459114503972522</v>
      </c>
      <c r="GB715">
        <v>26.67382932838597</v>
      </c>
      <c r="GC715">
        <v>12.086437302946194</v>
      </c>
      <c r="GD715">
        <v>2.7757716350886144</v>
      </c>
      <c r="GE715">
        <v>6.9416500664092435</v>
      </c>
      <c r="GF715">
        <v>10.311554829592165</v>
      </c>
      <c r="GG715">
        <v>4.2636132227401937</v>
      </c>
      <c r="GH715">
        <v>4.8446110526985784</v>
      </c>
      <c r="GI715">
        <v>11.493981079347083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198.17164747320862</v>
      </c>
      <c r="AO716">
        <v>16.271258510670869</v>
      </c>
      <c r="AP716">
        <v>126.97465864462809</v>
      </c>
      <c r="AQ716">
        <v>102.48005993028877</v>
      </c>
      <c r="AR716">
        <v>15.020662234602362</v>
      </c>
      <c r="AS716">
        <v>144.02693057399924</v>
      </c>
      <c r="AT716">
        <v>7.1269655770146798</v>
      </c>
      <c r="AU716">
        <v>-7.282749093419465</v>
      </c>
      <c r="AV716"/>
      <c r="AW716"/>
      <c r="FY716" s="210">
        <v>711</v>
      </c>
      <c r="FZ716">
        <v>1.4803355496744746</v>
      </c>
      <c r="GA716">
        <v>15.648757195874925</v>
      </c>
      <c r="GB716">
        <v>18.890937282222257</v>
      </c>
      <c r="GC716">
        <v>8.0036376251542087</v>
      </c>
      <c r="GD716">
        <v>3.2308337079045222</v>
      </c>
      <c r="GE716">
        <v>7.4908567452834394</v>
      </c>
      <c r="GF716">
        <v>6.6642650126795946</v>
      </c>
      <c r="GG716">
        <v>4.7088563378358286</v>
      </c>
      <c r="GH716">
        <v>5.8768645046052121</v>
      </c>
      <c r="GI716">
        <v>9.0295677968187036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244.73537371118968</v>
      </c>
      <c r="AO717">
        <v>13.865327631314255</v>
      </c>
      <c r="AP717">
        <v>113.14446373855898</v>
      </c>
      <c r="AQ717">
        <v>93.714524498130771</v>
      </c>
      <c r="AR717">
        <v>12.6878234480372</v>
      </c>
      <c r="AS717">
        <v>137.33937233233272</v>
      </c>
      <c r="AT717" t="e">
        <v>#DIV/0!</v>
      </c>
      <c r="AU717" t="e">
        <v>#DIV/0!</v>
      </c>
      <c r="AV717"/>
      <c r="AW717"/>
      <c r="FY717" s="210">
        <v>712</v>
      </c>
      <c r="FZ717">
        <v>1.3544858142129383</v>
      </c>
      <c r="GA717">
        <v>22.768250166004734</v>
      </c>
      <c r="GB717">
        <v>19.536236215254526</v>
      </c>
      <c r="GC717">
        <v>6.9802431617710692</v>
      </c>
      <c r="GD717">
        <v>3.5330189835383163</v>
      </c>
      <c r="GE717">
        <v>5.1834877738313816</v>
      </c>
      <c r="GF717">
        <v>4.2903781667823706</v>
      </c>
      <c r="GG717">
        <v>2.0677816378358704</v>
      </c>
      <c r="GH717">
        <v>2.0652637984292568</v>
      </c>
      <c r="GI717">
        <v>8.2441366310367332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235.42562166442696</v>
      </c>
      <c r="AO718">
        <v>15.897758878285851</v>
      </c>
      <c r="AP718">
        <v>129.97478836114888</v>
      </c>
      <c r="AQ718">
        <v>102.97542390885077</v>
      </c>
      <c r="AR718">
        <v>14.345877425328521</v>
      </c>
      <c r="AS718">
        <v>141.94801285803604</v>
      </c>
      <c r="AT718" t="e">
        <v>#DIV/0!</v>
      </c>
      <c r="AU718" t="e">
        <v>#DIV/0!</v>
      </c>
      <c r="AV718"/>
      <c r="AW718"/>
      <c r="FY718" s="210">
        <v>713</v>
      </c>
      <c r="FZ718">
        <v>6.6081973313408326</v>
      </c>
      <c r="GA718">
        <v>32.517280536848766</v>
      </c>
      <c r="GB718">
        <v>20.341908743247803</v>
      </c>
      <c r="GC718">
        <v>7.0978675920699192</v>
      </c>
      <c r="GD718">
        <v>4.4188877178518116</v>
      </c>
      <c r="GE718">
        <v>8.2137967975090369</v>
      </c>
      <c r="GF718">
        <v>7.1057128136942822</v>
      </c>
      <c r="GG718">
        <v>1.4206042884147827</v>
      </c>
      <c r="GH718">
        <v>2.3257671103202568</v>
      </c>
      <c r="GI718">
        <v>10.285613817564006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195.10154516695755</v>
      </c>
      <c r="AO719">
        <v>14.040525780585075</v>
      </c>
      <c r="AP719">
        <v>116.64208717310582</v>
      </c>
      <c r="AQ719">
        <v>89.249682167893241</v>
      </c>
      <c r="AR719">
        <v>12.956595957433956</v>
      </c>
      <c r="AS719">
        <v>127.48059736730664</v>
      </c>
      <c r="AT719">
        <v>5.6837006567789858</v>
      </c>
      <c r="AU719">
        <v>-9.9749885127184665</v>
      </c>
      <c r="AV719"/>
      <c r="AW719"/>
      <c r="FY719" s="210">
        <v>714</v>
      </c>
      <c r="FZ719">
        <v>1.4941044200954294</v>
      </c>
      <c r="GA719">
        <v>22.150854848900423</v>
      </c>
      <c r="GB719">
        <v>20.668189601165817</v>
      </c>
      <c r="GC719">
        <v>7.5534457918299935</v>
      </c>
      <c r="GD719">
        <v>4.3603473715996968</v>
      </c>
      <c r="GE719">
        <v>8.7182155231709455</v>
      </c>
      <c r="GF719">
        <v>6.6493416991049106</v>
      </c>
      <c r="GG719">
        <v>1.8786384168771417</v>
      </c>
      <c r="GH719">
        <v>2.2006739463117539</v>
      </c>
      <c r="GI719">
        <v>9.5246259507484066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205.42034990819644</v>
      </c>
      <c r="AO720">
        <v>15.53181424570737</v>
      </c>
      <c r="AP720">
        <v>112.12166887684711</v>
      </c>
      <c r="AQ720">
        <v>90.104071249665139</v>
      </c>
      <c r="AR720">
        <v>14.235933801380749</v>
      </c>
      <c r="AS720">
        <v>148.95918562588506</v>
      </c>
      <c r="AT720" t="e">
        <v>#DIV/0!</v>
      </c>
      <c r="AU720" t="e">
        <v>#DIV/0!</v>
      </c>
      <c r="AV720"/>
      <c r="AW720"/>
      <c r="FY720" s="210">
        <v>715</v>
      </c>
      <c r="FZ720">
        <v>9.7593666782969688</v>
      </c>
      <c r="GA720">
        <v>28.275497204065868</v>
      </c>
      <c r="GB720">
        <v>24.548612047523619</v>
      </c>
      <c r="GC720">
        <v>11.433582715244318</v>
      </c>
      <c r="GD720">
        <v>4.5604201940858413</v>
      </c>
      <c r="GE720">
        <v>6.5947416379619339</v>
      </c>
      <c r="GF720">
        <v>4.7158278617971607</v>
      </c>
      <c r="GG720">
        <v>2.7475371450981236</v>
      </c>
      <c r="GH720">
        <v>2.5188439423783215</v>
      </c>
      <c r="GI720">
        <v>11.484785452478338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181.45086054519004</v>
      </c>
      <c r="AO721">
        <v>13.724191495300133</v>
      </c>
      <c r="AP721">
        <v>100.61963405609416</v>
      </c>
      <c r="AQ721">
        <v>79.571361049260105</v>
      </c>
      <c r="AR721">
        <v>12.883094462415494</v>
      </c>
      <c r="AS721">
        <v>133.53885848414689</v>
      </c>
      <c r="AT721" t="e">
        <v>#DIV/0!</v>
      </c>
      <c r="AU721" t="e">
        <v>#DIV/0!</v>
      </c>
      <c r="AV721"/>
      <c r="AW721"/>
      <c r="FY721" s="210">
        <v>716</v>
      </c>
      <c r="FZ721">
        <v>9.2045667163109481</v>
      </c>
      <c r="GA721">
        <v>36.11163554005222</v>
      </c>
      <c r="GB721">
        <v>21.458394676652475</v>
      </c>
      <c r="GC721">
        <v>6.136838389971361</v>
      </c>
      <c r="GD721">
        <v>3.5604564392138052</v>
      </c>
      <c r="GE721">
        <v>9.6057793284054718</v>
      </c>
      <c r="GF721">
        <v>7.6671529904095559</v>
      </c>
      <c r="GG721">
        <v>0.86889872822098235</v>
      </c>
      <c r="GH721">
        <v>1.7434025095326939</v>
      </c>
      <c r="GI721">
        <v>10.52978761454138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213.10261824207956</v>
      </c>
      <c r="AO722">
        <v>15.151649408179793</v>
      </c>
      <c r="AP722">
        <v>113.17788288816095</v>
      </c>
      <c r="AQ722">
        <v>90.938046339506627</v>
      </c>
      <c r="AR722">
        <v>13.855760952561749</v>
      </c>
      <c r="AS722">
        <v>139.09473226862491</v>
      </c>
      <c r="AT722">
        <v>6.5144677390682224</v>
      </c>
      <c r="AU722">
        <v>-19.257215135857969</v>
      </c>
      <c r="AV722"/>
      <c r="AW722"/>
      <c r="FY722" s="210">
        <v>717</v>
      </c>
      <c r="FZ722">
        <v>1.5127724781272618</v>
      </c>
      <c r="GA722">
        <v>29.000396684558247</v>
      </c>
      <c r="GB722">
        <v>30.072730820348802</v>
      </c>
      <c r="GC722">
        <v>10.857484722422768</v>
      </c>
      <c r="GD722">
        <v>2.6103229544380722</v>
      </c>
      <c r="GE722">
        <v>3.6876336235984621</v>
      </c>
      <c r="GF722">
        <v>3.6622131304872543</v>
      </c>
      <c r="GG722">
        <v>3.2538735340840348</v>
      </c>
      <c r="GH722">
        <v>5.0310621937126454</v>
      </c>
      <c r="GI722">
        <v>10.710999512214221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204.4444834467493</v>
      </c>
      <c r="AO723">
        <v>12.639572221892042</v>
      </c>
      <c r="AP723">
        <v>106.89895181443205</v>
      </c>
      <c r="AQ723">
        <v>86.26135596980518</v>
      </c>
      <c r="AR723">
        <v>11.556393755247306</v>
      </c>
      <c r="AS723">
        <v>122.31087280655423</v>
      </c>
      <c r="AT723" t="e">
        <v>#DIV/0!</v>
      </c>
      <c r="AU723" t="e">
        <v>#DIV/0!</v>
      </c>
      <c r="AV723"/>
      <c r="AW723"/>
      <c r="FY723" s="210">
        <v>718</v>
      </c>
      <c r="FZ723">
        <v>3.6467566302271366</v>
      </c>
      <c r="GA723">
        <v>27.003518087236888</v>
      </c>
      <c r="GB723">
        <v>25.166422314469745</v>
      </c>
      <c r="GC723">
        <v>10.632253433628822</v>
      </c>
      <c r="GD723">
        <v>3.9622084260730421</v>
      </c>
      <c r="GE723">
        <v>3.90126763221796</v>
      </c>
      <c r="GF723">
        <v>3.2015932281995374</v>
      </c>
      <c r="GG723">
        <v>2.843008934325411</v>
      </c>
      <c r="GH723">
        <v>3.1625665201714481</v>
      </c>
      <c r="GI723">
        <v>10.231730465197634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193.18895852814188</v>
      </c>
      <c r="AO724">
        <v>13.629654585824568</v>
      </c>
      <c r="AP724">
        <v>98.9280754193408</v>
      </c>
      <c r="AQ724">
        <v>79.045980690816137</v>
      </c>
      <c r="AR724">
        <v>12.594840131599206</v>
      </c>
      <c r="AS724">
        <v>132.51001548279444</v>
      </c>
      <c r="AT724" t="e">
        <v>#DIV/0!</v>
      </c>
      <c r="AU724" t="e">
        <v>#DIV/0!</v>
      </c>
      <c r="AV724"/>
      <c r="AW724"/>
      <c r="FY724" s="210">
        <v>719</v>
      </c>
      <c r="FZ724">
        <v>3.8517591593023743</v>
      </c>
      <c r="GA724">
        <v>23.171374763631043</v>
      </c>
      <c r="GB724">
        <v>17.625905111055115</v>
      </c>
      <c r="GC724">
        <v>7.5178513425840716</v>
      </c>
      <c r="GD724">
        <v>4.3034786704082544</v>
      </c>
      <c r="GE724">
        <v>7.2998695557284972</v>
      </c>
      <c r="GF724">
        <v>6.462624463824481</v>
      </c>
      <c r="GG724">
        <v>3.7462861778834036</v>
      </c>
      <c r="GH724">
        <v>5.4949593215357027</v>
      </c>
      <c r="GI724">
        <v>9.5542130579367583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136.74425279387037</v>
      </c>
      <c r="AO725">
        <v>14.500540710660172</v>
      </c>
      <c r="AP725">
        <v>129.61676883114285</v>
      </c>
      <c r="AQ725">
        <v>98.438780039719944</v>
      </c>
      <c r="AR725">
        <v>13.212771522328122</v>
      </c>
      <c r="AS725">
        <v>104.50770301798009</v>
      </c>
      <c r="AT725">
        <v>7.3321994184648069</v>
      </c>
      <c r="AU725">
        <v>-32.485182613852523</v>
      </c>
      <c r="AV725"/>
      <c r="AW725"/>
      <c r="FY725" s="210">
        <v>720</v>
      </c>
      <c r="FZ725">
        <v>10.098424189723563</v>
      </c>
      <c r="GA725">
        <v>33.655469766673555</v>
      </c>
      <c r="GB725">
        <v>25.384102013991562</v>
      </c>
      <c r="GC725">
        <v>10.521468341254328</v>
      </c>
      <c r="GD725">
        <v>4.1312976265019756</v>
      </c>
      <c r="GE725">
        <v>5.3547815426261547</v>
      </c>
      <c r="GF725">
        <v>3.9614999584967947</v>
      </c>
      <c r="GG725">
        <v>5.4515054764842032</v>
      </c>
      <c r="GH725">
        <v>5.8768645046052121</v>
      </c>
      <c r="GI725">
        <v>11.889964238216976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210.37027482842078</v>
      </c>
      <c r="AO726">
        <v>17.190316436101831</v>
      </c>
      <c r="AP726">
        <v>135.08573772578444</v>
      </c>
      <c r="AQ726">
        <v>104.47169630363709</v>
      </c>
      <c r="AR726">
        <v>15.702241331121773</v>
      </c>
      <c r="AS726">
        <v>145.56514377412603</v>
      </c>
      <c r="AT726">
        <v>7.1823292633923357</v>
      </c>
      <c r="AU726">
        <v>-4.7797688511385292</v>
      </c>
      <c r="AV726"/>
      <c r="AW726"/>
      <c r="FY726" s="210">
        <v>721</v>
      </c>
      <c r="FZ726">
        <v>3.9590573147045753</v>
      </c>
      <c r="GA726">
        <v>23.144685095461888</v>
      </c>
      <c r="GB726">
        <v>21.383974611938093</v>
      </c>
      <c r="GC726">
        <v>9.7580452575613386</v>
      </c>
      <c r="GD726">
        <v>3.9115108811107016</v>
      </c>
      <c r="GE726">
        <v>5.0525917858401108</v>
      </c>
      <c r="GF726">
        <v>4.7467492813717431</v>
      </c>
      <c r="GG726">
        <v>2.3849748058630524</v>
      </c>
      <c r="GH726">
        <v>3.4868050190653879</v>
      </c>
      <c r="GI726">
        <v>9.642777189940416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175.74812354393669</v>
      </c>
      <c r="AO727">
        <v>13.639290724028763</v>
      </c>
      <c r="AP727">
        <v>102.91936427425409</v>
      </c>
      <c r="AQ727">
        <v>81.02491175805315</v>
      </c>
      <c r="AR727">
        <v>12.425864069106296</v>
      </c>
      <c r="AS727">
        <v>120.73945044499749</v>
      </c>
      <c r="AT727">
        <v>4.9978383627434075</v>
      </c>
      <c r="AU727">
        <v>-5.1045768639622446</v>
      </c>
      <c r="AV727"/>
      <c r="AW727"/>
      <c r="FY727" s="210">
        <v>722</v>
      </c>
      <c r="FZ727">
        <v>6.7807629319632827</v>
      </c>
      <c r="GA727">
        <v>24.627616016880676</v>
      </c>
      <c r="GB727">
        <v>19.790696243682074</v>
      </c>
      <c r="GC727">
        <v>9.0418328279286904</v>
      </c>
      <c r="GD727">
        <v>4.4566847118216755</v>
      </c>
      <c r="GE727">
        <v>6.0230185146037352</v>
      </c>
      <c r="GF727">
        <v>2.9172297137646819</v>
      </c>
      <c r="GG727">
        <v>0.86889872822098235</v>
      </c>
      <c r="GH727">
        <v>2.3871250873258196</v>
      </c>
      <c r="GI727">
        <v>9.4372950282771306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159.41943473543915</v>
      </c>
      <c r="AO728">
        <v>12.277303934577327</v>
      </c>
      <c r="AP728">
        <v>97.129792304702619</v>
      </c>
      <c r="AQ728">
        <v>76.023282348697208</v>
      </c>
      <c r="AR728">
        <v>11.408972855731827</v>
      </c>
      <c r="AS728">
        <v>113.26649808998201</v>
      </c>
      <c r="AT728">
        <v>5.8010717854116569</v>
      </c>
      <c r="AU728">
        <v>-34.418785813615841</v>
      </c>
      <c r="AV728"/>
      <c r="AW728"/>
      <c r="FY728" s="210">
        <v>723</v>
      </c>
      <c r="FZ728">
        <v>0.80700636782796797</v>
      </c>
      <c r="GA728">
        <v>20.805278414493593</v>
      </c>
      <c r="GB728">
        <v>23.59520072376154</v>
      </c>
      <c r="GC728">
        <v>9.0485089025046328</v>
      </c>
      <c r="GD728">
        <v>2.6366367158154178</v>
      </c>
      <c r="GE728">
        <v>5.5632186530550811</v>
      </c>
      <c r="GF728">
        <v>8.1041383252771286</v>
      </c>
      <c r="GG728">
        <v>4.4981256149068134</v>
      </c>
      <c r="GH728">
        <v>3.6835731439534483</v>
      </c>
      <c r="GI728">
        <v>9.5999340135241429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249.53906619876383</v>
      </c>
      <c r="AO729">
        <v>15.312619813882822</v>
      </c>
      <c r="AP729">
        <v>124.04554545032693</v>
      </c>
      <c r="AQ729">
        <v>100.3356367488615</v>
      </c>
      <c r="AR729">
        <v>14.038913478436237</v>
      </c>
      <c r="AS729">
        <v>161.90119621448625</v>
      </c>
      <c r="AT729">
        <v>6.9093271961007696</v>
      </c>
      <c r="AU729">
        <v>-8.7737323313742817</v>
      </c>
      <c r="AV729"/>
      <c r="AW729"/>
      <c r="FY729" s="210">
        <v>724</v>
      </c>
      <c r="FZ729">
        <v>1.2892152376243915</v>
      </c>
      <c r="GA729">
        <v>22.452375555410551</v>
      </c>
      <c r="GB729">
        <v>26.174443936063266</v>
      </c>
      <c r="GC729">
        <v>10.467726788032619</v>
      </c>
      <c r="GD729">
        <v>2.1501522902949661</v>
      </c>
      <c r="GE729">
        <v>2.745810632470584</v>
      </c>
      <c r="GF729">
        <v>5.0193634775050455</v>
      </c>
      <c r="GG729">
        <v>2.5258157662982295</v>
      </c>
      <c r="GH729">
        <v>1.9401706344207539</v>
      </c>
      <c r="GI729">
        <v>9.1955388427861706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212.40637840339127</v>
      </c>
      <c r="AO730">
        <v>14.198239127383223</v>
      </c>
      <c r="AP730">
        <v>107.17247463040789</v>
      </c>
      <c r="AQ730">
        <v>85.198437569804497</v>
      </c>
      <c r="AR730">
        <v>13.108555215072034</v>
      </c>
      <c r="AS730">
        <v>122.89027744011818</v>
      </c>
      <c r="AT730">
        <v>6.697161854506855</v>
      </c>
      <c r="AU730">
        <v>-57.292703637727442</v>
      </c>
      <c r="AV730"/>
      <c r="AW730"/>
      <c r="FY730" s="210">
        <v>725</v>
      </c>
      <c r="FZ730">
        <v>1.6627436799158641</v>
      </c>
      <c r="GA730">
        <v>22.980028169361265</v>
      </c>
      <c r="GB730">
        <v>20.724598836658998</v>
      </c>
      <c r="GC730">
        <v>8.511245939693449</v>
      </c>
      <c r="GD730">
        <v>6.4605332756783422</v>
      </c>
      <c r="GE730">
        <v>10.648253617491772</v>
      </c>
      <c r="GF730">
        <v>6.9657014255395628</v>
      </c>
      <c r="GG730">
        <v>3.3621363366780468</v>
      </c>
      <c r="GH730">
        <v>2.6476283992168197</v>
      </c>
      <c r="GI730">
        <v>10.85449991270932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200.13139256206006</v>
      </c>
      <c r="AO731">
        <v>17.219798633268045</v>
      </c>
      <c r="AP731">
        <v>131.74037823750407</v>
      </c>
      <c r="AQ731">
        <v>106.63921487893049</v>
      </c>
      <c r="AR731">
        <v>15.923904668231637</v>
      </c>
      <c r="AS731">
        <v>171.55376145213737</v>
      </c>
      <c r="AT731">
        <v>8.0547771843570306</v>
      </c>
      <c r="AU731">
        <v>-22.457547804762683</v>
      </c>
      <c r="AV731"/>
      <c r="AW731"/>
      <c r="FY731" s="210">
        <v>726</v>
      </c>
      <c r="FZ731">
        <v>7.0106236868611571</v>
      </c>
      <c r="GA731">
        <v>19.617685785910041</v>
      </c>
      <c r="GB731">
        <v>17.440931488731671</v>
      </c>
      <c r="GC731">
        <v>9.6136850852539553</v>
      </c>
      <c r="GD731">
        <v>3.9050164434586314</v>
      </c>
      <c r="GE731">
        <v>5.1897316519081915</v>
      </c>
      <c r="GF731">
        <v>5.7941935213769868</v>
      </c>
      <c r="GG731">
        <v>3.7137080200422385</v>
      </c>
      <c r="GH731">
        <v>3.8766499760115121</v>
      </c>
      <c r="GI731">
        <v>9.3460463671971024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234.0588265080691</v>
      </c>
      <c r="AO732">
        <v>15.839879776738425</v>
      </c>
      <c r="AP732">
        <v>133.68016317568592</v>
      </c>
      <c r="AQ732">
        <v>106.88691293331091</v>
      </c>
      <c r="AR732">
        <v>14.381796870406513</v>
      </c>
      <c r="AS732">
        <v>148.648163131883</v>
      </c>
      <c r="AT732" t="e">
        <v>#DIV/0!</v>
      </c>
      <c r="AU732" t="e">
        <v>#DIV/0!</v>
      </c>
      <c r="AV732"/>
      <c r="AW732"/>
      <c r="FY732" s="210">
        <v>727</v>
      </c>
      <c r="FZ732">
        <v>1.3049928793733341</v>
      </c>
      <c r="GA732">
        <v>25.273150237512358</v>
      </c>
      <c r="GB732">
        <v>35.119156295792621</v>
      </c>
      <c r="GC732">
        <v>14.591260274855305</v>
      </c>
      <c r="GD732">
        <v>3.8377156258667626</v>
      </c>
      <c r="GE732">
        <v>5.7419437824410711</v>
      </c>
      <c r="GF732">
        <v>5.2178300310870291</v>
      </c>
      <c r="GG732">
        <v>4.0418918439402995</v>
      </c>
      <c r="GH732">
        <v>2.5188439423783215</v>
      </c>
      <c r="GI732">
        <v>12.5782162392446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175.97087116001941</v>
      </c>
      <c r="AO733">
        <v>16.01247075938608</v>
      </c>
      <c r="AP733">
        <v>134.33847363159384</v>
      </c>
      <c r="AQ733">
        <v>100.39948965399176</v>
      </c>
      <c r="AR733">
        <v>14.917202623380378</v>
      </c>
      <c r="AS733">
        <v>151.92032800418687</v>
      </c>
      <c r="AT733">
        <v>6.4942990852912592</v>
      </c>
      <c r="AU733">
        <v>-14.644776885321191</v>
      </c>
      <c r="AV733"/>
      <c r="AW733"/>
      <c r="FY733" s="210">
        <v>728</v>
      </c>
      <c r="FZ733">
        <v>6.3408303888702893</v>
      </c>
      <c r="GA733">
        <v>18.929773706852213</v>
      </c>
      <c r="GB733">
        <v>13.10712126600035</v>
      </c>
      <c r="GC733">
        <v>6.5080384132776299</v>
      </c>
      <c r="GD733">
        <v>4.4032844226940711</v>
      </c>
      <c r="GE733">
        <v>4.9754173613818935</v>
      </c>
      <c r="GF733">
        <v>2.5435815647550508</v>
      </c>
      <c r="GG733">
        <v>2.6194871980296712</v>
      </c>
      <c r="GH733">
        <v>2.7089863762223829</v>
      </c>
      <c r="GI733">
        <v>7.6627706604258208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172.94579763441922</v>
      </c>
      <c r="AO734">
        <v>15.355405410452637</v>
      </c>
      <c r="AP734">
        <v>120.30402581260925</v>
      </c>
      <c r="AQ734">
        <v>93.751325671747637</v>
      </c>
      <c r="AR734">
        <v>14.293194608844839</v>
      </c>
      <c r="AS734">
        <v>137.99768111116262</v>
      </c>
      <c r="AT734">
        <v>5.9286320499148815</v>
      </c>
      <c r="AU734">
        <v>-15.877831342604656</v>
      </c>
      <c r="AV734"/>
      <c r="AW734"/>
      <c r="FY734" s="210">
        <v>729</v>
      </c>
      <c r="FZ734">
        <v>1.1583056821822966</v>
      </c>
      <c r="GA734">
        <v>15.253659789103031</v>
      </c>
      <c r="GB734">
        <v>16.667258276243849</v>
      </c>
      <c r="GC734">
        <v>7.0994433206994643</v>
      </c>
      <c r="GD734">
        <v>3.5688390162396098</v>
      </c>
      <c r="GE734">
        <v>4.5224530945321462</v>
      </c>
      <c r="GF734">
        <v>1.3880717665923741</v>
      </c>
      <c r="GG734">
        <v>0.64717734942108796</v>
      </c>
      <c r="GH734">
        <v>0.90422588968412598</v>
      </c>
      <c r="GI734">
        <v>6.7826192483346555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215.08977199117868</v>
      </c>
      <c r="AO735">
        <v>14.25186164308038</v>
      </c>
      <c r="AP735">
        <v>109.7988261247994</v>
      </c>
      <c r="AQ735">
        <v>89.02832162388971</v>
      </c>
      <c r="AR735">
        <v>13.094852730778825</v>
      </c>
      <c r="AS735">
        <v>134.30529626886539</v>
      </c>
      <c r="AT735">
        <v>6.0919207023174105</v>
      </c>
      <c r="AU735">
        <v>-11.360937634978775</v>
      </c>
      <c r="AV735"/>
      <c r="AW735"/>
      <c r="FY735" s="210">
        <v>730</v>
      </c>
      <c r="FZ735">
        <v>4.8084848496608714</v>
      </c>
      <c r="GA735">
        <v>25.92727430015109</v>
      </c>
      <c r="GB735">
        <v>20.399075111617321</v>
      </c>
      <c r="GC735">
        <v>6.9369527800185562</v>
      </c>
      <c r="GD735">
        <v>2.9124363147610923</v>
      </c>
      <c r="GE735">
        <v>6.425349465483853</v>
      </c>
      <c r="GF735">
        <v>7.2935048413999262</v>
      </c>
      <c r="GG735">
        <v>2.5258157662982295</v>
      </c>
      <c r="GH735">
        <v>2.0015286114263167</v>
      </c>
      <c r="GI735">
        <v>9.165427132372491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180.40524291897029</v>
      </c>
      <c r="AO736">
        <v>17.85373361165998</v>
      </c>
      <c r="AP736">
        <v>145.87053844677916</v>
      </c>
      <c r="AQ736">
        <v>116.32537765857434</v>
      </c>
      <c r="AR736">
        <v>16.548332748260922</v>
      </c>
      <c r="AS736">
        <v>149.58502020293304</v>
      </c>
      <c r="AT736">
        <v>8.7555720690651011</v>
      </c>
      <c r="AU736">
        <v>-23.499234376418165</v>
      </c>
      <c r="AV736"/>
      <c r="AW736"/>
      <c r="FY736" s="210">
        <v>731</v>
      </c>
      <c r="FZ736">
        <v>4.2174538883373272</v>
      </c>
      <c r="GA736">
        <v>25.840421781252733</v>
      </c>
      <c r="GB736">
        <v>26.143121355395444</v>
      </c>
      <c r="GC736">
        <v>11.655909156614026</v>
      </c>
      <c r="GD736">
        <v>3.1946078011145023</v>
      </c>
      <c r="GE736">
        <v>2.5191791651102822</v>
      </c>
      <c r="GF736">
        <v>3.7438613036417827</v>
      </c>
      <c r="GG736">
        <v>3.7119076625463934</v>
      </c>
      <c r="GH736">
        <v>4.645465717813142</v>
      </c>
      <c r="GI736">
        <v>10.45511781796953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197.41355816965142</v>
      </c>
      <c r="AO737">
        <v>14.414222875230355</v>
      </c>
      <c r="AP737">
        <v>110.02749959927712</v>
      </c>
      <c r="AQ737">
        <v>87.471171242857309</v>
      </c>
      <c r="AR737">
        <v>13.330013526084706</v>
      </c>
      <c r="AS737">
        <v>136.2919430821884</v>
      </c>
      <c r="AT737">
        <v>5.8071832922908966</v>
      </c>
      <c r="AU737">
        <v>-14.729546442502189</v>
      </c>
      <c r="AV737"/>
      <c r="AW737"/>
      <c r="FY737" s="210">
        <v>732</v>
      </c>
      <c r="FZ737">
        <v>6.8385650211575815</v>
      </c>
      <c r="GA737">
        <v>25.469999913151504</v>
      </c>
      <c r="GB737">
        <v>29.749115258881307</v>
      </c>
      <c r="GC737">
        <v>14.355855230260198</v>
      </c>
      <c r="GD737">
        <v>4.392066937038706</v>
      </c>
      <c r="GE737">
        <v>8.2593814958680483</v>
      </c>
      <c r="GF737">
        <v>8.381214987557545</v>
      </c>
      <c r="GG737">
        <v>3.5227644415876638</v>
      </c>
      <c r="GH737">
        <v>3.8152919990059497</v>
      </c>
      <c r="GI737">
        <v>13.196239313752578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203.11815708865711</v>
      </c>
      <c r="AO738">
        <v>14.001660457761787</v>
      </c>
      <c r="AP738">
        <v>105.02953656149303</v>
      </c>
      <c r="AQ738">
        <v>86.331159804468754</v>
      </c>
      <c r="AR738">
        <v>13.036547219407055</v>
      </c>
      <c r="AS738">
        <v>135.6128818393106</v>
      </c>
      <c r="AT738" t="e">
        <v>#DIV/0!</v>
      </c>
      <c r="AU738" t="e">
        <v>#DIV/0!</v>
      </c>
      <c r="AV738"/>
      <c r="AW738"/>
      <c r="FY738" s="210">
        <v>733</v>
      </c>
      <c r="FZ738">
        <v>4.6874178238377162</v>
      </c>
      <c r="GA738">
        <v>21.573765624889617</v>
      </c>
      <c r="GB738">
        <v>19.984495049136552</v>
      </c>
      <c r="GC738">
        <v>6.9711006738175847</v>
      </c>
      <c r="GD738">
        <v>2.7791689266349064</v>
      </c>
      <c r="GE738">
        <v>7.6100868332160303</v>
      </c>
      <c r="GF738">
        <v>7.5271416022548348</v>
      </c>
      <c r="GG738">
        <v>1.9415320482632639</v>
      </c>
      <c r="GH738">
        <v>1.164729201575126</v>
      </c>
      <c r="GI738">
        <v>8.8685706909172826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176.80565174895398</v>
      </c>
      <c r="AO739">
        <v>14.309357782612036</v>
      </c>
      <c r="AP739">
        <v>115.3950322015896</v>
      </c>
      <c r="AQ739">
        <v>88.341620875119787</v>
      </c>
      <c r="AR739">
        <v>13.199312831746632</v>
      </c>
      <c r="AS739">
        <v>129.01362027945228</v>
      </c>
      <c r="AT739">
        <v>5.8449064568194542</v>
      </c>
      <c r="AU739">
        <v>-2.4462965935847865</v>
      </c>
      <c r="AV739"/>
      <c r="AW739"/>
      <c r="FY739" s="210">
        <v>734</v>
      </c>
      <c r="FZ739">
        <v>4.3652777411096375</v>
      </c>
      <c r="GA739">
        <v>26.176122660582422</v>
      </c>
      <c r="GB739">
        <v>20.288975913348182</v>
      </c>
      <c r="GC739">
        <v>7.6573431869899409</v>
      </c>
      <c r="GD739">
        <v>3.067108272588464</v>
      </c>
      <c r="GE739">
        <v>4.3739418649805479</v>
      </c>
      <c r="GF739">
        <v>4.1884830999296012</v>
      </c>
      <c r="GG739">
        <v>4.0273004730777302</v>
      </c>
      <c r="GH739">
        <v>5.5483775246646498</v>
      </c>
      <c r="GI739">
        <v>9.1401589115536606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159.83221552805068</v>
      </c>
      <c r="AO740">
        <v>13.773958084909992</v>
      </c>
      <c r="AP740">
        <v>112.61758923229021</v>
      </c>
      <c r="AQ740">
        <v>83.960613160906576</v>
      </c>
      <c r="AR740">
        <v>12.768741060341572</v>
      </c>
      <c r="AS740">
        <v>119.02773360681383</v>
      </c>
      <c r="AT740">
        <v>5.6708812385754372</v>
      </c>
      <c r="AU740">
        <v>-10.835461071424724</v>
      </c>
      <c r="AV740"/>
      <c r="AW740"/>
      <c r="FY740" s="210">
        <v>735</v>
      </c>
      <c r="FZ740">
        <v>1.1263788200166815</v>
      </c>
      <c r="GA740">
        <v>14.840814793926949</v>
      </c>
      <c r="GB740">
        <v>26.671601180070411</v>
      </c>
      <c r="GC740">
        <v>14.199007316793066</v>
      </c>
      <c r="GD740">
        <v>4.5517616765883187</v>
      </c>
      <c r="GE740">
        <v>5.4508825402557033</v>
      </c>
      <c r="GF740">
        <v>4.1735597863549154</v>
      </c>
      <c r="GG740">
        <v>3.5227644415876638</v>
      </c>
      <c r="GH740">
        <v>4.4590145767990759</v>
      </c>
      <c r="GI740">
        <v>10.94225653797321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276.63452264827521</v>
      </c>
      <c r="AO741">
        <v>16.133662617524848</v>
      </c>
      <c r="AP741">
        <v>114.07048320514457</v>
      </c>
      <c r="AQ741">
        <v>94.817369592943436</v>
      </c>
      <c r="AR741">
        <v>14.967280033694445</v>
      </c>
      <c r="AS741">
        <v>162.2750271041362</v>
      </c>
      <c r="AT741">
        <v>6.9476893524520618</v>
      </c>
      <c r="AU741">
        <v>-24.407041412631937</v>
      </c>
      <c r="AV741"/>
      <c r="AW741"/>
      <c r="FY741" s="210">
        <v>736</v>
      </c>
      <c r="FZ741">
        <v>7.2461771137702851</v>
      </c>
      <c r="GA741">
        <v>23.217970966078241</v>
      </c>
      <c r="GB741">
        <v>23.514699605326292</v>
      </c>
      <c r="GC741">
        <v>10.254831605235553</v>
      </c>
      <c r="GD741">
        <v>3.8748955574502308</v>
      </c>
      <c r="GE741">
        <v>8.8324975303038595</v>
      </c>
      <c r="GF741">
        <v>7.4252465354020654</v>
      </c>
      <c r="GG741">
        <v>1.2943546988421759</v>
      </c>
      <c r="GH741">
        <v>0.64372257779312592</v>
      </c>
      <c r="GI741">
        <v>10.681195526731393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186.0842907188086</v>
      </c>
      <c r="AO742">
        <v>13.947175483562607</v>
      </c>
      <c r="AP742">
        <v>104.14647277387824</v>
      </c>
      <c r="AQ742">
        <v>85.50827202675147</v>
      </c>
      <c r="AR742">
        <v>12.852690021246781</v>
      </c>
      <c r="AS742">
        <v>136.74152581705474</v>
      </c>
      <c r="AT742">
        <v>6.4060768979185445</v>
      </c>
      <c r="AU742">
        <v>-27.938632908881477</v>
      </c>
      <c r="AV742"/>
      <c r="AW742"/>
      <c r="FY742" s="210">
        <v>737</v>
      </c>
      <c r="FZ742">
        <v>7.1619834234891062</v>
      </c>
      <c r="GA742">
        <v>32.561187252270784</v>
      </c>
      <c r="GB742">
        <v>33.916844124309208</v>
      </c>
      <c r="GC742">
        <v>15.649429128999056</v>
      </c>
      <c r="GD742">
        <v>5.1815133008325498</v>
      </c>
      <c r="GE742">
        <v>8.3449878703951335</v>
      </c>
      <c r="GF742">
        <v>7.0198158528414094</v>
      </c>
      <c r="GG742">
        <v>1.5504545929790807</v>
      </c>
      <c r="GH742">
        <v>2.715612067266381</v>
      </c>
      <c r="GI742">
        <v>14.355814678566157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194.99185669879657</v>
      </c>
      <c r="AO743">
        <v>19.055241730528358</v>
      </c>
      <c r="AP743">
        <v>146.07357938958285</v>
      </c>
      <c r="AQ743">
        <v>110.22500115249171</v>
      </c>
      <c r="AR743">
        <v>17.635120270293708</v>
      </c>
      <c r="AS743">
        <v>176.07866113893164</v>
      </c>
      <c r="AT743">
        <v>7.3604068901324666</v>
      </c>
      <c r="AU743">
        <v>-24.649005838277152</v>
      </c>
      <c r="AV743"/>
      <c r="AW743"/>
      <c r="FY743" s="210">
        <v>738</v>
      </c>
      <c r="FZ743">
        <v>3.9816517135384233</v>
      </c>
      <c r="GA743">
        <v>28.423075687387033</v>
      </c>
      <c r="GB743">
        <v>28.832484795838198</v>
      </c>
      <c r="GC743">
        <v>12.32156134884805</v>
      </c>
      <c r="GD743">
        <v>4.2962957295517814</v>
      </c>
      <c r="GE743">
        <v>4.0883139032196913</v>
      </c>
      <c r="GF743">
        <v>1.7127011871796063</v>
      </c>
      <c r="GG743">
        <v>2.9710588813938639</v>
      </c>
      <c r="GH743">
        <v>4.7195178886900759</v>
      </c>
      <c r="GI743">
        <v>11.341358928259364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189.52431894667347</v>
      </c>
      <c r="AO744">
        <v>11.316461299158659</v>
      </c>
      <c r="AP744">
        <v>82.46911554737774</v>
      </c>
      <c r="AQ744">
        <v>69.799291358509379</v>
      </c>
      <c r="AR744">
        <v>10.690739373332374</v>
      </c>
      <c r="AS744">
        <v>117.29646800995565</v>
      </c>
      <c r="AT744">
        <v>5.0452380769524847</v>
      </c>
      <c r="AU744">
        <v>-15.313619529306319</v>
      </c>
      <c r="AV744"/>
      <c r="AW744"/>
      <c r="FY744" s="210">
        <v>739</v>
      </c>
      <c r="FZ744">
        <v>3.7705944179579571</v>
      </c>
      <c r="GA744">
        <v>28.693497691454461</v>
      </c>
      <c r="GB744">
        <v>22.491428221942847</v>
      </c>
      <c r="GC744">
        <v>7.0496467976822421</v>
      </c>
      <c r="GD744">
        <v>4.0162588697017716</v>
      </c>
      <c r="GE744">
        <v>7.0284734689235968</v>
      </c>
      <c r="GF744">
        <v>3.7481100913401262</v>
      </c>
      <c r="GG744">
        <v>1.9741102061044287</v>
      </c>
      <c r="GH744">
        <v>1.9401706344207539</v>
      </c>
      <c r="GI744">
        <v>9.5091824132804383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154.77493733044082</v>
      </c>
      <c r="AO745">
        <v>10.074168349655213</v>
      </c>
      <c r="AP745">
        <v>71.946022126070446</v>
      </c>
      <c r="AQ745">
        <v>57.992053433032638</v>
      </c>
      <c r="AR745">
        <v>9.4538439451683445</v>
      </c>
      <c r="AS745">
        <v>104.92163996455005</v>
      </c>
      <c r="AT745" t="e">
        <v>#DIV/0!</v>
      </c>
      <c r="AU745" t="e">
        <v>#DIV/0!</v>
      </c>
      <c r="AV745"/>
      <c r="AW745"/>
      <c r="FY745" s="210">
        <v>740</v>
      </c>
      <c r="FZ745">
        <v>2.1470998987285803</v>
      </c>
      <c r="GA745">
        <v>21.814628305238013</v>
      </c>
      <c r="GB745">
        <v>16.633546375482158</v>
      </c>
      <c r="GC745">
        <v>5.7166291226331314</v>
      </c>
      <c r="GD745">
        <v>3.7391338286707496</v>
      </c>
      <c r="GE745">
        <v>4.4066801992786022</v>
      </c>
      <c r="GF745">
        <v>2.7612202196100637</v>
      </c>
      <c r="GG745">
        <v>4.2654135802360393</v>
      </c>
      <c r="GH745">
        <v>4.3976565997935122</v>
      </c>
      <c r="GI745">
        <v>7.8162675501034933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209.04230724705977</v>
      </c>
      <c r="AO746">
        <v>13.622467709078824</v>
      </c>
      <c r="AP746">
        <v>112.87409020520161</v>
      </c>
      <c r="AQ746">
        <v>88.395849173189745</v>
      </c>
      <c r="AR746">
        <v>12.570205069034728</v>
      </c>
      <c r="AS746">
        <v>135.76953839496636</v>
      </c>
      <c r="AT746">
        <v>5.6885856527681957</v>
      </c>
      <c r="AU746">
        <v>-8.9469842595305575</v>
      </c>
      <c r="AV746"/>
      <c r="AW746"/>
      <c r="FY746" s="210">
        <v>741</v>
      </c>
      <c r="FZ746">
        <v>3.8270174114522337</v>
      </c>
      <c r="GA746">
        <v>25.659403049083956</v>
      </c>
      <c r="GB746">
        <v>28.063572942393169</v>
      </c>
      <c r="GC746">
        <v>13.146972740640376</v>
      </c>
      <c r="GD746">
        <v>4.5686884891265285</v>
      </c>
      <c r="GE746">
        <v>5.534359235681471</v>
      </c>
      <c r="GF746">
        <v>5.0342867910797304</v>
      </c>
      <c r="GG746">
        <v>4.5808063907673757</v>
      </c>
      <c r="GH746">
        <v>5.1627810487651473</v>
      </c>
      <c r="GI746">
        <v>11.996707569924821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154.50159911912567</v>
      </c>
      <c r="AO747">
        <v>15.66847629564187</v>
      </c>
      <c r="AP747">
        <v>125.64890744652092</v>
      </c>
      <c r="AQ747">
        <v>96.12704564979515</v>
      </c>
      <c r="AR747">
        <v>14.616567358568927</v>
      </c>
      <c r="AS747">
        <v>135.48228729151643</v>
      </c>
      <c r="AT747">
        <v>6.3176948297967748</v>
      </c>
      <c r="AU747">
        <v>-17.4588925958735</v>
      </c>
      <c r="AV747"/>
      <c r="AW747"/>
      <c r="FY747" s="210">
        <v>742</v>
      </c>
      <c r="FZ747">
        <v>7.5472436024211422</v>
      </c>
      <c r="GA747">
        <v>28.317947840845274</v>
      </c>
      <c r="GB747">
        <v>19.488139379020655</v>
      </c>
      <c r="GC747">
        <v>7.8832368330268618</v>
      </c>
      <c r="GD747">
        <v>4.7231912818702799</v>
      </c>
      <c r="GE747">
        <v>6.6476061079815478</v>
      </c>
      <c r="GF747">
        <v>3.6622131304872543</v>
      </c>
      <c r="GG747">
        <v>2.3849748058630524</v>
      </c>
      <c r="GH747">
        <v>2.904440418277825</v>
      </c>
      <c r="GI747">
        <v>9.8793249060810933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249.93396221881844</v>
      </c>
      <c r="AO748">
        <v>19.883340602995112</v>
      </c>
      <c r="AP748">
        <v>149.14129949749929</v>
      </c>
      <c r="AQ748">
        <v>117.98049459826109</v>
      </c>
      <c r="AR748">
        <v>18.194613993789108</v>
      </c>
      <c r="AS748">
        <v>164.77450810751671</v>
      </c>
      <c r="AT748">
        <v>8.1469068561096183</v>
      </c>
      <c r="AU748">
        <v>-2.4103045812615562</v>
      </c>
      <c r="AV748"/>
      <c r="AW748"/>
      <c r="FY748" s="210">
        <v>743</v>
      </c>
      <c r="FZ748">
        <v>4.7401915868721574</v>
      </c>
      <c r="GA748">
        <v>22.697116254535629</v>
      </c>
      <c r="GB748">
        <v>18.757797061988391</v>
      </c>
      <c r="GC748">
        <v>7.9016164884378979</v>
      </c>
      <c r="GD748">
        <v>5.0127328599512904</v>
      </c>
      <c r="GE748">
        <v>9.7724261466656515</v>
      </c>
      <c r="GF748">
        <v>8.7823968824198566</v>
      </c>
      <c r="GG748">
        <v>3.1729931157193176</v>
      </c>
      <c r="GH748">
        <v>2.32338990032288</v>
      </c>
      <c r="GI748">
        <v>10.293349245657282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204.91022899139026</v>
      </c>
      <c r="AO749">
        <v>13.186221628638538</v>
      </c>
      <c r="AP749">
        <v>105.29649822672657</v>
      </c>
      <c r="AQ749">
        <v>83.108008474542913</v>
      </c>
      <c r="AR749">
        <v>12.152528425363634</v>
      </c>
      <c r="AS749">
        <v>119.60818584362951</v>
      </c>
      <c r="AT749" t="e">
        <v>#DIV/0!</v>
      </c>
      <c r="AU749" t="e">
        <v>#DIV/0!</v>
      </c>
      <c r="AV749"/>
      <c r="AW749"/>
      <c r="FY749" s="210">
        <v>744</v>
      </c>
      <c r="FZ749">
        <v>6.5025395900360508</v>
      </c>
      <c r="GA749">
        <v>23.725503191772159</v>
      </c>
      <c r="GB749">
        <v>24.000215466608839</v>
      </c>
      <c r="GC749">
        <v>10.451872103541909</v>
      </c>
      <c r="GD749">
        <v>4.3805556763081368</v>
      </c>
      <c r="GE749">
        <v>7.40766891258321</v>
      </c>
      <c r="GF749">
        <v>5.035361583504943</v>
      </c>
      <c r="GG749">
        <v>4.3590850119674815</v>
      </c>
      <c r="GH749">
        <v>4.5841077408075783</v>
      </c>
      <c r="GI749">
        <v>11.174943430771865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171.24069160357101</v>
      </c>
      <c r="AO750">
        <v>13.633932620512578</v>
      </c>
      <c r="AP750">
        <v>113.04426592487476</v>
      </c>
      <c r="AQ750">
        <v>88.833089648824824</v>
      </c>
      <c r="AR750">
        <v>12.613275523601692</v>
      </c>
      <c r="AS750">
        <v>126.86803055170115</v>
      </c>
      <c r="AT750">
        <v>6.2017809341930379</v>
      </c>
      <c r="AU750">
        <v>-17.441950206823876</v>
      </c>
      <c r="AV750"/>
      <c r="AW750"/>
      <c r="FY750" s="210">
        <v>745</v>
      </c>
      <c r="FZ750">
        <v>3.8948037393220742</v>
      </c>
      <c r="GA750">
        <v>24.621197349362049</v>
      </c>
      <c r="GB750">
        <v>28.502466302330987</v>
      </c>
      <c r="GC750">
        <v>14.526763001988176</v>
      </c>
      <c r="GD750">
        <v>5.8424074714648331</v>
      </c>
      <c r="GE750">
        <v>5.5141362457657088</v>
      </c>
      <c r="GF750">
        <v>2.5574300859045236</v>
      </c>
      <c r="GG750">
        <v>2.1958315849043233</v>
      </c>
      <c r="GH750">
        <v>2.1969826534817587</v>
      </c>
      <c r="GI750">
        <v>11.934477876146508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211.79033020458155</v>
      </c>
      <c r="AO751">
        <v>16.397647059982788</v>
      </c>
      <c r="AP751">
        <v>114.04297455287656</v>
      </c>
      <c r="AQ751">
        <v>89.93804167036599</v>
      </c>
      <c r="AR751">
        <v>15.229837196407551</v>
      </c>
      <c r="AS751">
        <v>148.10650714556147</v>
      </c>
      <c r="AT751">
        <v>6.4297426914798814</v>
      </c>
      <c r="AU751">
        <v>-19.449838119704303</v>
      </c>
      <c r="AV751"/>
      <c r="AW751"/>
      <c r="FY751" s="210">
        <v>746</v>
      </c>
      <c r="FZ751">
        <v>3.8512522243834995</v>
      </c>
      <c r="GA751">
        <v>23.275292334383913</v>
      </c>
      <c r="GB751">
        <v>20.055434230197772</v>
      </c>
      <c r="GC751">
        <v>9.2236282233079017</v>
      </c>
      <c r="GD751">
        <v>4.4037567928076946</v>
      </c>
      <c r="GE751">
        <v>3.6821994134256615</v>
      </c>
      <c r="GF751">
        <v>2.4267631843275965</v>
      </c>
      <c r="GG751">
        <v>3.9807985700500232</v>
      </c>
      <c r="GH751">
        <v>4.0734181008995725</v>
      </c>
      <c r="GI751">
        <v>9.2039280322660328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212.65555458697139</v>
      </c>
      <c r="AO752">
        <v>16.035001172110984</v>
      </c>
      <c r="AP752">
        <v>120.59596103558536</v>
      </c>
      <c r="AQ752">
        <v>96.985591716933214</v>
      </c>
      <c r="AR752">
        <v>14.683518274912538</v>
      </c>
      <c r="AS752">
        <v>152.1577349409188</v>
      </c>
      <c r="AT752" t="e">
        <v>#DIV/0!</v>
      </c>
      <c r="AU752" t="e">
        <v>#DIV/0!</v>
      </c>
      <c r="AV752"/>
      <c r="AW752"/>
      <c r="FY752" s="210">
        <v>747</v>
      </c>
      <c r="FZ752">
        <v>3.9625931985602127</v>
      </c>
      <c r="GA752">
        <v>24.597423340670979</v>
      </c>
      <c r="GB752">
        <v>27.024983006300324</v>
      </c>
      <c r="GC752">
        <v>12.21696336020476</v>
      </c>
      <c r="GD752">
        <v>5.8518979112094618</v>
      </c>
      <c r="GE752">
        <v>7.2090619642489209</v>
      </c>
      <c r="GF752">
        <v>2.0162368028874913</v>
      </c>
      <c r="GG752">
        <v>3.7119076625463934</v>
      </c>
      <c r="GH752">
        <v>4.2622464519110155</v>
      </c>
      <c r="GI752">
        <v>11.779859329944971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241.57739463629849</v>
      </c>
      <c r="AO753">
        <v>21.706692056138245</v>
      </c>
      <c r="AP753">
        <v>164.00820914729962</v>
      </c>
      <c r="AQ753">
        <v>128.45764229194884</v>
      </c>
      <c r="AR753">
        <v>19.91199279063164</v>
      </c>
      <c r="AS753">
        <v>179.46888543801029</v>
      </c>
      <c r="AT753" t="e">
        <v>#DIV/0!</v>
      </c>
      <c r="AU753" t="e">
        <v>#DIV/0!</v>
      </c>
      <c r="AV753"/>
      <c r="AW753"/>
      <c r="FY753" s="210">
        <v>748</v>
      </c>
      <c r="FZ753">
        <v>0.92869680654249498</v>
      </c>
      <c r="GA753">
        <v>19.486810881230163</v>
      </c>
      <c r="GB753">
        <v>22.138277934753276</v>
      </c>
      <c r="GC753">
        <v>9.7050082096557038</v>
      </c>
      <c r="GD753">
        <v>4.3823006070437041</v>
      </c>
      <c r="GE753">
        <v>6.9216257846944247</v>
      </c>
      <c r="GF753">
        <v>6.2207180088169904</v>
      </c>
      <c r="GG753">
        <v>2.7149589872569586</v>
      </c>
      <c r="GH753">
        <v>2.0652637984292568</v>
      </c>
      <c r="GI753">
        <v>9.6880548836629128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175.68263800477979</v>
      </c>
      <c r="AO754">
        <v>16.948000705293559</v>
      </c>
      <c r="AP754">
        <v>132.0938320965661</v>
      </c>
      <c r="AQ754">
        <v>102.68802006390608</v>
      </c>
      <c r="AR754">
        <v>15.884726560500782</v>
      </c>
      <c r="AS754">
        <v>154.39136346529259</v>
      </c>
      <c r="AT754">
        <v>6.8992623104046871</v>
      </c>
      <c r="AU754">
        <v>-23.833588262191096</v>
      </c>
      <c r="AV754"/>
      <c r="AW754"/>
      <c r="FY754" s="210">
        <v>749</v>
      </c>
      <c r="FZ754">
        <v>3.5179944238013343</v>
      </c>
      <c r="GA754">
        <v>22.520910380101675</v>
      </c>
      <c r="GB754">
        <v>24.125618861990471</v>
      </c>
      <c r="GC754">
        <v>10.497212358523317</v>
      </c>
      <c r="GD754">
        <v>3.9564235567106687</v>
      </c>
      <c r="GE754">
        <v>5.1724441509578245</v>
      </c>
      <c r="GF754">
        <v>2.5574300859045236</v>
      </c>
      <c r="GG754">
        <v>2.8773874496624217</v>
      </c>
      <c r="GH754">
        <v>3.1078342342098835</v>
      </c>
      <c r="GI754">
        <v>9.8240302803359185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209.01090969139241</v>
      </c>
      <c r="AO755">
        <v>14.206957639700217</v>
      </c>
      <c r="AP755">
        <v>114.23143463939144</v>
      </c>
      <c r="AQ755">
        <v>90.221472812808614</v>
      </c>
      <c r="AR755">
        <v>13.213628217579435</v>
      </c>
      <c r="AS755">
        <v>125.06117202395785</v>
      </c>
      <c r="AT755">
        <v>5.8689080112624064</v>
      </c>
      <c r="AU755">
        <v>-27.970170317167266</v>
      </c>
      <c r="AV755"/>
      <c r="AW755"/>
      <c r="FY755" s="210">
        <v>750</v>
      </c>
      <c r="FZ755">
        <v>3.9745830771954447</v>
      </c>
      <c r="GA755">
        <v>27.51376549985282</v>
      </c>
      <c r="GB755">
        <v>28.38113445393186</v>
      </c>
      <c r="GC755">
        <v>11.23061267522422</v>
      </c>
      <c r="GD755">
        <v>3.1555402533036254</v>
      </c>
      <c r="GE755">
        <v>3.6184011998138175</v>
      </c>
      <c r="GF755">
        <v>1.8135214616071638</v>
      </c>
      <c r="GG755">
        <v>2.1021601531728811</v>
      </c>
      <c r="GH755">
        <v>3.5584799799449449</v>
      </c>
      <c r="GI755">
        <v>10.435166044649408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174.11434602895775</v>
      </c>
      <c r="AO756">
        <v>11.524248099057216</v>
      </c>
      <c r="AP756">
        <v>92.223906418153575</v>
      </c>
      <c r="AQ756">
        <v>73.698275679774341</v>
      </c>
      <c r="AR756">
        <v>10.885942323334591</v>
      </c>
      <c r="AS756">
        <v>119.95250256455199</v>
      </c>
      <c r="AT756">
        <v>5.3677385097825576</v>
      </c>
      <c r="AU756">
        <v>126.3761758483743</v>
      </c>
      <c r="AV756"/>
      <c r="AW756"/>
      <c r="FY756" s="210">
        <v>751</v>
      </c>
      <c r="FZ756">
        <v>7.1342095953339033</v>
      </c>
      <c r="GA756">
        <v>33.343153534450749</v>
      </c>
      <c r="GB756">
        <v>22.596064053843833</v>
      </c>
      <c r="GC756">
        <v>8.856657845334297</v>
      </c>
      <c r="GD756">
        <v>4.996953543195163</v>
      </c>
      <c r="GE756">
        <v>6.1630728284050278</v>
      </c>
      <c r="GF756">
        <v>3.0180499881922387</v>
      </c>
      <c r="GG756">
        <v>3.3819234811524872</v>
      </c>
      <c r="GH756">
        <v>6.0056489614437094</v>
      </c>
      <c r="GI756">
        <v>11.13295800807488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207.21155408816944</v>
      </c>
      <c r="AO757">
        <v>18.093543031397065</v>
      </c>
      <c r="AP757">
        <v>137.27266602520987</v>
      </c>
      <c r="AQ757">
        <v>107.57459566891482</v>
      </c>
      <c r="AR757">
        <v>16.696241738794271</v>
      </c>
      <c r="AS757">
        <v>147.14700338896219</v>
      </c>
      <c r="AT757">
        <v>7.2828689775210167</v>
      </c>
      <c r="AU757">
        <v>-27.42191578458916</v>
      </c>
      <c r="AV757"/>
      <c r="AW757"/>
      <c r="FY757" s="210">
        <v>752</v>
      </c>
      <c r="FZ757">
        <v>9.2334677609080966</v>
      </c>
      <c r="GA757">
        <v>37.952117634456151</v>
      </c>
      <c r="GB757">
        <v>21.511139342499472</v>
      </c>
      <c r="GC757">
        <v>7.0849212778817154</v>
      </c>
      <c r="GD757">
        <v>3.1339567413067457</v>
      </c>
      <c r="GE757">
        <v>5.0565710220408899</v>
      </c>
      <c r="GF757">
        <v>6.6493416991049106</v>
      </c>
      <c r="GG757">
        <v>2.7475371450981236</v>
      </c>
      <c r="GH757">
        <v>3.6835731439534483</v>
      </c>
      <c r="GI757">
        <v>10.359558317567206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191.80372272451646</v>
      </c>
      <c r="AO758">
        <v>14.737662078044355</v>
      </c>
      <c r="AP758">
        <v>114.25503676657974</v>
      </c>
      <c r="AQ758">
        <v>93.438318305875001</v>
      </c>
      <c r="AR758">
        <v>13.699072868233092</v>
      </c>
      <c r="AS758">
        <v>135.73407268440636</v>
      </c>
      <c r="AT758">
        <v>7.0385702847243357</v>
      </c>
      <c r="AU758">
        <v>-24.467260354937501</v>
      </c>
      <c r="AV758"/>
      <c r="AW758"/>
      <c r="FY758" s="210">
        <v>753</v>
      </c>
      <c r="FZ758">
        <v>1.0911616905169064</v>
      </c>
      <c r="GA758">
        <v>27.100845976006134</v>
      </c>
      <c r="GB758">
        <v>21.787398016706476</v>
      </c>
      <c r="GC758">
        <v>6.9175492655959925</v>
      </c>
      <c r="GD758">
        <v>3.3478674200287566</v>
      </c>
      <c r="GE758">
        <v>3.311466193378815</v>
      </c>
      <c r="GF758">
        <v>1.915416528459934</v>
      </c>
      <c r="GG758">
        <v>3.7119076625463934</v>
      </c>
      <c r="GH758">
        <v>3.9403851630144526</v>
      </c>
      <c r="GI758">
        <v>8.5080355463017803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240.85129914542691</v>
      </c>
      <c r="AO759">
        <v>15.309340089781207</v>
      </c>
      <c r="AP759">
        <v>113.56086316659216</v>
      </c>
      <c r="AQ759">
        <v>93.454009542570361</v>
      </c>
      <c r="AR759">
        <v>14.099916241901617</v>
      </c>
      <c r="AS759">
        <v>147.00114598354352</v>
      </c>
      <c r="AT759">
        <v>6.9046548614306529</v>
      </c>
      <c r="AU759">
        <v>-36.581370380797594</v>
      </c>
      <c r="AV759"/>
      <c r="AW759"/>
      <c r="FY759" s="210">
        <v>754</v>
      </c>
      <c r="FZ759">
        <v>1.146570814173435</v>
      </c>
      <c r="GA759">
        <v>27.239155779363024</v>
      </c>
      <c r="GB759">
        <v>24.401066760452963</v>
      </c>
      <c r="GC759">
        <v>8.3157679916821827</v>
      </c>
      <c r="GD759">
        <v>3.2888168422934552</v>
      </c>
      <c r="GE759">
        <v>9.4430752004976775</v>
      </c>
      <c r="GF759">
        <v>10.787098045454565</v>
      </c>
      <c r="GG759">
        <v>3.8417579671106914</v>
      </c>
      <c r="GH759">
        <v>5.2344560096447035</v>
      </c>
      <c r="GI759">
        <v>11.057020228166444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210.99744075645722</v>
      </c>
      <c r="AO760">
        <v>16.745854209370258</v>
      </c>
      <c r="AP760">
        <v>126.91772564584555</v>
      </c>
      <c r="AQ760">
        <v>101.62185270790215</v>
      </c>
      <c r="AR760">
        <v>15.568931261090901</v>
      </c>
      <c r="AS760">
        <v>143.28039147263939</v>
      </c>
      <c r="AT760">
        <v>7.565345001589173</v>
      </c>
      <c r="AU760">
        <v>-46.309569334236755</v>
      </c>
      <c r="AV760"/>
      <c r="AW760"/>
      <c r="FY760" s="210">
        <v>755</v>
      </c>
      <c r="FZ760">
        <v>1.2059031472636812</v>
      </c>
      <c r="GA760">
        <v>25.683713225181286</v>
      </c>
      <c r="GB760">
        <v>26.793174952132489</v>
      </c>
      <c r="GC760">
        <v>9.5439168108270032</v>
      </c>
      <c r="GD760">
        <v>3.9693337428253481</v>
      </c>
      <c r="GE760">
        <v>7.8292876305801702</v>
      </c>
      <c r="GF760">
        <v>6.2047199028170921</v>
      </c>
      <c r="GG760">
        <v>4.0762703592773093</v>
      </c>
      <c r="GH760">
        <v>4.3339214127905716</v>
      </c>
      <c r="GI760">
        <v>11.04266047891053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226.93591914796366</v>
      </c>
      <c r="AO761">
        <v>18.046825052027803</v>
      </c>
      <c r="AP761">
        <v>127.21772543737097</v>
      </c>
      <c r="AQ761">
        <v>101.78649631067094</v>
      </c>
      <c r="AR761">
        <v>16.698348966874899</v>
      </c>
      <c r="AS761">
        <v>202.99841926901036</v>
      </c>
      <c r="AT761" t="e">
        <v>#DIV/0!</v>
      </c>
      <c r="AU761" t="e">
        <v>#DIV/0!</v>
      </c>
      <c r="AV761"/>
      <c r="AW761"/>
      <c r="FY761" s="210">
        <v>756</v>
      </c>
      <c r="FZ761">
        <v>4.1861504390630824</v>
      </c>
      <c r="GA761">
        <v>32.642283560528696</v>
      </c>
      <c r="GB761">
        <v>28.78706094513548</v>
      </c>
      <c r="GC761">
        <v>10.505206609603707</v>
      </c>
      <c r="GD761">
        <v>4.0413187228878282</v>
      </c>
      <c r="GE761">
        <v>7.3361054817716429</v>
      </c>
      <c r="GF761">
        <v>6.5485214246773529</v>
      </c>
      <c r="GG761">
        <v>2.7475371450981236</v>
      </c>
      <c r="GH761">
        <v>2.5188439423783215</v>
      </c>
      <c r="GI761">
        <v>11.795951678995175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184.64132714952729</v>
      </c>
      <c r="AO762">
        <v>13.742889148763757</v>
      </c>
      <c r="AP762">
        <v>104.99408259494096</v>
      </c>
      <c r="AQ762">
        <v>84.176471106049675</v>
      </c>
      <c r="AR762">
        <v>12.866688674476416</v>
      </c>
      <c r="AS762">
        <v>138.69770893703031</v>
      </c>
      <c r="AT762">
        <v>6.6860305111173988</v>
      </c>
      <c r="AU762">
        <v>-45.798393391216365</v>
      </c>
      <c r="AV762"/>
      <c r="AW762"/>
      <c r="FY762" s="210">
        <v>757</v>
      </c>
      <c r="FZ762">
        <v>3.5272135405289022</v>
      </c>
      <c r="GA762">
        <v>32.357689166239652</v>
      </c>
      <c r="GB762">
        <v>29.41586420653902</v>
      </c>
      <c r="GC762">
        <v>11.998832204052306</v>
      </c>
      <c r="GD762">
        <v>5.748332933682982</v>
      </c>
      <c r="GE762">
        <v>5.5132057933108509</v>
      </c>
      <c r="GF762">
        <v>1.2563300725902344</v>
      </c>
      <c r="GG762">
        <v>2.6538657133666819</v>
      </c>
      <c r="GH762">
        <v>2.9761153791573811</v>
      </c>
      <c r="GI762">
        <v>11.922627302516103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235.74079473564194</v>
      </c>
      <c r="AO763">
        <v>17.655925822218016</v>
      </c>
      <c r="AP763">
        <v>126.80023034033984</v>
      </c>
      <c r="AQ763">
        <v>102.63317302848452</v>
      </c>
      <c r="AR763">
        <v>16.497697289969054</v>
      </c>
      <c r="AS763">
        <v>158.21807447318349</v>
      </c>
      <c r="AT763">
        <v>7.3536644773249655</v>
      </c>
      <c r="AU763">
        <v>236.54474340765017</v>
      </c>
      <c r="AV763"/>
      <c r="AW763"/>
      <c r="FY763" s="210">
        <v>758</v>
      </c>
      <c r="FZ763">
        <v>3.6467566302271366</v>
      </c>
      <c r="GA763">
        <v>26.926952528910608</v>
      </c>
      <c r="GB763">
        <v>30.775492327554961</v>
      </c>
      <c r="GC763">
        <v>13.322311995038055</v>
      </c>
      <c r="GD763">
        <v>4.0994180973969581</v>
      </c>
      <c r="GE763">
        <v>4.6922224774142709</v>
      </c>
      <c r="GF763">
        <v>3.2015932281995374</v>
      </c>
      <c r="GG763">
        <v>3.7119076625463934</v>
      </c>
      <c r="GH763">
        <v>3.3580205622268902</v>
      </c>
      <c r="GI763">
        <v>11.689015253306442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202.5944419390832</v>
      </c>
      <c r="AO764">
        <v>14.525489375749734</v>
      </c>
      <c r="AP764">
        <v>106.34164357545542</v>
      </c>
      <c r="AQ764">
        <v>84.251715902085891</v>
      </c>
      <c r="AR764">
        <v>13.397310284730162</v>
      </c>
      <c r="AS764">
        <v>139.68317949145967</v>
      </c>
      <c r="AT764">
        <v>6.2142339399312938</v>
      </c>
      <c r="AU764">
        <v>-22.203454728872082</v>
      </c>
      <c r="AV764"/>
      <c r="AW764"/>
      <c r="FY764" s="210">
        <v>759</v>
      </c>
      <c r="FZ764">
        <v>3.8199456437409589</v>
      </c>
      <c r="GA764">
        <v>32.822076914280778</v>
      </c>
      <c r="GB764">
        <v>25.71006935935651</v>
      </c>
      <c r="GC764">
        <v>9.8567133746816626</v>
      </c>
      <c r="GD764">
        <v>3.5549271576272981</v>
      </c>
      <c r="GE764">
        <v>4.6061108944751545</v>
      </c>
      <c r="GF764">
        <v>6.6653398051048081</v>
      </c>
      <c r="GG764">
        <v>2.0677816378358704</v>
      </c>
      <c r="GH764">
        <v>2.969489688113383</v>
      </c>
      <c r="GI764">
        <v>10.785286605599506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160.59444768967015</v>
      </c>
      <c r="AO765">
        <v>14.891384744397874</v>
      </c>
      <c r="AP765">
        <v>112.40922730176834</v>
      </c>
      <c r="AQ765">
        <v>88.157285782198059</v>
      </c>
      <c r="AR765">
        <v>13.745403239712704</v>
      </c>
      <c r="AS765">
        <v>128.2182815058392</v>
      </c>
      <c r="AT765" t="e">
        <v>#DIV/0!</v>
      </c>
      <c r="AU765" t="e">
        <v>#DIV/0!</v>
      </c>
      <c r="AV765"/>
      <c r="AW765"/>
      <c r="FY765" s="210">
        <v>760</v>
      </c>
      <c r="FZ765">
        <v>10.168612922270496</v>
      </c>
      <c r="GA765">
        <v>37.164914632201466</v>
      </c>
      <c r="GB765">
        <v>19.923514472650854</v>
      </c>
      <c r="GC765">
        <v>6.1397115479742261</v>
      </c>
      <c r="GD765">
        <v>4.2975056316247704</v>
      </c>
      <c r="GE765">
        <v>5.6476805733361317</v>
      </c>
      <c r="GF765">
        <v>3.6121196096396426</v>
      </c>
      <c r="GG765">
        <v>5.9996103216863137</v>
      </c>
      <c r="GH765">
        <v>5.8051895437256551</v>
      </c>
      <c r="GI765">
        <v>10.589947884189234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130.60065234471375</v>
      </c>
      <c r="AO766">
        <v>15.650396298560443</v>
      </c>
      <c r="AP766">
        <v>125.92790824784181</v>
      </c>
      <c r="AQ766">
        <v>95.783364798696184</v>
      </c>
      <c r="AR766">
        <v>14.658231693785595</v>
      </c>
      <c r="AS766">
        <v>132.29266222270368</v>
      </c>
      <c r="AT766">
        <v>6.9040493158505329</v>
      </c>
      <c r="AU766">
        <v>-40.438769755951306</v>
      </c>
      <c r="AV766"/>
      <c r="AW766"/>
      <c r="FY766" s="210">
        <v>761</v>
      </c>
      <c r="FZ766">
        <v>4.0515885217928531</v>
      </c>
      <c r="GA766">
        <v>23.0084983690654</v>
      </c>
      <c r="GB766">
        <v>27.133465163461693</v>
      </c>
      <c r="GC766">
        <v>11.442366130992344</v>
      </c>
      <c r="GD766">
        <v>2.2737714618833031</v>
      </c>
      <c r="GE766">
        <v>4.1700395421028889</v>
      </c>
      <c r="GF766">
        <v>4.1025861390767284</v>
      </c>
      <c r="GG766">
        <v>1.7377974564419647</v>
      </c>
      <c r="GH766">
        <v>3.8086663079619516</v>
      </c>
      <c r="GI766">
        <v>10.058675982126392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190.460109458971</v>
      </c>
      <c r="AO767">
        <v>16.577500332415209</v>
      </c>
      <c r="AP767">
        <v>132.443078688497</v>
      </c>
      <c r="AQ767">
        <v>106.62869183942628</v>
      </c>
      <c r="AR767">
        <v>15.4685389401279</v>
      </c>
      <c r="AS767">
        <v>148.37985394436325</v>
      </c>
      <c r="AT767" t="e">
        <v>#DIV/0!</v>
      </c>
      <c r="AU767" t="e">
        <v>#DIV/0!</v>
      </c>
      <c r="AV767"/>
      <c r="AW767"/>
      <c r="FY767" s="210">
        <v>762</v>
      </c>
      <c r="FZ767">
        <v>9.4495848764691228</v>
      </c>
      <c r="GA767">
        <v>32.956934284849559</v>
      </c>
      <c r="GB767">
        <v>24.696678787339852</v>
      </c>
      <c r="GC767">
        <v>10.029088574564911</v>
      </c>
      <c r="GD767">
        <v>3.8553872395493975</v>
      </c>
      <c r="GE767">
        <v>4.4488930871084129</v>
      </c>
      <c r="GF767">
        <v>3.2175913341994358</v>
      </c>
      <c r="GG767">
        <v>2.0695819953317161</v>
      </c>
      <c r="GH767">
        <v>1.0359447447366277</v>
      </c>
      <c r="GI767">
        <v>10.536474435283282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238.68572693870607</v>
      </c>
      <c r="AO768">
        <v>15.430512718743035</v>
      </c>
      <c r="AP768">
        <v>136.26550681426613</v>
      </c>
      <c r="AQ768">
        <v>107.41218408481676</v>
      </c>
      <c r="AR768">
        <v>14.215778396598578</v>
      </c>
      <c r="AS768">
        <v>163.24853654992083</v>
      </c>
      <c r="AT768">
        <v>6.9526536992253165</v>
      </c>
      <c r="AU768">
        <v>-10.505617253329847</v>
      </c>
      <c r="AV768"/>
      <c r="AW768"/>
      <c r="FY768" s="210">
        <v>763</v>
      </c>
      <c r="FZ768">
        <v>1.0896377543919853</v>
      </c>
      <c r="GA768">
        <v>17.332551835503306</v>
      </c>
      <c r="GB768">
        <v>21.577533924055679</v>
      </c>
      <c r="GC768">
        <v>8.9542395550709308</v>
      </c>
      <c r="GD768">
        <v>2.8861475393315992</v>
      </c>
      <c r="GE768">
        <v>5.9537714015984218</v>
      </c>
      <c r="GF768">
        <v>6.2398901100900179</v>
      </c>
      <c r="GG768">
        <v>2.0695819953317161</v>
      </c>
      <c r="GH768">
        <v>2.5225352352083168</v>
      </c>
      <c r="GI768">
        <v>8.7832906079115212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161.0595685075933</v>
      </c>
      <c r="AO769">
        <v>12.710880328457318</v>
      </c>
      <c r="AP769">
        <v>106.3154340392952</v>
      </c>
      <c r="AQ769">
        <v>81.63203346255564</v>
      </c>
      <c r="AR769">
        <v>11.909705865993091</v>
      </c>
      <c r="AS769">
        <v>116.07219391088847</v>
      </c>
      <c r="AT769">
        <v>5.2465319287875323</v>
      </c>
      <c r="AU769">
        <v>-15.342190030024998</v>
      </c>
      <c r="AV769"/>
      <c r="AW769"/>
      <c r="FY769" s="210">
        <v>764</v>
      </c>
      <c r="FZ769">
        <v>1.2301379601949469</v>
      </c>
      <c r="GA769">
        <v>20.001970925868338</v>
      </c>
      <c r="GB769">
        <v>16.96022818930874</v>
      </c>
      <c r="GC769">
        <v>5.8483506470111779</v>
      </c>
      <c r="GD769">
        <v>3.0005162263773015</v>
      </c>
      <c r="GE769">
        <v>6.0689150607113245</v>
      </c>
      <c r="GF769">
        <v>6.6301695978318831</v>
      </c>
      <c r="GG769">
        <v>2.5240154088023843</v>
      </c>
      <c r="GH769">
        <v>1.7434025095326939</v>
      </c>
      <c r="GI769">
        <v>7.6360617758924541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226.15051715357248</v>
      </c>
      <c r="AO770">
        <v>16.705800190306341</v>
      </c>
      <c r="AP770">
        <v>136.42408325406802</v>
      </c>
      <c r="AQ770">
        <v>104.75478563883914</v>
      </c>
      <c r="AR770">
        <v>15.082242159699959</v>
      </c>
      <c r="AS770">
        <v>140.42491587847425</v>
      </c>
      <c r="AT770">
        <v>7.409225770685862</v>
      </c>
      <c r="AU770">
        <v>-49.146326855604173</v>
      </c>
      <c r="AV770"/>
      <c r="AW770"/>
      <c r="FY770" s="210">
        <v>765</v>
      </c>
      <c r="FZ770">
        <v>4.5544994520332018</v>
      </c>
      <c r="GA770">
        <v>33.701313928293786</v>
      </c>
      <c r="GB770">
        <v>30.667298327979694</v>
      </c>
      <c r="GC770">
        <v>11.968278761685479</v>
      </c>
      <c r="GD770">
        <v>3.8139634832048417</v>
      </c>
      <c r="GE770">
        <v>4.603404017146028</v>
      </c>
      <c r="GF770">
        <v>4.289303374357158</v>
      </c>
      <c r="GG770">
        <v>3.7462861778834036</v>
      </c>
      <c r="GH770">
        <v>5.4949593215357027</v>
      </c>
      <c r="GI770">
        <v>12.266017733788859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196.14867187064567</v>
      </c>
      <c r="AO771">
        <v>16.598652465725259</v>
      </c>
      <c r="AP771">
        <v>130.6434474376062</v>
      </c>
      <c r="AQ771">
        <v>100.68290166260547</v>
      </c>
      <c r="AR771">
        <v>15.355004791466305</v>
      </c>
      <c r="AS771">
        <v>152.58552927226052</v>
      </c>
      <c r="AT771">
        <v>7.0494728026313753</v>
      </c>
      <c r="AU771">
        <v>-44.572386309034101</v>
      </c>
      <c r="AV771"/>
      <c r="AW771"/>
      <c r="FY771" s="210">
        <v>766</v>
      </c>
      <c r="FZ771">
        <v>10.007413787391906</v>
      </c>
      <c r="GA771">
        <v>31.38223188684395</v>
      </c>
      <c r="GB771">
        <v>26.19490459216345</v>
      </c>
      <c r="GC771">
        <v>12.763588826105201</v>
      </c>
      <c r="GD771">
        <v>4.5383856920406433</v>
      </c>
      <c r="GE771">
        <v>3.4919499982847544</v>
      </c>
      <c r="GF771">
        <v>1.727624500754291</v>
      </c>
      <c r="GG771">
        <v>0.77522729648954036</v>
      </c>
      <c r="GH771">
        <v>2.2006739463117539</v>
      </c>
      <c r="GI771">
        <v>11.320139785452909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239.04140102319766</v>
      </c>
      <c r="AO772">
        <v>17.838321627865447</v>
      </c>
      <c r="AP772">
        <v>143.51325569385091</v>
      </c>
      <c r="AQ772">
        <v>111.1089799501394</v>
      </c>
      <c r="AR772">
        <v>16.336783399184416</v>
      </c>
      <c r="AS772">
        <v>143.94124297850456</v>
      </c>
      <c r="AT772">
        <v>6.9246280275966496</v>
      </c>
      <c r="AU772">
        <v>-14.261695427650018</v>
      </c>
      <c r="AV772"/>
      <c r="AW772"/>
      <c r="FY772" s="210">
        <v>767</v>
      </c>
      <c r="FZ772">
        <v>1.452054786600399</v>
      </c>
      <c r="GA772">
        <v>25.70515046572508</v>
      </c>
      <c r="GB772">
        <v>26.589907108428022</v>
      </c>
      <c r="GC772">
        <v>10.897629221738217</v>
      </c>
      <c r="GD772">
        <v>4.4244137243186641</v>
      </c>
      <c r="GE772">
        <v>6.1056797330746928</v>
      </c>
      <c r="GF772">
        <v>5.5616315529472908</v>
      </c>
      <c r="GG772">
        <v>3.3947144945192114</v>
      </c>
      <c r="GH772">
        <v>4.0054344328500111</v>
      </c>
      <c r="GI772">
        <v>11.062425393989951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212.33318094889523</v>
      </c>
      <c r="AO773">
        <v>17.939240264162908</v>
      </c>
      <c r="AP773">
        <v>136.23080257715648</v>
      </c>
      <c r="AQ773">
        <v>107.37007631198411</v>
      </c>
      <c r="AR773">
        <v>16.779192389390786</v>
      </c>
      <c r="AS773">
        <v>165.49859338704104</v>
      </c>
      <c r="AT773" t="e">
        <v>#DIV/0!</v>
      </c>
      <c r="AU773" t="e">
        <v>#DIV/0!</v>
      </c>
      <c r="AV773"/>
      <c r="AW773"/>
      <c r="FY773" s="210">
        <v>768</v>
      </c>
      <c r="FZ773">
        <v>6.9833599249931275</v>
      </c>
      <c r="GA773">
        <v>30.404533453786335</v>
      </c>
      <c r="GB773">
        <v>30.825211097547125</v>
      </c>
      <c r="GC773">
        <v>12.429829812986181</v>
      </c>
      <c r="GD773">
        <v>2.429422877465977</v>
      </c>
      <c r="GE773">
        <v>4.8781201249948225</v>
      </c>
      <c r="GF773">
        <v>7.2775067354000278</v>
      </c>
      <c r="GG773">
        <v>3.3929141370233671</v>
      </c>
      <c r="GH773">
        <v>3.2263017071743878</v>
      </c>
      <c r="GI773">
        <v>12.025287158669091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224.55092714297999</v>
      </c>
      <c r="AO774">
        <v>17.635923201207497</v>
      </c>
      <c r="AP774">
        <v>135.87802973904752</v>
      </c>
      <c r="AQ774">
        <v>105.42369076282125</v>
      </c>
      <c r="AR774">
        <v>16.309342975205716</v>
      </c>
      <c r="AS774">
        <v>169.90593326067611</v>
      </c>
      <c r="AT774" t="e">
        <v>#DIV/0!</v>
      </c>
      <c r="AU774" t="e">
        <v>#DIV/0!</v>
      </c>
      <c r="AV774"/>
      <c r="AW774"/>
      <c r="FY774" s="210">
        <v>769</v>
      </c>
      <c r="FZ774">
        <v>7.0454661513593351</v>
      </c>
      <c r="GA774">
        <v>30.144456744337813</v>
      </c>
      <c r="GB774">
        <v>17.429679882134295</v>
      </c>
      <c r="GC774">
        <v>5.2592477461715266</v>
      </c>
      <c r="GD774">
        <v>2.5878045737410504</v>
      </c>
      <c r="GE774">
        <v>6.5503288943049913</v>
      </c>
      <c r="GF774">
        <v>8.6148517484124554</v>
      </c>
      <c r="GG774">
        <v>2.1632534270631583</v>
      </c>
      <c r="GH774">
        <v>1.4828991976416939</v>
      </c>
      <c r="GI774">
        <v>8.741206895121298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178.15273869031361</v>
      </c>
      <c r="AO775">
        <v>16.144633245503549</v>
      </c>
      <c r="AP775">
        <v>134.20242722390356</v>
      </c>
      <c r="AQ775">
        <v>102.85774108081593</v>
      </c>
      <c r="AR775">
        <v>14.916083251958831</v>
      </c>
      <c r="AS775">
        <v>131.25412905759916</v>
      </c>
      <c r="AT775">
        <v>6.4832599284198862</v>
      </c>
      <c r="AU775">
        <v>-11.192398581578853</v>
      </c>
      <c r="AV775"/>
      <c r="AW775"/>
      <c r="FY775" s="210">
        <v>770</v>
      </c>
      <c r="FZ775">
        <v>4.4469494173729291</v>
      </c>
      <c r="GA775">
        <v>21.929987307298553</v>
      </c>
      <c r="GB775">
        <v>21.121306667894117</v>
      </c>
      <c r="GC775">
        <v>9.5653565430956355</v>
      </c>
      <c r="GD775">
        <v>3.104274651310158</v>
      </c>
      <c r="GE775">
        <v>4.2011425723761082</v>
      </c>
      <c r="GF775">
        <v>4.7307511753718456</v>
      </c>
      <c r="GG775">
        <v>2.9710588813938639</v>
      </c>
      <c r="GH775">
        <v>3.2329273982183868</v>
      </c>
      <c r="GI775">
        <v>9.1224416292010133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185.08385024010343</v>
      </c>
      <c r="AO776">
        <v>15.894520382110182</v>
      </c>
      <c r="AP776">
        <v>135.94182831210219</v>
      </c>
      <c r="AQ776">
        <v>109.34880713929881</v>
      </c>
      <c r="AR776">
        <v>14.78052006017726</v>
      </c>
      <c r="AS776">
        <v>142.9803526681788</v>
      </c>
      <c r="AT776" t="e">
        <v>#DIV/0!</v>
      </c>
      <c r="AU776" t="e">
        <v>#DIV/0!</v>
      </c>
      <c r="AV776"/>
      <c r="AW776"/>
      <c r="FY776" s="210">
        <v>771</v>
      </c>
      <c r="FZ776">
        <v>4.1038522185401227</v>
      </c>
      <c r="GA776">
        <v>30.537203416846037</v>
      </c>
      <c r="GB776">
        <v>20.534780495882249</v>
      </c>
      <c r="GC776">
        <v>7.3800353049381542</v>
      </c>
      <c r="GD776">
        <v>3.4123056533353604</v>
      </c>
      <c r="GE776">
        <v>7.1230970429168643</v>
      </c>
      <c r="GF776">
        <v>9.5814947264442765</v>
      </c>
      <c r="GG776">
        <v>2.1958315849043233</v>
      </c>
      <c r="GH776">
        <v>2.7793472542693221</v>
      </c>
      <c r="GI776">
        <v>9.957392211002805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156.83371735078103</v>
      </c>
      <c r="AO777">
        <v>15.006748017662321</v>
      </c>
      <c r="AP777">
        <v>120.64102274683921</v>
      </c>
      <c r="AQ777">
        <v>91.787455074905523</v>
      </c>
      <c r="AR777">
        <v>13.924471797774594</v>
      </c>
      <c r="AS777">
        <v>115.90290082466389</v>
      </c>
      <c r="AT777" t="e">
        <v>#DIV/0!</v>
      </c>
      <c r="AU777" t="e">
        <v>#DIV/0!</v>
      </c>
      <c r="AV777"/>
      <c r="AW777"/>
      <c r="FY777" s="210">
        <v>772</v>
      </c>
      <c r="FZ777">
        <v>3.9205624883782617</v>
      </c>
      <c r="GA777">
        <v>22.27446651289927</v>
      </c>
      <c r="GB777">
        <v>18.48790498546358</v>
      </c>
      <c r="GC777">
        <v>6.916473951702466</v>
      </c>
      <c r="GD777">
        <v>1.8710515003112722</v>
      </c>
      <c r="GE777">
        <v>1.7476883898132509</v>
      </c>
      <c r="GF777">
        <v>2.4726079174768634</v>
      </c>
      <c r="GG777">
        <v>1.5160760776420703</v>
      </c>
      <c r="GH777">
        <v>1.161037908745131</v>
      </c>
      <c r="GI777">
        <v>6.8815839901253586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197.32426191304643</v>
      </c>
      <c r="AO778">
        <v>15.81424273335052</v>
      </c>
      <c r="AP778">
        <v>128.5700053398744</v>
      </c>
      <c r="AQ778">
        <v>102.29615935943232</v>
      </c>
      <c r="AR778">
        <v>14.662864449674274</v>
      </c>
      <c r="AS778">
        <v>153.36378988090226</v>
      </c>
      <c r="AT778" t="e">
        <v>#DIV/0!</v>
      </c>
      <c r="AU778" t="e">
        <v>#DIV/0!</v>
      </c>
      <c r="AV778"/>
      <c r="AW778"/>
      <c r="FY778" s="210">
        <v>773</v>
      </c>
      <c r="FZ778">
        <v>1.3929775091709544</v>
      </c>
      <c r="GA778">
        <v>19.142470610479112</v>
      </c>
      <c r="GB778">
        <v>20.009618608019995</v>
      </c>
      <c r="GC778">
        <v>7.9953559791326576</v>
      </c>
      <c r="GD778">
        <v>2.1648483089295811</v>
      </c>
      <c r="GE778">
        <v>6.7403040514785904</v>
      </c>
      <c r="GF778">
        <v>12.327791632479656</v>
      </c>
      <c r="GG778">
        <v>4.5935974041341003</v>
      </c>
      <c r="GH778">
        <v>2.7793472542693221</v>
      </c>
      <c r="GI778">
        <v>9.2001059832708538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178.67070792570684</v>
      </c>
      <c r="AO779">
        <v>13.091627687200434</v>
      </c>
      <c r="AP779">
        <v>100.11308789087283</v>
      </c>
      <c r="AQ779">
        <v>77.40917995849351</v>
      </c>
      <c r="AR779">
        <v>12.094138554950723</v>
      </c>
      <c r="AS779">
        <v>126.03536138008938</v>
      </c>
      <c r="AT779">
        <v>5.6768096826039747</v>
      </c>
      <c r="AU779">
        <v>-28.31930299409807</v>
      </c>
      <c r="AV779"/>
      <c r="AW779"/>
      <c r="FY779" s="210">
        <v>774</v>
      </c>
      <c r="FZ779">
        <v>3.910329501812944</v>
      </c>
      <c r="GA779">
        <v>19.87016155203202</v>
      </c>
      <c r="GB779">
        <v>24.566420675194458</v>
      </c>
      <c r="GC779">
        <v>13.365862847935599</v>
      </c>
      <c r="GD779">
        <v>5.3070223622293717</v>
      </c>
      <c r="GE779">
        <v>5.9594555241362963</v>
      </c>
      <c r="GF779">
        <v>3.4594977892069263</v>
      </c>
      <c r="GG779">
        <v>3.3819234811524872</v>
      </c>
      <c r="GH779">
        <v>5.1014230717595845</v>
      </c>
      <c r="GI779">
        <v>11.27194145725397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212.74810172215513</v>
      </c>
      <c r="AO780">
        <v>11.353026225318358</v>
      </c>
      <c r="AP780">
        <v>90.379039826142346</v>
      </c>
      <c r="AQ780">
        <v>71.643768301531253</v>
      </c>
      <c r="AR780">
        <v>10.400291866347654</v>
      </c>
      <c r="AS780">
        <v>119.40320796714204</v>
      </c>
      <c r="AT780">
        <v>4.9580149081977352</v>
      </c>
      <c r="AU780">
        <v>6.5956770459082641</v>
      </c>
      <c r="AV780"/>
      <c r="AW780"/>
      <c r="FY780" s="210">
        <v>775</v>
      </c>
      <c r="FZ780">
        <v>9.8416648988199302</v>
      </c>
      <c r="GA780">
        <v>35.776978730968821</v>
      </c>
      <c r="GB780">
        <v>20.550622420353786</v>
      </c>
      <c r="GC780">
        <v>8.2975669777916998</v>
      </c>
      <c r="GD780">
        <v>4.8576194228715126</v>
      </c>
      <c r="GE780">
        <v>7.2614566990455458</v>
      </c>
      <c r="GF780">
        <v>7.9365931912697274</v>
      </c>
      <c r="GG780">
        <v>1.7505884698086891</v>
      </c>
      <c r="GH780">
        <v>0.32186128889656296</v>
      </c>
      <c r="GI780">
        <v>10.905698704901511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194.4601448637012</v>
      </c>
      <c r="AO781">
        <v>18.49097555123695</v>
      </c>
      <c r="AP781">
        <v>151.52537696856521</v>
      </c>
      <c r="AQ781">
        <v>115.10532457790816</v>
      </c>
      <c r="AR781">
        <v>17.165914637856972</v>
      </c>
      <c r="AS781">
        <v>148.69376132953161</v>
      </c>
      <c r="AT781">
        <v>8.0561264688840097</v>
      </c>
      <c r="AU781">
        <v>-44.40361201685797</v>
      </c>
      <c r="AV781"/>
      <c r="AW781"/>
      <c r="FY781" s="210">
        <v>776</v>
      </c>
      <c r="FZ781">
        <v>6.7157442346328082</v>
      </c>
      <c r="GA781">
        <v>26.745452777465729</v>
      </c>
      <c r="GB781">
        <v>18.127642099456747</v>
      </c>
      <c r="GC781">
        <v>8.3162109453085975</v>
      </c>
      <c r="GD781">
        <v>5.3040475293910569</v>
      </c>
      <c r="GE781">
        <v>6.9540444245782052</v>
      </c>
      <c r="GF781">
        <v>5.5616315529472908</v>
      </c>
      <c r="GG781">
        <v>4.2636132227401937</v>
      </c>
      <c r="GH781">
        <v>3.9403851630144526</v>
      </c>
      <c r="GI781">
        <v>10.226414600617746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199.51871210685869</v>
      </c>
      <c r="AO782">
        <v>16.854236312558967</v>
      </c>
      <c r="AP782">
        <v>130.2542665275212</v>
      </c>
      <c r="AQ782">
        <v>104.40214031183841</v>
      </c>
      <c r="AR782">
        <v>15.782640158073875</v>
      </c>
      <c r="AS782">
        <v>166.31822049622755</v>
      </c>
      <c r="AT782" t="e">
        <v>#DIV/0!</v>
      </c>
      <c r="AU782" t="e">
        <v>#DIV/0!</v>
      </c>
      <c r="AV782"/>
      <c r="AW782"/>
      <c r="FY782" s="210">
        <v>777</v>
      </c>
      <c r="FZ782">
        <v>3.813887745867433</v>
      </c>
      <c r="GA782">
        <v>19.394696873831492</v>
      </c>
      <c r="GB782">
        <v>19.502272221730379</v>
      </c>
      <c r="GC782">
        <v>10.086670976664575</v>
      </c>
      <c r="GD782">
        <v>4.6901244529288162</v>
      </c>
      <c r="GE782">
        <v>4.156304126856833</v>
      </c>
      <c r="GF782">
        <v>2.5585048783297362</v>
      </c>
      <c r="GG782">
        <v>1.1988829096148885</v>
      </c>
      <c r="GH782">
        <v>0.64372257779312592</v>
      </c>
      <c r="GI782">
        <v>8.728794248306265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229.299485944986</v>
      </c>
      <c r="AO783">
        <v>16.464794350260615</v>
      </c>
      <c r="AP783">
        <v>126.91191952090442</v>
      </c>
      <c r="AQ783">
        <v>99.199040914191542</v>
      </c>
      <c r="AR783">
        <v>15.32381956425305</v>
      </c>
      <c r="AS783">
        <v>167.63446862323622</v>
      </c>
      <c r="AT783">
        <v>6.7939019261759546</v>
      </c>
      <c r="AU783">
        <v>-13.752148926626488</v>
      </c>
      <c r="AV783"/>
      <c r="AW783"/>
      <c r="FY783" s="210">
        <v>778</v>
      </c>
      <c r="FZ783">
        <v>1.2938846006585729</v>
      </c>
      <c r="GA783">
        <v>28.207574870808248</v>
      </c>
      <c r="GB783">
        <v>20.92332342649021</v>
      </c>
      <c r="GC783">
        <v>7.0221171070237922</v>
      </c>
      <c r="GD783">
        <v>3.7713541753255408</v>
      </c>
      <c r="GE783">
        <v>4.0127167411692106</v>
      </c>
      <c r="GF783">
        <v>4.4579233007897727</v>
      </c>
      <c r="GG783">
        <v>3.1711927582234725</v>
      </c>
      <c r="GH783">
        <v>2.0652637984292568</v>
      </c>
      <c r="GI783">
        <v>8.7123273964536754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194.19582617408193</v>
      </c>
      <c r="AO784">
        <v>18.063307257589791</v>
      </c>
      <c r="AP784">
        <v>149.73391298433367</v>
      </c>
      <c r="AQ784">
        <v>113.87248703004045</v>
      </c>
      <c r="AR784">
        <v>16.653038911710077</v>
      </c>
      <c r="AS784">
        <v>152.75564026935623</v>
      </c>
      <c r="AT784">
        <v>7.3971428387748972</v>
      </c>
      <c r="AU784">
        <v>1.6434506711177985</v>
      </c>
      <c r="AV784"/>
      <c r="AW784"/>
      <c r="FY784" s="210">
        <v>779</v>
      </c>
      <c r="FZ784">
        <v>3.4855574953485471</v>
      </c>
      <c r="GA784">
        <v>29.048095734354497</v>
      </c>
      <c r="GB784">
        <v>24.319122689008921</v>
      </c>
      <c r="GC784">
        <v>8.7489576648975707</v>
      </c>
      <c r="GD784">
        <v>3.7846287151494371</v>
      </c>
      <c r="GE784">
        <v>7.51448040541114</v>
      </c>
      <c r="GF784">
        <v>7.191609774547155</v>
      </c>
      <c r="GG784">
        <v>1.1034111203876014</v>
      </c>
      <c r="GH784">
        <v>0.32186128889656296</v>
      </c>
      <c r="GI784">
        <v>10.20813424086386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209.23885692204885</v>
      </c>
      <c r="AO785">
        <v>13.08166238080941</v>
      </c>
      <c r="AP785">
        <v>113.94521626075736</v>
      </c>
      <c r="AQ785">
        <v>90.019195260287617</v>
      </c>
      <c r="AR785">
        <v>11.868429784083192</v>
      </c>
      <c r="AS785">
        <v>116.62035214450493</v>
      </c>
      <c r="AT785">
        <v>6.0104434504073971</v>
      </c>
      <c r="AU785">
        <v>-7.0776954657737772</v>
      </c>
      <c r="AV785"/>
      <c r="AW785"/>
      <c r="FY785" s="210">
        <v>780</v>
      </c>
      <c r="FZ785">
        <v>3.5721535903068222</v>
      </c>
      <c r="GA785">
        <v>26.279610557000179</v>
      </c>
      <c r="GB785">
        <v>23.798224147941951</v>
      </c>
      <c r="GC785">
        <v>9.2360344767161031</v>
      </c>
      <c r="GD785">
        <v>2.8494141880135451</v>
      </c>
      <c r="GE785">
        <v>5.1232456154380852</v>
      </c>
      <c r="GF785">
        <v>6.0211766628097934</v>
      </c>
      <c r="GG785">
        <v>2.1021601531728811</v>
      </c>
      <c r="GH785">
        <v>2.0718894894732554</v>
      </c>
      <c r="GI785">
        <v>9.588972399917175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187.74441082518143</v>
      </c>
      <c r="AO786">
        <v>13.726780864885697</v>
      </c>
      <c r="AP786">
        <v>107.88329178616515</v>
      </c>
      <c r="AQ786">
        <v>84.426196243532615</v>
      </c>
      <c r="AR786">
        <v>12.604723615750437</v>
      </c>
      <c r="AS786">
        <v>126.02627996974718</v>
      </c>
      <c r="AT786" t="e">
        <v>#DIV/0!</v>
      </c>
      <c r="AU786" t="e">
        <v>#DIV/0!</v>
      </c>
      <c r="AV786"/>
      <c r="AW786"/>
      <c r="FY786" s="210">
        <v>781</v>
      </c>
      <c r="FZ786">
        <v>4.1096487980162522</v>
      </c>
      <c r="GA786">
        <v>27.612467476603094</v>
      </c>
      <c r="GB786">
        <v>20.131889650166254</v>
      </c>
      <c r="GC786">
        <v>8.7477102580268511</v>
      </c>
      <c r="GD786">
        <v>4.1627946488843257</v>
      </c>
      <c r="GE786">
        <v>3.975881580509407</v>
      </c>
      <c r="GF786">
        <v>4.1884830999296012</v>
      </c>
      <c r="GG786">
        <v>0.55170556019380068</v>
      </c>
      <c r="GH786">
        <v>0.58236460078756302</v>
      </c>
      <c r="GI786">
        <v>8.9163961439241834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206.10660488837894</v>
      </c>
      <c r="AO787">
        <v>14.922249622906909</v>
      </c>
      <c r="AP787">
        <v>124.25301377077068</v>
      </c>
      <c r="AQ787">
        <v>97.605339909079532</v>
      </c>
      <c r="AR787">
        <v>13.492787731942993</v>
      </c>
      <c r="AS787">
        <v>133.71808959303971</v>
      </c>
      <c r="AT787">
        <v>6.4240084874181749</v>
      </c>
      <c r="AU787">
        <v>1.014498612098675</v>
      </c>
      <c r="AV787"/>
      <c r="AW787"/>
      <c r="FY787" s="210">
        <v>782</v>
      </c>
      <c r="FZ787">
        <v>4.6582585922114683</v>
      </c>
      <c r="GA787">
        <v>24.346469208696792</v>
      </c>
      <c r="GB787">
        <v>14.742287372056163</v>
      </c>
      <c r="GC787">
        <v>5.2530772141138495</v>
      </c>
      <c r="GD787">
        <v>4.5431469726984481</v>
      </c>
      <c r="GE787">
        <v>7.1333140169918128</v>
      </c>
      <c r="GF787">
        <v>4.7158278617971607</v>
      </c>
      <c r="GG787">
        <v>2.7475371450981236</v>
      </c>
      <c r="GH787">
        <v>2.1969826534817587</v>
      </c>
      <c r="GI787">
        <v>8.2149590678920923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117.48906612950059</v>
      </c>
      <c r="AO788">
        <v>10.246314547972268</v>
      </c>
      <c r="AP788">
        <v>87.541541726620181</v>
      </c>
      <c r="AQ788">
        <v>67.249453722557519</v>
      </c>
      <c r="AR788">
        <v>9.5142320085896337</v>
      </c>
      <c r="AS788">
        <v>99.742556239371012</v>
      </c>
      <c r="AT788" t="e">
        <v>#DIV/0!</v>
      </c>
      <c r="AU788" t="e">
        <v>#DIV/0!</v>
      </c>
      <c r="AV788"/>
      <c r="AW788"/>
      <c r="FY788" s="210">
        <v>783</v>
      </c>
      <c r="FZ788">
        <v>0.76181443879197519</v>
      </c>
      <c r="GA788">
        <v>20.269207341371846</v>
      </c>
      <c r="GB788">
        <v>19.054518418345392</v>
      </c>
      <c r="GC788">
        <v>8.1154994275345178</v>
      </c>
      <c r="GD788">
        <v>3.9542415616924855</v>
      </c>
      <c r="GE788">
        <v>4.4945619019457599</v>
      </c>
      <c r="GF788">
        <v>3.7438613036417827</v>
      </c>
      <c r="GG788">
        <v>4.4871349590359335</v>
      </c>
      <c r="GH788">
        <v>6.723423710113769</v>
      </c>
      <c r="GI788">
        <v>8.9087244163045547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200.98029497990439</v>
      </c>
      <c r="AO789">
        <v>13.803818384098481</v>
      </c>
      <c r="AP789">
        <v>112.24649502204171</v>
      </c>
      <c r="AQ789">
        <v>86.346417341364827</v>
      </c>
      <c r="AR789">
        <v>12.43818107536312</v>
      </c>
      <c r="AS789">
        <v>139.01336750988921</v>
      </c>
      <c r="AT789">
        <v>5.6704478641894029</v>
      </c>
      <c r="AU789">
        <v>1.0557313750621218</v>
      </c>
      <c r="AV789"/>
      <c r="AW789"/>
      <c r="FY789" s="210">
        <v>784</v>
      </c>
      <c r="FZ789">
        <v>3.6658182765736447</v>
      </c>
      <c r="GA789">
        <v>30.449192862821228</v>
      </c>
      <c r="GB789">
        <v>24.935154604736802</v>
      </c>
      <c r="GC789">
        <v>11.294324110614216</v>
      </c>
      <c r="GD789">
        <v>5.2886467206886216</v>
      </c>
      <c r="GE789">
        <v>4.8238524930642139</v>
      </c>
      <c r="GF789">
        <v>3.5453947500597991</v>
      </c>
      <c r="GG789">
        <v>1.3269328566833409</v>
      </c>
      <c r="GH789">
        <v>2.7830385470993173</v>
      </c>
      <c r="GI789">
        <v>10.923796705591021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210.69454972284194</v>
      </c>
      <c r="AO790">
        <v>17.008298482158871</v>
      </c>
      <c r="AP790">
        <v>119.47556070856569</v>
      </c>
      <c r="AQ790">
        <v>96.194038262713661</v>
      </c>
      <c r="AR790">
        <v>15.701850334744814</v>
      </c>
      <c r="AS790">
        <v>153.87114736651222</v>
      </c>
      <c r="AT790" t="e">
        <v>#DIV/0!</v>
      </c>
      <c r="AU790" t="e">
        <v>#DIV/0!</v>
      </c>
      <c r="AV790"/>
      <c r="AW790"/>
      <c r="FY790" s="210">
        <v>785</v>
      </c>
      <c r="FZ790">
        <v>1.4947278329868008</v>
      </c>
      <c r="GA790">
        <v>22.710903605181208</v>
      </c>
      <c r="GB790">
        <v>24.854194448800556</v>
      </c>
      <c r="GC790">
        <v>10.203455231602764</v>
      </c>
      <c r="GD790">
        <v>3.7779327966052141</v>
      </c>
      <c r="GE790">
        <v>5.3818528545161746</v>
      </c>
      <c r="GF790">
        <v>6.5093303109501894</v>
      </c>
      <c r="GG790">
        <v>4.7827406250928286</v>
      </c>
      <c r="GH790">
        <v>2.9657983952833877</v>
      </c>
      <c r="GI790">
        <v>10.269624029660845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261.47007809102593</v>
      </c>
      <c r="AO791">
        <v>16.32006128472398</v>
      </c>
      <c r="AP791">
        <v>131.72913199020334</v>
      </c>
      <c r="AQ791">
        <v>107.50065080472777</v>
      </c>
      <c r="AR791">
        <v>14.930574786477543</v>
      </c>
      <c r="AS791">
        <v>163.37423930556821</v>
      </c>
      <c r="AT791" t="e">
        <v>#DIV/0!</v>
      </c>
      <c r="AU791" t="e">
        <v>#DIV/0!</v>
      </c>
      <c r="AV791"/>
      <c r="AW791"/>
      <c r="FY791" s="210">
        <v>786</v>
      </c>
      <c r="FZ791">
        <v>1.4737707168820737</v>
      </c>
      <c r="GA791">
        <v>26.011242269574687</v>
      </c>
      <c r="GB791">
        <v>24.261499510161173</v>
      </c>
      <c r="GC791">
        <v>8.8757532054509127</v>
      </c>
      <c r="GD791">
        <v>4.1300632807156834</v>
      </c>
      <c r="GE791">
        <v>5.2705960244105814</v>
      </c>
      <c r="GF791">
        <v>2.4726079174768634</v>
      </c>
      <c r="GG791">
        <v>2.1976319424001689</v>
      </c>
      <c r="GH791">
        <v>3.6198379569505077</v>
      </c>
      <c r="GI791">
        <v>9.7423752332804945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237.24108555949093</v>
      </c>
      <c r="AO792">
        <v>15.251433998113175</v>
      </c>
      <c r="AP792">
        <v>115.67285684807439</v>
      </c>
      <c r="AQ792">
        <v>96.15518655015282</v>
      </c>
      <c r="AR792">
        <v>14.092172592799713</v>
      </c>
      <c r="AS792">
        <v>151.23655634238719</v>
      </c>
      <c r="AT792">
        <v>6.8786037554213193</v>
      </c>
      <c r="AU792">
        <v>-13.157442640778491</v>
      </c>
      <c r="AV792"/>
      <c r="AW792"/>
      <c r="FY792" s="210">
        <v>787</v>
      </c>
      <c r="FZ792">
        <v>3.9209371533798576</v>
      </c>
      <c r="GA792">
        <v>27.934957549331195</v>
      </c>
      <c r="GB792">
        <v>22.892892556355605</v>
      </c>
      <c r="GC792">
        <v>8.1744604290023108</v>
      </c>
      <c r="GD792">
        <v>3.3157969894357691</v>
      </c>
      <c r="GE792">
        <v>5.8159043557448351</v>
      </c>
      <c r="GF792">
        <v>4.8315714497994025</v>
      </c>
      <c r="GG792">
        <v>3.7462861778834036</v>
      </c>
      <c r="GH792">
        <v>5.4949593215357035</v>
      </c>
      <c r="GI792">
        <v>9.9863860985439512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164.86916897039367</v>
      </c>
      <c r="AO793">
        <v>13.045957812006183</v>
      </c>
      <c r="AP793">
        <v>92.048742935773461</v>
      </c>
      <c r="AQ793">
        <v>74.773861011923543</v>
      </c>
      <c r="AR793">
        <v>12.191488301507679</v>
      </c>
      <c r="AS793">
        <v>119.99526062775784</v>
      </c>
      <c r="AT793" t="e">
        <v>#DIV/0!</v>
      </c>
      <c r="AU793" t="e">
        <v>#DIV/0!</v>
      </c>
      <c r="AV793"/>
      <c r="AW793"/>
      <c r="FY793" s="210">
        <v>788</v>
      </c>
      <c r="FZ793">
        <v>1.6099699168814237</v>
      </c>
      <c r="GA793">
        <v>18.829999634496065</v>
      </c>
      <c r="GB793">
        <v>21.085078560799438</v>
      </c>
      <c r="GC793">
        <v>8.0853406842191688</v>
      </c>
      <c r="GD793">
        <v>2.4228522722527193</v>
      </c>
      <c r="GE793">
        <v>2.4465578115699831</v>
      </c>
      <c r="GF793">
        <v>0</v>
      </c>
      <c r="GG793">
        <v>0</v>
      </c>
      <c r="GH793">
        <v>1.4865904904716891</v>
      </c>
      <c r="GI793">
        <v>7.1482951278654578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202.80979693400448</v>
      </c>
      <c r="AO794">
        <v>12.969200169629136</v>
      </c>
      <c r="AP794">
        <v>107.11337944337185</v>
      </c>
      <c r="AQ794">
        <v>83.637678175371747</v>
      </c>
      <c r="AR794">
        <v>12.068045534697688</v>
      </c>
      <c r="AS794">
        <v>134.50171696885289</v>
      </c>
      <c r="AT794">
        <v>5.6916458311311162</v>
      </c>
      <c r="AU794">
        <v>-2.6960337221598998</v>
      </c>
      <c r="AV794"/>
      <c r="AW794"/>
      <c r="FY794" s="210">
        <v>789</v>
      </c>
      <c r="FZ794">
        <v>1.4003011561403027</v>
      </c>
      <c r="GA794">
        <v>27.219347596288618</v>
      </c>
      <c r="GB794">
        <v>21.552314122229077</v>
      </c>
      <c r="GC794">
        <v>7.4306176924797303</v>
      </c>
      <c r="GD794">
        <v>4.5935890511284914</v>
      </c>
      <c r="GE794">
        <v>10.042664550760824</v>
      </c>
      <c r="GF794">
        <v>8.310241340279358</v>
      </c>
      <c r="GG794">
        <v>0</v>
      </c>
      <c r="GH794">
        <v>0.90422588968412598</v>
      </c>
      <c r="GI794">
        <v>9.9775137561629439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175.44702972312237</v>
      </c>
      <c r="AO795">
        <v>15.450998230542268</v>
      </c>
      <c r="AP795">
        <v>123.41105283251368</v>
      </c>
      <c r="AQ795">
        <v>95.725859128865281</v>
      </c>
      <c r="AR795">
        <v>14.084453720700461</v>
      </c>
      <c r="AS795">
        <v>129.42948137713287</v>
      </c>
      <c r="AT795" t="e">
        <v>#DIV/0!</v>
      </c>
      <c r="AU795" t="e">
        <v>#DIV/0!</v>
      </c>
      <c r="AV795"/>
      <c r="AW795"/>
      <c r="FY795" s="210">
        <v>790</v>
      </c>
      <c r="FZ795">
        <v>6.7854291636291659</v>
      </c>
      <c r="GA795">
        <v>23.896533848841241</v>
      </c>
      <c r="GB795">
        <v>24.934327262752088</v>
      </c>
      <c r="GC795">
        <v>12.617870157483816</v>
      </c>
      <c r="GD795">
        <v>5.201616072080042</v>
      </c>
      <c r="GE795">
        <v>9.876508451811592</v>
      </c>
      <c r="GF795">
        <v>8.8375861021469184</v>
      </c>
      <c r="GG795">
        <v>2.1958315849043233</v>
      </c>
      <c r="GH795">
        <v>2.7793472542693221</v>
      </c>
      <c r="GI795">
        <v>12.36327587872254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178.53469368924519</v>
      </c>
      <c r="AO796">
        <v>14.490068166186608</v>
      </c>
      <c r="AP796">
        <v>117.72647474534382</v>
      </c>
      <c r="AQ796">
        <v>90.642881280789766</v>
      </c>
      <c r="AR796">
        <v>13.202001434265496</v>
      </c>
      <c r="AS796">
        <v>118.54362847332617</v>
      </c>
      <c r="AT796" t="e">
        <v>#DIV/0!</v>
      </c>
      <c r="AU796" t="e">
        <v>#DIV/0!</v>
      </c>
      <c r="AV796"/>
      <c r="AW796"/>
      <c r="FY796" s="210">
        <v>791</v>
      </c>
      <c r="FZ796">
        <v>6.5523977507379261</v>
      </c>
      <c r="GA796">
        <v>33.791376766713945</v>
      </c>
      <c r="GB796">
        <v>26.011296442185476</v>
      </c>
      <c r="GC796">
        <v>9.2567724543805774</v>
      </c>
      <c r="GD796">
        <v>2.3928880196895581</v>
      </c>
      <c r="GE796">
        <v>1.6625385906973054</v>
      </c>
      <c r="GF796">
        <v>2.5745029843296336</v>
      </c>
      <c r="GG796">
        <v>3.0321521552841406</v>
      </c>
      <c r="GH796">
        <v>2.6439371063868249</v>
      </c>
      <c r="GI796">
        <v>9.7484125895146008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191.95744965866615</v>
      </c>
      <c r="AO797">
        <v>13.328855931276204</v>
      </c>
      <c r="AP797">
        <v>104.03940480288124</v>
      </c>
      <c r="AQ797">
        <v>82.979341817041316</v>
      </c>
      <c r="AR797">
        <v>12.296134097053329</v>
      </c>
      <c r="AS797">
        <v>140.96731853164283</v>
      </c>
      <c r="AT797" t="e">
        <v>#DIV/0!</v>
      </c>
      <c r="AU797" t="e">
        <v>#DIV/0!</v>
      </c>
      <c r="AV797"/>
      <c r="AW797"/>
      <c r="FY797" s="210">
        <v>792</v>
      </c>
      <c r="FZ797">
        <v>1.2624615420435348</v>
      </c>
      <c r="GA797">
        <v>18.652025101352812</v>
      </c>
      <c r="GB797">
        <v>12.660398464475186</v>
      </c>
      <c r="GC797">
        <v>4.1972025083642119</v>
      </c>
      <c r="GD797">
        <v>2.7963739998223338</v>
      </c>
      <c r="GE797">
        <v>6.6491395667142505</v>
      </c>
      <c r="GF797">
        <v>7.9664398184190972</v>
      </c>
      <c r="GG797">
        <v>1.4224046459106283</v>
      </c>
      <c r="GH797">
        <v>1.6796673225297538</v>
      </c>
      <c r="GI797">
        <v>6.7164409539151784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225.50512156860736</v>
      </c>
      <c r="AO798">
        <v>12.261624708627476</v>
      </c>
      <c r="AP798">
        <v>94.429548225286851</v>
      </c>
      <c r="AQ798">
        <v>78.551860105037662</v>
      </c>
      <c r="AR798">
        <v>11.284872666512715</v>
      </c>
      <c r="AS798">
        <v>122.20365869171098</v>
      </c>
      <c r="AT798" t="e">
        <v>#DIV/0!</v>
      </c>
      <c r="AU798" t="e">
        <v>#DIV/0!</v>
      </c>
      <c r="AV798"/>
      <c r="AW798"/>
      <c r="FY798" s="210">
        <v>793</v>
      </c>
      <c r="FZ798">
        <v>4.5281172900856443</v>
      </c>
      <c r="GA798">
        <v>29.777691643279322</v>
      </c>
      <c r="GB798">
        <v>28.084842448260449</v>
      </c>
      <c r="GC798">
        <v>10.639710029266311</v>
      </c>
      <c r="GD798">
        <v>2.6928724635180705</v>
      </c>
      <c r="GE798">
        <v>5.070981744010739</v>
      </c>
      <c r="GF798">
        <v>6.5485214246773529</v>
      </c>
      <c r="GG798">
        <v>3.616435873319106</v>
      </c>
      <c r="GH798">
        <v>4.5841077408075783</v>
      </c>
      <c r="GI798">
        <v>11.229180049916001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179.92806642016512</v>
      </c>
      <c r="AO799">
        <v>13.162979957044215</v>
      </c>
      <c r="AP799">
        <v>101.64690700333315</v>
      </c>
      <c r="AQ799">
        <v>80.512987478778001</v>
      </c>
      <c r="AR799">
        <v>12.360731438412582</v>
      </c>
      <c r="AS799">
        <v>131.32484167546104</v>
      </c>
      <c r="AT799">
        <v>5.6952924878422992</v>
      </c>
      <c r="AU799">
        <v>-13.171859644657731</v>
      </c>
      <c r="AV799"/>
      <c r="AW799"/>
      <c r="FY799" s="210">
        <v>794</v>
      </c>
      <c r="FZ799">
        <v>4.1174793799044753</v>
      </c>
      <c r="GA799">
        <v>29.670987911191787</v>
      </c>
      <c r="GB799">
        <v>24.961641984126988</v>
      </c>
      <c r="GC799">
        <v>10.159603224089386</v>
      </c>
      <c r="GD799">
        <v>5.2170592789443111</v>
      </c>
      <c r="GE799">
        <v>6.7863450898021025</v>
      </c>
      <c r="GF799">
        <v>4.3869496535115839</v>
      </c>
      <c r="GG799">
        <v>2.7493375025939688</v>
      </c>
      <c r="GH799">
        <v>2.0718894894732554</v>
      </c>
      <c r="GI799">
        <v>10.995510629954889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222.27375039775785</v>
      </c>
      <c r="AO800">
        <v>16.27609944151429</v>
      </c>
      <c r="AP800">
        <v>124.40702311915229</v>
      </c>
      <c r="AQ800">
        <v>99.036151927932195</v>
      </c>
      <c r="AR800">
        <v>15.155592968011216</v>
      </c>
      <c r="AS800">
        <v>143.86938251646356</v>
      </c>
      <c r="AT800">
        <v>8.2128489482167506</v>
      </c>
      <c r="AU800">
        <v>-52.476148471190733</v>
      </c>
      <c r="AV800"/>
      <c r="AW800"/>
      <c r="FY800" s="210">
        <v>795</v>
      </c>
      <c r="FZ800">
        <v>4.4886054625532843</v>
      </c>
      <c r="GA800">
        <v>31.204340985283142</v>
      </c>
      <c r="GB800">
        <v>23.878881261612559</v>
      </c>
      <c r="GC800">
        <v>9.6478232937185631</v>
      </c>
      <c r="GD800">
        <v>5.6571028129659915</v>
      </c>
      <c r="GE800">
        <v>7.2319653124669916</v>
      </c>
      <c r="GF800">
        <v>4.1842343122312577</v>
      </c>
      <c r="GG800">
        <v>5.4840836343253692</v>
      </c>
      <c r="GH800">
        <v>7.8170351390259665</v>
      </c>
      <c r="GI800">
        <v>11.954998326714387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198.4745815146141</v>
      </c>
      <c r="AO801">
        <v>15.380216639558665</v>
      </c>
      <c r="AP801">
        <v>119.93908198688288</v>
      </c>
      <c r="AQ801">
        <v>92.95056013067996</v>
      </c>
      <c r="AR801">
        <v>14.251111954742891</v>
      </c>
      <c r="AS801">
        <v>146.19137563486544</v>
      </c>
      <c r="AT801">
        <v>7.302868514849016</v>
      </c>
      <c r="AU801">
        <v>-35.182792868474607</v>
      </c>
      <c r="AV801"/>
      <c r="AW801"/>
      <c r="FY801" s="210">
        <v>796</v>
      </c>
      <c r="FZ801">
        <v>6.9992603524855941</v>
      </c>
      <c r="GA801">
        <v>30.372457366750748</v>
      </c>
      <c r="GB801">
        <v>27.369867403084879</v>
      </c>
      <c r="GC801">
        <v>12.850467234401254</v>
      </c>
      <c r="GD801">
        <v>3.8948573020815815</v>
      </c>
      <c r="GE801">
        <v>3.9792239097513535</v>
      </c>
      <c r="GF801">
        <v>5.5925529725218732</v>
      </c>
      <c r="GG801">
        <v>3.9010508835051225</v>
      </c>
      <c r="GH801">
        <v>4.7092009048160817</v>
      </c>
      <c r="GI801">
        <v>11.905269056222785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186.07204193405957</v>
      </c>
      <c r="AO802">
        <v>14.548077278322461</v>
      </c>
      <c r="AP802">
        <v>113.58708996852178</v>
      </c>
      <c r="AQ802">
        <v>88.055378057303145</v>
      </c>
      <c r="AR802">
        <v>13.64582393420558</v>
      </c>
      <c r="AS802">
        <v>135.87725390376733</v>
      </c>
      <c r="AT802">
        <v>5.2323516655427822</v>
      </c>
      <c r="AU802">
        <v>-15.688337226846578</v>
      </c>
      <c r="AV802"/>
      <c r="AW802"/>
      <c r="FY802" s="210">
        <v>797</v>
      </c>
      <c r="FZ802">
        <v>2.2137558787881746</v>
      </c>
      <c r="GA802">
        <v>26.253922620493</v>
      </c>
      <c r="GB802">
        <v>23.217914730028838</v>
      </c>
      <c r="GC802">
        <v>7.6657304469709704</v>
      </c>
      <c r="GD802">
        <v>3.3464299269936895</v>
      </c>
      <c r="GE802">
        <v>8.3166747782029535</v>
      </c>
      <c r="GF802">
        <v>8.5946048547142144</v>
      </c>
      <c r="GG802">
        <v>1.1988829096148885</v>
      </c>
      <c r="GH802">
        <v>0.58236460078756302</v>
      </c>
      <c r="GI802">
        <v>9.7695137322378702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180.88825119872971</v>
      </c>
      <c r="AO803">
        <v>14.930216450273269</v>
      </c>
      <c r="AP803">
        <v>123.40738966783135</v>
      </c>
      <c r="AQ803">
        <v>96.114152081012023</v>
      </c>
      <c r="AR803">
        <v>13.804723402790133</v>
      </c>
      <c r="AS803">
        <v>146.14817473669842</v>
      </c>
      <c r="AT803">
        <v>6.6547093452324937</v>
      </c>
      <c r="AU803">
        <v>-28.503678972676447</v>
      </c>
      <c r="AV803"/>
      <c r="AW803"/>
      <c r="FY803" s="210">
        <v>798</v>
      </c>
      <c r="FZ803">
        <v>1.3485412629436115</v>
      </c>
      <c r="GA803">
        <v>20.629106647595844</v>
      </c>
      <c r="GB803">
        <v>32.705503137680758</v>
      </c>
      <c r="GC803">
        <v>16.849606383115095</v>
      </c>
      <c r="GD803">
        <v>5.2191529075806722</v>
      </c>
      <c r="GE803">
        <v>4.7618927454138742</v>
      </c>
      <c r="GF803">
        <v>2.3707128506240926</v>
      </c>
      <c r="GG803">
        <v>0.77522729648954036</v>
      </c>
      <c r="GH803">
        <v>1.9401706344207539</v>
      </c>
      <c r="GI803">
        <v>12.174084216266353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126.2299823926591</v>
      </c>
      <c r="AO804">
        <v>10.608141100414157</v>
      </c>
      <c r="AP804">
        <v>83.387998450897854</v>
      </c>
      <c r="AQ804">
        <v>63.114684498555945</v>
      </c>
      <c r="AR804">
        <v>10.064402916739962</v>
      </c>
      <c r="AS804">
        <v>94.226804742824285</v>
      </c>
      <c r="AT804" t="e">
        <v>#DIV/0!</v>
      </c>
      <c r="AU804" t="e">
        <v>#DIV/0!</v>
      </c>
      <c r="AV804"/>
      <c r="AW804"/>
      <c r="FY804" s="210">
        <v>799</v>
      </c>
      <c r="FZ804">
        <v>1.4598853684886222</v>
      </c>
      <c r="GA804">
        <v>23.170871608824811</v>
      </c>
      <c r="GB804">
        <v>26.529099815190495</v>
      </c>
      <c r="GC804">
        <v>10.693643789326611</v>
      </c>
      <c r="GD804">
        <v>3.5141793748180099</v>
      </c>
      <c r="GE804">
        <v>3.7698021081971724</v>
      </c>
      <c r="GF804">
        <v>2.1330551833149465</v>
      </c>
      <c r="GG804">
        <v>3.0321521552841406</v>
      </c>
      <c r="GH804">
        <v>3.5481629960709515</v>
      </c>
      <c r="GI804">
        <v>9.8223410195421792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218.51558862493169</v>
      </c>
      <c r="AO805">
        <v>14.974653987722778</v>
      </c>
      <c r="AP805">
        <v>114.96602766786449</v>
      </c>
      <c r="AQ805">
        <v>91.430815155153468</v>
      </c>
      <c r="AR805">
        <v>13.587726618174175</v>
      </c>
      <c r="AS805">
        <v>136.28608190463942</v>
      </c>
      <c r="AT805" t="e">
        <v>#DIV/0!</v>
      </c>
      <c r="AU805" t="e">
        <v>#DIV/0!</v>
      </c>
      <c r="AV805"/>
      <c r="AW805"/>
      <c r="FY805" s="210">
        <v>800</v>
      </c>
      <c r="FZ805">
        <v>4.2704763992615433</v>
      </c>
      <c r="GA805">
        <v>22.989876980865489</v>
      </c>
      <c r="GB805">
        <v>25.180882199279374</v>
      </c>
      <c r="GC805">
        <v>10.396910764034736</v>
      </c>
      <c r="GD805">
        <v>3.8417726677673745</v>
      </c>
      <c r="GE805">
        <v>7.7306589453716814</v>
      </c>
      <c r="GF805">
        <v>6.7309898722594399</v>
      </c>
      <c r="GG805">
        <v>3.3929141370233671</v>
      </c>
      <c r="GH805">
        <v>3.8086663079619516</v>
      </c>
      <c r="GI805">
        <v>11.021222894648108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278.71722559895682</v>
      </c>
      <c r="AO806">
        <v>18.594098052012782</v>
      </c>
      <c r="AP806">
        <v>134.64495437532901</v>
      </c>
      <c r="AQ806">
        <v>109.48832577664106</v>
      </c>
      <c r="AR806">
        <v>16.941094862758511</v>
      </c>
      <c r="AS806">
        <v>170.54535255288451</v>
      </c>
      <c r="AT806">
        <v>7.4713874306513608</v>
      </c>
      <c r="AU806">
        <v>-4.5484049664318507</v>
      </c>
      <c r="AV806"/>
      <c r="AW806"/>
      <c r="FY806" s="210">
        <v>801</v>
      </c>
      <c r="FZ806">
        <v>1.0833342399969812</v>
      </c>
      <c r="GA806">
        <v>20.46818422177947</v>
      </c>
      <c r="GB806">
        <v>29.354470140641169</v>
      </c>
      <c r="GC806">
        <v>13.524037084937852</v>
      </c>
      <c r="GD806">
        <v>4.7777274047610847</v>
      </c>
      <c r="GE806">
        <v>6.7435847432908194</v>
      </c>
      <c r="GF806">
        <v>3.7630334049148111</v>
      </c>
      <c r="GG806">
        <v>1.4224046459106283</v>
      </c>
      <c r="GH806">
        <v>2.58389321221388</v>
      </c>
      <c r="GI806">
        <v>11.399439638065061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140.78426062312991</v>
      </c>
      <c r="AO807">
        <v>14.688150628944385</v>
      </c>
      <c r="AP807">
        <v>128.71320039692904</v>
      </c>
      <c r="AQ807">
        <v>97.666274859920009</v>
      </c>
      <c r="AR807">
        <v>13.656537477470767</v>
      </c>
      <c r="AS807">
        <v>117.818641641197</v>
      </c>
      <c r="AT807">
        <v>6.3184135558077328</v>
      </c>
      <c r="AU807">
        <v>-13.891577507924543</v>
      </c>
      <c r="AV807"/>
      <c r="AW807"/>
      <c r="FY807" s="210">
        <v>802</v>
      </c>
      <c r="FZ807">
        <v>6.9052241325854737</v>
      </c>
      <c r="GA807">
        <v>33.125613455097167</v>
      </c>
      <c r="GB807">
        <v>26.260589761613176</v>
      </c>
      <c r="GC807">
        <v>10.633274365948374</v>
      </c>
      <c r="GD807">
        <v>3.8996851059771416</v>
      </c>
      <c r="GE807">
        <v>3.0401087624866614</v>
      </c>
      <c r="GF807">
        <v>3.2725668754777262</v>
      </c>
      <c r="GG807">
        <v>3.0775213264920307</v>
      </c>
      <c r="GH807">
        <v>2.32338990032288</v>
      </c>
      <c r="GI807">
        <v>10.799860266212725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162.66146031870116</v>
      </c>
      <c r="AO808">
        <v>9.991248482320163</v>
      </c>
      <c r="AP808">
        <v>80.184373969261927</v>
      </c>
      <c r="AQ808">
        <v>64.002553923546998</v>
      </c>
      <c r="AR808">
        <v>9.0212486798937306</v>
      </c>
      <c r="AS808">
        <v>100.83358798820787</v>
      </c>
      <c r="AT808">
        <v>4.1622962893347699</v>
      </c>
      <c r="AU808">
        <v>-2.6258940938367501</v>
      </c>
      <c r="AV808"/>
      <c r="AW808"/>
      <c r="FY808" s="210">
        <v>803</v>
      </c>
      <c r="FZ808">
        <v>6.7552560621651701</v>
      </c>
      <c r="GA808">
        <v>24.56036941561517</v>
      </c>
      <c r="GB808">
        <v>17.076887081414817</v>
      </c>
      <c r="GC808">
        <v>8.0083235126595529</v>
      </c>
      <c r="GD808">
        <v>4.6609201737682495</v>
      </c>
      <c r="GE808">
        <v>5.5448035241441191</v>
      </c>
      <c r="GF808">
        <v>4.3762751276352434</v>
      </c>
      <c r="GG808">
        <v>2.6194871980296712</v>
      </c>
      <c r="GH808">
        <v>2.3871250873258196</v>
      </c>
      <c r="GI808">
        <v>9.1659385187887867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176.48860389447017</v>
      </c>
      <c r="AO809">
        <v>16.873667301830217</v>
      </c>
      <c r="AP809">
        <v>140.60620117175097</v>
      </c>
      <c r="AQ809">
        <v>106.77246070714057</v>
      </c>
      <c r="AR809">
        <v>15.560642299006517</v>
      </c>
      <c r="AS809">
        <v>137.76672593992834</v>
      </c>
      <c r="AT809">
        <v>6.5512476789882754</v>
      </c>
      <c r="AU809">
        <v>-3.3587438322057821</v>
      </c>
      <c r="AV809"/>
      <c r="AW809"/>
      <c r="FY809" s="210">
        <v>804</v>
      </c>
      <c r="FZ809">
        <v>4.103087096592148</v>
      </c>
      <c r="GA809">
        <v>24.51528628618761</v>
      </c>
      <c r="GB809">
        <v>24.93668603448592</v>
      </c>
      <c r="GC809">
        <v>10.740164071797933</v>
      </c>
      <c r="GD809">
        <v>3.6623320485500561</v>
      </c>
      <c r="GE809">
        <v>5.2783422519964196</v>
      </c>
      <c r="GF809">
        <v>4.4061217547846132</v>
      </c>
      <c r="GG809">
        <v>3.0665306706211508</v>
      </c>
      <c r="GH809">
        <v>3.5547886871149497</v>
      </c>
      <c r="GI809">
        <v>10.349137458431468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220.56991959188517</v>
      </c>
      <c r="AO810">
        <v>16.52765993176363</v>
      </c>
      <c r="AP810">
        <v>126.39238971172027</v>
      </c>
      <c r="AQ810">
        <v>101.11680414359273</v>
      </c>
      <c r="AR810">
        <v>15.255251600465119</v>
      </c>
      <c r="AS810">
        <v>147.97139019118828</v>
      </c>
      <c r="AT810" t="e">
        <v>#DIV/0!</v>
      </c>
      <c r="AU810" t="e">
        <v>#DIV/0!</v>
      </c>
      <c r="AV810"/>
      <c r="AW810"/>
      <c r="FY810" s="210">
        <v>805</v>
      </c>
      <c r="FZ810">
        <v>3.9995830120746843</v>
      </c>
      <c r="GA810">
        <v>24.952381762858785</v>
      </c>
      <c r="GB810">
        <v>29.315524940560547</v>
      </c>
      <c r="GC810">
        <v>13.624520248176545</v>
      </c>
      <c r="GD810">
        <v>4.3636863715919292</v>
      </c>
      <c r="GE810">
        <v>5.4987390189874272</v>
      </c>
      <c r="GF810">
        <v>4.727577180098713</v>
      </c>
      <c r="GG810">
        <v>3.5245647990835094</v>
      </c>
      <c r="GH810">
        <v>3.6901988349974464</v>
      </c>
      <c r="GI810">
        <v>11.92194682342798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230.35179967876425</v>
      </c>
      <c r="AO811">
        <v>17.895382133998297</v>
      </c>
      <c r="AP811">
        <v>138.88113373875828</v>
      </c>
      <c r="AQ811">
        <v>111.5490705408975</v>
      </c>
      <c r="AR811">
        <v>16.628038188538145</v>
      </c>
      <c r="AS811">
        <v>160.28014581762869</v>
      </c>
      <c r="AT811">
        <v>7.0910094348609425</v>
      </c>
      <c r="AU811">
        <v>-20.624069547980756</v>
      </c>
      <c r="AV811"/>
      <c r="AW811"/>
      <c r="FY811" s="210">
        <v>806</v>
      </c>
      <c r="FZ811">
        <v>0.90559234142147527</v>
      </c>
      <c r="GA811">
        <v>21.309049157158928</v>
      </c>
      <c r="GB811">
        <v>24.458301861269838</v>
      </c>
      <c r="GC811">
        <v>9.5350148976461782</v>
      </c>
      <c r="GD811">
        <v>2.8883710530184525</v>
      </c>
      <c r="GE811">
        <v>5.3203945705543099</v>
      </c>
      <c r="GF811">
        <v>5.4917326980943155</v>
      </c>
      <c r="GG811">
        <v>3.0321521552841406</v>
      </c>
      <c r="GH811">
        <v>2.904440418277825</v>
      </c>
      <c r="GI811">
        <v>9.4053248620729768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195.46308917729456</v>
      </c>
      <c r="AO812">
        <v>17.848987804822226</v>
      </c>
      <c r="AP812">
        <v>142.54455391567441</v>
      </c>
      <c r="AQ812">
        <v>111.57420738562126</v>
      </c>
      <c r="AR812">
        <v>16.503449063000158</v>
      </c>
      <c r="AS812">
        <v>162.25430106636566</v>
      </c>
      <c r="AT812">
        <v>8.3987697212277261</v>
      </c>
      <c r="AU812">
        <v>-39.910245302627736</v>
      </c>
      <c r="AV812"/>
      <c r="AW812"/>
      <c r="FY812" s="210">
        <v>807</v>
      </c>
      <c r="FZ812">
        <v>6.5091012914601531</v>
      </c>
      <c r="GA812">
        <v>28.148365532483364</v>
      </c>
      <c r="GB812">
        <v>18.566833181230088</v>
      </c>
      <c r="GC812">
        <v>7.3262876604514595</v>
      </c>
      <c r="GD812">
        <v>3.6689589462971495</v>
      </c>
      <c r="GE812">
        <v>4.1565836670592171</v>
      </c>
      <c r="GF812">
        <v>2.9988778869192103</v>
      </c>
      <c r="GG812">
        <v>0.55170556019380068</v>
      </c>
      <c r="GH812">
        <v>0.32186128889656296</v>
      </c>
      <c r="GI812">
        <v>8.3206013321932399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209.80374309446</v>
      </c>
      <c r="AO813">
        <v>14.594767569108066</v>
      </c>
      <c r="AP813">
        <v>117.57878779139487</v>
      </c>
      <c r="AQ813">
        <v>91.159794478832168</v>
      </c>
      <c r="AR813">
        <v>13.342249107048886</v>
      </c>
      <c r="AS813">
        <v>128.01494684637095</v>
      </c>
      <c r="AT813" t="e">
        <v>#DIV/0!</v>
      </c>
      <c r="AU813" t="e">
        <v>#DIV/0!</v>
      </c>
      <c r="AV813"/>
      <c r="AW813"/>
      <c r="FY813" s="210">
        <v>808</v>
      </c>
      <c r="FZ813">
        <v>0.68064969744755732</v>
      </c>
      <c r="GA813">
        <v>20.372015787130781</v>
      </c>
      <c r="GB813">
        <v>22.107920961511091</v>
      </c>
      <c r="GC813">
        <v>8.6380395685497788</v>
      </c>
      <c r="GD813">
        <v>2.1915213421675888</v>
      </c>
      <c r="GE813">
        <v>3.7248458192391185</v>
      </c>
      <c r="GF813">
        <v>5.4597364860945197</v>
      </c>
      <c r="GG813">
        <v>4.2979917380772044</v>
      </c>
      <c r="GH813">
        <v>5.4336013445301408</v>
      </c>
      <c r="GI813">
        <v>8.78022926247478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214.71718412618981</v>
      </c>
      <c r="AO814">
        <v>18.345682678302687</v>
      </c>
      <c r="AP814">
        <v>127.66779087797369</v>
      </c>
      <c r="AQ814">
        <v>98.773998082130603</v>
      </c>
      <c r="AR814">
        <v>17.072026753402319</v>
      </c>
      <c r="AS814">
        <v>182.70362690139837</v>
      </c>
      <c r="AT814" t="e">
        <v>#DIV/0!</v>
      </c>
      <c r="AU814" t="e">
        <v>#DIV/0!</v>
      </c>
      <c r="AV814"/>
      <c r="AW814"/>
      <c r="FY814" s="210">
        <v>809</v>
      </c>
      <c r="FZ814">
        <v>15.194979390747381</v>
      </c>
      <c r="GA814">
        <v>29.380776200322178</v>
      </c>
      <c r="GB814">
        <v>21.837987892516786</v>
      </c>
      <c r="GC814">
        <v>10.53150976007076</v>
      </c>
      <c r="GD814">
        <v>4.1510137175283113</v>
      </c>
      <c r="GE814">
        <v>8.4025715497405464</v>
      </c>
      <c r="GF814">
        <v>6.5485214246773529</v>
      </c>
      <c r="GG814">
        <v>2.7475371450981236</v>
      </c>
      <c r="GH814">
        <v>2.5188439423783215</v>
      </c>
      <c r="GI814">
        <v>11.745319792181983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164.70179493219527</v>
      </c>
      <c r="AO815">
        <v>14.640517163915476</v>
      </c>
      <c r="AP815">
        <v>114.16900632982427</v>
      </c>
      <c r="AQ815">
        <v>87.673193419057952</v>
      </c>
      <c r="AR815">
        <v>13.754808162937293</v>
      </c>
      <c r="AS815">
        <v>152.04593451637984</v>
      </c>
      <c r="AT815">
        <v>6.2140546071225282</v>
      </c>
      <c r="AU815">
        <v>74.561550926054736</v>
      </c>
      <c r="AV815"/>
      <c r="AW815"/>
      <c r="FY815" s="210">
        <v>810</v>
      </c>
      <c r="FZ815">
        <v>0.97174138656219533</v>
      </c>
      <c r="GA815">
        <v>23.222955731136022</v>
      </c>
      <c r="GB815">
        <v>15.533434265939915</v>
      </c>
      <c r="GC815">
        <v>5.6986341961313958</v>
      </c>
      <c r="GD815">
        <v>3.8513385954032691</v>
      </c>
      <c r="GE815">
        <v>2.8564816152632257</v>
      </c>
      <c r="GF815">
        <v>2.660399945182506</v>
      </c>
      <c r="GG815">
        <v>3.4901862837464988</v>
      </c>
      <c r="GH815">
        <v>3.3617118550568845</v>
      </c>
      <c r="GI815">
        <v>7.2698262128980646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179.66786460418155</v>
      </c>
      <c r="AO816">
        <v>16.453830235101165</v>
      </c>
      <c r="AP816">
        <v>126.34441427425416</v>
      </c>
      <c r="AQ816">
        <v>99.364371168473085</v>
      </c>
      <c r="AR816">
        <v>15.246264577455893</v>
      </c>
      <c r="AS816">
        <v>134.35525271880422</v>
      </c>
      <c r="AT816">
        <v>6.742296938442121</v>
      </c>
      <c r="AU816">
        <v>-12.657021169245285</v>
      </c>
      <c r="AV816"/>
      <c r="AW816"/>
      <c r="FY816" s="210">
        <v>811</v>
      </c>
      <c r="FZ816">
        <v>4.5681329211685817</v>
      </c>
      <c r="GA816">
        <v>28.054787554772599</v>
      </c>
      <c r="GB816">
        <v>24.246244749792417</v>
      </c>
      <c r="GC816">
        <v>11.143643171576251</v>
      </c>
      <c r="GD816">
        <v>3.9915229776791183</v>
      </c>
      <c r="GE816">
        <v>3.38148100243572</v>
      </c>
      <c r="GF816">
        <v>4.8326462422246159</v>
      </c>
      <c r="GG816">
        <v>3.7119076625463934</v>
      </c>
      <c r="GH816">
        <v>3.9403851630144526</v>
      </c>
      <c r="GI816">
        <v>10.541173102914565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216.55823198695776</v>
      </c>
      <c r="AO817">
        <v>17.112276207670071</v>
      </c>
      <c r="AP817">
        <v>122.21987940420146</v>
      </c>
      <c r="AQ817">
        <v>95.120108736511767</v>
      </c>
      <c r="AR817">
        <v>15.92499358839213</v>
      </c>
      <c r="AS817">
        <v>142.45738487936438</v>
      </c>
      <c r="AT817">
        <v>6.7487479145473896</v>
      </c>
      <c r="AU817">
        <v>-46.658204982157123</v>
      </c>
      <c r="AV817"/>
      <c r="AW817"/>
      <c r="FY817" s="210">
        <v>812</v>
      </c>
      <c r="FZ817">
        <v>6.1579153237100241</v>
      </c>
      <c r="GA817">
        <v>27.195921619696872</v>
      </c>
      <c r="GB817">
        <v>27.319021640730721</v>
      </c>
      <c r="GC817">
        <v>10.538687297497303</v>
      </c>
      <c r="GD817">
        <v>3.1562803997163091</v>
      </c>
      <c r="GE817">
        <v>7.3891293287253355</v>
      </c>
      <c r="GF817">
        <v>6.1230717296625627</v>
      </c>
      <c r="GG817">
        <v>2.0677816378358704</v>
      </c>
      <c r="GH817">
        <v>2.6476283992168197</v>
      </c>
      <c r="GI817">
        <v>11.147108598405161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177.19596542689933</v>
      </c>
      <c r="AO818">
        <v>16.077364420648259</v>
      </c>
      <c r="AP818">
        <v>132.15218706103676</v>
      </c>
      <c r="AQ818">
        <v>103.33783395221337</v>
      </c>
      <c r="AR818">
        <v>15.09415702634923</v>
      </c>
      <c r="AS818">
        <v>144.73179431850261</v>
      </c>
      <c r="AT818">
        <v>8.2996187995182851</v>
      </c>
      <c r="AU818">
        <v>22.781167906552692</v>
      </c>
      <c r="AV818"/>
      <c r="AW818"/>
      <c r="FY818" s="210">
        <v>813</v>
      </c>
      <c r="FZ818">
        <v>1.5041956976041442</v>
      </c>
      <c r="GA818">
        <v>22.378042114317594</v>
      </c>
      <c r="GB818">
        <v>22.590089208798947</v>
      </c>
      <c r="GC818">
        <v>9.8862849418047354</v>
      </c>
      <c r="GD818">
        <v>5.3952867963436715</v>
      </c>
      <c r="GE818">
        <v>7.0205066727682945</v>
      </c>
      <c r="GF818">
        <v>2.9172297137646819</v>
      </c>
      <c r="GG818">
        <v>1.7377974564419647</v>
      </c>
      <c r="GH818">
        <v>2.904440418277825</v>
      </c>
      <c r="GI818">
        <v>9.9939023619579306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205.71505311795431</v>
      </c>
      <c r="AO819">
        <v>13.656286538142364</v>
      </c>
      <c r="AP819">
        <v>103.23889992099497</v>
      </c>
      <c r="AQ819">
        <v>85.155385701546592</v>
      </c>
      <c r="AR819">
        <v>12.716593231868554</v>
      </c>
      <c r="AS819">
        <v>138.44549732214949</v>
      </c>
      <c r="AT819">
        <v>5.9977959633095201</v>
      </c>
      <c r="AU819">
        <v>-14.906985431453196</v>
      </c>
      <c r="AV819"/>
      <c r="AW819"/>
      <c r="FY819" s="210">
        <v>814</v>
      </c>
      <c r="FZ819">
        <v>4.3720913217918129</v>
      </c>
      <c r="GA819">
        <v>17.315902682328829</v>
      </c>
      <c r="GB819">
        <v>20.750541049400255</v>
      </c>
      <c r="GC819">
        <v>10.769222584010684</v>
      </c>
      <c r="GD819">
        <v>2.9200920009794524</v>
      </c>
      <c r="GE819">
        <v>4.1804014472652904</v>
      </c>
      <c r="GF819">
        <v>7.7096100498369209</v>
      </c>
      <c r="GG819">
        <v>5.0062623613885684</v>
      </c>
      <c r="GH819">
        <v>6.0706982312792679</v>
      </c>
      <c r="GI819">
        <v>9.9173587740384015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180.52524558403812</v>
      </c>
      <c r="AO820">
        <v>15.601480360842363</v>
      </c>
      <c r="AP820">
        <v>121.25596099863738</v>
      </c>
      <c r="AQ820">
        <v>94.612476360562269</v>
      </c>
      <c r="AR820">
        <v>14.370968193906291</v>
      </c>
      <c r="AS820">
        <v>133.57293880870083</v>
      </c>
      <c r="AT820">
        <v>6.4392811929649332</v>
      </c>
      <c r="AU820">
        <v>-24.229859107852896</v>
      </c>
      <c r="AV820"/>
      <c r="AW820"/>
      <c r="FY820" s="210">
        <v>815</v>
      </c>
      <c r="FZ820">
        <v>4.2040786062310476</v>
      </c>
      <c r="GA820">
        <v>28.218121174433797</v>
      </c>
      <c r="GB820">
        <v>31.702060410843057</v>
      </c>
      <c r="GC820">
        <v>14.961726864075708</v>
      </c>
      <c r="GD820">
        <v>4.2357201129226736</v>
      </c>
      <c r="GE820">
        <v>3.3062926871203944</v>
      </c>
      <c r="GF820">
        <v>2.4715331250516499</v>
      </c>
      <c r="GG820">
        <v>2.4193533212000626</v>
      </c>
      <c r="GH820">
        <v>5.0413791775866388</v>
      </c>
      <c r="GI820">
        <v>12.272424917002386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193.66466942942444</v>
      </c>
      <c r="AO821">
        <v>17.972862214818058</v>
      </c>
      <c r="AP821">
        <v>135.49203358196496</v>
      </c>
      <c r="AQ821">
        <v>105.61872299185757</v>
      </c>
      <c r="AR821">
        <v>16.618680692841227</v>
      </c>
      <c r="AS821">
        <v>170.23309783985434</v>
      </c>
      <c r="AT821">
        <v>6.9340145440498553</v>
      </c>
      <c r="AU821">
        <v>-27.041881848016857</v>
      </c>
      <c r="AV821"/>
      <c r="AW821"/>
      <c r="FY821" s="210">
        <v>816</v>
      </c>
      <c r="FZ821">
        <v>1.777733884552414</v>
      </c>
      <c r="GA821">
        <v>20.049721241041503</v>
      </c>
      <c r="GB821">
        <v>21.788317954372268</v>
      </c>
      <c r="GC821">
        <v>9.5277718569599443</v>
      </c>
      <c r="GD821">
        <v>3.4911215384803507</v>
      </c>
      <c r="GE821">
        <v>6.3899902475669812</v>
      </c>
      <c r="GF821">
        <v>8.1702299521246378</v>
      </c>
      <c r="GG821">
        <v>3.4919866412423448</v>
      </c>
      <c r="GH821">
        <v>3.2979766680539448</v>
      </c>
      <c r="GI821">
        <v>9.7591874121358604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164.92541574804864</v>
      </c>
      <c r="AO822">
        <v>14.171271524214697</v>
      </c>
      <c r="AP822">
        <v>111.81871760159224</v>
      </c>
      <c r="AQ822">
        <v>85.250374014798425</v>
      </c>
      <c r="AR822">
        <v>13.034524312305987</v>
      </c>
      <c r="AS822">
        <v>125.85563887521558</v>
      </c>
      <c r="AT822">
        <v>5.5726582031766378</v>
      </c>
      <c r="AU822">
        <v>-1.8961691562128242</v>
      </c>
      <c r="AV822"/>
      <c r="AW822"/>
      <c r="FY822" s="210">
        <v>817</v>
      </c>
      <c r="FZ822">
        <v>1.2471876588107378</v>
      </c>
      <c r="GA822">
        <v>25.57478274731843</v>
      </c>
      <c r="GB822">
        <v>26.088353773512289</v>
      </c>
      <c r="GC822">
        <v>9.6791735955543281</v>
      </c>
      <c r="GD822">
        <v>3.6593544870148582</v>
      </c>
      <c r="GE822">
        <v>5.539178271926021</v>
      </c>
      <c r="GF822">
        <v>4.4071965472098258</v>
      </c>
      <c r="GG822">
        <v>5.4515054764842032</v>
      </c>
      <c r="GH822">
        <v>6.4592291053927742</v>
      </c>
      <c r="GI822">
        <v>10.659635095852128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158.04081674310336</v>
      </c>
      <c r="AO823">
        <v>12.436252572562257</v>
      </c>
      <c r="AP823">
        <v>100.11936350067499</v>
      </c>
      <c r="AQ823">
        <v>80.569176347184239</v>
      </c>
      <c r="AR823">
        <v>11.508247300490115</v>
      </c>
      <c r="AS823">
        <v>120.73157785298204</v>
      </c>
      <c r="AT823" t="e">
        <v>#DIV/0!</v>
      </c>
      <c r="AU823" t="e">
        <v>#DIV/0!</v>
      </c>
      <c r="AV823"/>
      <c r="AW823"/>
      <c r="FY823" s="210">
        <v>818</v>
      </c>
      <c r="FZ823">
        <v>1.2219358446734254</v>
      </c>
      <c r="GA823">
        <v>13.933983394381094</v>
      </c>
      <c r="GB823">
        <v>15.151405094900127</v>
      </c>
      <c r="GC823">
        <v>8.6446293499155615</v>
      </c>
      <c r="GD823">
        <v>4.3020224406929506</v>
      </c>
      <c r="GE823">
        <v>3.4586216591079619</v>
      </c>
      <c r="GF823">
        <v>3.1007729537719806</v>
      </c>
      <c r="GG823">
        <v>4.5808063907673757</v>
      </c>
      <c r="GH823">
        <v>6.2661522733347095</v>
      </c>
      <c r="GI823">
        <v>8.0280447299841953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140.74644471310557</v>
      </c>
      <c r="AO824">
        <v>13.197922791324505</v>
      </c>
      <c r="AP824">
        <v>108.84885995942965</v>
      </c>
      <c r="AQ824">
        <v>81.686552007222559</v>
      </c>
      <c r="AR824">
        <v>12.171637562809021</v>
      </c>
      <c r="AS824">
        <v>110.67098156702976</v>
      </c>
      <c r="AT824">
        <v>5.3666694501481293</v>
      </c>
      <c r="AU824">
        <v>-19.061891207617027</v>
      </c>
      <c r="AV824"/>
      <c r="AW824"/>
      <c r="FY824" s="210">
        <v>819</v>
      </c>
      <c r="FZ824">
        <v>4.0360627593019842</v>
      </c>
      <c r="GA824">
        <v>33.653220261728443</v>
      </c>
      <c r="GB824">
        <v>21.895589592387172</v>
      </c>
      <c r="GC824">
        <v>7.3068101474608058</v>
      </c>
      <c r="GD824">
        <v>5.8723033926221815</v>
      </c>
      <c r="GE824">
        <v>10.079030232909753</v>
      </c>
      <c r="GF824">
        <v>8.0694096776970792</v>
      </c>
      <c r="GG824">
        <v>3.6793295047052283</v>
      </c>
      <c r="GH824">
        <v>3.8086663079619516</v>
      </c>
      <c r="GI824">
        <v>11.568729769131471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240.30706796919009</v>
      </c>
      <c r="AO825">
        <v>17.640903480757927</v>
      </c>
      <c r="AP825">
        <v>136.83165774389136</v>
      </c>
      <c r="AQ825">
        <v>113.05906081526174</v>
      </c>
      <c r="AR825">
        <v>16.191362385849878</v>
      </c>
      <c r="AS825">
        <v>161.54985086623839</v>
      </c>
      <c r="AT825">
        <v>7.9408764409885846</v>
      </c>
      <c r="AU825">
        <v>-6.6933453827029368</v>
      </c>
      <c r="AV825"/>
      <c r="AW825"/>
      <c r="FY825" s="210">
        <v>820</v>
      </c>
      <c r="FZ825">
        <v>7.0520309841517363</v>
      </c>
      <c r="GA825">
        <v>32.752067785978809</v>
      </c>
      <c r="GB825">
        <v>28.98531188915501</v>
      </c>
      <c r="GC825">
        <v>12.749083453043369</v>
      </c>
      <c r="GD825">
        <v>3.8809977670842506</v>
      </c>
      <c r="GE825">
        <v>4.284280761232103</v>
      </c>
      <c r="GF825">
        <v>4.8315714497994025</v>
      </c>
      <c r="GG825">
        <v>2.1958315849043233</v>
      </c>
      <c r="GH825">
        <v>3.1012085431658845</v>
      </c>
      <c r="GI825">
        <v>11.93748465028745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147.81069328105173</v>
      </c>
      <c r="AO826">
        <v>10.799296174603146</v>
      </c>
      <c r="AP826">
        <v>86.848871403371021</v>
      </c>
      <c r="AQ826">
        <v>68.91671008731997</v>
      </c>
      <c r="AR826">
        <v>10.146680984921742</v>
      </c>
      <c r="AS826">
        <v>108.92353075406871</v>
      </c>
      <c r="AT826">
        <v>5.2868997334091397</v>
      </c>
      <c r="AU826">
        <v>-19.790436246043395</v>
      </c>
      <c r="AV826"/>
      <c r="AW826"/>
      <c r="FY826" s="210">
        <v>821</v>
      </c>
      <c r="FZ826">
        <v>7.1034130809785347</v>
      </c>
      <c r="GA826">
        <v>36.129614280559707</v>
      </c>
      <c r="GB826">
        <v>19.673333339927851</v>
      </c>
      <c r="GC826">
        <v>7.0215439662149892</v>
      </c>
      <c r="GD826">
        <v>5.3783067898174508</v>
      </c>
      <c r="GE826">
        <v>7.7222579786118386</v>
      </c>
      <c r="GF826">
        <v>7.394325115827483</v>
      </c>
      <c r="GG826">
        <v>4.9451690874982921</v>
      </c>
      <c r="GH826">
        <v>4.268872142955014</v>
      </c>
      <c r="GI826">
        <v>11.124020431210225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192.54440626101257</v>
      </c>
      <c r="AO827">
        <v>15.751653127510071</v>
      </c>
      <c r="AP827">
        <v>125.16228692934959</v>
      </c>
      <c r="AQ827">
        <v>98.411924548124716</v>
      </c>
      <c r="AR827">
        <v>14.572899908827798</v>
      </c>
      <c r="AS827">
        <v>137.66905928615796</v>
      </c>
      <c r="AT827">
        <v>7.1672353608919037</v>
      </c>
      <c r="AU827">
        <v>-16.646015243818891</v>
      </c>
      <c r="AV827"/>
      <c r="AW827"/>
      <c r="FY827" s="210">
        <v>822</v>
      </c>
      <c r="FZ827">
        <v>4.2446011722328585</v>
      </c>
      <c r="GA827">
        <v>16.857158461390391</v>
      </c>
      <c r="GB827">
        <v>19.435642899534493</v>
      </c>
      <c r="GC827">
        <v>10.286444315940322</v>
      </c>
      <c r="GD827">
        <v>4.0280744600793561</v>
      </c>
      <c r="GE827">
        <v>4.7944056612621999</v>
      </c>
      <c r="GF827">
        <v>3.0138012004938952</v>
      </c>
      <c r="GG827">
        <v>2.5130247529315048</v>
      </c>
      <c r="GH827">
        <v>5.1051143645895785</v>
      </c>
      <c r="GI827">
        <v>9.1938387397372612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217.7041258014041</v>
      </c>
      <c r="AO828">
        <v>16.72652222069836</v>
      </c>
      <c r="AP828">
        <v>133.37829549791638</v>
      </c>
      <c r="AQ828">
        <v>103.74254597519695</v>
      </c>
      <c r="AR828">
        <v>15.436089564977298</v>
      </c>
      <c r="AS828">
        <v>144.11144787452747</v>
      </c>
      <c r="AT828">
        <v>6.7454643932699225</v>
      </c>
      <c r="AU828">
        <v>-11.779815873469698</v>
      </c>
      <c r="AV828"/>
      <c r="AW828"/>
      <c r="FY828" s="210">
        <v>823</v>
      </c>
      <c r="FZ828">
        <v>3.7294453076964764</v>
      </c>
      <c r="GA828">
        <v>21.244963182199847</v>
      </c>
      <c r="GB828">
        <v>21.773639116814376</v>
      </c>
      <c r="GC828">
        <v>9.1389296622341476</v>
      </c>
      <c r="GD828">
        <v>3.0920081932450105</v>
      </c>
      <c r="GE828">
        <v>3.5387559716654402</v>
      </c>
      <c r="GF828">
        <v>3.1866699146248534</v>
      </c>
      <c r="GG828">
        <v>4.1699417910087515</v>
      </c>
      <c r="GH828">
        <v>5.0413791775866388</v>
      </c>
      <c r="GI828">
        <v>9.1670830026938717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241.38362847538255</v>
      </c>
      <c r="AO829">
        <v>14.932406778581418</v>
      </c>
      <c r="AP829">
        <v>106.81939712661952</v>
      </c>
      <c r="AQ829">
        <v>86.327775382079793</v>
      </c>
      <c r="AR829">
        <v>13.867759887374316</v>
      </c>
      <c r="AS829">
        <v>146.3072725361265</v>
      </c>
      <c r="AT829" t="e">
        <v>#DIV/0!</v>
      </c>
      <c r="AU829" t="e">
        <v>#DIV/0!</v>
      </c>
      <c r="AV829"/>
      <c r="AW829"/>
      <c r="FY829" s="210">
        <v>824</v>
      </c>
      <c r="FZ829">
        <v>3.8233650496240994</v>
      </c>
      <c r="GA829">
        <v>27.720168081016482</v>
      </c>
      <c r="GB829">
        <v>22.269738843774437</v>
      </c>
      <c r="GC829">
        <v>8.0586969837140465</v>
      </c>
      <c r="GD829">
        <v>2.7121545213921947</v>
      </c>
      <c r="GE829">
        <v>2.6402141078125085</v>
      </c>
      <c r="GF829">
        <v>2.5734281919044211</v>
      </c>
      <c r="GG829">
        <v>2.1976319424001689</v>
      </c>
      <c r="GH829">
        <v>2.9761153791573811</v>
      </c>
      <c r="GI829">
        <v>8.6191771007885478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188.42262698521273</v>
      </c>
      <c r="AO830">
        <v>14.62536674714319</v>
      </c>
      <c r="AP830">
        <v>113.16976749314867</v>
      </c>
      <c r="AQ830">
        <v>89.012180502319481</v>
      </c>
      <c r="AR830">
        <v>13.656182569219604</v>
      </c>
      <c r="AS830">
        <v>128.88915917953685</v>
      </c>
      <c r="AT830">
        <v>6.2126530710864651</v>
      </c>
      <c r="AU830">
        <v>-8.9603680380999648</v>
      </c>
      <c r="AV830"/>
      <c r="AW830"/>
      <c r="FY830" s="210">
        <v>825</v>
      </c>
      <c r="FZ830">
        <v>3.7818254824162407</v>
      </c>
      <c r="GA830">
        <v>23.924029373132477</v>
      </c>
      <c r="GB830">
        <v>24.301488597389998</v>
      </c>
      <c r="GC830">
        <v>10.682581597052771</v>
      </c>
      <c r="GD830">
        <v>3.9575240426658511</v>
      </c>
      <c r="GE830">
        <v>5.3354825312100873</v>
      </c>
      <c r="GF830">
        <v>3.7630334049148111</v>
      </c>
      <c r="GG830">
        <v>3.9354293988421332</v>
      </c>
      <c r="GH830">
        <v>4.3939653069635174</v>
      </c>
      <c r="GI830">
        <v>10.286507574579124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176.99731223742012</v>
      </c>
      <c r="AO831">
        <v>18.383110360612775</v>
      </c>
      <c r="AP831">
        <v>141.6154769571086</v>
      </c>
      <c r="AQ831">
        <v>108.83269039646741</v>
      </c>
      <c r="AR831">
        <v>17.173763286539522</v>
      </c>
      <c r="AS831">
        <v>162.04243147075317</v>
      </c>
      <c r="AT831" t="e">
        <v>#DIV/0!</v>
      </c>
      <c r="AU831" t="e">
        <v>#DIV/0!</v>
      </c>
      <c r="AV831"/>
      <c r="AW831"/>
      <c r="FY831" s="210">
        <v>826</v>
      </c>
      <c r="FZ831">
        <v>9.489093572633184</v>
      </c>
      <c r="GA831">
        <v>23.238970685547557</v>
      </c>
      <c r="GB831">
        <v>20.057607762850203</v>
      </c>
      <c r="GC831">
        <v>9.805809433930154</v>
      </c>
      <c r="GD831">
        <v>4.0073414437002484</v>
      </c>
      <c r="GE831">
        <v>5.7761284122037599</v>
      </c>
      <c r="GF831">
        <v>5.0044401639303615</v>
      </c>
      <c r="GG831">
        <v>5.590546079423536</v>
      </c>
      <c r="GH831">
        <v>5.2981911966476432</v>
      </c>
      <c r="GI831">
        <v>10.485801851714966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209.67384132474339</v>
      </c>
      <c r="AO832">
        <v>14.583729158009268</v>
      </c>
      <c r="AP832">
        <v>112.11564893496208</v>
      </c>
      <c r="AQ832">
        <v>87.74403739653026</v>
      </c>
      <c r="AR832">
        <v>13.389931177327748</v>
      </c>
      <c r="AS832">
        <v>140.02779462894395</v>
      </c>
      <c r="AT832">
        <v>6.4104769171297944</v>
      </c>
      <c r="AU832">
        <v>-30.387258280191908</v>
      </c>
      <c r="AV832"/>
      <c r="AW832"/>
      <c r="FY832" s="210">
        <v>827</v>
      </c>
      <c r="FZ832">
        <v>1.1947885607778934</v>
      </c>
      <c r="GA832">
        <v>26.259329737120485</v>
      </c>
      <c r="GB832">
        <v>33.627701869753551</v>
      </c>
      <c r="GC832">
        <v>13.365204645608598</v>
      </c>
      <c r="GD832">
        <v>3.5132391001500531</v>
      </c>
      <c r="GE832">
        <v>6.1179622585181574</v>
      </c>
      <c r="GF832">
        <v>6.4234333500973175</v>
      </c>
      <c r="GG832">
        <v>3.268464904946605</v>
      </c>
      <c r="GH832">
        <v>1.6183093455241906</v>
      </c>
      <c r="GI832">
        <v>12.065495867626293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192.2651299461115</v>
      </c>
      <c r="AO833">
        <v>15.966145077841247</v>
      </c>
      <c r="AP833">
        <v>128.01672903440249</v>
      </c>
      <c r="AQ833">
        <v>98.765596759075578</v>
      </c>
      <c r="AR833">
        <v>14.823466691323784</v>
      </c>
      <c r="AS833">
        <v>145.61352379101535</v>
      </c>
      <c r="AT833">
        <v>6.8213141928841337</v>
      </c>
      <c r="AU833">
        <v>-20.177508676455503</v>
      </c>
      <c r="AV833"/>
      <c r="AW833"/>
      <c r="FY833" s="210">
        <v>828</v>
      </c>
      <c r="FZ833">
        <v>4.2944593329347356</v>
      </c>
      <c r="GA833">
        <v>22.665847762228964</v>
      </c>
      <c r="GB833">
        <v>25.693345045406591</v>
      </c>
      <c r="GC833">
        <v>13.609577342902686</v>
      </c>
      <c r="GD833">
        <v>4.3877204997367274</v>
      </c>
      <c r="GE833">
        <v>2.9618701266122334</v>
      </c>
      <c r="GF833">
        <v>5.749423580652933</v>
      </c>
      <c r="GG833">
        <v>4.4999259724026581</v>
      </c>
      <c r="GH833">
        <v>3.2366186910483812</v>
      </c>
      <c r="GI833">
        <v>11.149041761021707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166.24615440856567</v>
      </c>
      <c r="AO834">
        <v>11.864064339593192</v>
      </c>
      <c r="AP834">
        <v>84.020798498885057</v>
      </c>
      <c r="AQ834">
        <v>68.688374131529386</v>
      </c>
      <c r="AR834">
        <v>11.161140206433533</v>
      </c>
      <c r="AS834">
        <v>120.73413268922579</v>
      </c>
      <c r="AT834">
        <v>5.2124029299417698</v>
      </c>
      <c r="AU834">
        <v>-6.4801286889104919</v>
      </c>
      <c r="AV834"/>
      <c r="AW834"/>
      <c r="FY834" s="210">
        <v>829</v>
      </c>
      <c r="FZ834">
        <v>1.4163338535500469</v>
      </c>
      <c r="GA834">
        <v>28.246812338133964</v>
      </c>
      <c r="GB834">
        <v>18.019569183148963</v>
      </c>
      <c r="GC834">
        <v>4.8930005780857559</v>
      </c>
      <c r="GD834">
        <v>4.5651833823156887</v>
      </c>
      <c r="GE834">
        <v>7.4357566293588384</v>
      </c>
      <c r="GF834">
        <v>5.0502848970796279</v>
      </c>
      <c r="GG834">
        <v>2.9384807235526984</v>
      </c>
      <c r="GH834">
        <v>2.7793472542693221</v>
      </c>
      <c r="GI834">
        <v>8.7175383751179378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252.95492582306269</v>
      </c>
      <c r="AO835">
        <v>17.23590733286353</v>
      </c>
      <c r="AP835">
        <v>135.48935596904866</v>
      </c>
      <c r="AQ835">
        <v>109.96915164590608</v>
      </c>
      <c r="AR835">
        <v>15.897414053358373</v>
      </c>
      <c r="AS835">
        <v>155.43261138784734</v>
      </c>
      <c r="AT835">
        <v>7.6709222283290259</v>
      </c>
      <c r="AU835">
        <v>-12.664817285567398</v>
      </c>
      <c r="AV835"/>
      <c r="AW835"/>
      <c r="FY835" s="210">
        <v>830</v>
      </c>
      <c r="FZ835">
        <v>4.1727688942202077</v>
      </c>
      <c r="GA835">
        <v>30.420671012746105</v>
      </c>
      <c r="GB835">
        <v>18.586816320399947</v>
      </c>
      <c r="GC835">
        <v>6.2920309957495686</v>
      </c>
      <c r="GD835">
        <v>3.9505168323685766</v>
      </c>
      <c r="GE835">
        <v>4.5194658690958791</v>
      </c>
      <c r="GF835">
        <v>5.035361583504943</v>
      </c>
      <c r="GG835">
        <v>2.7149589872569586</v>
      </c>
      <c r="GH835">
        <v>1.4828991976416939</v>
      </c>
      <c r="GI835">
        <v>8.7021125228670471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193.84158462569974</v>
      </c>
      <c r="AO836">
        <v>17.92940541863269</v>
      </c>
      <c r="AP836">
        <v>143.67403931595624</v>
      </c>
      <c r="AQ836">
        <v>111.76986886880232</v>
      </c>
      <c r="AR836">
        <v>16.567297257354522</v>
      </c>
      <c r="AS836">
        <v>155.27448710569954</v>
      </c>
      <c r="AT836">
        <v>7.253958535321682</v>
      </c>
      <c r="AU836">
        <v>-16.02091464563506</v>
      </c>
      <c r="AV836"/>
      <c r="AW836"/>
      <c r="FY836" s="210">
        <v>831</v>
      </c>
      <c r="FZ836">
        <v>1.5486319438314871</v>
      </c>
      <c r="GA836">
        <v>17.644483037751726</v>
      </c>
      <c r="GB836">
        <v>20.65983641305187</v>
      </c>
      <c r="GC836">
        <v>8.9470839292058617</v>
      </c>
      <c r="GD836">
        <v>2.9364011389963083</v>
      </c>
      <c r="GE836">
        <v>4.5983149044217493</v>
      </c>
      <c r="GF836">
        <v>3.4594977892069263</v>
      </c>
      <c r="GG836">
        <v>1.6441260247105225</v>
      </c>
      <c r="GH836">
        <v>2.7793472542693221</v>
      </c>
      <c r="GI836">
        <v>8.1552992586510644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241.91967942358571</v>
      </c>
      <c r="AO837">
        <v>16.67022260594393</v>
      </c>
      <c r="AP837">
        <v>135.7062515969867</v>
      </c>
      <c r="AQ837">
        <v>110.76085621360139</v>
      </c>
      <c r="AR837">
        <v>15.265631819473068</v>
      </c>
      <c r="AS837">
        <v>179.2631498991116</v>
      </c>
      <c r="AT837" t="e">
        <v>#DIV/0!</v>
      </c>
      <c r="AU837" t="e">
        <v>#DIV/0!</v>
      </c>
      <c r="AV837"/>
      <c r="AW837"/>
      <c r="FY837" s="210">
        <v>832</v>
      </c>
      <c r="FZ837">
        <v>1.279624587263525</v>
      </c>
      <c r="GA837">
        <v>20.158878766053732</v>
      </c>
      <c r="GB837">
        <v>22.975021741451513</v>
      </c>
      <c r="GC837">
        <v>10.894695860043388</v>
      </c>
      <c r="GD837">
        <v>5.3749088952771649</v>
      </c>
      <c r="GE837">
        <v>7.1085168535229446</v>
      </c>
      <c r="GF837">
        <v>4.8326462422246159</v>
      </c>
      <c r="GG837">
        <v>2.9366803660568532</v>
      </c>
      <c r="GH837">
        <v>2.9657983952833877</v>
      </c>
      <c r="GI837">
        <v>10.393347251974816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192.07857751681465</v>
      </c>
      <c r="AO838">
        <v>13.622400431574203</v>
      </c>
      <c r="AP838">
        <v>98.209311249476727</v>
      </c>
      <c r="AQ838">
        <v>79.472106028191874</v>
      </c>
      <c r="AR838">
        <v>12.750284223770866</v>
      </c>
      <c r="AS838">
        <v>134.56479928694725</v>
      </c>
      <c r="AT838" t="e">
        <v>#DIV/0!</v>
      </c>
      <c r="AU838" t="e">
        <v>#DIV/0!</v>
      </c>
      <c r="AV838"/>
      <c r="AW838"/>
      <c r="FY838" s="210">
        <v>833</v>
      </c>
      <c r="FZ838">
        <v>3.9233332502859257</v>
      </c>
      <c r="GA838">
        <v>29.748255291291471</v>
      </c>
      <c r="GB838">
        <v>34.672133990871203</v>
      </c>
      <c r="GC838">
        <v>13.845621602939968</v>
      </c>
      <c r="GD838">
        <v>5.2316878702192433</v>
      </c>
      <c r="GE838">
        <v>9.6921074771681397</v>
      </c>
      <c r="GF838">
        <v>6.8488830451121068</v>
      </c>
      <c r="GG838">
        <v>6.7422594603346893</v>
      </c>
      <c r="GH838">
        <v>7.0312767223063446</v>
      </c>
      <c r="GI838">
        <v>14.724257462929337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158.55525845960818</v>
      </c>
      <c r="AO839">
        <v>13.620712086211171</v>
      </c>
      <c r="AP839">
        <v>108.46969987964248</v>
      </c>
      <c r="AQ839">
        <v>84.082815319769409</v>
      </c>
      <c r="AR839">
        <v>12.835292692916905</v>
      </c>
      <c r="AS839">
        <v>141.83183836328888</v>
      </c>
      <c r="AT839">
        <v>5.6455493197365643</v>
      </c>
      <c r="AU839">
        <v>-19.131371944468409</v>
      </c>
      <c r="AV839"/>
      <c r="AW839"/>
      <c r="FY839" s="210">
        <v>834</v>
      </c>
      <c r="FZ839">
        <v>6.5349765184888371</v>
      </c>
      <c r="GA839">
        <v>32.628260309445892</v>
      </c>
      <c r="GB839">
        <v>29.802283059977405</v>
      </c>
      <c r="GC839">
        <v>11.160721273017165</v>
      </c>
      <c r="GD839">
        <v>3.7977030364456885</v>
      </c>
      <c r="GE839">
        <v>8.297867724039893</v>
      </c>
      <c r="GF839">
        <v>6.680263118679493</v>
      </c>
      <c r="GG839">
        <v>3.160202102352593</v>
      </c>
      <c r="GH839">
        <v>4.3236044289165783</v>
      </c>
      <c r="GI839">
        <v>12.542946930085067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146.27235075152379</v>
      </c>
      <c r="AO840">
        <v>12.814432660073123</v>
      </c>
      <c r="AP840">
        <v>108.67600362241674</v>
      </c>
      <c r="AQ840">
        <v>83.59069020158428</v>
      </c>
      <c r="AR840">
        <v>11.969286176742985</v>
      </c>
      <c r="AS840">
        <v>122.92940485209067</v>
      </c>
      <c r="AT840">
        <v>5.7805189487977886</v>
      </c>
      <c r="AU840">
        <v>-23.364582887455963</v>
      </c>
      <c r="AV840"/>
      <c r="AW840"/>
      <c r="FY840" s="210">
        <v>835</v>
      </c>
      <c r="FZ840">
        <v>1.7367201755765098</v>
      </c>
      <c r="GA840">
        <v>22.664431432248517</v>
      </c>
      <c r="GB840">
        <v>14.937791471873032</v>
      </c>
      <c r="GC840">
        <v>6.0204559783072193</v>
      </c>
      <c r="GD840">
        <v>4.3291061089367195</v>
      </c>
      <c r="GE840">
        <v>7.1969423135823902</v>
      </c>
      <c r="GF840">
        <v>8.4937845802866576</v>
      </c>
      <c r="GG840">
        <v>2.9366803660568532</v>
      </c>
      <c r="GH840">
        <v>2.322075817490262</v>
      </c>
      <c r="GI840">
        <v>8.4335823909781276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204.81020633012821</v>
      </c>
      <c r="AO841">
        <v>15.49202736523964</v>
      </c>
      <c r="AP841">
        <v>119.29587012054607</v>
      </c>
      <c r="AQ841">
        <v>94.36186730916701</v>
      </c>
      <c r="AR841">
        <v>14.25155925174213</v>
      </c>
      <c r="AS841">
        <v>143.22528864835968</v>
      </c>
      <c r="AT841" t="e">
        <v>#DIV/0!</v>
      </c>
      <c r="AU841" t="e">
        <v>#DIV/0!</v>
      </c>
      <c r="AV841"/>
      <c r="AW841"/>
      <c r="FY841" s="210">
        <v>836</v>
      </c>
      <c r="FZ841">
        <v>1.6003855742915833</v>
      </c>
      <c r="GA841">
        <v>24.859285878785091</v>
      </c>
      <c r="GB841">
        <v>28.425213278657488</v>
      </c>
      <c r="GC841">
        <v>11.608013889090609</v>
      </c>
      <c r="GD841">
        <v>3.5548400497719088</v>
      </c>
      <c r="GE841">
        <v>6.2542643941386338</v>
      </c>
      <c r="GF841">
        <v>6.0211766628097934</v>
      </c>
      <c r="GG841">
        <v>2.9710588813938639</v>
      </c>
      <c r="GH841">
        <v>4.1371532879025121</v>
      </c>
      <c r="GI841">
        <v>11.194404843827986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215.81447594578145</v>
      </c>
      <c r="AO842">
        <v>15.638356160531194</v>
      </c>
      <c r="AP842">
        <v>120.69997633133909</v>
      </c>
      <c r="AQ842">
        <v>98.753930602581619</v>
      </c>
      <c r="AR842">
        <v>14.5443629150931</v>
      </c>
      <c r="AS842">
        <v>149.23721874204116</v>
      </c>
      <c r="AT842">
        <v>6.872778507655533</v>
      </c>
      <c r="AU842">
        <v>-11.2023104319862</v>
      </c>
      <c r="AV842"/>
      <c r="AW842"/>
      <c r="FY842" s="210">
        <v>837</v>
      </c>
      <c r="FZ842">
        <v>4.5561367347623225</v>
      </c>
      <c r="GA842">
        <v>31.668666760013796</v>
      </c>
      <c r="GB842">
        <v>30.203179225884302</v>
      </c>
      <c r="GC842">
        <v>11.995706487980264</v>
      </c>
      <c r="GD842">
        <v>4.2076202991832643</v>
      </c>
      <c r="GE842">
        <v>5.1870037472934643</v>
      </c>
      <c r="GF842">
        <v>3.7278631976418843</v>
      </c>
      <c r="GG842">
        <v>1.8786384168771417</v>
      </c>
      <c r="GH842">
        <v>1.0359447447366277</v>
      </c>
      <c r="GI842">
        <v>11.512939762135753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211.05818770821165</v>
      </c>
      <c r="AO843">
        <v>18.218213276711175</v>
      </c>
      <c r="AP843">
        <v>142.09575756900546</v>
      </c>
      <c r="AQ843">
        <v>107.45392964012316</v>
      </c>
      <c r="AR843">
        <v>16.805630370761197</v>
      </c>
      <c r="AS843">
        <v>189.85132436202875</v>
      </c>
      <c r="AT843">
        <v>6.894461879803778</v>
      </c>
      <c r="AU843">
        <v>-9.2499810791273553</v>
      </c>
      <c r="AV843"/>
      <c r="AW843"/>
      <c r="FY843" s="210">
        <v>838</v>
      </c>
      <c r="FZ843">
        <v>2.4371777180054695</v>
      </c>
      <c r="GA843">
        <v>12.800899491201704</v>
      </c>
      <c r="GB843">
        <v>16.294960953658176</v>
      </c>
      <c r="GC843">
        <v>8.8900190994891322</v>
      </c>
      <c r="GD843">
        <v>3.5444711022086093</v>
      </c>
      <c r="GE843">
        <v>6.1911733449172788</v>
      </c>
      <c r="GF843">
        <v>5.9352797019569206</v>
      </c>
      <c r="GG843">
        <v>1.6441260247105225</v>
      </c>
      <c r="GH843">
        <v>2.7793472542693221</v>
      </c>
      <c r="GI843">
        <v>8.0242328997336223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208.28636049580217</v>
      </c>
      <c r="AO844">
        <v>16.594208281329252</v>
      </c>
      <c r="AP844">
        <v>124.3309647830129</v>
      </c>
      <c r="AQ844">
        <v>98.247830114947618</v>
      </c>
      <c r="AR844">
        <v>15.479941733997137</v>
      </c>
      <c r="AS844">
        <v>163.55462729713716</v>
      </c>
      <c r="AT844">
        <v>7.460084856716084</v>
      </c>
      <c r="AU844">
        <v>-15.435800205425995</v>
      </c>
      <c r="AV844"/>
      <c r="AW844"/>
      <c r="FY844" s="210">
        <v>839</v>
      </c>
      <c r="FZ844">
        <v>1.5805619373653998</v>
      </c>
      <c r="GA844">
        <v>20.445730494309196</v>
      </c>
      <c r="GB844">
        <v>25.120764740678965</v>
      </c>
      <c r="GC844">
        <v>10.767288040751652</v>
      </c>
      <c r="GD844">
        <v>3.3388167685335564</v>
      </c>
      <c r="GE844">
        <v>5.1876515388206705</v>
      </c>
      <c r="GF844">
        <v>4.9334665166521727</v>
      </c>
      <c r="GG844">
        <v>1.1988829096148885</v>
      </c>
      <c r="GH844">
        <v>1.164729201575126</v>
      </c>
      <c r="GI844">
        <v>9.5653902670941022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209.40868856431592</v>
      </c>
      <c r="AO845">
        <v>13.020472874835814</v>
      </c>
      <c r="AP845">
        <v>104.94290793092699</v>
      </c>
      <c r="AQ845">
        <v>84.062307214612858</v>
      </c>
      <c r="AR845">
        <v>12.016821860466818</v>
      </c>
      <c r="AS845">
        <v>137.80678308702642</v>
      </c>
      <c r="AT845">
        <v>5.7947113952970719</v>
      </c>
      <c r="AU845">
        <v>-26.428741903377066</v>
      </c>
      <c r="AV845"/>
      <c r="AW845"/>
      <c r="FY845" s="210">
        <v>840</v>
      </c>
      <c r="FZ845">
        <v>7.5524199003741979</v>
      </c>
      <c r="GA845">
        <v>33.311703508214556</v>
      </c>
      <c r="GB845">
        <v>21.221953224416417</v>
      </c>
      <c r="GC845">
        <v>7.0818810542912818</v>
      </c>
      <c r="GD845">
        <v>5.2612427630950984</v>
      </c>
      <c r="GE845">
        <v>9.2135133664165334</v>
      </c>
      <c r="GF845">
        <v>4.2034064135042861</v>
      </c>
      <c r="GG845">
        <v>0.77522729648954036</v>
      </c>
      <c r="GH845">
        <v>2.2006739463117539</v>
      </c>
      <c r="GI845">
        <v>10.612860213057704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194.28826111005824</v>
      </c>
      <c r="AO846">
        <v>12.995488745502389</v>
      </c>
      <c r="AP846">
        <v>108.18056409962135</v>
      </c>
      <c r="AQ846">
        <v>85.877602215850942</v>
      </c>
      <c r="AR846">
        <v>12.016967195220909</v>
      </c>
      <c r="AS846">
        <v>136.64970299760151</v>
      </c>
      <c r="AT846">
        <v>6.4946934206550813</v>
      </c>
      <c r="AU846">
        <v>-20.900687086533811</v>
      </c>
      <c r="AV846"/>
      <c r="AW846"/>
      <c r="FY846" s="210">
        <v>841</v>
      </c>
      <c r="FZ846">
        <v>6.4552003119837646</v>
      </c>
      <c r="GA846">
        <v>34.040057858549993</v>
      </c>
      <c r="GB846">
        <v>31.31052421537909</v>
      </c>
      <c r="GC846">
        <v>12.604463188186276</v>
      </c>
      <c r="GD846">
        <v>2.9942925184425055</v>
      </c>
      <c r="GE846">
        <v>6.1041082523065242</v>
      </c>
      <c r="GF846">
        <v>9.024303337427348</v>
      </c>
      <c r="GG846">
        <v>2.6538657133666819</v>
      </c>
      <c r="GH846">
        <v>3.5584799799449449</v>
      </c>
      <c r="GI846">
        <v>12.817477293482295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170.9281224911465</v>
      </c>
      <c r="AO847">
        <v>12.169602116885592</v>
      </c>
      <c r="AP847">
        <v>92.629804265825101</v>
      </c>
      <c r="AQ847">
        <v>72.373021694096849</v>
      </c>
      <c r="AR847">
        <v>11.237461650755344</v>
      </c>
      <c r="AS847">
        <v>125.64973838404723</v>
      </c>
      <c r="AT847" t="e">
        <v>#DIV/0!</v>
      </c>
      <c r="AU847" t="e">
        <v>#DIV/0!</v>
      </c>
      <c r="AV847"/>
      <c r="AW847"/>
      <c r="FY847" s="210">
        <v>842</v>
      </c>
      <c r="FZ847">
        <v>2.0817159755358339</v>
      </c>
      <c r="GA847">
        <v>16.358278850783798</v>
      </c>
      <c r="GB847">
        <v>23.409214953379877</v>
      </c>
      <c r="GC847">
        <v>10.596658590898912</v>
      </c>
      <c r="GD847">
        <v>3.7503079805090946</v>
      </c>
      <c r="GE847">
        <v>7.1896730563815892</v>
      </c>
      <c r="GF847">
        <v>5.2730192508140892</v>
      </c>
      <c r="GG847">
        <v>1.3269328566833409</v>
      </c>
      <c r="GH847">
        <v>1.6183093455241906</v>
      </c>
      <c r="GI847">
        <v>9.6064850040142105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237.39973564886532</v>
      </c>
      <c r="AO848">
        <v>15.538615659899955</v>
      </c>
      <c r="AP848">
        <v>109.8177615244433</v>
      </c>
      <c r="AQ848">
        <v>88.920118959151935</v>
      </c>
      <c r="AR848">
        <v>14.378761580354306</v>
      </c>
      <c r="AS848">
        <v>146.3139456446998</v>
      </c>
      <c r="AT848">
        <v>6.5370208842468109</v>
      </c>
      <c r="AU848">
        <v>-14.819561023884177</v>
      </c>
      <c r="AV848"/>
      <c r="AW848"/>
      <c r="FY848" s="210">
        <v>843</v>
      </c>
      <c r="FZ848">
        <v>0.92516092268685735</v>
      </c>
      <c r="GA848">
        <v>12.78628094699201</v>
      </c>
      <c r="GB848">
        <v>17.683875912122488</v>
      </c>
      <c r="GC848">
        <v>9.9615388681960457</v>
      </c>
      <c r="GD848">
        <v>4.5117992033734389</v>
      </c>
      <c r="GE848">
        <v>4.0887470905590799</v>
      </c>
      <c r="GF848">
        <v>4.0324736057749826</v>
      </c>
      <c r="GG848">
        <v>2.3977658192297771</v>
      </c>
      <c r="GH848">
        <v>1.164729201575126</v>
      </c>
      <c r="GI848">
        <v>8.0812209362130218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238.98905776383714</v>
      </c>
      <c r="AO849">
        <v>22.211587985321358</v>
      </c>
      <c r="AP849">
        <v>170.40627560592279</v>
      </c>
      <c r="AQ849">
        <v>132.45981617345842</v>
      </c>
      <c r="AR849">
        <v>20.589648795958837</v>
      </c>
      <c r="AS849">
        <v>208.66362777849457</v>
      </c>
      <c r="AT849">
        <v>9.9681164802526165</v>
      </c>
      <c r="AU849">
        <v>-56.433904342927903</v>
      </c>
      <c r="AV849"/>
      <c r="AW849"/>
      <c r="FY849" s="210">
        <v>844</v>
      </c>
      <c r="FZ849">
        <v>6.2210385512822777</v>
      </c>
      <c r="GA849">
        <v>27.135336929615491</v>
      </c>
      <c r="GB849">
        <v>15.19091089853441</v>
      </c>
      <c r="GC849">
        <v>5.6497249143222215</v>
      </c>
      <c r="GD849">
        <v>3.5867225903910529</v>
      </c>
      <c r="GE849">
        <v>3.055500426004004</v>
      </c>
      <c r="GF849">
        <v>1.7985981480324789</v>
      </c>
      <c r="GG849">
        <v>1.9723098486085839</v>
      </c>
      <c r="GH849">
        <v>1.4828991976416939</v>
      </c>
      <c r="GI849">
        <v>7.3307086765639289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246.80889561980939</v>
      </c>
      <c r="AO850">
        <v>18.848506311083053</v>
      </c>
      <c r="AP850">
        <v>152.36858616925321</v>
      </c>
      <c r="AQ850">
        <v>118.92882850144861</v>
      </c>
      <c r="AR850">
        <v>17.318452700997792</v>
      </c>
      <c r="AS850">
        <v>158.59288112136181</v>
      </c>
      <c r="AT850">
        <v>7.6658646233502417</v>
      </c>
      <c r="AU850">
        <v>-23.770292616153554</v>
      </c>
      <c r="AV850"/>
      <c r="AW850"/>
      <c r="FY850" s="210">
        <v>845</v>
      </c>
      <c r="FZ850">
        <v>6.6063018615826126</v>
      </c>
      <c r="GA850">
        <v>32.262727433039132</v>
      </c>
      <c r="GB850">
        <v>21.450205392854279</v>
      </c>
      <c r="GC850">
        <v>7.2577445393281792</v>
      </c>
      <c r="GD850">
        <v>3.5612999218154999</v>
      </c>
      <c r="GE850">
        <v>6.1023757291012366</v>
      </c>
      <c r="GF850">
        <v>5.69337324694943</v>
      </c>
      <c r="GG850">
        <v>1.2943546988421759</v>
      </c>
      <c r="GH850">
        <v>0.64372257779312592</v>
      </c>
      <c r="GI850">
        <v>9.5608196581356406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218.14860854865452</v>
      </c>
      <c r="AO851">
        <v>12.616363383465128</v>
      </c>
      <c r="AP851">
        <v>97.282472173108886</v>
      </c>
      <c r="AQ851">
        <v>79.071570635336286</v>
      </c>
      <c r="AR851">
        <v>11.421605689817349</v>
      </c>
      <c r="AS851">
        <v>126.99589000464735</v>
      </c>
      <c r="AT851" t="e">
        <v>#DIV/0!</v>
      </c>
      <c r="AU851" t="e">
        <v>#DIV/0!</v>
      </c>
      <c r="AV851"/>
      <c r="AW851"/>
      <c r="FY851" s="210">
        <v>846</v>
      </c>
      <c r="FZ851">
        <v>4.3832059082776009</v>
      </c>
      <c r="GA851">
        <v>30.383623802230236</v>
      </c>
      <c r="GB851">
        <v>26.258693227748424</v>
      </c>
      <c r="GC851">
        <v>9.6567553099866039</v>
      </c>
      <c r="GD851">
        <v>2.7343367248338604</v>
      </c>
      <c r="GE851">
        <v>3.2907943180104571</v>
      </c>
      <c r="GF851">
        <v>5.6475285138001636</v>
      </c>
      <c r="GG851">
        <v>3.0775213264920307</v>
      </c>
      <c r="GH851">
        <v>1.3578060336331905</v>
      </c>
      <c r="GI851">
        <v>10.024642865854281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202.81917086323227</v>
      </c>
      <c r="AO852">
        <v>16.822930639899852</v>
      </c>
      <c r="AP852">
        <v>131.53233839828266</v>
      </c>
      <c r="AQ852">
        <v>100.62579674066946</v>
      </c>
      <c r="AR852">
        <v>15.489915475859693</v>
      </c>
      <c r="AS852">
        <v>153.36657603864654</v>
      </c>
      <c r="AT852">
        <v>6.4949673825508825</v>
      </c>
      <c r="AU852">
        <v>-4.5311227556122686</v>
      </c>
      <c r="AV852"/>
      <c r="AW852"/>
      <c r="FY852" s="210">
        <v>847</v>
      </c>
      <c r="FZ852">
        <v>1.6112419737482719</v>
      </c>
      <c r="GA852">
        <v>29.169160336614254</v>
      </c>
      <c r="GB852">
        <v>33.068036089598095</v>
      </c>
      <c r="GC852">
        <v>13.347183456006789</v>
      </c>
      <c r="GD852">
        <v>4.3343311656864341</v>
      </c>
      <c r="GE852">
        <v>4.463231107405341</v>
      </c>
      <c r="GF852">
        <v>1.0845361508844891</v>
      </c>
      <c r="GG852">
        <v>2.4193533212000626</v>
      </c>
      <c r="GH852">
        <v>3.2329273982183868</v>
      </c>
      <c r="GI852">
        <v>11.707758087742363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193.35151877674406</v>
      </c>
      <c r="AO853">
        <v>17.331674799582224</v>
      </c>
      <c r="AP853">
        <v>136.66155370352169</v>
      </c>
      <c r="AQ853">
        <v>105.97369937650882</v>
      </c>
      <c r="AR853">
        <v>16.042140437842807</v>
      </c>
      <c r="AS853">
        <v>188.24275860472454</v>
      </c>
      <c r="AT853" t="e">
        <v>#DIV/0!</v>
      </c>
      <c r="AU853" t="e">
        <v>#DIV/0!</v>
      </c>
      <c r="AV853"/>
      <c r="AW853"/>
      <c r="FY853" s="210">
        <v>848</v>
      </c>
      <c r="FZ853">
        <v>4.6386900109460862</v>
      </c>
      <c r="GA853">
        <v>23.982642980191393</v>
      </c>
      <c r="GB853">
        <v>16.507784695344029</v>
      </c>
      <c r="GC853">
        <v>7.3925690560420643</v>
      </c>
      <c r="GD853">
        <v>4.110728576212515</v>
      </c>
      <c r="GE853">
        <v>3.1892896610046431</v>
      </c>
      <c r="GF853">
        <v>2.3408662234747233</v>
      </c>
      <c r="GG853">
        <v>1.1034111203876014</v>
      </c>
      <c r="GH853">
        <v>0.90422588968412598</v>
      </c>
      <c r="GI853">
        <v>7.7370734346032188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206.08832183317571</v>
      </c>
      <c r="AO854">
        <v>11.970696408659663</v>
      </c>
      <c r="AP854">
        <v>83.982152909929283</v>
      </c>
      <c r="AQ854">
        <v>68.541687590150772</v>
      </c>
      <c r="AR854">
        <v>10.922302442992105</v>
      </c>
      <c r="AS854">
        <v>120.49555566193835</v>
      </c>
      <c r="AT854" t="e">
        <v>#DIV/0!</v>
      </c>
      <c r="AU854" t="e">
        <v>#DIV/0!</v>
      </c>
      <c r="AV854"/>
      <c r="AW854"/>
      <c r="FY854" s="210">
        <v>849</v>
      </c>
      <c r="FZ854">
        <v>3.9642336126576305</v>
      </c>
      <c r="GA854">
        <v>27.913617384674012</v>
      </c>
      <c r="GB854">
        <v>25.86052098841251</v>
      </c>
      <c r="GC854">
        <v>12.091172461727233</v>
      </c>
      <c r="GD854">
        <v>4.5434251513035537</v>
      </c>
      <c r="GE854">
        <v>3.8237784832481738</v>
      </c>
      <c r="GF854">
        <v>3.6622131304872543</v>
      </c>
      <c r="GG854">
        <v>3.9354293988421336</v>
      </c>
      <c r="GH854">
        <v>4.9763299077510812</v>
      </c>
      <c r="GI854">
        <v>11.14313609740462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165.17549961486401</v>
      </c>
      <c r="AO855">
        <v>14.34090137810009</v>
      </c>
      <c r="AP855">
        <v>108.4641487041896</v>
      </c>
      <c r="AQ855">
        <v>83.303282415395728</v>
      </c>
      <c r="AR855">
        <v>13.287363590190822</v>
      </c>
      <c r="AS855">
        <v>117.80715593909156</v>
      </c>
      <c r="AT855" t="e">
        <v>#DIV/0!</v>
      </c>
      <c r="AU855" t="e">
        <v>#DIV/0!</v>
      </c>
      <c r="AV855"/>
      <c r="AW855"/>
      <c r="FY855" s="210">
        <v>850</v>
      </c>
      <c r="FZ855">
        <v>12.518575612243094</v>
      </c>
      <c r="GA855">
        <v>43.774723167866114</v>
      </c>
      <c r="GB855">
        <v>28.792016043104589</v>
      </c>
      <c r="GC855">
        <v>11.234898538699149</v>
      </c>
      <c r="GD855">
        <v>4.2954901137756067</v>
      </c>
      <c r="GE855">
        <v>5.210692515399713</v>
      </c>
      <c r="GF855">
        <v>4.8475695557993008</v>
      </c>
      <c r="GG855">
        <v>1.4224046459106283</v>
      </c>
      <c r="GH855">
        <v>1.6796673225297538</v>
      </c>
      <c r="GI855">
        <v>12.741278847304004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251.8451342805397</v>
      </c>
      <c r="AO856">
        <v>15.800878344650235</v>
      </c>
      <c r="AP856">
        <v>123.92827901615593</v>
      </c>
      <c r="AQ856">
        <v>101.43488168617137</v>
      </c>
      <c r="AR856">
        <v>14.656469208717009</v>
      </c>
      <c r="AS856">
        <v>158.51542606809562</v>
      </c>
      <c r="AT856" t="e">
        <v>#DIV/0!</v>
      </c>
      <c r="AU856" t="e">
        <v>#DIV/0!</v>
      </c>
      <c r="AV856"/>
      <c r="AW856"/>
      <c r="FY856" s="210">
        <v>851</v>
      </c>
      <c r="FZ856">
        <v>1.3939945103770011</v>
      </c>
      <c r="GA856">
        <v>14.369965223321984</v>
      </c>
      <c r="GB856">
        <v>12.389369318480608</v>
      </c>
      <c r="GC856">
        <v>6.0299676394242026</v>
      </c>
      <c r="GD856">
        <v>4.1818981641279276</v>
      </c>
      <c r="GE856">
        <v>4.9077054400050706</v>
      </c>
      <c r="GF856">
        <v>3.7289379900670978</v>
      </c>
      <c r="GG856">
        <v>4.2636132227401937</v>
      </c>
      <c r="GH856">
        <v>3.3580205622268897</v>
      </c>
      <c r="GI856">
        <v>6.8955809285948693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192.39393913182585</v>
      </c>
      <c r="AO857">
        <v>19.325508848998449</v>
      </c>
      <c r="AP857">
        <v>159.92274938262565</v>
      </c>
      <c r="AQ857">
        <v>121.56277266906943</v>
      </c>
      <c r="AR857">
        <v>17.703716577476857</v>
      </c>
      <c r="AS857">
        <v>150.94513858868496</v>
      </c>
      <c r="AT857">
        <v>8.451039405713475</v>
      </c>
      <c r="AU857">
        <v>-14.106810427642881</v>
      </c>
      <c r="AV857"/>
      <c r="AW857"/>
      <c r="FY857" s="210">
        <v>852</v>
      </c>
      <c r="FZ857">
        <v>3.9851875973940603</v>
      </c>
      <c r="GA857">
        <v>19.551922349600741</v>
      </c>
      <c r="GB857">
        <v>22.273774978812163</v>
      </c>
      <c r="GC857">
        <v>9.679787157782922</v>
      </c>
      <c r="GD857">
        <v>2.9684638724116006</v>
      </c>
      <c r="GE857">
        <v>3.4579754209261391</v>
      </c>
      <c r="GF857">
        <v>2.5435815647550508</v>
      </c>
      <c r="GG857">
        <v>3.3947144945192114</v>
      </c>
      <c r="GH857">
        <v>4.8483023455285732</v>
      </c>
      <c r="GI857">
        <v>9.0845718169472871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197.51781740865556</v>
      </c>
      <c r="AO858">
        <v>14.411793283260598</v>
      </c>
      <c r="AP858">
        <v>103.16454534759407</v>
      </c>
      <c r="AQ858">
        <v>81.210595864524947</v>
      </c>
      <c r="AR858">
        <v>13.294040723863215</v>
      </c>
      <c r="AS858">
        <v>123.20345341890663</v>
      </c>
      <c r="AT858">
        <v>5.1392864146897423</v>
      </c>
      <c r="AU858">
        <v>-3.4767053534414729</v>
      </c>
      <c r="AV858"/>
      <c r="AW858"/>
      <c r="FY858" s="210">
        <v>853</v>
      </c>
      <c r="FZ858">
        <v>9.4100761803050599</v>
      </c>
      <c r="GA858">
        <v>31.654000322084158</v>
      </c>
      <c r="GB858">
        <v>22.373404362925214</v>
      </c>
      <c r="GC858">
        <v>9.2221568054149063</v>
      </c>
      <c r="GD858">
        <v>4.0813399866557951</v>
      </c>
      <c r="GE858">
        <v>4.3821735639436055</v>
      </c>
      <c r="GF858">
        <v>3.4043085694798658</v>
      </c>
      <c r="GG858">
        <v>4.3590850119674815</v>
      </c>
      <c r="GH858">
        <v>5.1664723415951421</v>
      </c>
      <c r="GI858">
        <v>10.817222737454639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184.31637972299825</v>
      </c>
      <c r="AO859">
        <v>12.025002547613015</v>
      </c>
      <c r="AP859">
        <v>80.498513393187466</v>
      </c>
      <c r="AQ859">
        <v>65.633592506722835</v>
      </c>
      <c r="AR859">
        <v>11.25182848145263</v>
      </c>
      <c r="AS859">
        <v>128.51010557605593</v>
      </c>
      <c r="AT859" t="e">
        <v>#DIV/0!</v>
      </c>
      <c r="AU859" t="e">
        <v>#DIV/0!</v>
      </c>
      <c r="AV859"/>
      <c r="AW859"/>
      <c r="FY859" s="210">
        <v>854</v>
      </c>
      <c r="FZ859">
        <v>14.688025641732519</v>
      </c>
      <c r="GA859">
        <v>39.118851692555197</v>
      </c>
      <c r="GB859">
        <v>25.330649808284726</v>
      </c>
      <c r="GC859">
        <v>9.0223774355372335</v>
      </c>
      <c r="GD859">
        <v>2.3967158480130446</v>
      </c>
      <c r="GE859">
        <v>3.7872158190904974</v>
      </c>
      <c r="GF859">
        <v>2.4726079174768634</v>
      </c>
      <c r="GG859">
        <v>3.0665306706211508</v>
      </c>
      <c r="GH859">
        <v>4.1371532879025121</v>
      </c>
      <c r="GI859">
        <v>10.974440797983426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155.39528389053922</v>
      </c>
      <c r="AO860">
        <v>10.936741159816023</v>
      </c>
      <c r="AP860">
        <v>90.048945557506059</v>
      </c>
      <c r="AQ860">
        <v>73.423750180996151</v>
      </c>
      <c r="AR860">
        <v>10.183828296344181</v>
      </c>
      <c r="AS860">
        <v>107.71259429376808</v>
      </c>
      <c r="AT860">
        <v>5.2212735702647608</v>
      </c>
      <c r="AU860">
        <v>-17.658371370679852</v>
      </c>
      <c r="AV860"/>
      <c r="AW860"/>
      <c r="FY860" s="210">
        <v>855</v>
      </c>
      <c r="FZ860">
        <v>4.462475179863798</v>
      </c>
      <c r="GA860">
        <v>25.306093994654361</v>
      </c>
      <c r="GB860">
        <v>23.364580149000261</v>
      </c>
      <c r="GC860">
        <v>10.415711220161498</v>
      </c>
      <c r="GD860">
        <v>5.718394675802311</v>
      </c>
      <c r="GE860">
        <v>7.0975950211986092</v>
      </c>
      <c r="GF860">
        <v>2.9839545733445254</v>
      </c>
      <c r="GG860">
        <v>1.9723098486085839</v>
      </c>
      <c r="GH860">
        <v>1.7434025095326939</v>
      </c>
      <c r="GI860">
        <v>10.692104829638943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198.34177084168169</v>
      </c>
      <c r="AO861">
        <v>14.344950046494905</v>
      </c>
      <c r="AP861">
        <v>119.58234867181272</v>
      </c>
      <c r="AQ861">
        <v>94.432925059441331</v>
      </c>
      <c r="AR861">
        <v>13.191008422909038</v>
      </c>
      <c r="AS861">
        <v>131.96787328283793</v>
      </c>
      <c r="AT861" t="e">
        <v>#DIV/0!</v>
      </c>
      <c r="AU861" t="e">
        <v>#DIV/0!</v>
      </c>
      <c r="AV861"/>
      <c r="AW861"/>
      <c r="FY861" s="210">
        <v>856</v>
      </c>
      <c r="FZ861">
        <v>1.7700387039497674</v>
      </c>
      <c r="GA861">
        <v>24.986425248946478</v>
      </c>
      <c r="GB861">
        <v>18.229464191154147</v>
      </c>
      <c r="GC861">
        <v>7.4689486528248974</v>
      </c>
      <c r="GD861">
        <v>3.9377003731401556</v>
      </c>
      <c r="GE861">
        <v>7.2326158473012399</v>
      </c>
      <c r="GF861">
        <v>11.715624702184437</v>
      </c>
      <c r="GG861">
        <v>6.8377312495619762</v>
      </c>
      <c r="GH861">
        <v>6.7094154334097809</v>
      </c>
      <c r="GI861">
        <v>10.362647337889415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205.58347170697328</v>
      </c>
      <c r="AO862">
        <v>15.028864369756331</v>
      </c>
      <c r="AP862">
        <v>127.20588949087002</v>
      </c>
      <c r="AQ862">
        <v>96.81490803086686</v>
      </c>
      <c r="AR862">
        <v>13.902405756081411</v>
      </c>
      <c r="AS862">
        <v>144.93940183100605</v>
      </c>
      <c r="AT862">
        <v>6.3005630392946026</v>
      </c>
      <c r="AU862">
        <v>-18.265190421099295</v>
      </c>
      <c r="AV862"/>
      <c r="AW862"/>
      <c r="FY862" s="210">
        <v>857</v>
      </c>
      <c r="FZ862">
        <v>3.9653639604678768</v>
      </c>
      <c r="GA862">
        <v>29.99118502898807</v>
      </c>
      <c r="GB862">
        <v>27.381966271567254</v>
      </c>
      <c r="GC862">
        <v>12.982005403537448</v>
      </c>
      <c r="GD862">
        <v>5.833287681230491</v>
      </c>
      <c r="GE862">
        <v>5.2677999152961323</v>
      </c>
      <c r="GF862">
        <v>4.3762751276352434</v>
      </c>
      <c r="GG862">
        <v>5.0388405192297343</v>
      </c>
      <c r="GH862">
        <v>4.9763299077510812</v>
      </c>
      <c r="GI862">
        <v>12.415833824282249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183.11744467120499</v>
      </c>
      <c r="AO863">
        <v>17.652425626067874</v>
      </c>
      <c r="AP863">
        <v>136.91707978583835</v>
      </c>
      <c r="AQ863">
        <v>104.43775908710448</v>
      </c>
      <c r="AR863">
        <v>16.420925341991918</v>
      </c>
      <c r="AS863">
        <v>151.32857846107558</v>
      </c>
      <c r="AT863" t="e">
        <v>#DIV/0!</v>
      </c>
      <c r="AU863" t="e">
        <v>#DIV/0!</v>
      </c>
      <c r="AV863"/>
      <c r="AW863"/>
      <c r="FY863" s="210">
        <v>858</v>
      </c>
      <c r="FZ863">
        <v>2.2217029386488942</v>
      </c>
      <c r="GA863">
        <v>32.155967032069505</v>
      </c>
      <c r="GB863">
        <v>27.808225950345022</v>
      </c>
      <c r="GC863">
        <v>9.1424267729143427</v>
      </c>
      <c r="GD863">
        <v>3.4875656240092123</v>
      </c>
      <c r="GE863">
        <v>4.6194937948949955</v>
      </c>
      <c r="GF863">
        <v>4.3880244459367965</v>
      </c>
      <c r="GG863">
        <v>4.4527564436989238</v>
      </c>
      <c r="GH863">
        <v>4.6478429278105189</v>
      </c>
      <c r="GI863">
        <v>10.818119408894269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169.74130126592019</v>
      </c>
      <c r="AO864">
        <v>11.448625419911798</v>
      </c>
      <c r="AP864">
        <v>88.440625689650275</v>
      </c>
      <c r="AQ864">
        <v>71.907281647890386</v>
      </c>
      <c r="AR864">
        <v>10.741801121817341</v>
      </c>
      <c r="AS864">
        <v>116.82641652640459</v>
      </c>
      <c r="AT864" t="e">
        <v>#DIV/0!</v>
      </c>
      <c r="AU864" t="e">
        <v>#DIV/0!</v>
      </c>
      <c r="AV864"/>
      <c r="AW864"/>
      <c r="FY864" s="210">
        <v>859</v>
      </c>
      <c r="FZ864">
        <v>6.6904955518637941</v>
      </c>
      <c r="GA864">
        <v>23.525206425621086</v>
      </c>
      <c r="GB864">
        <v>17.423402467398695</v>
      </c>
      <c r="GC864">
        <v>9.4111926338761673</v>
      </c>
      <c r="GD864">
        <v>5.2436141029318968</v>
      </c>
      <c r="GE864">
        <v>4.9912496336833225</v>
      </c>
      <c r="GF864">
        <v>3.0847748477720831</v>
      </c>
      <c r="GG864">
        <v>3.616435873319106</v>
      </c>
      <c r="GH864">
        <v>4.2622464519110155</v>
      </c>
      <c r="GI864">
        <v>9.6224407883746181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232.38636723868763</v>
      </c>
      <c r="AO865">
        <v>16.741838772737072</v>
      </c>
      <c r="AP865">
        <v>129.25868319529502</v>
      </c>
      <c r="AQ865">
        <v>101.91385661650821</v>
      </c>
      <c r="AR865">
        <v>15.482544973149567</v>
      </c>
      <c r="AS865">
        <v>166.67780070537637</v>
      </c>
      <c r="AT865">
        <v>6.8882481425608297</v>
      </c>
      <c r="AU865">
        <v>-27.698623518833234</v>
      </c>
      <c r="AV865"/>
      <c r="AW865"/>
      <c r="FY865" s="210">
        <v>860</v>
      </c>
      <c r="FZ865">
        <v>6.7794908750964353</v>
      </c>
      <c r="GA865">
        <v>31.285899704794758</v>
      </c>
      <c r="GB865">
        <v>18.753842716857715</v>
      </c>
      <c r="GC865">
        <v>6.5096152648481116</v>
      </c>
      <c r="GD865">
        <v>2.798851507199327</v>
      </c>
      <c r="GE865">
        <v>3.406152507435853</v>
      </c>
      <c r="GF865">
        <v>4.7158278617971607</v>
      </c>
      <c r="GG865">
        <v>4.4853346015400888</v>
      </c>
      <c r="GH865">
        <v>5.1014230717595845</v>
      </c>
      <c r="GI865">
        <v>8.9556118135612746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190.33010188576677</v>
      </c>
      <c r="AO866">
        <v>19.191947287857147</v>
      </c>
      <c r="AP866">
        <v>160.97370646394558</v>
      </c>
      <c r="AQ866">
        <v>126.51731636263195</v>
      </c>
      <c r="AR866">
        <v>17.734877627506009</v>
      </c>
      <c r="AS866">
        <v>161.26096393181271</v>
      </c>
      <c r="AT866">
        <v>8.8615620758253506</v>
      </c>
      <c r="AU866">
        <v>-28.009883025981463</v>
      </c>
      <c r="AV866"/>
      <c r="AW866"/>
      <c r="FY866" s="210">
        <v>861</v>
      </c>
      <c r="FZ866">
        <v>3.6314827469943394</v>
      </c>
      <c r="GA866">
        <v>24.200326753644596</v>
      </c>
      <c r="GB866">
        <v>27.781617612579659</v>
      </c>
      <c r="GC866">
        <v>12.002872480151098</v>
      </c>
      <c r="GD866">
        <v>2.7327617778063726</v>
      </c>
      <c r="GE866">
        <v>2.4077700087084395</v>
      </c>
      <c r="GF866">
        <v>3.1167710597718781</v>
      </c>
      <c r="GG866">
        <v>1.2943546988421759</v>
      </c>
      <c r="GH866">
        <v>0.58236460078756302</v>
      </c>
      <c r="GI866">
        <v>9.7214022077034059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178.9194360531632</v>
      </c>
      <c r="AO867">
        <v>10.277636006283657</v>
      </c>
      <c r="AP867">
        <v>73.569632253331193</v>
      </c>
      <c r="AQ867">
        <v>61.519052999365833</v>
      </c>
      <c r="AR867">
        <v>9.5146343967089102</v>
      </c>
      <c r="AS867">
        <v>125.17821273872671</v>
      </c>
      <c r="AT867" t="e">
        <v>#DIV/0!</v>
      </c>
      <c r="AU867" t="e">
        <v>#DIV/0!</v>
      </c>
      <c r="AV867"/>
      <c r="AW867"/>
      <c r="FY867" s="210">
        <v>862</v>
      </c>
      <c r="FZ867">
        <v>1.1489763502188266</v>
      </c>
      <c r="GA867">
        <v>16.738993584139759</v>
      </c>
      <c r="GB867">
        <v>25.617434653692097</v>
      </c>
      <c r="GC867">
        <v>11.889336419277912</v>
      </c>
      <c r="GD867">
        <v>3.5797543006425085</v>
      </c>
      <c r="GE867">
        <v>6.2321470276415365</v>
      </c>
      <c r="GF867">
        <v>6.2047199028170921</v>
      </c>
      <c r="GG867">
        <v>3.3947144945192114</v>
      </c>
      <c r="GH867">
        <v>3.1012085431658845</v>
      </c>
      <c r="GI867">
        <v>10.273681234827722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153.51979127570613</v>
      </c>
      <c r="AO868">
        <v>13.36248385356761</v>
      </c>
      <c r="AP868">
        <v>104.80176456021094</v>
      </c>
      <c r="AQ868">
        <v>81.788281598677742</v>
      </c>
      <c r="AR868">
        <v>12.701270805462464</v>
      </c>
      <c r="AS868">
        <v>131.38084952210249</v>
      </c>
      <c r="AT868">
        <v>6.0719687539120679</v>
      </c>
      <c r="AU868">
        <v>-26.454787201799672</v>
      </c>
      <c r="AV868"/>
      <c r="AW868"/>
      <c r="FY868" s="210">
        <v>863</v>
      </c>
      <c r="FZ868">
        <v>1.3554996840506877</v>
      </c>
      <c r="GA868">
        <v>19.374586008506924</v>
      </c>
      <c r="GB868">
        <v>16.73933469414489</v>
      </c>
      <c r="GC868">
        <v>6.4761079483134427</v>
      </c>
      <c r="GD868">
        <v>4.7843300368855148</v>
      </c>
      <c r="GE868">
        <v>6.2204073999319736</v>
      </c>
      <c r="GF868">
        <v>2.4576846039021785</v>
      </c>
      <c r="GG868">
        <v>1.1988829096148885</v>
      </c>
      <c r="GH868">
        <v>1.7470938023626892</v>
      </c>
      <c r="GI868">
        <v>7.8723367488605556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165.72408997655458</v>
      </c>
      <c r="AO869">
        <v>16.090673626715066</v>
      </c>
      <c r="AP869">
        <v>131.43549116493267</v>
      </c>
      <c r="AQ869">
        <v>104.87023988182587</v>
      </c>
      <c r="AR869">
        <v>15.131465852113767</v>
      </c>
      <c r="AS869">
        <v>151.43943041024571</v>
      </c>
      <c r="AT869">
        <v>8.3064760604575252</v>
      </c>
      <c r="AU869">
        <v>46.38863805668467</v>
      </c>
      <c r="AV869"/>
      <c r="AW869"/>
      <c r="FY869" s="210">
        <v>864</v>
      </c>
      <c r="FZ869">
        <v>1.2019957297747448</v>
      </c>
      <c r="GA869">
        <v>31.265117356345435</v>
      </c>
      <c r="GB869">
        <v>23.107316547612381</v>
      </c>
      <c r="GC869">
        <v>8.0431709880323989</v>
      </c>
      <c r="GD869">
        <v>4.2929139404148682</v>
      </c>
      <c r="GE869">
        <v>5.4218853962069797</v>
      </c>
      <c r="GF869">
        <v>6.7629860842592349</v>
      </c>
      <c r="GG869">
        <v>3.4901862837464988</v>
      </c>
      <c r="GH869">
        <v>2.1969826534817587</v>
      </c>
      <c r="GI869">
        <v>10.039152412805439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172.3926758895397</v>
      </c>
      <c r="AO870">
        <v>16.395185370772758</v>
      </c>
      <c r="AP870">
        <v>145.52467360971573</v>
      </c>
      <c r="AQ870">
        <v>114.99456891919718</v>
      </c>
      <c r="AR870">
        <v>15.259255471841101</v>
      </c>
      <c r="AS870">
        <v>145.61692959082055</v>
      </c>
      <c r="AT870">
        <v>8.0571349541711097</v>
      </c>
      <c r="AU870">
        <v>-27.162891419083902</v>
      </c>
      <c r="AV870"/>
      <c r="AW870"/>
      <c r="FY870" s="210">
        <v>865</v>
      </c>
      <c r="FZ870">
        <v>1.7695317690308929</v>
      </c>
      <c r="GA870">
        <v>22.441866607687505</v>
      </c>
      <c r="GB870">
        <v>29.87352006042719</v>
      </c>
      <c r="GC870">
        <v>14.296441148541263</v>
      </c>
      <c r="GD870">
        <v>4.6260033798478588</v>
      </c>
      <c r="GE870">
        <v>8.0239681244272898</v>
      </c>
      <c r="GF870">
        <v>10.413449896444934</v>
      </c>
      <c r="GG870">
        <v>4.0418918439402995</v>
      </c>
      <c r="GH870">
        <v>2.5188439423783215</v>
      </c>
      <c r="GI870">
        <v>12.765241265398416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189.53964098312471</v>
      </c>
      <c r="AO871">
        <v>16.108225651852983</v>
      </c>
      <c r="AP871">
        <v>116.02014417083987</v>
      </c>
      <c r="AQ871">
        <v>93.756622001805596</v>
      </c>
      <c r="AR871">
        <v>14.994065755412002</v>
      </c>
      <c r="AS871">
        <v>142.26281322309291</v>
      </c>
      <c r="AT871">
        <v>6.8684433492203238</v>
      </c>
      <c r="AU871">
        <v>-31.884776340213783</v>
      </c>
      <c r="AV871"/>
      <c r="AW871"/>
      <c r="FY871" s="210">
        <v>866</v>
      </c>
      <c r="FZ871">
        <v>7.1224715959567444</v>
      </c>
      <c r="GA871">
        <v>32.282580391115246</v>
      </c>
      <c r="GB871">
        <v>25.198962853702081</v>
      </c>
      <c r="GC871">
        <v>10.017209415991129</v>
      </c>
      <c r="GD871">
        <v>4.3834761835589555</v>
      </c>
      <c r="GE871">
        <v>6.2613726085958294</v>
      </c>
      <c r="GF871">
        <v>6.1198977343894327</v>
      </c>
      <c r="GG871">
        <v>3.396514852015057</v>
      </c>
      <c r="GH871">
        <v>2.0718894894732554</v>
      </c>
      <c r="GI871">
        <v>11.356801718247521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204.04259466714689</v>
      </c>
      <c r="AO872">
        <v>15.516561138765358</v>
      </c>
      <c r="AP872">
        <v>125.5785765137953</v>
      </c>
      <c r="AQ872">
        <v>99.250611740362288</v>
      </c>
      <c r="AR872">
        <v>14.086747012750315</v>
      </c>
      <c r="AS872">
        <v>139.37808342514629</v>
      </c>
      <c r="AT872">
        <v>7.8296014156453717</v>
      </c>
      <c r="AU872">
        <v>-29.081899680523573</v>
      </c>
      <c r="AV872"/>
      <c r="AW872"/>
      <c r="FY872" s="210">
        <v>867</v>
      </c>
      <c r="FZ872">
        <v>1.6140158670242335</v>
      </c>
      <c r="GA872">
        <v>23.742212966374193</v>
      </c>
      <c r="GB872">
        <v>27.965593447456836</v>
      </c>
      <c r="GC872">
        <v>11.620959268001322</v>
      </c>
      <c r="GD872">
        <v>5.3555609787055971</v>
      </c>
      <c r="GE872">
        <v>7.7698816433968867</v>
      </c>
      <c r="GF872">
        <v>4.357103026362215</v>
      </c>
      <c r="GG872">
        <v>3.9464200547130126</v>
      </c>
      <c r="GH872">
        <v>3.4230698320624482</v>
      </c>
      <c r="GI872">
        <v>11.696971908191241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247.0370322722124</v>
      </c>
      <c r="AO873">
        <v>18.68456575691841</v>
      </c>
      <c r="AP873">
        <v>140.55149381792475</v>
      </c>
      <c r="AQ873">
        <v>112.22888763998557</v>
      </c>
      <c r="AR873">
        <v>17.300271557892433</v>
      </c>
      <c r="AS873">
        <v>175.57436877303877</v>
      </c>
      <c r="AT873">
        <v>8.0177025671579347</v>
      </c>
      <c r="AU873">
        <v>-27.490303206486381</v>
      </c>
      <c r="AV873"/>
      <c r="AW873"/>
      <c r="FY873" s="210">
        <v>868</v>
      </c>
      <c r="FZ873">
        <v>3.868050043741218</v>
      </c>
      <c r="GA873">
        <v>29.716035983071137</v>
      </c>
      <c r="GB873">
        <v>27.1253831337736</v>
      </c>
      <c r="GC873">
        <v>9.349909626175906</v>
      </c>
      <c r="GD873">
        <v>3.1543732821147956</v>
      </c>
      <c r="GE873">
        <v>4.7052018372558244</v>
      </c>
      <c r="GF873">
        <v>1.6268042263267337</v>
      </c>
      <c r="GG873">
        <v>2.6066961846629466</v>
      </c>
      <c r="GH873">
        <v>3.4831137262353935</v>
      </c>
      <c r="GI873">
        <v>9.9989740272519487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214.82049780244029</v>
      </c>
      <c r="AO874">
        <v>16.140465047333315</v>
      </c>
      <c r="AP874">
        <v>136.04960641109912</v>
      </c>
      <c r="AQ874">
        <v>103.74212533922247</v>
      </c>
      <c r="AR874">
        <v>15.070065634454108</v>
      </c>
      <c r="AS874">
        <v>164.22909334132586</v>
      </c>
      <c r="AT874">
        <v>6.71508634138016</v>
      </c>
      <c r="AU874">
        <v>-32.256327747984884</v>
      </c>
      <c r="AV874"/>
      <c r="AW874"/>
      <c r="FY874" s="210">
        <v>869</v>
      </c>
      <c r="FZ874">
        <v>0.99029296662153077</v>
      </c>
      <c r="GA874">
        <v>25.967870419485319</v>
      </c>
      <c r="GB874">
        <v>29.682870685316065</v>
      </c>
      <c r="GC874">
        <v>11.527641052533802</v>
      </c>
      <c r="GD874">
        <v>2.9736235145850074</v>
      </c>
      <c r="GE874">
        <v>2.7688633618526888</v>
      </c>
      <c r="GF874">
        <v>2.644401839182609</v>
      </c>
      <c r="GG874">
        <v>4.2636132227401937</v>
      </c>
      <c r="GH874">
        <v>4.0017431400200154</v>
      </c>
      <c r="GI874">
        <v>10.398941924861633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190.21284016113174</v>
      </c>
      <c r="AO875">
        <v>14.378600944253526</v>
      </c>
      <c r="AP875">
        <v>105.23396981936776</v>
      </c>
      <c r="AQ875">
        <v>87.871058776751781</v>
      </c>
      <c r="AR875">
        <v>13.369993558811524</v>
      </c>
      <c r="AS875">
        <v>144.76730795710924</v>
      </c>
      <c r="AT875">
        <v>6.3497299878399955</v>
      </c>
      <c r="AU875">
        <v>-13.14578409980928</v>
      </c>
      <c r="AV875"/>
      <c r="AW875"/>
      <c r="FY875" s="210">
        <v>870</v>
      </c>
      <c r="FZ875">
        <v>4.0520954567117284</v>
      </c>
      <c r="GA875">
        <v>26.370735456221077</v>
      </c>
      <c r="GB875">
        <v>16.446244240802748</v>
      </c>
      <c r="GC875">
        <v>4.7978022823202657</v>
      </c>
      <c r="GD875">
        <v>3.3862563793541387</v>
      </c>
      <c r="GE875">
        <v>8.1702641995843148</v>
      </c>
      <c r="GF875">
        <v>9.7543634405752364</v>
      </c>
      <c r="GG875">
        <v>3.9464200547130126</v>
      </c>
      <c r="GH875">
        <v>3.6835731439534483</v>
      </c>
      <c r="GI875">
        <v>9.0818597219504902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197.22028843129263</v>
      </c>
      <c r="AO876">
        <v>13.35662080752005</v>
      </c>
      <c r="AP876">
        <v>117.44578662092067</v>
      </c>
      <c r="AQ876">
        <v>92.792049924890307</v>
      </c>
      <c r="AR876">
        <v>12.312771024023938</v>
      </c>
      <c r="AS876">
        <v>130.13688776476664</v>
      </c>
      <c r="AT876">
        <v>6.2356102458819791</v>
      </c>
      <c r="AU876">
        <v>-14.144913227604818</v>
      </c>
      <c r="AV876"/>
      <c r="AW876"/>
      <c r="FY876" s="210">
        <v>871</v>
      </c>
      <c r="FZ876">
        <v>6.7947616269609341</v>
      </c>
      <c r="GA876">
        <v>25.730146110018858</v>
      </c>
      <c r="GB876">
        <v>33.340824720165713</v>
      </c>
      <c r="GC876">
        <v>16.703878143957446</v>
      </c>
      <c r="GD876">
        <v>4.9709546314946911</v>
      </c>
      <c r="GE876">
        <v>4.5785209925367658</v>
      </c>
      <c r="GF876">
        <v>1.2872514921648168</v>
      </c>
      <c r="GG876">
        <v>2.2913033741316107</v>
      </c>
      <c r="GH876">
        <v>2.1969826534817587</v>
      </c>
      <c r="GI876">
        <v>12.78545047684503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168.49546299082874</v>
      </c>
      <c r="AO877">
        <v>14.644809450715163</v>
      </c>
      <c r="AP877">
        <v>115.78066093980264</v>
      </c>
      <c r="AQ877">
        <v>87.471723946989513</v>
      </c>
      <c r="AR877">
        <v>13.609033410456082</v>
      </c>
      <c r="AS877">
        <v>143.55893738918587</v>
      </c>
      <c r="AT877" t="e">
        <v>#DIV/0!</v>
      </c>
      <c r="AU877" t="e">
        <v>#DIV/0!</v>
      </c>
      <c r="AV877"/>
      <c r="AW877"/>
      <c r="FY877" s="210">
        <v>872</v>
      </c>
      <c r="FZ877">
        <v>4.3344780953859701</v>
      </c>
      <c r="GA877">
        <v>23.421357743674697</v>
      </c>
      <c r="GB877">
        <v>18.440000196890423</v>
      </c>
      <c r="GC877">
        <v>7.0698524025417369</v>
      </c>
      <c r="GD877">
        <v>2.5383955008648638</v>
      </c>
      <c r="GE877">
        <v>1.8498923905696916</v>
      </c>
      <c r="GF877">
        <v>1.915416528459934</v>
      </c>
      <c r="GG877">
        <v>3.7119076625463934</v>
      </c>
      <c r="GH877">
        <v>4.2622464519110155</v>
      </c>
      <c r="GI877">
        <v>7.7048290041311107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189.38568322944272</v>
      </c>
      <c r="AO878">
        <v>15.404255055028784</v>
      </c>
      <c r="AP878">
        <v>113.00791910761798</v>
      </c>
      <c r="AQ878">
        <v>88.180966510942525</v>
      </c>
      <c r="AR878">
        <v>14.197487993205858</v>
      </c>
      <c r="AS878">
        <v>139.30498324401711</v>
      </c>
      <c r="AT878">
        <v>6.419096585620558</v>
      </c>
      <c r="AU878">
        <v>-25.3898594894019</v>
      </c>
      <c r="AV878"/>
      <c r="AW878"/>
      <c r="FY878" s="210">
        <v>873</v>
      </c>
      <c r="FZ878">
        <v>4.0616861070725943</v>
      </c>
      <c r="GA878">
        <v>20.972167464221105</v>
      </c>
      <c r="GB878">
        <v>22.218880467811601</v>
      </c>
      <c r="GC878">
        <v>10.134608812638824</v>
      </c>
      <c r="GD878">
        <v>3.8835708376698106</v>
      </c>
      <c r="GE878">
        <v>5.8164310885974402</v>
      </c>
      <c r="GF878">
        <v>6.0729782088149529</v>
      </c>
      <c r="GG878">
        <v>3.0757209689961851</v>
      </c>
      <c r="GH878">
        <v>1.7434025095326939</v>
      </c>
      <c r="GI878">
        <v>9.8051358779806215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173.0421393323976</v>
      </c>
      <c r="AO879">
        <v>11.563125743666044</v>
      </c>
      <c r="AP879">
        <v>83.207964879542232</v>
      </c>
      <c r="AQ879">
        <v>68.22626383657375</v>
      </c>
      <c r="AR879">
        <v>10.962567236090404</v>
      </c>
      <c r="AS879">
        <v>109.75881065929794</v>
      </c>
      <c r="AT879" t="e">
        <v>#DIV/0!</v>
      </c>
      <c r="AU879" t="e">
        <v>#DIV/0!</v>
      </c>
      <c r="AV879"/>
      <c r="AW879"/>
      <c r="FY879" s="210">
        <v>874</v>
      </c>
      <c r="FZ879">
        <v>7.6027881273632456</v>
      </c>
      <c r="GA879">
        <v>36.269804282880735</v>
      </c>
      <c r="GB879">
        <v>24.787002988478093</v>
      </c>
      <c r="GC879">
        <v>9.4100061048695167</v>
      </c>
      <c r="GD879">
        <v>5.2516816835710616</v>
      </c>
      <c r="GE879">
        <v>6.9768531936841764</v>
      </c>
      <c r="GF879">
        <v>5.0342867910797304</v>
      </c>
      <c r="GG879">
        <v>5.3560336872569163</v>
      </c>
      <c r="GH879">
        <v>5.8768645046052121</v>
      </c>
      <c r="GI879">
        <v>12.208763242800677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202.39585090709028</v>
      </c>
      <c r="AO880">
        <v>15.113685464727727</v>
      </c>
      <c r="AP880">
        <v>123.54127161119216</v>
      </c>
      <c r="AQ880">
        <v>95.821707392679727</v>
      </c>
      <c r="AR880">
        <v>13.860835627512017</v>
      </c>
      <c r="AS880">
        <v>137.73010578918417</v>
      </c>
      <c r="AT880" t="e">
        <v>#DIV/0!</v>
      </c>
      <c r="AU880" t="e">
        <v>#DIV/0!</v>
      </c>
      <c r="AV880"/>
      <c r="AW880"/>
      <c r="FY880" s="210">
        <v>875</v>
      </c>
      <c r="FZ880">
        <v>1.0212280136307734</v>
      </c>
      <c r="GA880">
        <v>15.480707286764732</v>
      </c>
      <c r="GB880">
        <v>25.948393312255718</v>
      </c>
      <c r="GC880">
        <v>12.189861527817925</v>
      </c>
      <c r="GD880">
        <v>3.6100041041918662</v>
      </c>
      <c r="GE880">
        <v>4.7915920783404768</v>
      </c>
      <c r="GF880">
        <v>3.9465766449221098</v>
      </c>
      <c r="GG880">
        <v>3.396514852015057</v>
      </c>
      <c r="GH880">
        <v>3.5584799799449449</v>
      </c>
      <c r="GI880">
        <v>10.032479626100574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250.03445295951701</v>
      </c>
      <c r="AO881">
        <v>19.291252172863565</v>
      </c>
      <c r="AP881">
        <v>142.22819557687035</v>
      </c>
      <c r="AQ881">
        <v>110.77075803812397</v>
      </c>
      <c r="AR881">
        <v>17.578003573221146</v>
      </c>
      <c r="AS881">
        <v>173.38284657199972</v>
      </c>
      <c r="AT881">
        <v>7.6218737465250861</v>
      </c>
      <c r="AU881">
        <v>-8.1441276427631166</v>
      </c>
      <c r="AV881"/>
      <c r="AW881"/>
      <c r="FY881" s="210">
        <v>876</v>
      </c>
      <c r="FZ881">
        <v>4.1901901264692967</v>
      </c>
      <c r="GA881">
        <v>29.014356999995247</v>
      </c>
      <c r="GB881">
        <v>27.297697409062323</v>
      </c>
      <c r="GC881">
        <v>11.434987512670183</v>
      </c>
      <c r="GD881">
        <v>4.9856717132232244</v>
      </c>
      <c r="GE881">
        <v>9.3881703083882559</v>
      </c>
      <c r="GF881">
        <v>8.295318026704674</v>
      </c>
      <c r="GG881">
        <v>0.55170556019380068</v>
      </c>
      <c r="GH881">
        <v>0.58236460078756302</v>
      </c>
      <c r="GI881">
        <v>12.037800519741312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232.06596422288462</v>
      </c>
      <c r="AO882">
        <v>17.07863288906735</v>
      </c>
      <c r="AP882">
        <v>136.73262067419427</v>
      </c>
      <c r="AQ882">
        <v>108.21117684304527</v>
      </c>
      <c r="AR882">
        <v>15.743246238774384</v>
      </c>
      <c r="AS882">
        <v>147.38407323022469</v>
      </c>
      <c r="AT882" t="e">
        <v>#DIV/0!</v>
      </c>
      <c r="AU882" t="e">
        <v>#DIV/0!</v>
      </c>
      <c r="AV882"/>
      <c r="AW882"/>
      <c r="FY882" s="210">
        <v>877</v>
      </c>
      <c r="FZ882">
        <v>6.8486657378056197</v>
      </c>
      <c r="GA882">
        <v>28.830722130637763</v>
      </c>
      <c r="GB882">
        <v>25.026649799239536</v>
      </c>
      <c r="GC882">
        <v>10.370270860670246</v>
      </c>
      <c r="GD882">
        <v>4.577618736137036</v>
      </c>
      <c r="GE882">
        <v>6.8814768153664891</v>
      </c>
      <c r="GF882">
        <v>5.1361818579325007</v>
      </c>
      <c r="GG882">
        <v>3.396514852015057</v>
      </c>
      <c r="GH882">
        <v>2.0718894894732554</v>
      </c>
      <c r="GI882">
        <v>11.23803366611072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234.87995796606546</v>
      </c>
      <c r="AO883">
        <v>17.554959421843098</v>
      </c>
      <c r="AP883">
        <v>128.59302430995808</v>
      </c>
      <c r="AQ883">
        <v>101.49178899228798</v>
      </c>
      <c r="AR883">
        <v>16.38140770213985</v>
      </c>
      <c r="AS883">
        <v>154.8040248248968</v>
      </c>
      <c r="AT883">
        <v>7.4165714721178553</v>
      </c>
      <c r="AU883">
        <v>-52.752814525520201</v>
      </c>
      <c r="AV883"/>
      <c r="AW883"/>
      <c r="FY883" s="210">
        <v>878</v>
      </c>
      <c r="FZ883">
        <v>3.9179082044430942</v>
      </c>
      <c r="GA883">
        <v>25.828447963200603</v>
      </c>
      <c r="GB883">
        <v>27.982273485024066</v>
      </c>
      <c r="GC883">
        <v>12.140485007069969</v>
      </c>
      <c r="GD883">
        <v>2.8882078700387916</v>
      </c>
      <c r="GE883">
        <v>3.6289093600185405</v>
      </c>
      <c r="GF883">
        <v>4.2034064135042861</v>
      </c>
      <c r="GG883">
        <v>0.77522729648954036</v>
      </c>
      <c r="GH883">
        <v>2.5225352352083168</v>
      </c>
      <c r="GI883">
        <v>10.454737012477421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158.45818090206427</v>
      </c>
      <c r="AO884">
        <v>15.040139803245561</v>
      </c>
      <c r="AP884">
        <v>124.22649908084207</v>
      </c>
      <c r="AQ884">
        <v>95.634542070609498</v>
      </c>
      <c r="AR884">
        <v>13.938900113460996</v>
      </c>
      <c r="AS884">
        <v>143.45971276911325</v>
      </c>
      <c r="AT884" t="e">
        <v>#DIV/0!</v>
      </c>
      <c r="AU884" t="e">
        <v>#DIV/0!</v>
      </c>
      <c r="AV884"/>
      <c r="AW884"/>
      <c r="FY884" s="210">
        <v>879</v>
      </c>
      <c r="FZ884">
        <v>6.6171582610393012</v>
      </c>
      <c r="GA884">
        <v>29.912151854796253</v>
      </c>
      <c r="GB884">
        <v>22.086743529472795</v>
      </c>
      <c r="GC884">
        <v>8.3025945424668546</v>
      </c>
      <c r="GD884">
        <v>3.6136399220046713</v>
      </c>
      <c r="GE884">
        <v>5.5064332931228739</v>
      </c>
      <c r="GF884">
        <v>3.5603180636344836</v>
      </c>
      <c r="GG884">
        <v>0.86889872822098235</v>
      </c>
      <c r="GH884">
        <v>2.0652637984292568</v>
      </c>
      <c r="GI884">
        <v>9.5652953899742563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158.54473550703375</v>
      </c>
      <c r="AO885">
        <v>15.65565611918764</v>
      </c>
      <c r="AP885">
        <v>126.80750025649807</v>
      </c>
      <c r="AQ885">
        <v>95.219862127198851</v>
      </c>
      <c r="AR885">
        <v>14.595158745845113</v>
      </c>
      <c r="AS885">
        <v>174.8483910578548</v>
      </c>
      <c r="AT885">
        <v>6.1414712653868051</v>
      </c>
      <c r="AU885">
        <v>60.803296825510074</v>
      </c>
      <c r="AV885"/>
      <c r="AW885"/>
      <c r="FY885" s="210">
        <v>880</v>
      </c>
      <c r="FZ885">
        <v>6.6555366093931179</v>
      </c>
      <c r="GA885">
        <v>30.531485793516289</v>
      </c>
      <c r="GB885">
        <v>21.078480174037082</v>
      </c>
      <c r="GC885">
        <v>9.8474364138631039</v>
      </c>
      <c r="GD885">
        <v>5.0305480907234488</v>
      </c>
      <c r="GE885">
        <v>4.8783134321946244</v>
      </c>
      <c r="GF885">
        <v>6.2057946952423046</v>
      </c>
      <c r="GG885">
        <v>3.2666645474507594</v>
      </c>
      <c r="GH885">
        <v>2.3257671103202568</v>
      </c>
      <c r="GI885">
        <v>10.690806134850598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219.52469654961865</v>
      </c>
      <c r="AO886">
        <v>13.487437060222408</v>
      </c>
      <c r="AP886">
        <v>112.68651059959427</v>
      </c>
      <c r="AQ886">
        <v>89.689614376186469</v>
      </c>
      <c r="AR886">
        <v>12.358312935117562</v>
      </c>
      <c r="AS886">
        <v>128.29452437871259</v>
      </c>
      <c r="AT886">
        <v>5.692283928014791</v>
      </c>
      <c r="AU886">
        <v>-5.153304760433473</v>
      </c>
      <c r="AV886"/>
      <c r="AW886"/>
      <c r="FY886" s="210">
        <v>881</v>
      </c>
      <c r="FZ886">
        <v>3.5203999598467259</v>
      </c>
      <c r="GA886">
        <v>27.259289714662827</v>
      </c>
      <c r="GB886">
        <v>22.779925080707883</v>
      </c>
      <c r="GC886">
        <v>7.9058802254400318</v>
      </c>
      <c r="GD886">
        <v>4.1913995510040287</v>
      </c>
      <c r="GE886">
        <v>7.0738302790738841</v>
      </c>
      <c r="GF886">
        <v>4.2903781667823706</v>
      </c>
      <c r="GG886">
        <v>1.9741102061044287</v>
      </c>
      <c r="GH886">
        <v>2.2006739463117539</v>
      </c>
      <c r="GI886">
        <v>9.7951239182895318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210.77696874760386</v>
      </c>
      <c r="AO887">
        <v>19.299482445970732</v>
      </c>
      <c r="AP887">
        <v>140.27712837126361</v>
      </c>
      <c r="AQ887">
        <v>110.68007422175761</v>
      </c>
      <c r="AR887">
        <v>17.942479957535195</v>
      </c>
      <c r="AS887">
        <v>173.88566550014585</v>
      </c>
      <c r="AT887" t="e">
        <v>#DIV/0!</v>
      </c>
      <c r="AU887" t="e">
        <v>#DIV/0!</v>
      </c>
      <c r="AV887"/>
      <c r="AW887"/>
      <c r="FY887" s="210">
        <v>882</v>
      </c>
      <c r="FZ887">
        <v>1.2524773033679928</v>
      </c>
      <c r="GA887">
        <v>24.48491574583711</v>
      </c>
      <c r="GB887">
        <v>27.9725923859727</v>
      </c>
      <c r="GC887">
        <v>12.899796472101594</v>
      </c>
      <c r="GD887">
        <v>4.910917598362925</v>
      </c>
      <c r="GE887">
        <v>9.6960471309280827</v>
      </c>
      <c r="GF887">
        <v>12.377885153327266</v>
      </c>
      <c r="GG887">
        <v>4.4545568011947685</v>
      </c>
      <c r="GH887">
        <v>3.3580205622268897</v>
      </c>
      <c r="GI887">
        <v>12.882718477473523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151.19531193385995</v>
      </c>
      <c r="AO888">
        <v>11.428220956865983</v>
      </c>
      <c r="AP888">
        <v>96.779229748565285</v>
      </c>
      <c r="AQ888">
        <v>75.248375976975836</v>
      </c>
      <c r="AR888">
        <v>10.748519959093052</v>
      </c>
      <c r="AS888">
        <v>113.88846014102371</v>
      </c>
      <c r="AT888">
        <v>5.2352254676623158</v>
      </c>
      <c r="AU888">
        <v>-17.252960711433541</v>
      </c>
      <c r="AV888"/>
      <c r="AW888"/>
      <c r="FY888" s="210">
        <v>883</v>
      </c>
      <c r="FZ888">
        <v>6.8426109713003918</v>
      </c>
      <c r="GA888">
        <v>33.189603225178544</v>
      </c>
      <c r="GB888">
        <v>26.060928117977063</v>
      </c>
      <c r="GC888">
        <v>10.603979817759042</v>
      </c>
      <c r="GD888">
        <v>4.0021574593679183</v>
      </c>
      <c r="GE888">
        <v>4.3803621459544111</v>
      </c>
      <c r="GF888">
        <v>3.0180499881922387</v>
      </c>
      <c r="GG888">
        <v>1.6441260247105225</v>
      </c>
      <c r="GH888">
        <v>2.7793472542693221</v>
      </c>
      <c r="GI888">
        <v>10.837843354264963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220.02443243714555</v>
      </c>
      <c r="AO889">
        <v>14.701274478782855</v>
      </c>
      <c r="AP889">
        <v>110.54137798932896</v>
      </c>
      <c r="AQ889">
        <v>87.784582343335828</v>
      </c>
      <c r="AR889">
        <v>13.571552179539969</v>
      </c>
      <c r="AS889">
        <v>141.78102747086052</v>
      </c>
      <c r="AT889">
        <v>6.1728863224961019</v>
      </c>
      <c r="AU889">
        <v>-9.7829698481801568</v>
      </c>
      <c r="AV889"/>
      <c r="AW889"/>
      <c r="FY889" s="210">
        <v>884</v>
      </c>
      <c r="FZ889">
        <v>4.1635529088609378</v>
      </c>
      <c r="GA889">
        <v>31.852479364817352</v>
      </c>
      <c r="GB889">
        <v>16.813689197614604</v>
      </c>
      <c r="GC889">
        <v>4.0477445438255781</v>
      </c>
      <c r="GD889">
        <v>3.2349910056766515</v>
      </c>
      <c r="GE889">
        <v>3.4586906112031217</v>
      </c>
      <c r="GF889">
        <v>1.8135214616071638</v>
      </c>
      <c r="GG889">
        <v>0.55170556019380068</v>
      </c>
      <c r="GH889">
        <v>0</v>
      </c>
      <c r="GI889">
        <v>7.0137244550971332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275.90709084676791</v>
      </c>
      <c r="AO890">
        <v>18.310644955076192</v>
      </c>
      <c r="AP890">
        <v>148.02831730939408</v>
      </c>
      <c r="AQ890">
        <v>118.77408460658937</v>
      </c>
      <c r="AR890">
        <v>16.923443807343219</v>
      </c>
      <c r="AS890">
        <v>179.7467920012048</v>
      </c>
      <c r="AT890">
        <v>7.8388952802236735</v>
      </c>
      <c r="AU890">
        <v>-27.192231298978211</v>
      </c>
      <c r="AV890"/>
      <c r="AW890"/>
      <c r="FY890" s="210">
        <v>885</v>
      </c>
      <c r="FZ890">
        <v>1.3243095813806434</v>
      </c>
      <c r="GA890">
        <v>20.943935969564361</v>
      </c>
      <c r="GB890">
        <v>25.874385194354957</v>
      </c>
      <c r="GC890">
        <v>11.327028110030836</v>
      </c>
      <c r="GD890">
        <v>4.3903815498894536</v>
      </c>
      <c r="GE890">
        <v>5.5457570344276643</v>
      </c>
      <c r="GF890">
        <v>3.2015932281995374</v>
      </c>
      <c r="GG890">
        <v>2.9366803660568532</v>
      </c>
      <c r="GH890">
        <v>3.5481629960709515</v>
      </c>
      <c r="GI890">
        <v>10.338736278908183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186.35205935357644</v>
      </c>
      <c r="AO891">
        <v>15.015014360223285</v>
      </c>
      <c r="AP891">
        <v>109.08803762392571</v>
      </c>
      <c r="AQ891">
        <v>83.975837425984167</v>
      </c>
      <c r="AR891">
        <v>14.056221423595964</v>
      </c>
      <c r="AS891">
        <v>135.38168025218727</v>
      </c>
      <c r="AT891">
        <v>5.6215249637469356</v>
      </c>
      <c r="AU891">
        <v>-22.942054755100376</v>
      </c>
      <c r="AV891"/>
      <c r="AW891"/>
      <c r="FY891" s="210">
        <v>886</v>
      </c>
      <c r="FZ891">
        <v>4.3930484378965398</v>
      </c>
      <c r="GA891">
        <v>22.277037852787533</v>
      </c>
      <c r="GB891">
        <v>25.289775630957024</v>
      </c>
      <c r="GC891">
        <v>12.863417227647608</v>
      </c>
      <c r="GD891">
        <v>3.3466926639934744</v>
      </c>
      <c r="GE891">
        <v>2.300289647336264</v>
      </c>
      <c r="GF891">
        <v>5.0193634775050455</v>
      </c>
      <c r="GG891">
        <v>4.0762703592773093</v>
      </c>
      <c r="GH891">
        <v>4.0120601238940088</v>
      </c>
      <c r="GI891">
        <v>10.492495189272933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234.82270471358748</v>
      </c>
      <c r="AO892">
        <v>18.18758213624913</v>
      </c>
      <c r="AP892">
        <v>136.9049487708435</v>
      </c>
      <c r="AQ892">
        <v>107.77826277723587</v>
      </c>
      <c r="AR892">
        <v>16.596322074117186</v>
      </c>
      <c r="AS892">
        <v>158.09649718658673</v>
      </c>
      <c r="AT892" t="e">
        <v>#DIV/0!</v>
      </c>
      <c r="AU892" t="e">
        <v>#DIV/0!</v>
      </c>
      <c r="AV892"/>
      <c r="AW892"/>
      <c r="FY892" s="210">
        <v>887</v>
      </c>
      <c r="FZ892">
        <v>3.901620451372549</v>
      </c>
      <c r="GA892">
        <v>36.150927917609224</v>
      </c>
      <c r="GB892">
        <v>29.678131873879433</v>
      </c>
      <c r="GC892">
        <v>11.277137281039142</v>
      </c>
      <c r="GD892">
        <v>4.416799655643751</v>
      </c>
      <c r="GE892">
        <v>3.6396058446429773</v>
      </c>
      <c r="GF892">
        <v>3.1866699146248534</v>
      </c>
      <c r="GG892">
        <v>2.5258157662982295</v>
      </c>
      <c r="GH892">
        <v>2.2620319233173167</v>
      </c>
      <c r="GI892">
        <v>11.511319095792198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225.73134055236946</v>
      </c>
      <c r="AO893">
        <v>16.978776120397871</v>
      </c>
      <c r="AP893">
        <v>130.57498433234812</v>
      </c>
      <c r="AQ893">
        <v>104.37802394538822</v>
      </c>
      <c r="AR893">
        <v>15.644247272111793</v>
      </c>
      <c r="AS893">
        <v>158.51155523360441</v>
      </c>
      <c r="AT893" t="e">
        <v>#DIV/0!</v>
      </c>
      <c r="AU893" t="e">
        <v>#DIV/0!</v>
      </c>
      <c r="AV893"/>
      <c r="AW893"/>
      <c r="FY893" s="210">
        <v>888</v>
      </c>
      <c r="FZ893">
        <v>1.7444153561791564</v>
      </c>
      <c r="GA893">
        <v>18.461494580197677</v>
      </c>
      <c r="GB893">
        <v>20.048652038159425</v>
      </c>
      <c r="GC893">
        <v>9.0748049119112064</v>
      </c>
      <c r="GD893">
        <v>3.4584069938405335</v>
      </c>
      <c r="GE893">
        <v>4.1930390538532434</v>
      </c>
      <c r="GF893">
        <v>4.9185432030774878</v>
      </c>
      <c r="GG893">
        <v>4.3572846544716359</v>
      </c>
      <c r="GH893">
        <v>4.065478327022956</v>
      </c>
      <c r="GI893">
        <v>8.8173273277519435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153.58086500377456</v>
      </c>
      <c r="AO894">
        <v>15.682582225253299</v>
      </c>
      <c r="AP894">
        <v>124.75345843573098</v>
      </c>
      <c r="AQ894">
        <v>94.342137847474646</v>
      </c>
      <c r="AR894">
        <v>14.547349077281151</v>
      </c>
      <c r="AS894">
        <v>125.08895399718843</v>
      </c>
      <c r="AT894" t="e">
        <v>#DIV/0!</v>
      </c>
      <c r="AU894" t="e">
        <v>#DIV/0!</v>
      </c>
      <c r="AV894"/>
      <c r="AW894"/>
      <c r="FY894" s="210">
        <v>889</v>
      </c>
      <c r="FZ894">
        <v>9.8574457169716005</v>
      </c>
      <c r="GA894">
        <v>24.749107722292756</v>
      </c>
      <c r="GB894">
        <v>25.130676865520471</v>
      </c>
      <c r="GC894">
        <v>12.651566695404238</v>
      </c>
      <c r="GD894">
        <v>3.0500468918522841</v>
      </c>
      <c r="GE894">
        <v>6.5315823187886011</v>
      </c>
      <c r="GF894">
        <v>9.024303337427348</v>
      </c>
      <c r="GG894">
        <v>1.9723098486085839</v>
      </c>
      <c r="GH894">
        <v>1.161037908745131</v>
      </c>
      <c r="GI894">
        <v>11.36686042417227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206.09741784770853</v>
      </c>
      <c r="AO895">
        <v>14.260869972766866</v>
      </c>
      <c r="AP895">
        <v>115.85596686763321</v>
      </c>
      <c r="AQ895">
        <v>92.098497383161714</v>
      </c>
      <c r="AR895">
        <v>13.202211660270732</v>
      </c>
      <c r="AS895">
        <v>132.71634714229646</v>
      </c>
      <c r="AT895" t="e">
        <v>#DIV/0!</v>
      </c>
      <c r="AU895" t="e">
        <v>#DIV/0!</v>
      </c>
      <c r="AV895"/>
      <c r="AW895"/>
      <c r="FY895" s="210">
        <v>890</v>
      </c>
      <c r="FZ895">
        <v>9.829164953897525</v>
      </c>
      <c r="GA895">
        <v>37.58421369260045</v>
      </c>
      <c r="GB895">
        <v>27.426918297447457</v>
      </c>
      <c r="GC895">
        <v>11.198051848760599</v>
      </c>
      <c r="GD895">
        <v>3.7100243204968404</v>
      </c>
      <c r="GE895">
        <v>4.3407028881237961</v>
      </c>
      <c r="GF895">
        <v>5.4597364860945197</v>
      </c>
      <c r="GG895">
        <v>1.9723098486085839</v>
      </c>
      <c r="GH895">
        <v>1.161037908745131</v>
      </c>
      <c r="GI895">
        <v>11.657060059485023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205.54148645644281</v>
      </c>
      <c r="AO896">
        <v>15.947570115061946</v>
      </c>
      <c r="AP896">
        <v>124.57882458114958</v>
      </c>
      <c r="AQ896">
        <v>100.51083300159159</v>
      </c>
      <c r="AR896">
        <v>14.80218327373999</v>
      </c>
      <c r="AS896">
        <v>142.64310426071089</v>
      </c>
      <c r="AT896">
        <v>7.9251427856584842</v>
      </c>
      <c r="AU896">
        <v>-25.251107978136496</v>
      </c>
      <c r="AV896"/>
      <c r="AW896"/>
      <c r="FY896" s="210">
        <v>891</v>
      </c>
      <c r="FZ896">
        <v>4.3192042121531733</v>
      </c>
      <c r="GA896">
        <v>27.526764571957152</v>
      </c>
      <c r="GB896">
        <v>30.432369520597447</v>
      </c>
      <c r="GC896">
        <v>13.183781430506514</v>
      </c>
      <c r="GD896">
        <v>4.734804278495135</v>
      </c>
      <c r="GE896">
        <v>11.020473548863183</v>
      </c>
      <c r="GF896">
        <v>13.634215225917501</v>
      </c>
      <c r="GG896">
        <v>5.3706250581194848</v>
      </c>
      <c r="GH896">
        <v>4.0120601238940088</v>
      </c>
      <c r="GI896">
        <v>14.21422145031346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203.47831056307808</v>
      </c>
      <c r="AO897">
        <v>14.673180824622625</v>
      </c>
      <c r="AP897">
        <v>115.28369744168583</v>
      </c>
      <c r="AQ897">
        <v>90.99101104822347</v>
      </c>
      <c r="AR897">
        <v>13.619829742143324</v>
      </c>
      <c r="AS897">
        <v>124.24811513401973</v>
      </c>
      <c r="AT897">
        <v>5.9802556258107371</v>
      </c>
      <c r="AU897">
        <v>-21.340416452265242</v>
      </c>
      <c r="AV897"/>
      <c r="AW897"/>
      <c r="FY897" s="210">
        <v>892</v>
      </c>
      <c r="FZ897">
        <v>1.5410532412013374</v>
      </c>
      <c r="GA897">
        <v>24.832389613582396</v>
      </c>
      <c r="GB897">
        <v>25.849922658450264</v>
      </c>
      <c r="GC897">
        <v>11.526248368602353</v>
      </c>
      <c r="GD897">
        <v>6.0413022218085759</v>
      </c>
      <c r="GE897">
        <v>8.3507250502446322</v>
      </c>
      <c r="GF897">
        <v>6.2906168636699649</v>
      </c>
      <c r="GG897">
        <v>3.1711927582234725</v>
      </c>
      <c r="GH897">
        <v>1.161037908745131</v>
      </c>
      <c r="GI897">
        <v>11.532758533233647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289.26237961008053</v>
      </c>
      <c r="AO898">
        <v>19.496952720105682</v>
      </c>
      <c r="AP898">
        <v>145.22735198057958</v>
      </c>
      <c r="AQ898">
        <v>114.28992763079285</v>
      </c>
      <c r="AR898">
        <v>17.585991165715775</v>
      </c>
      <c r="AS898">
        <v>174.99960691967209</v>
      </c>
      <c r="AT898" t="e">
        <v>#DIV/0!</v>
      </c>
      <c r="AU898" t="e">
        <v>#DIV/0!</v>
      </c>
      <c r="AV898"/>
      <c r="AW898"/>
      <c r="FY898" s="210">
        <v>893</v>
      </c>
      <c r="FZ898">
        <v>1.3765732781279119</v>
      </c>
      <c r="GA898">
        <v>25.064725910434959</v>
      </c>
      <c r="GB898">
        <v>20.133027006711462</v>
      </c>
      <c r="GC898">
        <v>6.5069930469705657</v>
      </c>
      <c r="GD898">
        <v>4.263367413951527</v>
      </c>
      <c r="GE898">
        <v>5.8936480905384396</v>
      </c>
      <c r="GF898">
        <v>1.8135214616071638</v>
      </c>
      <c r="GG898">
        <v>0.55170556019380068</v>
      </c>
      <c r="GH898">
        <v>0.64372257779312592</v>
      </c>
      <c r="GI898">
        <v>8.1251960911005092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196.80893355826367</v>
      </c>
      <c r="AO899">
        <v>16.259553724093657</v>
      </c>
      <c r="AP899">
        <v>131.82097676989767</v>
      </c>
      <c r="AQ899">
        <v>103.35900835897442</v>
      </c>
      <c r="AR899">
        <v>15.057790011300199</v>
      </c>
      <c r="AS899">
        <v>149.6402528408849</v>
      </c>
      <c r="AT899" t="e">
        <v>#DIV/0!</v>
      </c>
      <c r="AU899" t="e">
        <v>#DIV/0!</v>
      </c>
      <c r="AV899"/>
      <c r="AW899"/>
      <c r="FY899" s="210">
        <v>894</v>
      </c>
      <c r="FZ899">
        <v>1.4398098523043652</v>
      </c>
      <c r="GA899">
        <v>22.713462825593666</v>
      </c>
      <c r="GB899">
        <v>22.29293928007143</v>
      </c>
      <c r="GC899">
        <v>8.9804232390621141</v>
      </c>
      <c r="GD899">
        <v>3.7518552640901874</v>
      </c>
      <c r="GE899">
        <v>7.0471430650350442</v>
      </c>
      <c r="GF899">
        <v>7.2924300489747118</v>
      </c>
      <c r="GG899">
        <v>3.616435873319106</v>
      </c>
      <c r="GH899">
        <v>4.8446110526985784</v>
      </c>
      <c r="GI899">
        <v>10.096093605762167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135.48435560388688</v>
      </c>
      <c r="AO900">
        <v>10.518500967995303</v>
      </c>
      <c r="AP900">
        <v>92.881469956454794</v>
      </c>
      <c r="AQ900">
        <v>72.950099108896353</v>
      </c>
      <c r="AR900">
        <v>9.7510721651153958</v>
      </c>
      <c r="AS900">
        <v>103.11862203040982</v>
      </c>
      <c r="AT900" t="e">
        <v>#DIV/0!</v>
      </c>
      <c r="AU900" t="e">
        <v>#DIV/0!</v>
      </c>
      <c r="AV900"/>
      <c r="AW900"/>
      <c r="FY900" s="210">
        <v>895</v>
      </c>
      <c r="FZ900">
        <v>4.2231371212092563</v>
      </c>
      <c r="GA900">
        <v>33.422745299629568</v>
      </c>
      <c r="GB900">
        <v>26.975415052924511</v>
      </c>
      <c r="GC900">
        <v>9.264201769667368</v>
      </c>
      <c r="GD900">
        <v>3.4471832666496347</v>
      </c>
      <c r="GE900">
        <v>3.4820151252302107</v>
      </c>
      <c r="GF900">
        <v>2.441686497902281</v>
      </c>
      <c r="GG900">
        <v>2.7475371450981236</v>
      </c>
      <c r="GH900">
        <v>3.6835731439534483</v>
      </c>
      <c r="GI900">
        <v>10.376201184986238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222.93630130397955</v>
      </c>
      <c r="AO901">
        <v>15.419530804248177</v>
      </c>
      <c r="AP901">
        <v>113.68729834158209</v>
      </c>
      <c r="AQ901">
        <v>89.430970308883445</v>
      </c>
      <c r="AR901">
        <v>14.405419304658771</v>
      </c>
      <c r="AS901">
        <v>145.87677408540247</v>
      </c>
      <c r="AT901">
        <v>6.1649341665575195</v>
      </c>
      <c r="AU901">
        <v>-5.575118222434484</v>
      </c>
      <c r="AV901"/>
      <c r="AW901"/>
      <c r="FY901" s="210">
        <v>896</v>
      </c>
      <c r="FZ901">
        <v>4.696640071933583</v>
      </c>
      <c r="GA901">
        <v>22.360099340314424</v>
      </c>
      <c r="GB901">
        <v>16.505259056129521</v>
      </c>
      <c r="GC901">
        <v>7.2786182098736809</v>
      </c>
      <c r="GD901">
        <v>3.8178555680698296</v>
      </c>
      <c r="GE901">
        <v>5.3164818979900019</v>
      </c>
      <c r="GF901">
        <v>5.475734592094418</v>
      </c>
      <c r="GG901">
        <v>2.9366803660568532</v>
      </c>
      <c r="GH901">
        <v>3.8700242849675139</v>
      </c>
      <c r="GI901">
        <v>8.6526881759836769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146.96560215610197</v>
      </c>
      <c r="AO902">
        <v>15.753284933042645</v>
      </c>
      <c r="AP902">
        <v>121.94376371357455</v>
      </c>
      <c r="AQ902">
        <v>94.070450610567732</v>
      </c>
      <c r="AR902">
        <v>14.619045422149155</v>
      </c>
      <c r="AS902">
        <v>127.33412823527823</v>
      </c>
      <c r="AT902">
        <v>7.3290767927690039</v>
      </c>
      <c r="AU902">
        <v>-51.550400570967199</v>
      </c>
      <c r="AV902"/>
      <c r="AW902"/>
      <c r="FY902" s="210">
        <v>897</v>
      </c>
      <c r="FZ902">
        <v>6.8322615067625776</v>
      </c>
      <c r="GA902">
        <v>25.209264135235163</v>
      </c>
      <c r="GB902">
        <v>21.2563350146064</v>
      </c>
      <c r="GC902">
        <v>10.103929230781331</v>
      </c>
      <c r="GD902">
        <v>3.3220517411226984</v>
      </c>
      <c r="GE902">
        <v>3.0996539397499254</v>
      </c>
      <c r="GF902">
        <v>4.1735597863549154</v>
      </c>
      <c r="GG902">
        <v>1.8786384168771417</v>
      </c>
      <c r="GH902">
        <v>1.0359447447366277</v>
      </c>
      <c r="GI902">
        <v>9.2066502629078961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156.70954352041267</v>
      </c>
      <c r="AO903">
        <v>17.277839119170203</v>
      </c>
      <c r="AP903">
        <v>141.19544942585853</v>
      </c>
      <c r="AQ903">
        <v>108.55005972421969</v>
      </c>
      <c r="AR903">
        <v>16.131261605343163</v>
      </c>
      <c r="AS903">
        <v>156.08640077032484</v>
      </c>
      <c r="AT903">
        <v>8.3306393942050363</v>
      </c>
      <c r="AU903">
        <v>-46.03850381619359</v>
      </c>
      <c r="AV903"/>
      <c r="AW903"/>
      <c r="FY903" s="210">
        <v>898</v>
      </c>
      <c r="FZ903">
        <v>4.6623045423542777</v>
      </c>
      <c r="GA903">
        <v>21.193251988208871</v>
      </c>
      <c r="GB903">
        <v>16.957344700243119</v>
      </c>
      <c r="GC903">
        <v>6.6461458395842588</v>
      </c>
      <c r="GD903">
        <v>3.0392909440338802</v>
      </c>
      <c r="GE903">
        <v>5.61629427594396</v>
      </c>
      <c r="GF903">
        <v>4.8315714497994025</v>
      </c>
      <c r="GG903">
        <v>2.2895030166357651</v>
      </c>
      <c r="GH903">
        <v>3.8086663079619516</v>
      </c>
      <c r="GI903">
        <v>8.1776437617425071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178.90004008029752</v>
      </c>
      <c r="AO904">
        <v>13.167143317799173</v>
      </c>
      <c r="AP904">
        <v>100.7098858913151</v>
      </c>
      <c r="AQ904">
        <v>79.139446446465271</v>
      </c>
      <c r="AR904">
        <v>12.209008165477028</v>
      </c>
      <c r="AS904">
        <v>126.06910564267761</v>
      </c>
      <c r="AT904">
        <v>5.6085265967023732</v>
      </c>
      <c r="AU904">
        <v>-6.1277081276446941</v>
      </c>
      <c r="AV904"/>
      <c r="AW904"/>
      <c r="FY904" s="210">
        <v>899</v>
      </c>
      <c r="FZ904">
        <v>9.7695838729175044</v>
      </c>
      <c r="GA904">
        <v>34.915115037860254</v>
      </c>
      <c r="GB904">
        <v>17.757249358796123</v>
      </c>
      <c r="GC904">
        <v>7.0702789725736572</v>
      </c>
      <c r="GD904">
        <v>4.0699441586770995</v>
      </c>
      <c r="GE904">
        <v>3.1864575982772712</v>
      </c>
      <c r="GF904">
        <v>4.868449682229878</v>
      </c>
      <c r="GG904">
        <v>4.4026538256795256</v>
      </c>
      <c r="GH904">
        <v>3.1012085431658845</v>
      </c>
      <c r="GI904">
        <v>9.5937765007374054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218.7330665301416</v>
      </c>
      <c r="AO905">
        <v>17.106804950638605</v>
      </c>
      <c r="AP905">
        <v>132.82514713566295</v>
      </c>
      <c r="AQ905">
        <v>105.4949377297833</v>
      </c>
      <c r="AR905">
        <v>15.53342725502336</v>
      </c>
      <c r="AS905">
        <v>148.86051873249156</v>
      </c>
      <c r="AT905" t="e">
        <v>#DIV/0!</v>
      </c>
      <c r="AU905" t="e">
        <v>#DIV/0!</v>
      </c>
      <c r="AV905"/>
      <c r="AW905"/>
      <c r="FY905" s="210">
        <v>900</v>
      </c>
      <c r="FZ905">
        <v>6.5173034069816751</v>
      </c>
      <c r="GA905">
        <v>26.031577019528683</v>
      </c>
      <c r="GB905">
        <v>19.135151327179404</v>
      </c>
      <c r="GC905">
        <v>9.5403371286121033</v>
      </c>
      <c r="GD905">
        <v>6.0724022692856492</v>
      </c>
      <c r="GE905">
        <v>8.9332386915366815</v>
      </c>
      <c r="GF905">
        <v>6.1379950432372485</v>
      </c>
      <c r="GG905">
        <v>3.0665306706211508</v>
      </c>
      <c r="GH905">
        <v>4.1371532879025121</v>
      </c>
      <c r="GI905">
        <v>11.095235177584659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187.32146315531151</v>
      </c>
      <c r="AO906">
        <v>17.562145044754541</v>
      </c>
      <c r="AP906">
        <v>146.27403246076599</v>
      </c>
      <c r="AQ906">
        <v>114.33922030425992</v>
      </c>
      <c r="AR906">
        <v>16.154933145807515</v>
      </c>
      <c r="AS906">
        <v>156.939733658221</v>
      </c>
      <c r="AT906" t="e">
        <v>#DIV/0!</v>
      </c>
      <c r="AU906" t="e">
        <v>#DIV/0!</v>
      </c>
      <c r="AV906"/>
      <c r="AW906"/>
      <c r="FY906" s="210">
        <v>901</v>
      </c>
      <c r="FZ906">
        <v>3.9595642496234493</v>
      </c>
      <c r="GA906">
        <v>25.835352714749568</v>
      </c>
      <c r="GB906">
        <v>19.436000373463493</v>
      </c>
      <c r="GC906">
        <v>6.1066861885944022</v>
      </c>
      <c r="GD906">
        <v>2.5912183676841654</v>
      </c>
      <c r="GE906">
        <v>4.6534014319352508</v>
      </c>
      <c r="GF906">
        <v>3.7630334049148111</v>
      </c>
      <c r="GG906">
        <v>0.64717734942108796</v>
      </c>
      <c r="GH906">
        <v>0.90422588968412598</v>
      </c>
      <c r="GI906">
        <v>7.7727705130699984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266.89166229561056</v>
      </c>
      <c r="AO907">
        <v>21.45347395885981</v>
      </c>
      <c r="AP907">
        <v>164.34171464601306</v>
      </c>
      <c r="AQ907">
        <v>128.44851942081704</v>
      </c>
      <c r="AR907">
        <v>19.52547393470936</v>
      </c>
      <c r="AS907">
        <v>179.86741270106023</v>
      </c>
      <c r="AT907">
        <v>9.0872047856703357</v>
      </c>
      <c r="AU907">
        <v>-27.49854934964694</v>
      </c>
      <c r="AV907"/>
      <c r="AW907"/>
      <c r="FY907" s="210">
        <v>902</v>
      </c>
      <c r="FZ907">
        <v>3.8583239920947752</v>
      </c>
      <c r="GA907">
        <v>25.078567900101866</v>
      </c>
      <c r="GB907">
        <v>29.590318069022175</v>
      </c>
      <c r="GC907">
        <v>13.874325857082091</v>
      </c>
      <c r="GD907">
        <v>3.7824019378722857</v>
      </c>
      <c r="GE907">
        <v>2.3540073596340387</v>
      </c>
      <c r="GF907">
        <v>2.644401839182609</v>
      </c>
      <c r="GG907">
        <v>4.2636132227401937</v>
      </c>
      <c r="GH907">
        <v>4.2622464519110155</v>
      </c>
      <c r="GI907">
        <v>11.346524294339183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262.42322314893102</v>
      </c>
      <c r="AO908">
        <v>17.366281892569031</v>
      </c>
      <c r="AP908">
        <v>124.10362934761019</v>
      </c>
      <c r="AQ908">
        <v>100.29724721776178</v>
      </c>
      <c r="AR908">
        <v>15.967254170867911</v>
      </c>
      <c r="AS908">
        <v>168.16023580814672</v>
      </c>
      <c r="AT908" t="e">
        <v>#DIV/0!</v>
      </c>
      <c r="AU908" t="e">
        <v>#DIV/0!</v>
      </c>
      <c r="AV908"/>
      <c r="AW908"/>
      <c r="FY908" s="210">
        <v>903</v>
      </c>
      <c r="FZ908">
        <v>4.1890597786590522</v>
      </c>
      <c r="GA908">
        <v>28.302738334060201</v>
      </c>
      <c r="GB908">
        <v>26.859399039536477</v>
      </c>
      <c r="GC908">
        <v>10.144156930766233</v>
      </c>
      <c r="GD908">
        <v>2.3058476972737036</v>
      </c>
      <c r="GE908">
        <v>2.8750219289605248</v>
      </c>
      <c r="GF908">
        <v>3.6622131304872543</v>
      </c>
      <c r="GG908">
        <v>1.4224046459106283</v>
      </c>
      <c r="GH908">
        <v>2.0015286114263167</v>
      </c>
      <c r="GI908">
        <v>9.6818586395913329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195.80012790704927</v>
      </c>
      <c r="AO909">
        <v>12.120289652411042</v>
      </c>
      <c r="AP909">
        <v>93.664125267774438</v>
      </c>
      <c r="AQ909">
        <v>74.372480437429459</v>
      </c>
      <c r="AR909">
        <v>11.321585755142692</v>
      </c>
      <c r="AS909">
        <v>116.8374037095335</v>
      </c>
      <c r="AT909" t="e">
        <v>#DIV/0!</v>
      </c>
      <c r="AU909" t="e">
        <v>#DIV/0!</v>
      </c>
      <c r="AV909"/>
      <c r="AW909"/>
      <c r="FY909" s="210">
        <v>904</v>
      </c>
      <c r="FZ909">
        <v>3.8809183909286222</v>
      </c>
      <c r="GA909">
        <v>26.050697154890379</v>
      </c>
      <c r="GB909">
        <v>16.22476218508346</v>
      </c>
      <c r="GC909">
        <v>6.4184064449442992</v>
      </c>
      <c r="GD909">
        <v>5.0166338177589731</v>
      </c>
      <c r="GE909">
        <v>5.9336418576931642</v>
      </c>
      <c r="GF909">
        <v>4.3720263399368999</v>
      </c>
      <c r="GG909">
        <v>4.2636132227401937</v>
      </c>
      <c r="GH909">
        <v>3.9403851630144526</v>
      </c>
      <c r="GI909">
        <v>8.9470256633899741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219.64748897583794</v>
      </c>
      <c r="AO910">
        <v>15.11437728952651</v>
      </c>
      <c r="AP910">
        <v>117.90720137533867</v>
      </c>
      <c r="AQ910">
        <v>92.075204106911357</v>
      </c>
      <c r="AR910">
        <v>13.886396575651677</v>
      </c>
      <c r="AS910">
        <v>141.25112097071008</v>
      </c>
      <c r="AT910">
        <v>6.3385667651428355</v>
      </c>
      <c r="AU910">
        <v>-18.358102168416167</v>
      </c>
      <c r="AV910"/>
      <c r="AW910"/>
      <c r="FY910" s="210">
        <v>905</v>
      </c>
      <c r="FZ910">
        <v>4.6190049517082068</v>
      </c>
      <c r="GA910">
        <v>13.564941980071673</v>
      </c>
      <c r="GB910">
        <v>22.353728994958615</v>
      </c>
      <c r="GC910">
        <v>12.85510700350523</v>
      </c>
      <c r="GD910">
        <v>5.2927402150375258</v>
      </c>
      <c r="GE910">
        <v>7.4340344431549656</v>
      </c>
      <c r="GF910">
        <v>3.0138012004938952</v>
      </c>
      <c r="GG910">
        <v>1.6441260247105225</v>
      </c>
      <c r="GH910">
        <v>3.6835731439534483</v>
      </c>
      <c r="GI910">
        <v>10.494024505809998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201.2148065438908</v>
      </c>
      <c r="AO911">
        <v>15.43720675226316</v>
      </c>
      <c r="AP911">
        <v>130.3604481874703</v>
      </c>
      <c r="AQ911">
        <v>100.06369560725064</v>
      </c>
      <c r="AR911">
        <v>14.493650472105227</v>
      </c>
      <c r="AS911">
        <v>157.56714928902616</v>
      </c>
      <c r="AT911">
        <v>6.5393479480711738</v>
      </c>
      <c r="AU911">
        <v>-23.928222405284721</v>
      </c>
      <c r="AV911"/>
      <c r="AW911"/>
      <c r="FY911" s="210">
        <v>906</v>
      </c>
      <c r="FZ911">
        <v>0.92516092268685712</v>
      </c>
      <c r="GA911">
        <v>17.353390882979703</v>
      </c>
      <c r="GB911">
        <v>18.800468388104107</v>
      </c>
      <c r="GC911">
        <v>6.6758971478191071</v>
      </c>
      <c r="GD911">
        <v>1.7728156187233757</v>
      </c>
      <c r="GE911">
        <v>5.5893928622461218</v>
      </c>
      <c r="GF911">
        <v>6.5634447382520378</v>
      </c>
      <c r="GG911">
        <v>1.4206042884147827</v>
      </c>
      <c r="GH911">
        <v>1.4828991976416939</v>
      </c>
      <c r="GI911">
        <v>7.3568513395819242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189.05783888702015</v>
      </c>
      <c r="AO912">
        <v>12.828458430231734</v>
      </c>
      <c r="AP912">
        <v>100.35921649765176</v>
      </c>
      <c r="AQ912">
        <v>80.910081563413485</v>
      </c>
      <c r="AR912">
        <v>11.917358493083185</v>
      </c>
      <c r="AS912">
        <v>111.68186471903607</v>
      </c>
      <c r="AT912">
        <v>6.1726207687246477</v>
      </c>
      <c r="AU912">
        <v>-28.261967286505143</v>
      </c>
      <c r="AV912"/>
      <c r="AW912"/>
      <c r="FY912" s="210">
        <v>907</v>
      </c>
      <c r="FZ912">
        <v>1.0139074980297225</v>
      </c>
      <c r="GA912">
        <v>17.688755040863494</v>
      </c>
      <c r="GB912">
        <v>18.936158666097359</v>
      </c>
      <c r="GC912">
        <v>9.1493427261782312</v>
      </c>
      <c r="GD912">
        <v>4.2069950521820232</v>
      </c>
      <c r="GE912">
        <v>3.4293589578302872</v>
      </c>
      <c r="GF912">
        <v>3.5222017423325336</v>
      </c>
      <c r="GG912">
        <v>3.4576081259053346</v>
      </c>
      <c r="GH912">
        <v>1.161037908745131</v>
      </c>
      <c r="GI912">
        <v>8.1243744820702215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150.62452060680781</v>
      </c>
      <c r="AO913">
        <v>13.877004380894437</v>
      </c>
      <c r="AP913">
        <v>109.1296518359363</v>
      </c>
      <c r="AQ913">
        <v>86.118288779134673</v>
      </c>
      <c r="AR913">
        <v>12.785497899406057</v>
      </c>
      <c r="AS913">
        <v>127.22390253159935</v>
      </c>
      <c r="AT913" t="e">
        <v>#DIV/0!</v>
      </c>
      <c r="AU913" t="e">
        <v>#DIV/0!</v>
      </c>
      <c r="AV913"/>
      <c r="AW913"/>
      <c r="FY913" s="210">
        <v>908</v>
      </c>
      <c r="FZ913">
        <v>6.8225354551161352</v>
      </c>
      <c r="GA913">
        <v>29.381719707517259</v>
      </c>
      <c r="GB913">
        <v>19.136672497374381</v>
      </c>
      <c r="GC913">
        <v>8.0082744537950834</v>
      </c>
      <c r="GD913">
        <v>4.0663671632796792</v>
      </c>
      <c r="GE913">
        <v>5.0545697245782586</v>
      </c>
      <c r="GF913">
        <v>5.2580959372394052</v>
      </c>
      <c r="GG913">
        <v>1.9723098486085839</v>
      </c>
      <c r="GH913">
        <v>2.969489688113383</v>
      </c>
      <c r="GI913">
        <v>9.6037712343117452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164.2061022303765</v>
      </c>
      <c r="AO914">
        <v>12.089602272294993</v>
      </c>
      <c r="AP914">
        <v>96.768941737623436</v>
      </c>
      <c r="AQ914">
        <v>77.222016826507996</v>
      </c>
      <c r="AR914">
        <v>11.234615722218157</v>
      </c>
      <c r="AS914">
        <v>124.30333693607894</v>
      </c>
      <c r="AT914">
        <v>5.2981988898964429</v>
      </c>
      <c r="AU914">
        <v>-12.814809870390075</v>
      </c>
      <c r="AV914"/>
      <c r="AW914"/>
      <c r="FY914" s="210">
        <v>909</v>
      </c>
      <c r="FZ914">
        <v>2.6535435814562693</v>
      </c>
      <c r="GA914">
        <v>25.1480137147649</v>
      </c>
      <c r="GB914">
        <v>30.324144305682658</v>
      </c>
      <c r="GC914">
        <v>14.797442673655432</v>
      </c>
      <c r="GD914">
        <v>4.1777321446959901</v>
      </c>
      <c r="GE914">
        <v>4.1973496061915929</v>
      </c>
      <c r="GF914">
        <v>6.7661600795323658</v>
      </c>
      <c r="GG914">
        <v>3.7119076625463934</v>
      </c>
      <c r="GH914">
        <v>4.2622464519110155</v>
      </c>
      <c r="GI914">
        <v>12.336443023096509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193.18379414031094</v>
      </c>
      <c r="AO915">
        <v>14.264396261988386</v>
      </c>
      <c r="AP915">
        <v>121.59202573681327</v>
      </c>
      <c r="AQ915">
        <v>98.734717550914596</v>
      </c>
      <c r="AR915">
        <v>13.278791565444294</v>
      </c>
      <c r="AS915">
        <v>147.0350083726195</v>
      </c>
      <c r="AT915">
        <v>7.2351842470378829</v>
      </c>
      <c r="AU915">
        <v>-17.259980835834341</v>
      </c>
      <c r="AV915"/>
      <c r="AW915"/>
      <c r="FY915" s="210">
        <v>910</v>
      </c>
      <c r="FZ915">
        <v>3.8414096947645602</v>
      </c>
      <c r="GA915">
        <v>19.275420519391755</v>
      </c>
      <c r="GB915">
        <v>14.826398508540768</v>
      </c>
      <c r="GC915">
        <v>6.489838125137708</v>
      </c>
      <c r="GD915">
        <v>5.1042177191944544</v>
      </c>
      <c r="GE915">
        <v>6.6289167473425703</v>
      </c>
      <c r="GF915">
        <v>1.3880717665923741</v>
      </c>
      <c r="GG915">
        <v>3.2538735340840348</v>
      </c>
      <c r="GH915">
        <v>4.3873396159195188</v>
      </c>
      <c r="GI915">
        <v>8.1532732757985489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250.39459366264177</v>
      </c>
      <c r="AO916">
        <v>16.635290676845624</v>
      </c>
      <c r="AP916">
        <v>120.48111757362811</v>
      </c>
      <c r="AQ916">
        <v>100.66692402246977</v>
      </c>
      <c r="AR916">
        <v>15.28618065988889</v>
      </c>
      <c r="AS916">
        <v>153.1862989532828</v>
      </c>
      <c r="AT916">
        <v>7.8262286175324851</v>
      </c>
      <c r="AU916">
        <v>-46.184891278431948</v>
      </c>
      <c r="AV916"/>
      <c r="AW916"/>
      <c r="FY916" s="210">
        <v>911</v>
      </c>
      <c r="FZ916">
        <v>4.032019940527471</v>
      </c>
      <c r="GA916">
        <v>20.950793589808935</v>
      </c>
      <c r="GB916">
        <v>22.631166318939947</v>
      </c>
      <c r="GC916">
        <v>10.361191572340614</v>
      </c>
      <c r="GD916">
        <v>3.6078305863854734</v>
      </c>
      <c r="GE916">
        <v>8.2634783222297958</v>
      </c>
      <c r="GF916">
        <v>10.311554829592165</v>
      </c>
      <c r="GG916">
        <v>4.3572846544716359</v>
      </c>
      <c r="GH916">
        <v>4.3873396159195188</v>
      </c>
      <c r="GI916">
        <v>10.995279141582085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166.58770836295309</v>
      </c>
      <c r="AO917">
        <v>11.567699249797212</v>
      </c>
      <c r="AP917">
        <v>97.414617252097301</v>
      </c>
      <c r="AQ917">
        <v>75.669430483140346</v>
      </c>
      <c r="AR917">
        <v>10.730499365170552</v>
      </c>
      <c r="AS917">
        <v>108.89651574727795</v>
      </c>
      <c r="AT917" t="e">
        <v>#DIV/0!</v>
      </c>
      <c r="AU917" t="e">
        <v>#DIV/0!</v>
      </c>
      <c r="AV917"/>
      <c r="AW917"/>
      <c r="FY917" s="210">
        <v>912</v>
      </c>
      <c r="FZ917">
        <v>9.4871981028749648</v>
      </c>
      <c r="GA917">
        <v>34.423252994356673</v>
      </c>
      <c r="GB917">
        <v>31.43138830664212</v>
      </c>
      <c r="GC917">
        <v>13.014396373880638</v>
      </c>
      <c r="GD917">
        <v>2.2915193231798798</v>
      </c>
      <c r="GE917">
        <v>1.0472549773769821</v>
      </c>
      <c r="GF917">
        <v>3.6230220167600908</v>
      </c>
      <c r="GG917">
        <v>5.6896185836425133</v>
      </c>
      <c r="GH917">
        <v>4.4656402678430744</v>
      </c>
      <c r="GI917">
        <v>11.93600525669066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144.90494299041922</v>
      </c>
      <c r="AO918">
        <v>17.121472933864677</v>
      </c>
      <c r="AP918">
        <v>132.28023492320355</v>
      </c>
      <c r="AQ918">
        <v>101.05473092398023</v>
      </c>
      <c r="AR918">
        <v>15.988060944234892</v>
      </c>
      <c r="AS918">
        <v>131.5511363869152</v>
      </c>
      <c r="AT918">
        <v>7.950966407056999</v>
      </c>
      <c r="AU918">
        <v>-19.908940537519985</v>
      </c>
      <c r="AV918"/>
      <c r="AW918"/>
      <c r="FY918" s="210">
        <v>913</v>
      </c>
      <c r="FZ918">
        <v>1.0226165484701184</v>
      </c>
      <c r="GA918">
        <v>25.157299503901939</v>
      </c>
      <c r="GB918">
        <v>26.238844580164699</v>
      </c>
      <c r="GC918">
        <v>10.658417299615561</v>
      </c>
      <c r="GD918">
        <v>2.8696763545457094</v>
      </c>
      <c r="GE918">
        <v>0.88090051828609295</v>
      </c>
      <c r="GF918">
        <v>0</v>
      </c>
      <c r="GG918">
        <v>0.77522729648954036</v>
      </c>
      <c r="GH918">
        <v>1.6796673225297538</v>
      </c>
      <c r="GI918">
        <v>8.6094676423899603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137.99288977239362</v>
      </c>
      <c r="AO919">
        <v>14.524255722020172</v>
      </c>
      <c r="AP919">
        <v>122.14669261443471</v>
      </c>
      <c r="AQ919">
        <v>91.444228736671732</v>
      </c>
      <c r="AR919">
        <v>13.512041385878335</v>
      </c>
      <c r="AS919">
        <v>109.12540360625314</v>
      </c>
      <c r="AT919">
        <v>6.9204970094523359</v>
      </c>
      <c r="AU919">
        <v>-49.277877214247653</v>
      </c>
      <c r="AV919"/>
      <c r="AW919"/>
      <c r="FY919" s="210">
        <v>914</v>
      </c>
      <c r="FZ919">
        <v>9.9513654588992253</v>
      </c>
      <c r="GA919">
        <v>25.349433189224161</v>
      </c>
      <c r="GB919">
        <v>22.147789838443337</v>
      </c>
      <c r="GC919">
        <v>10.084622145238679</v>
      </c>
      <c r="GD919">
        <v>3.9498485164235952</v>
      </c>
      <c r="GE919">
        <v>6.8026440485015884</v>
      </c>
      <c r="GF919">
        <v>3.6611383380620408</v>
      </c>
      <c r="GG919">
        <v>1.7377974564419647</v>
      </c>
      <c r="GH919">
        <v>2.322075817490262</v>
      </c>
      <c r="GI919">
        <v>10.362952262229832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212.43278320943764</v>
      </c>
      <c r="AO920">
        <v>13.332473472137561</v>
      </c>
      <c r="AP920">
        <v>103.01171758437172</v>
      </c>
      <c r="AQ920">
        <v>85.04811024038041</v>
      </c>
      <c r="AR920">
        <v>12.364047120059881</v>
      </c>
      <c r="AS920">
        <v>143.41800959460321</v>
      </c>
      <c r="AT920">
        <v>6.1254162308863505</v>
      </c>
      <c r="AU920">
        <v>-11.735714252211732</v>
      </c>
      <c r="AV920"/>
      <c r="AW920"/>
      <c r="FY920" s="210">
        <v>915</v>
      </c>
      <c r="FZ920">
        <v>1.2512304775852501</v>
      </c>
      <c r="GA920">
        <v>21.606703760269411</v>
      </c>
      <c r="GB920">
        <v>24.119833432435058</v>
      </c>
      <c r="GC920">
        <v>10.316442031417381</v>
      </c>
      <c r="GD920">
        <v>3.0017238465652438</v>
      </c>
      <c r="GE920">
        <v>3.1599295700971428</v>
      </c>
      <c r="GF920">
        <v>3.0180499881922387</v>
      </c>
      <c r="GG920">
        <v>0.77522729648954036</v>
      </c>
      <c r="GH920">
        <v>3.1048998359958802</v>
      </c>
      <c r="GI920">
        <v>9.0186714712058365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206.56380636967842</v>
      </c>
      <c r="AO921">
        <v>15.604892287717888</v>
      </c>
      <c r="AP921">
        <v>102.45913743957837</v>
      </c>
      <c r="AQ921">
        <v>84.955082463404096</v>
      </c>
      <c r="AR921">
        <v>14.580042390135745</v>
      </c>
      <c r="AS921">
        <v>143.64523416509553</v>
      </c>
      <c r="AT921" t="e">
        <v>#DIV/0!</v>
      </c>
      <c r="AU921" t="e">
        <v>#DIV/0!</v>
      </c>
      <c r="AV921"/>
      <c r="AW921"/>
      <c r="FY921" s="210">
        <v>916</v>
      </c>
      <c r="FZ921">
        <v>4.2596199998048538</v>
      </c>
      <c r="GA921">
        <v>20.385242085923434</v>
      </c>
      <c r="GB921">
        <v>26.169863271221391</v>
      </c>
      <c r="GC921">
        <v>13.599935886964381</v>
      </c>
      <c r="GD921">
        <v>4.4409749473514424</v>
      </c>
      <c r="GE921">
        <v>3.3451550753035151</v>
      </c>
      <c r="GF921">
        <v>1.2872514921648168</v>
      </c>
      <c r="GG921">
        <v>2.3849748058630524</v>
      </c>
      <c r="GH921">
        <v>4.0691696198529517</v>
      </c>
      <c r="GI921">
        <v>10.600269273094682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113.89847242953059</v>
      </c>
      <c r="AO922">
        <v>11.128253026574223</v>
      </c>
      <c r="AP922">
        <v>90.00105228103196</v>
      </c>
      <c r="AQ922">
        <v>67.94092538644972</v>
      </c>
      <c r="AR922">
        <v>10.081243388077166</v>
      </c>
      <c r="AS922">
        <v>83.625940250607613</v>
      </c>
      <c r="AT922">
        <v>4.8139984744757207</v>
      </c>
      <c r="AU922">
        <v>-16.844694727191595</v>
      </c>
      <c r="AV922"/>
      <c r="AW922"/>
      <c r="FY922" s="210">
        <v>917</v>
      </c>
      <c r="FZ922">
        <v>4.2539367669329238</v>
      </c>
      <c r="GA922">
        <v>32.857308066731363</v>
      </c>
      <c r="GB922">
        <v>23.989991784780695</v>
      </c>
      <c r="GC922">
        <v>6.7514705057097135</v>
      </c>
      <c r="GD922">
        <v>3.0878505035104085</v>
      </c>
      <c r="GE922">
        <v>5.6185489370902184</v>
      </c>
      <c r="GF922">
        <v>5.7803450002275154</v>
      </c>
      <c r="GG922">
        <v>4.2310350648990287</v>
      </c>
      <c r="GH922">
        <v>3.8700242849675139</v>
      </c>
      <c r="GI922">
        <v>10.098122050913359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175.19683133878681</v>
      </c>
      <c r="AO923">
        <v>12.194678590177029</v>
      </c>
      <c r="AP923">
        <v>88.316184120787526</v>
      </c>
      <c r="AQ923">
        <v>70.68974020023434</v>
      </c>
      <c r="AR923">
        <v>11.334727075014309</v>
      </c>
      <c r="AS923">
        <v>131.64343950546785</v>
      </c>
      <c r="AT923" t="e">
        <v>#DIV/0!</v>
      </c>
      <c r="AU923" t="e">
        <v>#DIV/0!</v>
      </c>
      <c r="AV923"/>
      <c r="AW923"/>
      <c r="FY923" s="210">
        <v>918</v>
      </c>
      <c r="FZ923">
        <v>6.2262117178670371</v>
      </c>
      <c r="GA923">
        <v>21.226433404041</v>
      </c>
      <c r="GB923">
        <v>17.134361605250966</v>
      </c>
      <c r="GC923">
        <v>7.9371916506472946</v>
      </c>
      <c r="GD923">
        <v>3.5527954230847754</v>
      </c>
      <c r="GE923">
        <v>3.8713447097850282</v>
      </c>
      <c r="GF923">
        <v>1.9303398420346187</v>
      </c>
      <c r="GG923">
        <v>3.8417579671106914</v>
      </c>
      <c r="GH923">
        <v>6.1386818993288292</v>
      </c>
      <c r="GI923">
        <v>8.5579259056581165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195.88554028242351</v>
      </c>
      <c r="AO924">
        <v>14.263625058879535</v>
      </c>
      <c r="AP924">
        <v>114.65309437422611</v>
      </c>
      <c r="AQ924">
        <v>92.273805709933924</v>
      </c>
      <c r="AR924">
        <v>13.249455200091923</v>
      </c>
      <c r="AS924">
        <v>135.92513417782715</v>
      </c>
      <c r="AT924">
        <v>6.1649758661795593</v>
      </c>
      <c r="AU924">
        <v>-12.862957051909449</v>
      </c>
      <c r="AV924"/>
      <c r="AW924"/>
      <c r="FY924" s="210">
        <v>919</v>
      </c>
      <c r="FZ924">
        <v>4.3674219587576308</v>
      </c>
      <c r="GA924">
        <v>23.113631540061689</v>
      </c>
      <c r="GB924">
        <v>25.12236492762618</v>
      </c>
      <c r="GC924">
        <v>11.275966667743091</v>
      </c>
      <c r="GD924">
        <v>4.1772785238452776</v>
      </c>
      <c r="GE924">
        <v>6.4299736777202936</v>
      </c>
      <c r="GF924">
        <v>6.2207180088169904</v>
      </c>
      <c r="GG924">
        <v>1.8460602590359767</v>
      </c>
      <c r="GH924">
        <v>0.64372257779312592</v>
      </c>
      <c r="GI924">
        <v>10.593107139021928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244.03818092581167</v>
      </c>
      <c r="AO925">
        <v>18.465785187068356</v>
      </c>
      <c r="AP925">
        <v>140.55310526350777</v>
      </c>
      <c r="AQ925">
        <v>108.37498324353312</v>
      </c>
      <c r="AR925">
        <v>17.067958398280421</v>
      </c>
      <c r="AS925">
        <v>168.98490810666271</v>
      </c>
      <c r="AT925">
        <v>7.3267924608525128</v>
      </c>
      <c r="AU925">
        <v>-2.5065222764117268</v>
      </c>
      <c r="AV925"/>
      <c r="AW925"/>
      <c r="FY925" s="210">
        <v>920</v>
      </c>
      <c r="FZ925">
        <v>3.8691803915514642</v>
      </c>
      <c r="GA925">
        <v>22.454717675715933</v>
      </c>
      <c r="GB925">
        <v>23.860344764102617</v>
      </c>
      <c r="GC925">
        <v>11.715788887635103</v>
      </c>
      <c r="GD925">
        <v>4.0862880423099801</v>
      </c>
      <c r="GE925">
        <v>3.2604461598481107</v>
      </c>
      <c r="GF925">
        <v>3.7449360960669953</v>
      </c>
      <c r="GG925">
        <v>2.7149589872569586</v>
      </c>
      <c r="GH925">
        <v>1.161037908745131</v>
      </c>
      <c r="GI925">
        <v>9.7668888875652264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206.59097807248813</v>
      </c>
      <c r="AO926">
        <v>12.086845709113989</v>
      </c>
      <c r="AP926">
        <v>86.128918117476019</v>
      </c>
      <c r="AQ926">
        <v>73.348759506766299</v>
      </c>
      <c r="AR926">
        <v>11.331235068585144</v>
      </c>
      <c r="AS926">
        <v>121.41133799412503</v>
      </c>
      <c r="AT926">
        <v>5.8717059112262282</v>
      </c>
      <c r="AU926">
        <v>233.29488623811221</v>
      </c>
      <c r="AV926"/>
      <c r="AW926"/>
      <c r="FY926" s="210">
        <v>921</v>
      </c>
      <c r="FZ926">
        <v>3.8446873915910986</v>
      </c>
      <c r="GA926">
        <v>28.973650839192075</v>
      </c>
      <c r="GB926">
        <v>21.175117215339387</v>
      </c>
      <c r="GC926">
        <v>8.7229871173819991</v>
      </c>
      <c r="GD926">
        <v>5.6751141520543031</v>
      </c>
      <c r="GE926">
        <v>9.3764553786895242</v>
      </c>
      <c r="GF926">
        <v>8.0683348852718666</v>
      </c>
      <c r="GG926">
        <v>1.2943546988421759</v>
      </c>
      <c r="GH926">
        <v>0.90422588968412598</v>
      </c>
      <c r="GI926">
        <v>10.764233686809687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231.20367358985578</v>
      </c>
      <c r="AO927">
        <v>16.505607354298995</v>
      </c>
      <c r="AP927">
        <v>126.07710038535569</v>
      </c>
      <c r="AQ927">
        <v>99.897938571797653</v>
      </c>
      <c r="AR927">
        <v>15.017909806126791</v>
      </c>
      <c r="AS927">
        <v>141.91120793707756</v>
      </c>
      <c r="AT927">
        <v>6.6046909081110989</v>
      </c>
      <c r="AU927">
        <v>-2.2887811897764898E-2</v>
      </c>
      <c r="AV927"/>
      <c r="AW927"/>
      <c r="FY927" s="210">
        <v>922</v>
      </c>
      <c r="FZ927">
        <v>9.6088916729577889</v>
      </c>
      <c r="GA927">
        <v>35.053748858523271</v>
      </c>
      <c r="GB927">
        <v>26.155089448502142</v>
      </c>
      <c r="GC927">
        <v>10.814916184625485</v>
      </c>
      <c r="GD927">
        <v>4.5245520969046309</v>
      </c>
      <c r="GE927">
        <v>6.8323326168674852</v>
      </c>
      <c r="GF927">
        <v>7.5079695009818055</v>
      </c>
      <c r="GG927">
        <v>4.2310350648990287</v>
      </c>
      <c r="GH927">
        <v>3.2263017071743878</v>
      </c>
      <c r="GI927">
        <v>12.493216092554453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184.60044835136165</v>
      </c>
      <c r="AO928">
        <v>17.970914823375445</v>
      </c>
      <c r="AP928">
        <v>154.24884605693802</v>
      </c>
      <c r="AQ928">
        <v>117.40929620324761</v>
      </c>
      <c r="AR928">
        <v>16.734236631103119</v>
      </c>
      <c r="AS928">
        <v>163.10487087181531</v>
      </c>
      <c r="AT928">
        <v>7.8099791589944347</v>
      </c>
      <c r="AU928">
        <v>-35.88558777805779</v>
      </c>
      <c r="AV928"/>
      <c r="AW928"/>
      <c r="FY928" s="210">
        <v>923</v>
      </c>
      <c r="FZ928">
        <v>4.1142016830779351</v>
      </c>
      <c r="GA928">
        <v>29.035898449455352</v>
      </c>
      <c r="GB928">
        <v>19.855100930478745</v>
      </c>
      <c r="GC928">
        <v>7.4462459032967292</v>
      </c>
      <c r="GD928">
        <v>5.42835804158047</v>
      </c>
      <c r="GE928">
        <v>8.0013011859868506</v>
      </c>
      <c r="GF928">
        <v>4.7307511753718456</v>
      </c>
      <c r="GG928">
        <v>2.1021601531728811</v>
      </c>
      <c r="GH928">
        <v>3.2366186910483812</v>
      </c>
      <c r="GI928">
        <v>10.106441702728972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149.54194846481431</v>
      </c>
      <c r="AO929">
        <v>12.886958677677473</v>
      </c>
      <c r="AP929">
        <v>103.93447644060322</v>
      </c>
      <c r="AQ929">
        <v>77.892117066393382</v>
      </c>
      <c r="AR929">
        <v>12.087112452882865</v>
      </c>
      <c r="AS929">
        <v>128.84379988645728</v>
      </c>
      <c r="AT929" t="e">
        <v>#DIV/0!</v>
      </c>
      <c r="AU929" t="e">
        <v>#DIV/0!</v>
      </c>
      <c r="AV929"/>
      <c r="AW929"/>
      <c r="FY929" s="210">
        <v>924</v>
      </c>
      <c r="FZ929">
        <v>7.5200994498939071</v>
      </c>
      <c r="GA929">
        <v>34.23357041427581</v>
      </c>
      <c r="GB929">
        <v>21.776680447253135</v>
      </c>
      <c r="GC929">
        <v>7.0703479454580549</v>
      </c>
      <c r="GD929">
        <v>3.6629921296915398</v>
      </c>
      <c r="GE929">
        <v>6.504310731588677</v>
      </c>
      <c r="GF929">
        <v>6.0180026675366625</v>
      </c>
      <c r="GG929">
        <v>3.6182362308149516</v>
      </c>
      <c r="GH929">
        <v>3.8152919990059497</v>
      </c>
      <c r="GI929">
        <v>10.383330010863567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231.44395029632651</v>
      </c>
      <c r="AO930">
        <v>15.584176014589417</v>
      </c>
      <c r="AP930">
        <v>118.46039080183158</v>
      </c>
      <c r="AQ930">
        <v>96.369667070954705</v>
      </c>
      <c r="AR930">
        <v>14.3592441571843</v>
      </c>
      <c r="AS930">
        <v>146.81089980400699</v>
      </c>
      <c r="AT930" t="e">
        <v>#DIV/0!</v>
      </c>
      <c r="AU930" t="e">
        <v>#DIV/0!</v>
      </c>
      <c r="AV930"/>
      <c r="AW930"/>
      <c r="FY930" s="210">
        <v>925</v>
      </c>
      <c r="FZ930">
        <v>1.8163641121643037</v>
      </c>
      <c r="GA930">
        <v>22.069576944053303</v>
      </c>
      <c r="GB930">
        <v>15.177323182617428</v>
      </c>
      <c r="GC930">
        <v>4.5358614620366433</v>
      </c>
      <c r="GD930">
        <v>3.7524862611088987</v>
      </c>
      <c r="GE930">
        <v>9.5466503398368321</v>
      </c>
      <c r="GF930">
        <v>9.1208748241565605</v>
      </c>
      <c r="GG930">
        <v>1.9723098486085839</v>
      </c>
      <c r="GH930">
        <v>1.8047604865382569</v>
      </c>
      <c r="GI930">
        <v>8.2423911547898694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131.67978612028597</v>
      </c>
      <c r="AO931">
        <v>13.348690178869504</v>
      </c>
      <c r="AP931">
        <v>104.60323228504063</v>
      </c>
      <c r="AQ931">
        <v>79.372711710252986</v>
      </c>
      <c r="AR931">
        <v>12.539279871512765</v>
      </c>
      <c r="AS931">
        <v>106.51604539395399</v>
      </c>
      <c r="AT931" t="e">
        <v>#DIV/0!</v>
      </c>
      <c r="AU931" t="e">
        <v>#DIV/0!</v>
      </c>
      <c r="AV931"/>
      <c r="AW931"/>
      <c r="FY931" s="210">
        <v>926</v>
      </c>
      <c r="FZ931">
        <v>0.82909383174294116</v>
      </c>
      <c r="GA931">
        <v>26.635781475689171</v>
      </c>
      <c r="GB931">
        <v>25.459357857593346</v>
      </c>
      <c r="GC931">
        <v>8.8207804000771723</v>
      </c>
      <c r="GD931">
        <v>1.8452451326869312</v>
      </c>
      <c r="GE931">
        <v>4.1282272201531089</v>
      </c>
      <c r="GF931">
        <v>5.8344594275293638</v>
      </c>
      <c r="GG931">
        <v>4.0634793459105856</v>
      </c>
      <c r="GH931">
        <v>6.3954939183898354</v>
      </c>
      <c r="GI931">
        <v>9.678557538618092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206.11778641093451</v>
      </c>
      <c r="AO932">
        <v>15.746255990958241</v>
      </c>
      <c r="AP932">
        <v>113.98187627953052</v>
      </c>
      <c r="AQ932">
        <v>90.542456457544503</v>
      </c>
      <c r="AR932">
        <v>14.829937215260026</v>
      </c>
      <c r="AS932">
        <v>163.96102666089399</v>
      </c>
      <c r="AT932">
        <v>6.9635394257264336</v>
      </c>
      <c r="AU932">
        <v>-29.004718700434683</v>
      </c>
      <c r="AV932"/>
      <c r="AW932"/>
      <c r="FY932" s="210">
        <v>927</v>
      </c>
      <c r="FZ932">
        <v>7.5780432481448097</v>
      </c>
      <c r="GA932">
        <v>21.852397098352697</v>
      </c>
      <c r="GB932">
        <v>17.405221239132356</v>
      </c>
      <c r="GC932">
        <v>8.5756523276758614</v>
      </c>
      <c r="GD932">
        <v>2.8109512983228222</v>
      </c>
      <c r="GE932">
        <v>3.2838582921154753</v>
      </c>
      <c r="GF932">
        <v>5.7792702078023028</v>
      </c>
      <c r="GG932">
        <v>3.583857715477941</v>
      </c>
      <c r="GH932">
        <v>4.0691696198529517</v>
      </c>
      <c r="GI932">
        <v>8.8098703897571387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182.36376344316994</v>
      </c>
      <c r="AO933">
        <v>15.048453726170441</v>
      </c>
      <c r="AP933">
        <v>130.56540180815682</v>
      </c>
      <c r="AQ933">
        <v>100.53863296576276</v>
      </c>
      <c r="AR933">
        <v>14.028751726313462</v>
      </c>
      <c r="AS933">
        <v>135.56969625832392</v>
      </c>
      <c r="AT933">
        <v>6.5241095657601322</v>
      </c>
      <c r="AU933">
        <v>-12.978262280999431</v>
      </c>
      <c r="AV933"/>
      <c r="AW933"/>
      <c r="FY933" s="210">
        <v>928</v>
      </c>
      <c r="FZ933">
        <v>7.0468546861986807</v>
      </c>
      <c r="GA933">
        <v>31.240614335070045</v>
      </c>
      <c r="GB933">
        <v>22.381595778575885</v>
      </c>
      <c r="GC933">
        <v>8.7694975204856025</v>
      </c>
      <c r="GD933">
        <v>3.489453480522541</v>
      </c>
      <c r="GE933">
        <v>7.3509750935160456</v>
      </c>
      <c r="GF933">
        <v>9.6833897932970459</v>
      </c>
      <c r="GG933">
        <v>2.843008934325411</v>
      </c>
      <c r="GH933">
        <v>2.7793472542693221</v>
      </c>
      <c r="GI933">
        <v>10.947726213026229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180.05021450959734</v>
      </c>
      <c r="AO934">
        <v>12.625770446773938</v>
      </c>
      <c r="AP934">
        <v>98.752609022117781</v>
      </c>
      <c r="AQ934">
        <v>80.41704412480837</v>
      </c>
      <c r="AR934">
        <v>11.892986563359523</v>
      </c>
      <c r="AS934">
        <v>125.5145888936454</v>
      </c>
      <c r="AT934">
        <v>5.6940002862606178</v>
      </c>
      <c r="AU934">
        <v>-18.929257952873339</v>
      </c>
      <c r="AV934"/>
      <c r="AW934"/>
      <c r="FY934" s="210">
        <v>929</v>
      </c>
      <c r="FZ934">
        <v>4.3756240742791528</v>
      </c>
      <c r="GA934">
        <v>24.772066143644384</v>
      </c>
      <c r="GB934">
        <v>20.922755838726662</v>
      </c>
      <c r="GC934">
        <v>8.6409913070014124</v>
      </c>
      <c r="GD934">
        <v>3.9123698546943615</v>
      </c>
      <c r="GE934">
        <v>5.5945517328155034</v>
      </c>
      <c r="GF934">
        <v>5.7952683138022003</v>
      </c>
      <c r="GG934">
        <v>3.6793295047052283</v>
      </c>
      <c r="GH934">
        <v>2.9657983952833877</v>
      </c>
      <c r="GI934">
        <v>9.6960198888310529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210.03984316020851</v>
      </c>
      <c r="AO935">
        <v>15.875851376685901</v>
      </c>
      <c r="AP935">
        <v>118.89850460900929</v>
      </c>
      <c r="AQ935">
        <v>93.790245280422184</v>
      </c>
      <c r="AR935">
        <v>14.672236643859453</v>
      </c>
      <c r="AS935">
        <v>148.48011955695782</v>
      </c>
      <c r="AT935" t="e">
        <v>#DIV/0!</v>
      </c>
      <c r="AU935" t="e">
        <v>#DIV/0!</v>
      </c>
      <c r="AV935"/>
      <c r="AW935"/>
      <c r="FY935" s="210">
        <v>930</v>
      </c>
      <c r="FZ935">
        <v>1.4141865045337543</v>
      </c>
      <c r="GA935">
        <v>17.241616656455797</v>
      </c>
      <c r="GB935">
        <v>16.913845223839477</v>
      </c>
      <c r="GC935">
        <v>8.0081515992168839</v>
      </c>
      <c r="GD935">
        <v>3.6518013274480405</v>
      </c>
      <c r="GE935">
        <v>4.1754684444132284</v>
      </c>
      <c r="GF935">
        <v>3.6622131304872543</v>
      </c>
      <c r="GG935">
        <v>0.64717734942108796</v>
      </c>
      <c r="GH935">
        <v>1.5479484674772519</v>
      </c>
      <c r="GI935">
        <v>7.469389034957894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170.27836493107731</v>
      </c>
      <c r="AO936">
        <v>14.68698730289087</v>
      </c>
      <c r="AP936">
        <v>109.72536904126689</v>
      </c>
      <c r="AQ936">
        <v>86.634587800797519</v>
      </c>
      <c r="AR936">
        <v>13.610621056456964</v>
      </c>
      <c r="AS936">
        <v>141.57139835295629</v>
      </c>
      <c r="AT936" t="e">
        <v>#DIV/0!</v>
      </c>
      <c r="AU936" t="e">
        <v>#DIV/0!</v>
      </c>
      <c r="AV936"/>
      <c r="AW936"/>
      <c r="FY936" s="210">
        <v>931</v>
      </c>
      <c r="FZ936">
        <v>4.436851832093188</v>
      </c>
      <c r="GA936">
        <v>21.497089227029189</v>
      </c>
      <c r="GB936">
        <v>26.981446957630833</v>
      </c>
      <c r="GC936">
        <v>12.657925991237088</v>
      </c>
      <c r="GD936">
        <v>2.417207040541788</v>
      </c>
      <c r="GE936">
        <v>3.2658107122904232</v>
      </c>
      <c r="GF936">
        <v>6.4383566636720024</v>
      </c>
      <c r="GG936">
        <v>3.4919866412423448</v>
      </c>
      <c r="GH936">
        <v>2.9761153791573811</v>
      </c>
      <c r="GI936">
        <v>10.45360859636196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286.74160185207086</v>
      </c>
      <c r="AO937">
        <v>16.054150821813472</v>
      </c>
      <c r="AP937">
        <v>120.19948500947805</v>
      </c>
      <c r="AQ937">
        <v>98.799161254856244</v>
      </c>
      <c r="AR937">
        <v>14.67950870756707</v>
      </c>
      <c r="AS937">
        <v>170.11470347917435</v>
      </c>
      <c r="AT937" t="e">
        <v>#DIV/0!</v>
      </c>
      <c r="AU937" t="e">
        <v>#DIV/0!</v>
      </c>
      <c r="AV937"/>
      <c r="AW937"/>
      <c r="FY937" s="210">
        <v>932</v>
      </c>
      <c r="FZ937">
        <v>1.7537509508792213</v>
      </c>
      <c r="GA937">
        <v>16.442985104791138</v>
      </c>
      <c r="GB937">
        <v>21.765898220398583</v>
      </c>
      <c r="GC937">
        <v>12.148696056895083</v>
      </c>
      <c r="GD937">
        <v>5.1752150735318594</v>
      </c>
      <c r="GE937">
        <v>4.1527735177057128</v>
      </c>
      <c r="GF937">
        <v>3.3034882950523081</v>
      </c>
      <c r="GG937">
        <v>2.7149589872569586</v>
      </c>
      <c r="GH937">
        <v>1.7434025095326939</v>
      </c>
      <c r="GI937">
        <v>9.574978937214885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234.33089135057861</v>
      </c>
      <c r="AO938">
        <v>18.771004305370301</v>
      </c>
      <c r="AP938">
        <v>151.40190358123112</v>
      </c>
      <c r="AQ938">
        <v>120.44805324399047</v>
      </c>
      <c r="AR938">
        <v>17.313914670373727</v>
      </c>
      <c r="AS938">
        <v>163.48519033355487</v>
      </c>
      <c r="AT938">
        <v>8.079005728571774</v>
      </c>
      <c r="AU938">
        <v>-12.500377269084829</v>
      </c>
      <c r="AV938"/>
      <c r="AW938"/>
      <c r="FY938" s="210">
        <v>933</v>
      </c>
      <c r="FZ938">
        <v>1.1367251531861979</v>
      </c>
      <c r="GA938">
        <v>26.227670616498109</v>
      </c>
      <c r="GB938">
        <v>22.461220730431148</v>
      </c>
      <c r="GC938">
        <v>8.4469107120688669</v>
      </c>
      <c r="GD938">
        <v>4.3223753908263935</v>
      </c>
      <c r="GE938">
        <v>5.6291706347305963</v>
      </c>
      <c r="GF938">
        <v>5.0193634775050455</v>
      </c>
      <c r="GG938">
        <v>3.3947144945192114</v>
      </c>
      <c r="GH938">
        <v>2.8407052312748844</v>
      </c>
      <c r="GI938">
        <v>9.6380500553786295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226.99602252964019</v>
      </c>
      <c r="AO939">
        <v>15.060389211970662</v>
      </c>
      <c r="AP939">
        <v>115.16382633521879</v>
      </c>
      <c r="AQ939">
        <v>94.057077916198153</v>
      </c>
      <c r="AR939">
        <v>13.946925301064537</v>
      </c>
      <c r="AS939">
        <v>138.71056104324512</v>
      </c>
      <c r="AT939">
        <v>6.1624720311759518</v>
      </c>
      <c r="AU939">
        <v>-16.967739081193823</v>
      </c>
      <c r="AV939"/>
      <c r="AW939"/>
      <c r="FY939" s="210">
        <v>934</v>
      </c>
      <c r="FZ939">
        <v>0.97691768451525096</v>
      </c>
      <c r="GA939">
        <v>24.071221888159933</v>
      </c>
      <c r="GB939">
        <v>22.580387658593246</v>
      </c>
      <c r="GC939">
        <v>9.537166788800679</v>
      </c>
      <c r="GD939">
        <v>4.6049164542516792</v>
      </c>
      <c r="GE939">
        <v>8.4045315065687749</v>
      </c>
      <c r="GF939">
        <v>7.7679732648371136</v>
      </c>
      <c r="GG939">
        <v>2.5130247529315048</v>
      </c>
      <c r="GH939">
        <v>5.748836942382705</v>
      </c>
      <c r="GI939">
        <v>10.833959971423853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213.69308491287205</v>
      </c>
      <c r="AO940">
        <v>15.538621651189448</v>
      </c>
      <c r="AP940">
        <v>131.7175508594666</v>
      </c>
      <c r="AQ940">
        <v>104.60286202638227</v>
      </c>
      <c r="AR940">
        <v>14.298376928463753</v>
      </c>
      <c r="AS940">
        <v>156.22825178179056</v>
      </c>
      <c r="AT940">
        <v>6.7622045196401386</v>
      </c>
      <c r="AU940">
        <v>-15.685960173332347</v>
      </c>
      <c r="AV940"/>
      <c r="AW940"/>
      <c r="FY940" s="210">
        <v>935</v>
      </c>
      <c r="FZ940">
        <v>4.0453983540020486</v>
      </c>
      <c r="GA940">
        <v>22.656799740848552</v>
      </c>
      <c r="GB940">
        <v>15.86456795920401</v>
      </c>
      <c r="GC940">
        <v>6.0106116644684935</v>
      </c>
      <c r="GD940">
        <v>3.4155442659255622</v>
      </c>
      <c r="GE940">
        <v>3.9219569813935919</v>
      </c>
      <c r="GF940">
        <v>3.9316533313474258</v>
      </c>
      <c r="GG940">
        <v>4.0418918439402995</v>
      </c>
      <c r="GH940">
        <v>3.6835731439534483</v>
      </c>
      <c r="GI940">
        <v>7.8143881328658278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182.25190085923361</v>
      </c>
      <c r="AO941">
        <v>12.347793191700834</v>
      </c>
      <c r="AP941">
        <v>96.787864607968473</v>
      </c>
      <c r="AQ941">
        <v>78.038598615910686</v>
      </c>
      <c r="AR941">
        <v>11.155004985881115</v>
      </c>
      <c r="AS941">
        <v>116.36649120573502</v>
      </c>
      <c r="AT941">
        <v>5.899187037773955</v>
      </c>
      <c r="AU941">
        <v>-21.471612491084436</v>
      </c>
      <c r="AV941"/>
      <c r="AW941"/>
      <c r="FY941" s="210">
        <v>936</v>
      </c>
      <c r="FZ941">
        <v>1.3384499854348966</v>
      </c>
      <c r="GA941">
        <v>15.878844303725369</v>
      </c>
      <c r="GB941">
        <v>26.220253732798767</v>
      </c>
      <c r="GC941">
        <v>13.815737403155438</v>
      </c>
      <c r="GD941">
        <v>4.0135046195050705</v>
      </c>
      <c r="GE941">
        <v>5.0688990150589586</v>
      </c>
      <c r="GF941">
        <v>6.1188229419642202</v>
      </c>
      <c r="GG941">
        <v>1.1988829096148885</v>
      </c>
      <c r="GH941">
        <v>0.64372257779312592</v>
      </c>
      <c r="GI941">
        <v>10.332898451916982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138.47785068522359</v>
      </c>
      <c r="AO942">
        <v>14.613156538622231</v>
      </c>
      <c r="AP942">
        <v>126.39585146236553</v>
      </c>
      <c r="AQ942">
        <v>93.690476148390545</v>
      </c>
      <c r="AR942">
        <v>13.368206586470748</v>
      </c>
      <c r="AS942">
        <v>109.71069471538783</v>
      </c>
      <c r="AT942" t="e">
        <v>#DIV/0!</v>
      </c>
      <c r="AU942" t="e">
        <v>#DIV/0!</v>
      </c>
      <c r="AV942"/>
      <c r="AW942"/>
      <c r="FY942" s="210">
        <v>937</v>
      </c>
      <c r="FZ942">
        <v>1.8701486136681957</v>
      </c>
      <c r="GA942">
        <v>21.232387610774946</v>
      </c>
      <c r="GB942">
        <v>20.635593510676596</v>
      </c>
      <c r="GC942">
        <v>9.1974707423063382</v>
      </c>
      <c r="GD942">
        <v>5.0090430116439109</v>
      </c>
      <c r="GE942">
        <v>9.6931815962467915</v>
      </c>
      <c r="GF942">
        <v>8.8375861021469184</v>
      </c>
      <c r="GG942">
        <v>3.0647303131253056</v>
      </c>
      <c r="GH942">
        <v>4.0017431400200154</v>
      </c>
      <c r="GI942">
        <v>10.656260682341713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150.9045221909837</v>
      </c>
      <c r="AO943">
        <v>12.989071768144479</v>
      </c>
      <c r="AP943">
        <v>104.80695799194791</v>
      </c>
      <c r="AQ943">
        <v>83.748291436634361</v>
      </c>
      <c r="AR943">
        <v>12.137385280412667</v>
      </c>
      <c r="AS943">
        <v>126.67638086125439</v>
      </c>
      <c r="AT943">
        <v>6.3845122370086349</v>
      </c>
      <c r="AU943">
        <v>-12.722187741396791</v>
      </c>
      <c r="AV943"/>
      <c r="AW943"/>
      <c r="FY943" s="210">
        <v>938</v>
      </c>
      <c r="FZ943">
        <v>5.1490662972123857</v>
      </c>
      <c r="GA943">
        <v>21.354009243540958</v>
      </c>
      <c r="GB943">
        <v>22.184236978381964</v>
      </c>
      <c r="GC943">
        <v>10.909270466165847</v>
      </c>
      <c r="GD943">
        <v>4.5823793833281643</v>
      </c>
      <c r="GE943">
        <v>6.7817063399652797</v>
      </c>
      <c r="GF943">
        <v>6.1230717296625627</v>
      </c>
      <c r="GG943">
        <v>3.6182362308149516</v>
      </c>
      <c r="GH943">
        <v>3.2329273982183868</v>
      </c>
      <c r="GI943">
        <v>10.634807670873034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205.50488402829947</v>
      </c>
      <c r="AO944">
        <v>16.494598877827347</v>
      </c>
      <c r="AP944">
        <v>135.72960419027334</v>
      </c>
      <c r="AQ944">
        <v>106.53246308928681</v>
      </c>
      <c r="AR944">
        <v>14.987488500667178</v>
      </c>
      <c r="AS944">
        <v>126.72116317696938</v>
      </c>
      <c r="AT944">
        <v>8.0873893002462154</v>
      </c>
      <c r="AU944">
        <v>-24.154493460102277</v>
      </c>
      <c r="AV944"/>
      <c r="AW944"/>
      <c r="FY944" s="210">
        <v>939</v>
      </c>
      <c r="FZ944">
        <v>3.6524398630990671</v>
      </c>
      <c r="GA944">
        <v>29.960021253695807</v>
      </c>
      <c r="GB944">
        <v>29.262907230268585</v>
      </c>
      <c r="GC944">
        <v>10.855277323939292</v>
      </c>
      <c r="GD944">
        <v>2.3569021814425839</v>
      </c>
      <c r="GE944">
        <v>2.1015566836496911</v>
      </c>
      <c r="GF944">
        <v>1.1853564253120465</v>
      </c>
      <c r="GG944">
        <v>4.1571507776420278</v>
      </c>
      <c r="GH944">
        <v>6.7810903942893379</v>
      </c>
      <c r="GI944">
        <v>10.507728637613843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198.1816180893415</v>
      </c>
      <c r="AO945">
        <v>14.497161580112907</v>
      </c>
      <c r="AP945">
        <v>113.91555087551851</v>
      </c>
      <c r="AQ945">
        <v>90.354775053783328</v>
      </c>
      <c r="AR945">
        <v>13.422121831495595</v>
      </c>
      <c r="AS945">
        <v>149.8361570459777</v>
      </c>
      <c r="AT945">
        <v>7.1858007419733587</v>
      </c>
      <c r="AU945">
        <v>-52.958343175075704</v>
      </c>
      <c r="AV945"/>
      <c r="AW945"/>
      <c r="FY945" s="210">
        <v>940</v>
      </c>
      <c r="FZ945">
        <v>6.5085943565412787</v>
      </c>
      <c r="GA945">
        <v>25.459102292539601</v>
      </c>
      <c r="GB945">
        <v>22.868558984501423</v>
      </c>
      <c r="GC945">
        <v>11.24800581779712</v>
      </c>
      <c r="GD945">
        <v>3.9493431233661691</v>
      </c>
      <c r="GE945">
        <v>5.7818187741060001</v>
      </c>
      <c r="GF945">
        <v>8.0374134656972842</v>
      </c>
      <c r="GG945">
        <v>4.8514976557668499</v>
      </c>
      <c r="GH945">
        <v>5.0480048686306374</v>
      </c>
      <c r="GI945">
        <v>11.279959996039484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160.94923787855382</v>
      </c>
      <c r="AO946">
        <v>11.062084484956127</v>
      </c>
      <c r="AP946">
        <v>81.091964659274836</v>
      </c>
      <c r="AQ946">
        <v>64.731797738250663</v>
      </c>
      <c r="AR946">
        <v>10.316626962760374</v>
      </c>
      <c r="AS946">
        <v>105.31691324162969</v>
      </c>
      <c r="AT946" t="e">
        <v>#DIV/0!</v>
      </c>
      <c r="AU946" t="e">
        <v>#DIV/0!</v>
      </c>
      <c r="AV946"/>
      <c r="AW946"/>
      <c r="FY946" s="210">
        <v>941</v>
      </c>
      <c r="FZ946">
        <v>5.0315351552448675</v>
      </c>
      <c r="GA946">
        <v>25.088087291321838</v>
      </c>
      <c r="GB946">
        <v>20.700311559977461</v>
      </c>
      <c r="GC946">
        <v>9.610622314105866</v>
      </c>
      <c r="GD946">
        <v>4.5361500830592529</v>
      </c>
      <c r="GE946">
        <v>6.3888215769257712</v>
      </c>
      <c r="GF946">
        <v>6.5485214246773529</v>
      </c>
      <c r="GG946">
        <v>1.9723098486085839</v>
      </c>
      <c r="GH946">
        <v>1.4828991976416939</v>
      </c>
      <c r="GI946">
        <v>10.018257983170784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163.65236903629628</v>
      </c>
      <c r="AO947">
        <v>15.640949347208684</v>
      </c>
      <c r="AP947">
        <v>123.98276929662572</v>
      </c>
      <c r="AQ947">
        <v>94.616399041256187</v>
      </c>
      <c r="AR947">
        <v>14.464357705618493</v>
      </c>
      <c r="AS947">
        <v>135.76904363727559</v>
      </c>
      <c r="AT947">
        <v>6.8750454632116389</v>
      </c>
      <c r="AU947">
        <v>-29.253474013062693</v>
      </c>
      <c r="AV947"/>
      <c r="AW947"/>
      <c r="FY947" s="210">
        <v>942</v>
      </c>
      <c r="FZ947">
        <v>11.98221075234391</v>
      </c>
      <c r="GA947">
        <v>28.756412740375051</v>
      </c>
      <c r="GB947">
        <v>17.699979507899847</v>
      </c>
      <c r="GC947">
        <v>8.8378615497443</v>
      </c>
      <c r="GD947">
        <v>3.7187197287058877</v>
      </c>
      <c r="GE947">
        <v>4.7916048780771012</v>
      </c>
      <c r="GF947">
        <v>5.475734592094418</v>
      </c>
      <c r="GG947">
        <v>4.4871349590359335</v>
      </c>
      <c r="GH947">
        <v>5.6200524855442069</v>
      </c>
      <c r="GI947">
        <v>10.246632925711111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220.70359191339003</v>
      </c>
      <c r="AO948">
        <v>14.375482270658381</v>
      </c>
      <c r="AP948">
        <v>97.348698251018817</v>
      </c>
      <c r="AQ948">
        <v>78.776147653258448</v>
      </c>
      <c r="AR948">
        <v>13.383276476698581</v>
      </c>
      <c r="AS948">
        <v>157.62798831031432</v>
      </c>
      <c r="AT948">
        <v>5.982863307551451</v>
      </c>
      <c r="AU948">
        <v>-9.5121708691275426</v>
      </c>
      <c r="AV948"/>
      <c r="AW948"/>
      <c r="FY948" s="210">
        <v>943</v>
      </c>
      <c r="FZ948">
        <v>9.5832651938188818</v>
      </c>
      <c r="GA948">
        <v>30.838171135794131</v>
      </c>
      <c r="GB948">
        <v>20.304663349064466</v>
      </c>
      <c r="GC948">
        <v>8.5496850103778375</v>
      </c>
      <c r="GD948">
        <v>3.9100469005126484</v>
      </c>
      <c r="GE948">
        <v>5.2743914775344019</v>
      </c>
      <c r="GF948">
        <v>4.9334665166521727</v>
      </c>
      <c r="GG948">
        <v>2.7493375025939688</v>
      </c>
      <c r="GH948">
        <v>3.2366186910483812</v>
      </c>
      <c r="GI948">
        <v>10.165452528622266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219.95289053795764</v>
      </c>
      <c r="AO949">
        <v>14.370921493349664</v>
      </c>
      <c r="AP949">
        <v>112.75060583211123</v>
      </c>
      <c r="AQ949">
        <v>89.116906496419077</v>
      </c>
      <c r="AR949">
        <v>13.306125317010748</v>
      </c>
      <c r="AS949">
        <v>140.84314910266335</v>
      </c>
      <c r="AT949">
        <v>6.1752488396039142</v>
      </c>
      <c r="AU949">
        <v>-6.9822388341628994</v>
      </c>
      <c r="AV949"/>
      <c r="AW949"/>
      <c r="FY949" s="210">
        <v>944</v>
      </c>
      <c r="FZ949">
        <v>1.8024787637708521</v>
      </c>
      <c r="GA949">
        <v>18.834441467669212</v>
      </c>
      <c r="GB949">
        <v>20.014589760382432</v>
      </c>
      <c r="GC949">
        <v>8.8325472419066067</v>
      </c>
      <c r="GD949">
        <v>3.6371110188556139</v>
      </c>
      <c r="GE949">
        <v>3.070698510573973</v>
      </c>
      <c r="GF949">
        <v>0</v>
      </c>
      <c r="GG949">
        <v>1.6441260247105225</v>
      </c>
      <c r="GH949">
        <v>3.6835731439534483</v>
      </c>
      <c r="GI949">
        <v>7.9744235611028937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239.01362635462812</v>
      </c>
      <c r="AO950">
        <v>16.157297915923916</v>
      </c>
      <c r="AP950">
        <v>122.96833472051091</v>
      </c>
      <c r="AQ950">
        <v>97.038936912464735</v>
      </c>
      <c r="AR950">
        <v>14.844463638205598</v>
      </c>
      <c r="AS950">
        <v>142.27681810479268</v>
      </c>
      <c r="AT950" t="e">
        <v>#DIV/0!</v>
      </c>
      <c r="AU950" t="e">
        <v>#DIV/0!</v>
      </c>
      <c r="AV950"/>
      <c r="AW950"/>
      <c r="FY950" s="210">
        <v>945</v>
      </c>
      <c r="FZ950">
        <v>2.2987083832463031</v>
      </c>
      <c r="GA950">
        <v>18.016965840663588</v>
      </c>
      <c r="GB950">
        <v>20.426906734310244</v>
      </c>
      <c r="GC950">
        <v>9.261643814810693</v>
      </c>
      <c r="GD950">
        <v>3.7550945990506062</v>
      </c>
      <c r="GE950">
        <v>3.5984377530173086</v>
      </c>
      <c r="GF950">
        <v>0.64308834986980201</v>
      </c>
      <c r="GG950">
        <v>2.5130247529315048</v>
      </c>
      <c r="GH950">
        <v>5.1664723415951421</v>
      </c>
      <c r="GI950">
        <v>8.560539496421832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175.24919654325927</v>
      </c>
      <c r="AO951">
        <v>11.547663991441608</v>
      </c>
      <c r="AP951">
        <v>93.931150373033333</v>
      </c>
      <c r="AQ951">
        <v>75.386385417949256</v>
      </c>
      <c r="AR951">
        <v>10.845600179389525</v>
      </c>
      <c r="AS951">
        <v>115.10736024409829</v>
      </c>
      <c r="AT951">
        <v>5.9381495275073126</v>
      </c>
      <c r="AU951">
        <v>-36.546622191273201</v>
      </c>
      <c r="AV951"/>
      <c r="AW951"/>
      <c r="FY951" s="210">
        <v>946</v>
      </c>
      <c r="FZ951">
        <v>7.0322042158572557</v>
      </c>
      <c r="GA951">
        <v>25.253807352584147</v>
      </c>
      <c r="GB951">
        <v>29.64297856622186</v>
      </c>
      <c r="GC951">
        <v>13.386182515901229</v>
      </c>
      <c r="GD951">
        <v>3.8767271674315023</v>
      </c>
      <c r="GE951">
        <v>6.0356614296660576</v>
      </c>
      <c r="GF951">
        <v>3.115696267346665</v>
      </c>
      <c r="GG951">
        <v>3.160202102352593</v>
      </c>
      <c r="GH951">
        <v>5.1664723415951421</v>
      </c>
      <c r="GI951">
        <v>12.100745678399258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188.1869729962215</v>
      </c>
      <c r="AO952">
        <v>15.539028592696704</v>
      </c>
      <c r="AP952">
        <v>108.82309262241262</v>
      </c>
      <c r="AQ952">
        <v>84.630015940967724</v>
      </c>
      <c r="AR952">
        <v>14.311772760524196</v>
      </c>
      <c r="AS952">
        <v>143.53402971909011</v>
      </c>
      <c r="AT952" t="e">
        <v>#DIV/0!</v>
      </c>
      <c r="AU952" t="e">
        <v>#DIV/0!</v>
      </c>
      <c r="AV952"/>
      <c r="AW952"/>
      <c r="FY952" s="210">
        <v>947</v>
      </c>
      <c r="FZ952">
        <v>3.9026343212102974</v>
      </c>
      <c r="GA952">
        <v>22.52760417442213</v>
      </c>
      <c r="GB952">
        <v>20.13969664315195</v>
      </c>
      <c r="GC952">
        <v>9.6068284982919465</v>
      </c>
      <c r="GD952">
        <v>3.982082340782529</v>
      </c>
      <c r="GE952">
        <v>5.367028611740519</v>
      </c>
      <c r="GF952">
        <v>8.4330165335627054</v>
      </c>
      <c r="GG952">
        <v>4.4963252574109678</v>
      </c>
      <c r="GH952">
        <v>2.322075817490262</v>
      </c>
      <c r="GI952">
        <v>9.8598558967763523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246.3599265026715</v>
      </c>
      <c r="AO953">
        <v>15.946798354329303</v>
      </c>
      <c r="AP953">
        <v>116.16254247531603</v>
      </c>
      <c r="AQ953">
        <v>94.198145322950722</v>
      </c>
      <c r="AR953">
        <v>14.532694189558535</v>
      </c>
      <c r="AS953">
        <v>151.43490125157211</v>
      </c>
      <c r="AT953">
        <v>6.2227066364095895</v>
      </c>
      <c r="AU953">
        <v>4.6706310575697501</v>
      </c>
      <c r="AV953"/>
      <c r="AW953"/>
      <c r="FY953" s="210">
        <v>948</v>
      </c>
      <c r="FZ953">
        <v>1.7618365884282459</v>
      </c>
      <c r="GA953">
        <v>18.219642473788607</v>
      </c>
      <c r="GB953">
        <v>20.607130920411848</v>
      </c>
      <c r="GC953">
        <v>10.097338222981051</v>
      </c>
      <c r="GD953">
        <v>4.374889105594888</v>
      </c>
      <c r="GE953">
        <v>3.9137144961615293</v>
      </c>
      <c r="GF953">
        <v>3.6980165704925154</v>
      </c>
      <c r="GG953">
        <v>3.9446196972171679</v>
      </c>
      <c r="GH953">
        <v>2.904440418277825</v>
      </c>
      <c r="GI953">
        <v>9.0900847674047824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223.07300747747155</v>
      </c>
      <c r="AO954">
        <v>15.987573346939149</v>
      </c>
      <c r="AP954">
        <v>117.58366470339827</v>
      </c>
      <c r="AQ954">
        <v>94.569711738163548</v>
      </c>
      <c r="AR954">
        <v>14.704926391571288</v>
      </c>
      <c r="AS954">
        <v>151.15330846799668</v>
      </c>
      <c r="AT954" t="e">
        <v>#DIV/0!</v>
      </c>
      <c r="AU954" t="e">
        <v>#DIV/0!</v>
      </c>
      <c r="AV954"/>
      <c r="AW954"/>
      <c r="FY954" s="210">
        <v>949</v>
      </c>
      <c r="FZ954">
        <v>4.2278033528751404</v>
      </c>
      <c r="GA954">
        <v>30.861622639679123</v>
      </c>
      <c r="GB954">
        <v>25.77422023306239</v>
      </c>
      <c r="GC954">
        <v>8.0558039436374251</v>
      </c>
      <c r="GD954">
        <v>2.4562843097510672</v>
      </c>
      <c r="GE954">
        <v>3.1943128166757084</v>
      </c>
      <c r="GF954">
        <v>1.2712533861649191</v>
      </c>
      <c r="GG954">
        <v>2.2895030166357651</v>
      </c>
      <c r="GH954">
        <v>2.322075817490262</v>
      </c>
      <c r="GI954">
        <v>9.0776813702256476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141.87741976733838</v>
      </c>
      <c r="AO955">
        <v>15.772614003576294</v>
      </c>
      <c r="AP955">
        <v>134.78427904427005</v>
      </c>
      <c r="AQ955">
        <v>100.82043077095227</v>
      </c>
      <c r="AR955">
        <v>14.750426539547682</v>
      </c>
      <c r="AS955">
        <v>133.78621446846063</v>
      </c>
      <c r="AT955" t="e">
        <v>#DIV/0!</v>
      </c>
      <c r="AU955" t="e">
        <v>#DIV/0!</v>
      </c>
      <c r="AV955"/>
      <c r="AW955"/>
      <c r="FY955" s="210">
        <v>950</v>
      </c>
      <c r="FZ955">
        <v>4.2972332262106967</v>
      </c>
      <c r="GA955">
        <v>26.922339133947077</v>
      </c>
      <c r="GB955">
        <v>21.852062026554353</v>
      </c>
      <c r="GC955">
        <v>9.6938781646612728</v>
      </c>
      <c r="GD955">
        <v>4.0472465464608014</v>
      </c>
      <c r="GE955">
        <v>4.7053546370237598</v>
      </c>
      <c r="GF955">
        <v>7.9723966312749885</v>
      </c>
      <c r="GG955">
        <v>4.0854606576523445</v>
      </c>
      <c r="GH955">
        <v>2.2620319233173167</v>
      </c>
      <c r="GI955">
        <v>10.265837276141353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210.53507955368363</v>
      </c>
      <c r="AO956">
        <v>16.94252334997433</v>
      </c>
      <c r="AP956">
        <v>131.95287524056144</v>
      </c>
      <c r="AQ956">
        <v>105.03229933498584</v>
      </c>
      <c r="AR956">
        <v>15.525398239550846</v>
      </c>
      <c r="AS956">
        <v>145.32772081147729</v>
      </c>
      <c r="AT956">
        <v>6.8469916153772141</v>
      </c>
      <c r="AU956">
        <v>-11.259314498400679</v>
      </c>
      <c r="AV956"/>
      <c r="AW956"/>
      <c r="FY956" s="210">
        <v>951</v>
      </c>
      <c r="FZ956">
        <v>3.9312866179176718</v>
      </c>
      <c r="GA956">
        <v>28.665663863947664</v>
      </c>
      <c r="GB956">
        <v>17.990993172061206</v>
      </c>
      <c r="GC956">
        <v>4.5467694336477082</v>
      </c>
      <c r="GD956">
        <v>3.2335187207355376</v>
      </c>
      <c r="GE956">
        <v>6.7772364263450298</v>
      </c>
      <c r="GF956">
        <v>4.1025861390767284</v>
      </c>
      <c r="GG956">
        <v>0.77522729648954036</v>
      </c>
      <c r="GH956">
        <v>1.3578060336331905</v>
      </c>
      <c r="GI956">
        <v>7.9130534300754602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193.40211271460018</v>
      </c>
      <c r="AO957">
        <v>15.020393257147791</v>
      </c>
      <c r="AP957">
        <v>113.43282416256386</v>
      </c>
      <c r="AQ957">
        <v>91.377516434733479</v>
      </c>
      <c r="AR957">
        <v>13.781074198593929</v>
      </c>
      <c r="AS957">
        <v>132.16968328301064</v>
      </c>
      <c r="AT957">
        <v>7.3519144594205175</v>
      </c>
      <c r="AU957">
        <v>-33.978923526638894</v>
      </c>
      <c r="AV957"/>
      <c r="AW957"/>
      <c r="FY957" s="210">
        <v>952</v>
      </c>
      <c r="FZ957">
        <v>3.8013940636816237</v>
      </c>
      <c r="GA957">
        <v>24.816351791087207</v>
      </c>
      <c r="GB957">
        <v>22.782751171500738</v>
      </c>
      <c r="GC957">
        <v>9.5295791293226113</v>
      </c>
      <c r="GD957">
        <v>3.1182524829583902</v>
      </c>
      <c r="GE957">
        <v>4.0498203796126795</v>
      </c>
      <c r="GF957">
        <v>3.5603180636344836</v>
      </c>
      <c r="GG957">
        <v>3.3819234811524872</v>
      </c>
      <c r="GH957">
        <v>6.649371539236836</v>
      </c>
      <c r="GI957">
        <v>9.7680201520935821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200.73386654807194</v>
      </c>
      <c r="AO958">
        <v>15.238271666150942</v>
      </c>
      <c r="AP958">
        <v>123.81653476789408</v>
      </c>
      <c r="AQ958">
        <v>101.61634411953175</v>
      </c>
      <c r="AR958">
        <v>14.110022689271542</v>
      </c>
      <c r="AS958">
        <v>146.84577708745707</v>
      </c>
      <c r="AT958">
        <v>7.0758613582946701</v>
      </c>
      <c r="AU958">
        <v>-14.164015768379588</v>
      </c>
      <c r="AV958"/>
      <c r="AW958"/>
      <c r="FY958" s="210">
        <v>953</v>
      </c>
      <c r="FZ958">
        <v>1.3139601168428294</v>
      </c>
      <c r="GA958">
        <v>21.534360236328133</v>
      </c>
      <c r="GB958">
        <v>19.142155073330212</v>
      </c>
      <c r="GC958">
        <v>8.1118939826166514</v>
      </c>
      <c r="GD958">
        <v>3.5367890048932242</v>
      </c>
      <c r="GE958">
        <v>5.6689424777873221</v>
      </c>
      <c r="GF958">
        <v>9.6441986795698842</v>
      </c>
      <c r="GG958">
        <v>3.9156422543676928</v>
      </c>
      <c r="GH958">
        <v>2.5225352352083168</v>
      </c>
      <c r="GI958">
        <v>9.2223861693280167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202.43580587700086</v>
      </c>
      <c r="AO959">
        <v>15.10778737191437</v>
      </c>
      <c r="AP959">
        <v>123.08473541141009</v>
      </c>
      <c r="AQ959">
        <v>99.545098306019185</v>
      </c>
      <c r="AR959">
        <v>14.026129839692333</v>
      </c>
      <c r="AS959">
        <v>141.50120199641557</v>
      </c>
      <c r="AT959">
        <v>7.5751546750571697</v>
      </c>
      <c r="AU959">
        <v>-26.051893476494694</v>
      </c>
      <c r="AV959"/>
      <c r="AW959"/>
      <c r="FY959" s="210">
        <v>954</v>
      </c>
      <c r="FZ959">
        <v>7.2210575695502515</v>
      </c>
      <c r="GA959">
        <v>27.515002128915942</v>
      </c>
      <c r="GB959">
        <v>21.348920456012241</v>
      </c>
      <c r="GC959">
        <v>8.950558048217637</v>
      </c>
      <c r="GD959">
        <v>2.9608350681921638</v>
      </c>
      <c r="GE959">
        <v>7.4541013229878015</v>
      </c>
      <c r="GF959">
        <v>11.734796803457465</v>
      </c>
      <c r="GG959">
        <v>3.5856580729737866</v>
      </c>
      <c r="GH959">
        <v>2.5188439423783215</v>
      </c>
      <c r="GI959">
        <v>10.710735192896541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128.07915934964984</v>
      </c>
      <c r="AO960">
        <v>11.879194024595407</v>
      </c>
      <c r="AP960">
        <v>88.7616108037099</v>
      </c>
      <c r="AQ960">
        <v>69.49398949292555</v>
      </c>
      <c r="AR960">
        <v>11.231935363165846</v>
      </c>
      <c r="AS960">
        <v>99.637582771042005</v>
      </c>
      <c r="AT960" t="e">
        <v>#DIV/0!</v>
      </c>
      <c r="AU960" t="e">
        <v>#DIV/0!</v>
      </c>
      <c r="AV960"/>
      <c r="AW960"/>
      <c r="FY960" s="210">
        <v>955</v>
      </c>
      <c r="FZ960">
        <v>4.0730525728164553</v>
      </c>
      <c r="GA960">
        <v>18.981129762816273</v>
      </c>
      <c r="GB960">
        <v>20.897213593827971</v>
      </c>
      <c r="GC960">
        <v>9.8302845116513975</v>
      </c>
      <c r="GD960">
        <v>3.1786451413074488</v>
      </c>
      <c r="GE960">
        <v>4.2333827941896232</v>
      </c>
      <c r="GF960">
        <v>3.0180499881922387</v>
      </c>
      <c r="GG960">
        <v>1.5504545929790807</v>
      </c>
      <c r="GH960">
        <v>2.715612067266381</v>
      </c>
      <c r="GI960">
        <v>8.6813414005600151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156.46723365288068</v>
      </c>
      <c r="AO961">
        <v>12.626225010422118</v>
      </c>
      <c r="AP961">
        <v>94.118534600066155</v>
      </c>
      <c r="AQ961">
        <v>74.24088206591702</v>
      </c>
      <c r="AR961">
        <v>11.997603138299894</v>
      </c>
      <c r="AS961">
        <v>121.13992633476349</v>
      </c>
      <c r="AT961" t="e">
        <v>#DIV/0!</v>
      </c>
      <c r="AU961" t="e">
        <v>#DIV/0!</v>
      </c>
      <c r="AV961"/>
      <c r="AW961"/>
      <c r="FY961" s="210">
        <v>956</v>
      </c>
      <c r="FZ961">
        <v>4.8832043675536845</v>
      </c>
      <c r="GA961">
        <v>24.050532788878947</v>
      </c>
      <c r="GB961">
        <v>15.191252794345161</v>
      </c>
      <c r="GC961">
        <v>6.8116565280548729</v>
      </c>
      <c r="GD961">
        <v>4.2853169707546224</v>
      </c>
      <c r="GE961">
        <v>4.5975086313667601</v>
      </c>
      <c r="GF961">
        <v>4.1735597863549154</v>
      </c>
      <c r="GG961">
        <v>3.5227644415876638</v>
      </c>
      <c r="GH961">
        <v>4.3976565997935122</v>
      </c>
      <c r="GI961">
        <v>8.4674039489743365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167.31131880376185</v>
      </c>
      <c r="AO962">
        <v>18.094106906343114</v>
      </c>
      <c r="AP962">
        <v>138.59383734052165</v>
      </c>
      <c r="AQ962">
        <v>108.77067763735572</v>
      </c>
      <c r="AR962">
        <v>16.902290427093742</v>
      </c>
      <c r="AS962">
        <v>154.90026263236115</v>
      </c>
      <c r="AT962">
        <v>7.771794372821387</v>
      </c>
      <c r="AU962">
        <v>-35.684131946913368</v>
      </c>
      <c r="AV962"/>
      <c r="AW962"/>
      <c r="FY962" s="210">
        <v>957</v>
      </c>
      <c r="FZ962">
        <v>1.299567833530503</v>
      </c>
      <c r="GA962">
        <v>23.718567844709366</v>
      </c>
      <c r="GB962">
        <v>24.780552303158686</v>
      </c>
      <c r="GC962">
        <v>10.842690197348363</v>
      </c>
      <c r="GD962">
        <v>4.086026506725112</v>
      </c>
      <c r="GE962">
        <v>4.5099640025791325</v>
      </c>
      <c r="GF962">
        <v>3.6579643427889095</v>
      </c>
      <c r="GG962">
        <v>1.4224046459106283</v>
      </c>
      <c r="GH962">
        <v>2.5225352352083168</v>
      </c>
      <c r="GI962">
        <v>9.8141648910573238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216.81287857281137</v>
      </c>
      <c r="AO963">
        <v>14.859703583126693</v>
      </c>
      <c r="AP963">
        <v>114.13842168030513</v>
      </c>
      <c r="AQ963">
        <v>90.63714809483966</v>
      </c>
      <c r="AR963">
        <v>13.567936176986201</v>
      </c>
      <c r="AS963">
        <v>133.95389840173974</v>
      </c>
      <c r="AT963" t="e">
        <v>#DIV/0!</v>
      </c>
      <c r="AU963" t="e">
        <v>#DIV/0!</v>
      </c>
      <c r="AV963"/>
      <c r="AW963"/>
      <c r="FY963" s="210">
        <v>958</v>
      </c>
      <c r="FZ963">
        <v>3.7300687205878473</v>
      </c>
      <c r="GA963">
        <v>26.60109634631317</v>
      </c>
      <c r="GB963">
        <v>27.821787410549707</v>
      </c>
      <c r="GC963">
        <v>11.883602286225829</v>
      </c>
      <c r="GD963">
        <v>3.3868105769732688</v>
      </c>
      <c r="GE963">
        <v>4.3525539693811677</v>
      </c>
      <c r="GF963">
        <v>5.678449933374746</v>
      </c>
      <c r="GG963">
        <v>1.8460602590359767</v>
      </c>
      <c r="GH963">
        <v>0.64372257779312592</v>
      </c>
      <c r="GI963">
        <v>10.608009661205248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160.22533093227344</v>
      </c>
      <c r="AO964">
        <v>13.60488335476415</v>
      </c>
      <c r="AP964">
        <v>98.826266393948359</v>
      </c>
      <c r="AQ964">
        <v>78.611713260758449</v>
      </c>
      <c r="AR964">
        <v>12.703580797011877</v>
      </c>
      <c r="AS964">
        <v>116.29697770526913</v>
      </c>
      <c r="AT964">
        <v>6.5186188805383134</v>
      </c>
      <c r="AU964">
        <v>-48.819428149875343</v>
      </c>
      <c r="AV964"/>
      <c r="AW964"/>
      <c r="FY964" s="210">
        <v>959</v>
      </c>
      <c r="FZ964">
        <v>10.419430793273097</v>
      </c>
      <c r="GA964">
        <v>30.687947149214558</v>
      </c>
      <c r="GB964">
        <v>19.583452284172125</v>
      </c>
      <c r="GC964">
        <v>9.330328573422257</v>
      </c>
      <c r="GD964">
        <v>4.5578003804780369</v>
      </c>
      <c r="GE964">
        <v>3.6009122697443132</v>
      </c>
      <c r="GF964">
        <v>3.5211269499073206</v>
      </c>
      <c r="GG964">
        <v>3.5856580729737866</v>
      </c>
      <c r="GH964">
        <v>3.6835731439534483</v>
      </c>
      <c r="GI964">
        <v>10.268717689775556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137.61048648429255</v>
      </c>
      <c r="AO965">
        <v>13.676279624352267</v>
      </c>
      <c r="AP965">
        <v>118.21447400812932</v>
      </c>
      <c r="AQ965">
        <v>89.530560886197435</v>
      </c>
      <c r="AR965">
        <v>12.721075684302493</v>
      </c>
      <c r="AS965">
        <v>128.14056751062074</v>
      </c>
      <c r="AT965" t="e">
        <v>#DIV/0!</v>
      </c>
      <c r="AU965" t="e">
        <v>#DIV/0!</v>
      </c>
      <c r="AV965"/>
      <c r="AW965"/>
      <c r="FY965" s="210">
        <v>960</v>
      </c>
      <c r="FZ965">
        <v>3.9389817985203184</v>
      </c>
      <c r="GA965">
        <v>21.014475514902902</v>
      </c>
      <c r="GB965">
        <v>23.35940573287845</v>
      </c>
      <c r="GC965">
        <v>11.43150210424904</v>
      </c>
      <c r="GD965">
        <v>3.5806003766389987</v>
      </c>
      <c r="GE965">
        <v>4.2098620279932089</v>
      </c>
      <c r="GF965">
        <v>3.5603180636344836</v>
      </c>
      <c r="GG965">
        <v>0.77522729648954036</v>
      </c>
      <c r="GH965">
        <v>2.9057545011104424</v>
      </c>
      <c r="GI965">
        <v>9.6025398800822064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212.12350194758565</v>
      </c>
      <c r="AO966">
        <v>15.315008911774029</v>
      </c>
      <c r="AP966">
        <v>121.85132598770421</v>
      </c>
      <c r="AQ966">
        <v>96.103840223243978</v>
      </c>
      <c r="AR966">
        <v>14.162882156825725</v>
      </c>
      <c r="AS966">
        <v>140.55386209810351</v>
      </c>
      <c r="AT966">
        <v>6.8333181871365731</v>
      </c>
      <c r="AU966">
        <v>-21.859689409148903</v>
      </c>
      <c r="AV966"/>
      <c r="AW966"/>
      <c r="FY966" s="210">
        <v>961</v>
      </c>
      <c r="FZ966">
        <v>3.902127386291423</v>
      </c>
      <c r="GA966">
        <v>24.260223922862181</v>
      </c>
      <c r="GB966">
        <v>18.42335796433116</v>
      </c>
      <c r="GC966">
        <v>6.180295212984408</v>
      </c>
      <c r="GD966">
        <v>3.097170169810354</v>
      </c>
      <c r="GE966">
        <v>4.7112416992692303</v>
      </c>
      <c r="GF966">
        <v>3.4192318830545503</v>
      </c>
      <c r="GG966">
        <v>2.8448092918212566</v>
      </c>
      <c r="GH966">
        <v>3.818983291835945</v>
      </c>
      <c r="GI966">
        <v>8.2057296226915799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190.69586366972655</v>
      </c>
      <c r="AO967">
        <v>11.843249477404383</v>
      </c>
      <c r="AP967">
        <v>99.864062728997553</v>
      </c>
      <c r="AQ967">
        <v>79.29414113392977</v>
      </c>
      <c r="AR967">
        <v>10.851940779481827</v>
      </c>
      <c r="AS967">
        <v>115.59657634910957</v>
      </c>
      <c r="AT967" t="e">
        <v>#DIV/0!</v>
      </c>
      <c r="AU967" t="e">
        <v>#DIV/0!</v>
      </c>
      <c r="AV967"/>
      <c r="AW967"/>
      <c r="FY967" s="210">
        <v>962</v>
      </c>
      <c r="FZ967">
        <v>7.0598584346716615</v>
      </c>
      <c r="GA967">
        <v>25.737019137303097</v>
      </c>
      <c r="GB967">
        <v>18.131856359353353</v>
      </c>
      <c r="GC967">
        <v>7.5654024951407877</v>
      </c>
      <c r="GD967">
        <v>3.9638359862544146</v>
      </c>
      <c r="GE967">
        <v>4.2621483781626877</v>
      </c>
      <c r="GF967">
        <v>1.0845361508844891</v>
      </c>
      <c r="GG967">
        <v>2.5130247529315048</v>
      </c>
      <c r="GH967">
        <v>4.8446110526985784</v>
      </c>
      <c r="GI967">
        <v>8.8154214103813207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184.8742094624418</v>
      </c>
      <c r="AO968">
        <v>14.52558628999517</v>
      </c>
      <c r="AP968">
        <v>117.90668681919001</v>
      </c>
      <c r="AQ968">
        <v>91.457782254280644</v>
      </c>
      <c r="AR968">
        <v>13.541623654962528</v>
      </c>
      <c r="AS968">
        <v>137.00297627934631</v>
      </c>
      <c r="AT968" t="e">
        <v>#DIV/0!</v>
      </c>
      <c r="AU968" t="e">
        <v>#DIV/0!</v>
      </c>
      <c r="AV968"/>
      <c r="AW968"/>
      <c r="FY968" s="210">
        <v>963</v>
      </c>
      <c r="FZ968">
        <v>6.9781867584083699</v>
      </c>
      <c r="GA968">
        <v>29.176337781085749</v>
      </c>
      <c r="GB968">
        <v>29.4058240714918</v>
      </c>
      <c r="GC968">
        <v>13.429378356143785</v>
      </c>
      <c r="GD968">
        <v>4.8953816256796401</v>
      </c>
      <c r="GE968">
        <v>5.4075039991468365</v>
      </c>
      <c r="GF968">
        <v>2.8831342989169682</v>
      </c>
      <c r="GG968">
        <v>2.7475371450981236</v>
      </c>
      <c r="GH968">
        <v>2.5188439423783215</v>
      </c>
      <c r="GI968">
        <v>12.165974775406486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201.83137909171336</v>
      </c>
      <c r="AO969">
        <v>13.730761823088139</v>
      </c>
      <c r="AP969">
        <v>108.0472897734173</v>
      </c>
      <c r="AQ969">
        <v>84.612863230272296</v>
      </c>
      <c r="AR969">
        <v>12.623845789805372</v>
      </c>
      <c r="AS969">
        <v>127.72191770659693</v>
      </c>
      <c r="AT969">
        <v>5.9542717197846073</v>
      </c>
      <c r="AU969">
        <v>-15.520182647805269</v>
      </c>
      <c r="AV969"/>
      <c r="AW969"/>
      <c r="FY969" s="210">
        <v>964</v>
      </c>
      <c r="FZ969">
        <v>1.6980930793329172</v>
      </c>
      <c r="GA969">
        <v>16.565475968162136</v>
      </c>
      <c r="GB969">
        <v>16.986574341113382</v>
      </c>
      <c r="GC969">
        <v>9.6712495199060449</v>
      </c>
      <c r="GD969">
        <v>4.7729192499424977</v>
      </c>
      <c r="GE969">
        <v>3.7967071713581548</v>
      </c>
      <c r="GF969">
        <v>4.4888447203643551</v>
      </c>
      <c r="GG969">
        <v>4.4527564436989238</v>
      </c>
      <c r="GH969">
        <v>4.7092009048160817</v>
      </c>
      <c r="GI969">
        <v>8.8220858350748514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237.30308716943628</v>
      </c>
      <c r="AO970">
        <v>16.036149448501934</v>
      </c>
      <c r="AP970">
        <v>131.32054988474295</v>
      </c>
      <c r="AQ970">
        <v>104.00050860558216</v>
      </c>
      <c r="AR970">
        <v>14.501275989589256</v>
      </c>
      <c r="AS970">
        <v>151.18337116573102</v>
      </c>
      <c r="AT970">
        <v>6.6877180669753704</v>
      </c>
      <c r="AU970">
        <v>-3.8877095019663521E-2</v>
      </c>
      <c r="AV970"/>
      <c r="AW970"/>
      <c r="FY970" s="210">
        <v>965</v>
      </c>
      <c r="FZ970">
        <v>6.8265782738906466</v>
      </c>
      <c r="GA970">
        <v>33.007368352664948</v>
      </c>
      <c r="GB970">
        <v>24.454878512296503</v>
      </c>
      <c r="GC970">
        <v>7.8679047728606744</v>
      </c>
      <c r="GD970">
        <v>2.814597695658128</v>
      </c>
      <c r="GE970">
        <v>3.7700261469710927</v>
      </c>
      <c r="GF970">
        <v>2.5745029843296336</v>
      </c>
      <c r="GG970">
        <v>2.1632534270631583</v>
      </c>
      <c r="GH970">
        <v>1.4828991976416939</v>
      </c>
      <c r="GI970">
        <v>9.4651263783966169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152.75935481299126</v>
      </c>
      <c r="AO971">
        <v>13.011708903400159</v>
      </c>
      <c r="AP971">
        <v>98.112755678223209</v>
      </c>
      <c r="AQ971">
        <v>77.159166425606884</v>
      </c>
      <c r="AR971">
        <v>12.055603685874413</v>
      </c>
      <c r="AS971">
        <v>110.57399455373293</v>
      </c>
      <c r="AT971" t="e">
        <v>#DIV/0!</v>
      </c>
      <c r="AU971" t="e">
        <v>#DIV/0!</v>
      </c>
      <c r="AV971"/>
      <c r="AW971"/>
      <c r="FY971" s="210">
        <v>966</v>
      </c>
      <c r="FZ971">
        <v>3.9960471282190468</v>
      </c>
      <c r="GA971">
        <v>21.280312581896908</v>
      </c>
      <c r="GB971">
        <v>23.191001894746947</v>
      </c>
      <c r="GC971">
        <v>10.161688536026439</v>
      </c>
      <c r="GD971">
        <v>4.1516814594300726</v>
      </c>
      <c r="GE971">
        <v>5.3785201324362202</v>
      </c>
      <c r="GF971">
        <v>2.6593251527572934</v>
      </c>
      <c r="GG971">
        <v>2.0677816378358704</v>
      </c>
      <c r="GH971">
        <v>1.161037908745131</v>
      </c>
      <c r="GI971">
        <v>9.4905438170836227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171.078584562245</v>
      </c>
      <c r="AO972">
        <v>12.563356471545211</v>
      </c>
      <c r="AP972">
        <v>98.303869125613531</v>
      </c>
      <c r="AQ972">
        <v>80.380856857664469</v>
      </c>
      <c r="AR972">
        <v>11.693544483177174</v>
      </c>
      <c r="AS972">
        <v>130.98441333069701</v>
      </c>
      <c r="AT972">
        <v>6.7657591288154961</v>
      </c>
      <c r="AU972">
        <v>-33.974069699595006</v>
      </c>
      <c r="AV972"/>
      <c r="AW972"/>
      <c r="FY972" s="210">
        <v>967</v>
      </c>
      <c r="FZ972">
        <v>4.032019940527471</v>
      </c>
      <c r="GA972">
        <v>20.110017512314624</v>
      </c>
      <c r="GB972">
        <v>15.885114789800534</v>
      </c>
      <c r="GC972">
        <v>6.9774442721228596</v>
      </c>
      <c r="GD972">
        <v>3.1000115483994906</v>
      </c>
      <c r="GE972">
        <v>2.6837185399549468</v>
      </c>
      <c r="GF972">
        <v>2.5585048783297362</v>
      </c>
      <c r="GG972">
        <v>2.9366803660568532</v>
      </c>
      <c r="GH972">
        <v>3.2263017071743878</v>
      </c>
      <c r="GI972">
        <v>7.3276740386547576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173.73814618294418</v>
      </c>
      <c r="AO973">
        <v>14.632635876926647</v>
      </c>
      <c r="AP973">
        <v>111.1739602701915</v>
      </c>
      <c r="AQ973">
        <v>86.654437803016378</v>
      </c>
      <c r="AR973">
        <v>13.617788303592214</v>
      </c>
      <c r="AS973">
        <v>130.27446886043472</v>
      </c>
      <c r="AT973">
        <v>5.9726512890100176</v>
      </c>
      <c r="AU973">
        <v>-21.938089187767819</v>
      </c>
      <c r="AV973"/>
      <c r="AW973"/>
      <c r="FY973" s="210">
        <v>968</v>
      </c>
      <c r="FZ973">
        <v>2.1727232464991912</v>
      </c>
      <c r="GA973">
        <v>26.618945038992003</v>
      </c>
      <c r="GB973">
        <v>23.107431210573964</v>
      </c>
      <c r="GC973">
        <v>9.0450509974352116</v>
      </c>
      <c r="GD973">
        <v>4.52266776397689</v>
      </c>
      <c r="GE973">
        <v>6.0496398957984212</v>
      </c>
      <c r="GF973">
        <v>4.8326462422246159</v>
      </c>
      <c r="GG973">
        <v>3.7119076625463934</v>
      </c>
      <c r="GH973">
        <v>3.3580205622268897</v>
      </c>
      <c r="GI973">
        <v>10.133758792341093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185.73413288928595</v>
      </c>
      <c r="AO974">
        <v>15.948128767777984</v>
      </c>
      <c r="AP974">
        <v>125.72176139162075</v>
      </c>
      <c r="AQ974">
        <v>96.552161741440088</v>
      </c>
      <c r="AR974">
        <v>14.718158587434731</v>
      </c>
      <c r="AS974">
        <v>144.59854400087224</v>
      </c>
      <c r="AT974" t="e">
        <v>#DIV/0!</v>
      </c>
      <c r="AU974" t="e">
        <v>#DIV/0!</v>
      </c>
      <c r="AV974"/>
      <c r="AW974"/>
      <c r="FY974" s="210">
        <v>969</v>
      </c>
      <c r="FZ974">
        <v>9.6932176331562481</v>
      </c>
      <c r="GA974">
        <v>29.272395863939554</v>
      </c>
      <c r="GB974">
        <v>18.704018979580944</v>
      </c>
      <c r="GC974">
        <v>7.1212203547738593</v>
      </c>
      <c r="GD974">
        <v>2.7559695933034978</v>
      </c>
      <c r="GE974">
        <v>2.9770177132653064</v>
      </c>
      <c r="GF974">
        <v>2.5585048783297362</v>
      </c>
      <c r="GG974">
        <v>1.1988829096148885</v>
      </c>
      <c r="GH974">
        <v>0.58236460078756302</v>
      </c>
      <c r="GI974">
        <v>8.255380971481749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192.41311303341431</v>
      </c>
      <c r="AO975">
        <v>15.141961552237779</v>
      </c>
      <c r="AP975">
        <v>120.98493817573856</v>
      </c>
      <c r="AQ975">
        <v>99.238947306914525</v>
      </c>
      <c r="AR975">
        <v>14.254972764611763</v>
      </c>
      <c r="AS975">
        <v>150.22890515698998</v>
      </c>
      <c r="AT975">
        <v>8.7206152605649674</v>
      </c>
      <c r="AU975">
        <v>42.362311895484481</v>
      </c>
      <c r="AV975"/>
      <c r="AW975"/>
      <c r="FY975" s="210">
        <v>970</v>
      </c>
      <c r="FZ975">
        <v>6.6781310082269654</v>
      </c>
      <c r="GA975">
        <v>35.148958193967871</v>
      </c>
      <c r="GB975">
        <v>29.557416646734961</v>
      </c>
      <c r="GC975">
        <v>11.166330961872157</v>
      </c>
      <c r="GD975">
        <v>2.5752166536384484</v>
      </c>
      <c r="GE975">
        <v>2.2501725261672476</v>
      </c>
      <c r="GF975">
        <v>4.9841932702321188</v>
      </c>
      <c r="GG975">
        <v>3.9446196972171679</v>
      </c>
      <c r="GH975">
        <v>2.322075817490262</v>
      </c>
      <c r="GI975">
        <v>11.173092954031313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194.41653852847509</v>
      </c>
      <c r="AO976">
        <v>14.299338662966747</v>
      </c>
      <c r="AP976">
        <v>107.27663590635612</v>
      </c>
      <c r="AQ976">
        <v>84.378667296499586</v>
      </c>
      <c r="AR976">
        <v>13.293805599536206</v>
      </c>
      <c r="AS976">
        <v>131.37905296309978</v>
      </c>
      <c r="AT976" t="e">
        <v>#DIV/0!</v>
      </c>
      <c r="AU976" t="e">
        <v>#DIV/0!</v>
      </c>
      <c r="AV976"/>
      <c r="AW976"/>
      <c r="FY976" s="210">
        <v>971</v>
      </c>
      <c r="FZ976">
        <v>4.6693763100655534</v>
      </c>
      <c r="GA976">
        <v>23.109693540092575</v>
      </c>
      <c r="GB976">
        <v>18.562318663700413</v>
      </c>
      <c r="GC976">
        <v>8.0621373963446601</v>
      </c>
      <c r="GD976">
        <v>4.860575306098263</v>
      </c>
      <c r="GE976">
        <v>5.7131408753884605</v>
      </c>
      <c r="GF976">
        <v>2.6753232587571909</v>
      </c>
      <c r="GG976">
        <v>2.1632534270631583</v>
      </c>
      <c r="GH976">
        <v>2.0652637984292568</v>
      </c>
      <c r="GI976">
        <v>8.9503675917928973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159.98120210702797</v>
      </c>
      <c r="AO977">
        <v>12.158075123902673</v>
      </c>
      <c r="AP977">
        <v>100.33998595820216</v>
      </c>
      <c r="AQ977">
        <v>78.86317044495209</v>
      </c>
      <c r="AR977">
        <v>11.41183566652141</v>
      </c>
      <c r="AS977">
        <v>125.75591608250132</v>
      </c>
      <c r="AT977">
        <v>5.4242371480144138</v>
      </c>
      <c r="AU977">
        <v>83.575885794080264</v>
      </c>
      <c r="AV977"/>
      <c r="AW977"/>
      <c r="FY977" s="210">
        <v>972</v>
      </c>
      <c r="FZ977">
        <v>1.8680012646519033</v>
      </c>
      <c r="GA977">
        <v>25.576796429420771</v>
      </c>
      <c r="GB977">
        <v>25.323567677033239</v>
      </c>
      <c r="GC977">
        <v>9.7674121094802278</v>
      </c>
      <c r="GD977">
        <v>4.2960236094796693</v>
      </c>
      <c r="GE977">
        <v>4.7215629880509287</v>
      </c>
      <c r="GF977">
        <v>1.2872514921648168</v>
      </c>
      <c r="GG977">
        <v>2.2913033741316107</v>
      </c>
      <c r="GH977">
        <v>4.5264410566320112</v>
      </c>
      <c r="GI977">
        <v>10.046437695264613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184.30277294247077</v>
      </c>
      <c r="AO978">
        <v>13.022524068672988</v>
      </c>
      <c r="AP978">
        <v>103.29436461490317</v>
      </c>
      <c r="AQ978">
        <v>83.97771415778189</v>
      </c>
      <c r="AR978">
        <v>12.276125624654265</v>
      </c>
      <c r="AS978">
        <v>137.57277159085939</v>
      </c>
      <c r="AT978" t="e">
        <v>#DIV/0!</v>
      </c>
      <c r="AU978" t="e">
        <v>#DIV/0!</v>
      </c>
      <c r="AV978"/>
      <c r="AW978"/>
      <c r="FY978" s="210">
        <v>973</v>
      </c>
      <c r="FZ978">
        <v>6.8807311326251082</v>
      </c>
      <c r="GA978">
        <v>23.50549859936611</v>
      </c>
      <c r="GB978">
        <v>15.777743907151883</v>
      </c>
      <c r="GC978">
        <v>6.7831441761089675</v>
      </c>
      <c r="GD978">
        <v>3.0152186321546162</v>
      </c>
      <c r="GE978">
        <v>5.2910672144458095</v>
      </c>
      <c r="GF978">
        <v>6.0371747688096917</v>
      </c>
      <c r="GG978">
        <v>0.64717734942108796</v>
      </c>
      <c r="GH978">
        <v>0.32186128889656296</v>
      </c>
      <c r="GI978">
        <v>7.8661439582690997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198.4114719215282</v>
      </c>
      <c r="AO979">
        <v>18.324264206756883</v>
      </c>
      <c r="AP979">
        <v>138.68981741202745</v>
      </c>
      <c r="AQ979">
        <v>109.6081027537561</v>
      </c>
      <c r="AR979">
        <v>17.038450133964862</v>
      </c>
      <c r="AS979">
        <v>175.60099372359105</v>
      </c>
      <c r="AT979">
        <v>8.1347826439859983</v>
      </c>
      <c r="AU979">
        <v>-38.457800687586243</v>
      </c>
      <c r="AV979"/>
      <c r="AW979"/>
      <c r="FY979" s="210">
        <v>974</v>
      </c>
      <c r="FZ979">
        <v>9.6889260664919608</v>
      </c>
      <c r="GA979">
        <v>35.135085452557782</v>
      </c>
      <c r="GB979">
        <v>21.344732481125622</v>
      </c>
      <c r="GC979">
        <v>7.5327752658203906</v>
      </c>
      <c r="GD979">
        <v>5.3048346107764335</v>
      </c>
      <c r="GE979">
        <v>7.7917507309219873</v>
      </c>
      <c r="GF979">
        <v>1.8284447751818487</v>
      </c>
      <c r="GG979">
        <v>1.6441260247105225</v>
      </c>
      <c r="GH979">
        <v>2.7793472542693221</v>
      </c>
      <c r="GI979">
        <v>10.614803883217308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205.74789441285901</v>
      </c>
      <c r="AO980">
        <v>13.088602079540795</v>
      </c>
      <c r="AP980">
        <v>93.12555343196918</v>
      </c>
      <c r="AQ980">
        <v>75.963907233769334</v>
      </c>
      <c r="AR980">
        <v>12.230486544185581</v>
      </c>
      <c r="AS980">
        <v>143.39444416260477</v>
      </c>
      <c r="AT980">
        <v>5.8131782987609109</v>
      </c>
      <c r="AU980">
        <v>-18.747387336474333</v>
      </c>
      <c r="AV980"/>
      <c r="AW980"/>
      <c r="FY980" s="210">
        <v>975</v>
      </c>
      <c r="FZ980">
        <v>4.2800670496224091</v>
      </c>
      <c r="GA980">
        <v>28.030552852058772</v>
      </c>
      <c r="GB980">
        <v>27.744492944160761</v>
      </c>
      <c r="GC980">
        <v>12.181378910583248</v>
      </c>
      <c r="GD980">
        <v>3.8261254721228175</v>
      </c>
      <c r="GE980">
        <v>4.2736756606651447</v>
      </c>
      <c r="GF980">
        <v>5.0502848970796279</v>
      </c>
      <c r="GG980">
        <v>2.9384807235526984</v>
      </c>
      <c r="GH980">
        <v>3.1012085431658845</v>
      </c>
      <c r="GI980">
        <v>11.231212427755171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150.80258031525835</v>
      </c>
      <c r="AO981">
        <v>14.231577460784797</v>
      </c>
      <c r="AP981">
        <v>122.5012174953857</v>
      </c>
      <c r="AQ981">
        <v>94.427135741773085</v>
      </c>
      <c r="AR981">
        <v>13.24753399628724</v>
      </c>
      <c r="AS981">
        <v>128.20251619001297</v>
      </c>
      <c r="AT981">
        <v>6.1436088129620181</v>
      </c>
      <c r="AU981">
        <v>-15.273473797448506</v>
      </c>
      <c r="AV981"/>
      <c r="AW981"/>
      <c r="FY981" s="210">
        <v>976</v>
      </c>
      <c r="FZ981">
        <v>3.7848512999847062</v>
      </c>
      <c r="GA981">
        <v>19.352207483741449</v>
      </c>
      <c r="GB981">
        <v>12.965877735831409</v>
      </c>
      <c r="GC981">
        <v>7.2114350744592199</v>
      </c>
      <c r="GD981">
        <v>5.2940317680350706</v>
      </c>
      <c r="GE981">
        <v>6.4548288053528342</v>
      </c>
      <c r="GF981">
        <v>4.7307511753718456</v>
      </c>
      <c r="GG981">
        <v>1.4206042884147827</v>
      </c>
      <c r="GH981">
        <v>1.161037908745131</v>
      </c>
      <c r="GI981">
        <v>7.8851823164173673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163.8401096448963</v>
      </c>
      <c r="AO982">
        <v>14.342387132668202</v>
      </c>
      <c r="AP982">
        <v>105.60906177896983</v>
      </c>
      <c r="AQ982">
        <v>83.537940249177538</v>
      </c>
      <c r="AR982">
        <v>13.309358266700322</v>
      </c>
      <c r="AS982">
        <v>132.92276454000145</v>
      </c>
      <c r="AT982" t="e">
        <v>#DIV/0!</v>
      </c>
      <c r="AU982" t="e">
        <v>#DIV/0!</v>
      </c>
      <c r="AV982"/>
      <c r="AW982"/>
      <c r="FY982" s="210">
        <v>977</v>
      </c>
      <c r="FZ982">
        <v>4.4171667728553086</v>
      </c>
      <c r="GA982">
        <v>26.243663507873539</v>
      </c>
      <c r="GB982">
        <v>23.459655221944782</v>
      </c>
      <c r="GC982">
        <v>7.7570674058006297</v>
      </c>
      <c r="GD982">
        <v>1.4351772534460787</v>
      </c>
      <c r="GE982">
        <v>3.3345265144200944</v>
      </c>
      <c r="GF982">
        <v>5.6624518273748476</v>
      </c>
      <c r="GG982">
        <v>2.6194871980296712</v>
      </c>
      <c r="GH982">
        <v>1.161037908745131</v>
      </c>
      <c r="GI982">
        <v>8.5827698642631507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142.19296645844554</v>
      </c>
      <c r="AO983">
        <v>10.89242119134216</v>
      </c>
      <c r="AP983">
        <v>86.22171420096862</v>
      </c>
      <c r="AQ983">
        <v>68.837487593335666</v>
      </c>
      <c r="AR983">
        <v>10.192793167903449</v>
      </c>
      <c r="AS983">
        <v>110.17599358609318</v>
      </c>
      <c r="AT983">
        <v>4.902907565940815</v>
      </c>
      <c r="AU983">
        <v>-12.047066733257854</v>
      </c>
      <c r="AV983"/>
      <c r="AW983"/>
      <c r="FY983" s="210">
        <v>978</v>
      </c>
      <c r="FZ983">
        <v>4.0828951024353941</v>
      </c>
      <c r="GA983">
        <v>25.099169725417177</v>
      </c>
      <c r="GB983">
        <v>24.636553930281941</v>
      </c>
      <c r="GC983">
        <v>10.526573999655366</v>
      </c>
      <c r="GD983">
        <v>5.1830608353191199</v>
      </c>
      <c r="GE983">
        <v>8.8322118348699448</v>
      </c>
      <c r="GF983">
        <v>5.4949066933674464</v>
      </c>
      <c r="GG983">
        <v>1.4224046459106283</v>
      </c>
      <c r="GH983">
        <v>2.5225352352083168</v>
      </c>
      <c r="GI983">
        <v>11.177367432322464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224.45583807107246</v>
      </c>
      <c r="AO984">
        <v>15.20518843359029</v>
      </c>
      <c r="AP984">
        <v>118.16302586458541</v>
      </c>
      <c r="AQ984">
        <v>93.552791412614667</v>
      </c>
      <c r="AR984">
        <v>14.019037352178042</v>
      </c>
      <c r="AS984">
        <v>149.65879049644718</v>
      </c>
      <c r="AT984" t="e">
        <v>#DIV/0!</v>
      </c>
      <c r="AU984" t="e">
        <v>#DIV/0!</v>
      </c>
      <c r="AV984"/>
      <c r="AW984"/>
      <c r="FY984" s="210">
        <v>979</v>
      </c>
      <c r="FZ984">
        <v>4.4714361095622674</v>
      </c>
      <c r="GA984">
        <v>22.559493655088801</v>
      </c>
      <c r="GB984">
        <v>18.200838627160415</v>
      </c>
      <c r="GC984">
        <v>9.127857529110214</v>
      </c>
      <c r="GD984">
        <v>4.4174766935310279</v>
      </c>
      <c r="GE984">
        <v>7.0455625319873443</v>
      </c>
      <c r="GF984">
        <v>9.6684664797223618</v>
      </c>
      <c r="GG984">
        <v>1.7505884698086891</v>
      </c>
      <c r="GH984">
        <v>0.64372257779312592</v>
      </c>
      <c r="GI984">
        <v>9.700443849986268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136.83669388636994</v>
      </c>
      <c r="AO985">
        <v>12.282961049949291</v>
      </c>
      <c r="AP985">
        <v>104.55793020488639</v>
      </c>
      <c r="AQ985">
        <v>83.118973498233373</v>
      </c>
      <c r="AR985">
        <v>11.492106109401366</v>
      </c>
      <c r="AS985">
        <v>113.68710061971439</v>
      </c>
      <c r="AT985" t="e">
        <v>#DIV/0!</v>
      </c>
      <c r="AU985" t="e">
        <v>#DIV/0!</v>
      </c>
      <c r="AV985"/>
      <c r="AW985"/>
      <c r="FY985" s="210">
        <v>980</v>
      </c>
      <c r="FZ985">
        <v>1.6864715579282554</v>
      </c>
      <c r="GA985">
        <v>28.054091983349892</v>
      </c>
      <c r="GB985">
        <v>22.709799696867897</v>
      </c>
      <c r="GC985">
        <v>6.6652756602450065</v>
      </c>
      <c r="GD985">
        <v>3.5604193389488064</v>
      </c>
      <c r="GE985">
        <v>7.9554129634130568</v>
      </c>
      <c r="GF985">
        <v>5.2921913520871193</v>
      </c>
      <c r="GG985">
        <v>0.86889872822098235</v>
      </c>
      <c r="GH985">
        <v>1.7434025095326939</v>
      </c>
      <c r="GI985">
        <v>9.2325042767688235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132.5922796562075</v>
      </c>
      <c r="AO986">
        <v>16.882729322375116</v>
      </c>
      <c r="AP986">
        <v>145.62570726314397</v>
      </c>
      <c r="AQ986">
        <v>109.8002077295785</v>
      </c>
      <c r="AR986">
        <v>15.618657025287879</v>
      </c>
      <c r="AS986">
        <v>139.27949810307803</v>
      </c>
      <c r="AT986" t="e">
        <v>#DIV/0!</v>
      </c>
      <c r="AU986" t="e">
        <v>#DIV/0!</v>
      </c>
      <c r="AV986"/>
      <c r="AW986"/>
      <c r="FY986" s="210">
        <v>981</v>
      </c>
      <c r="FZ986">
        <v>1.2728110065813485</v>
      </c>
      <c r="GA986">
        <v>31.82136377540472</v>
      </c>
      <c r="GB986">
        <v>21.969347141909619</v>
      </c>
      <c r="GC986">
        <v>6.3592886765149821</v>
      </c>
      <c r="GD986">
        <v>3.5167283292153697</v>
      </c>
      <c r="GE986">
        <v>6.6112032269621288</v>
      </c>
      <c r="GF986">
        <v>7.1057128136942822</v>
      </c>
      <c r="GG986">
        <v>3.0647303131253056</v>
      </c>
      <c r="GH986">
        <v>3.9403851630144526</v>
      </c>
      <c r="GI986">
        <v>9.6654062053571117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203.53641716880583</v>
      </c>
      <c r="AO987">
        <v>13.306290205083005</v>
      </c>
      <c r="AP987">
        <v>98.43190563845647</v>
      </c>
      <c r="AQ987">
        <v>80.831450167732427</v>
      </c>
      <c r="AR987">
        <v>12.465865826681139</v>
      </c>
      <c r="AS987">
        <v>141.51571956975792</v>
      </c>
      <c r="AT987">
        <v>5.8635816820778262</v>
      </c>
      <c r="AU987">
        <v>-14.540482071461467</v>
      </c>
      <c r="AV987"/>
      <c r="AW987"/>
      <c r="FY987" s="210">
        <v>982</v>
      </c>
      <c r="FZ987">
        <v>1.1814132786716138</v>
      </c>
      <c r="GA987">
        <v>15.549235125073833</v>
      </c>
      <c r="GB987">
        <v>22.727794486329067</v>
      </c>
      <c r="GC987">
        <v>12.040351314955995</v>
      </c>
      <c r="GD987">
        <v>3.6916530832561905</v>
      </c>
      <c r="GE987">
        <v>6.5135576498978036</v>
      </c>
      <c r="GF987">
        <v>7.6671529904095559</v>
      </c>
      <c r="GG987">
        <v>1.6441260247105225</v>
      </c>
      <c r="GH987">
        <v>3.3617118550568845</v>
      </c>
      <c r="GI987">
        <v>9.9777602390188171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170.65420085305286</v>
      </c>
      <c r="AO988">
        <v>14.858249075178687</v>
      </c>
      <c r="AP988">
        <v>115.41434045933936</v>
      </c>
      <c r="AQ988">
        <v>89.704797696309797</v>
      </c>
      <c r="AR988">
        <v>14.097591191607084</v>
      </c>
      <c r="AS988">
        <v>140.76982096182019</v>
      </c>
      <c r="AT988">
        <v>7.558750213729204</v>
      </c>
      <c r="AU988">
        <v>-60.949473292874323</v>
      </c>
      <c r="AV988"/>
      <c r="AW988"/>
      <c r="FY988" s="210">
        <v>983</v>
      </c>
      <c r="FZ988">
        <v>1.033472947926807</v>
      </c>
      <c r="GA988">
        <v>17.434564030685685</v>
      </c>
      <c r="GB988">
        <v>37.037786244990265</v>
      </c>
      <c r="GC988">
        <v>17.183417545477042</v>
      </c>
      <c r="GD988">
        <v>2.8385110551116233</v>
      </c>
      <c r="GE988">
        <v>3.1991978099734695</v>
      </c>
      <c r="GF988">
        <v>2.660399945182506</v>
      </c>
      <c r="GG988">
        <v>2.6212875555255168</v>
      </c>
      <c r="GH988">
        <v>2.7830385470993173</v>
      </c>
      <c r="GI988">
        <v>11.992050262530212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174.69754230074355</v>
      </c>
      <c r="AO989">
        <v>11.724524706084873</v>
      </c>
      <c r="AP989">
        <v>93.876947242351662</v>
      </c>
      <c r="AQ989">
        <v>76.125761027248927</v>
      </c>
      <c r="AR989">
        <v>10.704618473256543</v>
      </c>
      <c r="AS989">
        <v>121.46240783623996</v>
      </c>
      <c r="AT989" t="e">
        <v>#DIV/0!</v>
      </c>
      <c r="AU989" t="e">
        <v>#DIV/0!</v>
      </c>
      <c r="AV989"/>
      <c r="AW989"/>
      <c r="FY989" s="210">
        <v>984</v>
      </c>
      <c r="FZ989">
        <v>6.6503603114400631</v>
      </c>
      <c r="GA989">
        <v>26.535847967465905</v>
      </c>
      <c r="GB989">
        <v>27.642473649273025</v>
      </c>
      <c r="GC989">
        <v>13.10666166691054</v>
      </c>
      <c r="GD989">
        <v>3.930392335209417</v>
      </c>
      <c r="GE989">
        <v>7.3131091632078284</v>
      </c>
      <c r="GF989">
        <v>9.1368729301564588</v>
      </c>
      <c r="GG989">
        <v>2.9366803660568532</v>
      </c>
      <c r="GH989">
        <v>3.4868050190653879</v>
      </c>
      <c r="GI989">
        <v>12.423555214241658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215.51583945614371</v>
      </c>
      <c r="AO990">
        <v>15.894596433578233</v>
      </c>
      <c r="AP990">
        <v>125.98265191925965</v>
      </c>
      <c r="AQ990">
        <v>103.66482654507318</v>
      </c>
      <c r="AR990">
        <v>14.772849193271384</v>
      </c>
      <c r="AS990">
        <v>144.07988521396402</v>
      </c>
      <c r="AT990" t="e">
        <v>#DIV/0!</v>
      </c>
      <c r="AU990" t="e">
        <v>#DIV/0!</v>
      </c>
      <c r="AV990"/>
      <c r="AW990"/>
      <c r="FY990" s="210">
        <v>985</v>
      </c>
      <c r="FZ990">
        <v>1.4167085185516433</v>
      </c>
      <c r="GA990">
        <v>22.418077711482944</v>
      </c>
      <c r="GB990">
        <v>17.30255663316397</v>
      </c>
      <c r="GC990">
        <v>7.7866512485482797</v>
      </c>
      <c r="GD990">
        <v>5.2629146775107358</v>
      </c>
      <c r="GE990">
        <v>7.6542836565506853</v>
      </c>
      <c r="GF990">
        <v>5.9203563883822357</v>
      </c>
      <c r="GG990">
        <v>2.9710588813938639</v>
      </c>
      <c r="GH990">
        <v>4.3976565997935122</v>
      </c>
      <c r="GI990">
        <v>9.3995140341303891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201.01712305271326</v>
      </c>
      <c r="AO991">
        <v>16.880110885519613</v>
      </c>
      <c r="AP991">
        <v>132.99461751119549</v>
      </c>
      <c r="AQ991">
        <v>102.65747948076653</v>
      </c>
      <c r="AR991">
        <v>15.630990337014806</v>
      </c>
      <c r="AS991">
        <v>156.39548872695312</v>
      </c>
      <c r="AT991">
        <v>6.6845951301652287</v>
      </c>
      <c r="AU991">
        <v>-20.784463633383758</v>
      </c>
      <c r="AV991"/>
      <c r="AW991"/>
      <c r="FY991" s="210">
        <v>986</v>
      </c>
      <c r="FZ991">
        <v>11.736934405156637</v>
      </c>
      <c r="GA991">
        <v>30.896876971519116</v>
      </c>
      <c r="GB991">
        <v>24.358473508174047</v>
      </c>
      <c r="GC991">
        <v>10.543878002404862</v>
      </c>
      <c r="GD991">
        <v>3.5230697725719367</v>
      </c>
      <c r="GE991">
        <v>4.5918312725692187</v>
      </c>
      <c r="GF991">
        <v>1.9303398420346187</v>
      </c>
      <c r="GG991">
        <v>3.0665306706211508</v>
      </c>
      <c r="GH991">
        <v>3.5547886871149497</v>
      </c>
      <c r="GI991">
        <v>10.800126504581517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227.94022451795891</v>
      </c>
      <c r="AO992">
        <v>11.771905565372759</v>
      </c>
      <c r="AP992">
        <v>81.144430883786654</v>
      </c>
      <c r="AQ992">
        <v>70.260807856353807</v>
      </c>
      <c r="AR992">
        <v>10.744258512608621</v>
      </c>
      <c r="AS992">
        <v>138.1504388726334</v>
      </c>
      <c r="AT992" t="e">
        <v>#DIV/0!</v>
      </c>
      <c r="AU992" t="e">
        <v>#DIV/0!</v>
      </c>
      <c r="AV992"/>
      <c r="AW992"/>
      <c r="FY992" s="210">
        <v>987</v>
      </c>
      <c r="FZ992">
        <v>4.348986856670793</v>
      </c>
      <c r="GA992">
        <v>23.316562390071223</v>
      </c>
      <c r="GB992">
        <v>24.776779526028342</v>
      </c>
      <c r="GC992">
        <v>11.368078958354779</v>
      </c>
      <c r="GD992">
        <v>3.5979675116399106</v>
      </c>
      <c r="GE992">
        <v>4.1938340826090084</v>
      </c>
      <c r="GF992">
        <v>5.6635266198000602</v>
      </c>
      <c r="GG992">
        <v>4.7234477086983979</v>
      </c>
      <c r="GH992">
        <v>4.0120601238940088</v>
      </c>
      <c r="GI992">
        <v>10.621103812466966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146.67049664620987</v>
      </c>
      <c r="AO993">
        <v>12.893373104475781</v>
      </c>
      <c r="AP993">
        <v>113.05022372858176</v>
      </c>
      <c r="AQ993">
        <v>84.673003474753244</v>
      </c>
      <c r="AR993">
        <v>11.876652339639422</v>
      </c>
      <c r="AS993">
        <v>98.352443073381977</v>
      </c>
      <c r="AT993" t="e">
        <v>#DIV/0!</v>
      </c>
      <c r="AU993" t="e">
        <v>#DIV/0!</v>
      </c>
      <c r="AV993"/>
      <c r="AW993"/>
      <c r="FY993" s="210">
        <v>988</v>
      </c>
      <c r="FZ993">
        <v>4.6669707740201609</v>
      </c>
      <c r="GA993">
        <v>25.568071552829529</v>
      </c>
      <c r="GB993">
        <v>21.525376952751657</v>
      </c>
      <c r="GC993">
        <v>8.3558214206573123</v>
      </c>
      <c r="GD993">
        <v>2.588268385579815</v>
      </c>
      <c r="GE993">
        <v>4.3603169196727745</v>
      </c>
      <c r="GF993">
        <v>5.4949066933674464</v>
      </c>
      <c r="GG993">
        <v>2.9728592388897086</v>
      </c>
      <c r="GH993">
        <v>5.7591539262566984</v>
      </c>
      <c r="GI993">
        <v>9.4980102643967008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289.28264202744322</v>
      </c>
      <c r="AO994">
        <v>16.637393312395112</v>
      </c>
      <c r="AP994">
        <v>122.16901264102476</v>
      </c>
      <c r="AQ994">
        <v>98.977679434787802</v>
      </c>
      <c r="AR994">
        <v>15.402409747942796</v>
      </c>
      <c r="AS994">
        <v>168.71468004883997</v>
      </c>
      <c r="AT994">
        <v>6.892032109211315</v>
      </c>
      <c r="AU994">
        <v>-26.094463236201474</v>
      </c>
      <c r="AV994"/>
      <c r="AW994"/>
      <c r="FY994" s="210">
        <v>989</v>
      </c>
      <c r="FZ994">
        <v>3.6785701457885525</v>
      </c>
      <c r="GA994">
        <v>28.267073994322949</v>
      </c>
      <c r="GB994">
        <v>29.420542801982094</v>
      </c>
      <c r="GC994">
        <v>12.327575524431305</v>
      </c>
      <c r="GD994">
        <v>4.0445046634516029</v>
      </c>
      <c r="GE994">
        <v>5.4670877776175919</v>
      </c>
      <c r="GF994">
        <v>4.3053014803570564</v>
      </c>
      <c r="GG994">
        <v>0.64717734942108796</v>
      </c>
      <c r="GH994">
        <v>2.3294584031502521</v>
      </c>
      <c r="GI994">
        <v>11.40966107443689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226.0203114531781</v>
      </c>
      <c r="AO995">
        <v>14.504550140808695</v>
      </c>
      <c r="AP995">
        <v>107.8712622791648</v>
      </c>
      <c r="AQ995">
        <v>87.585886523750517</v>
      </c>
      <c r="AR995">
        <v>13.201309634676139</v>
      </c>
      <c r="AS995">
        <v>141.27593263680677</v>
      </c>
      <c r="AT995" t="e">
        <v>#DIV/0!</v>
      </c>
      <c r="AU995" t="e">
        <v>#DIV/0!</v>
      </c>
      <c r="AV995"/>
      <c r="AW995"/>
      <c r="FY995" s="210">
        <v>990</v>
      </c>
      <c r="FZ995">
        <v>3.6396848625158613</v>
      </c>
      <c r="GA995">
        <v>24.485795998726974</v>
      </c>
      <c r="GB995">
        <v>24.47800943951292</v>
      </c>
      <c r="GC995">
        <v>11.19240754102341</v>
      </c>
      <c r="GD995">
        <v>4.8997562533544423</v>
      </c>
      <c r="GE995">
        <v>5.0873422627048548</v>
      </c>
      <c r="GF995">
        <v>2.441686497902281</v>
      </c>
      <c r="GG995">
        <v>3.5227644415876638</v>
      </c>
      <c r="GH995">
        <v>3.8766499760115121</v>
      </c>
      <c r="GI995">
        <v>10.551998125459185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233.64753818402491</v>
      </c>
      <c r="AO996">
        <v>13.832108810525762</v>
      </c>
      <c r="AP996">
        <v>112.40162582397465</v>
      </c>
      <c r="AQ996">
        <v>87.768468067362534</v>
      </c>
      <c r="AR996">
        <v>12.660952917665302</v>
      </c>
      <c r="AS996">
        <v>126.93705496780723</v>
      </c>
      <c r="AT996" t="e">
        <v>#DIV/0!</v>
      </c>
      <c r="AU996" t="e">
        <v>#DIV/0!</v>
      </c>
      <c r="AV996"/>
      <c r="AW996"/>
      <c r="FY996" s="210">
        <v>991</v>
      </c>
      <c r="FZ996">
        <v>1.9071352958143695</v>
      </c>
      <c r="GA996">
        <v>29.408361865433186</v>
      </c>
      <c r="GB996">
        <v>24.995768441377226</v>
      </c>
      <c r="GC996">
        <v>7.3553207413947312</v>
      </c>
      <c r="GD996">
        <v>2.2788580243956207</v>
      </c>
      <c r="GE996">
        <v>6.6706797280692331</v>
      </c>
      <c r="GF996">
        <v>8.512956681559686</v>
      </c>
      <c r="GG996">
        <v>3.0665306706211508</v>
      </c>
      <c r="GH996">
        <v>3.8766499760115121</v>
      </c>
      <c r="GI996">
        <v>10.058471405585816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184.21063216894794</v>
      </c>
      <c r="AO997">
        <v>14.490750050005028</v>
      </c>
      <c r="AP997">
        <v>123.60802136231665</v>
      </c>
      <c r="AQ997">
        <v>95.326976651779333</v>
      </c>
      <c r="AR997">
        <v>13.233763420767179</v>
      </c>
      <c r="AS997">
        <v>124.06753201575174</v>
      </c>
      <c r="AT997">
        <v>7.6155094117176612</v>
      </c>
      <c r="AU997">
        <v>-36.034144086501051</v>
      </c>
      <c r="AV997"/>
      <c r="AW997"/>
      <c r="FY997" s="210">
        <v>992</v>
      </c>
      <c r="FZ997">
        <v>7.0438257372619173</v>
      </c>
      <c r="GA997">
        <v>29.832966441926537</v>
      </c>
      <c r="GB997">
        <v>25.516829811302884</v>
      </c>
      <c r="GC997">
        <v>9.7984338500597339</v>
      </c>
      <c r="GD997">
        <v>4.0554464869928024</v>
      </c>
      <c r="GE997">
        <v>6.2589450151013502</v>
      </c>
      <c r="GF997">
        <v>3.0996981613467676</v>
      </c>
      <c r="GG997">
        <v>2.8773874496624217</v>
      </c>
      <c r="GH997">
        <v>3.6901988349974464</v>
      </c>
      <c r="GI997">
        <v>10.950755021290815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204.55926349701946</v>
      </c>
      <c r="AO998">
        <v>14.988203563568316</v>
      </c>
      <c r="AP998">
        <v>107.22415899055542</v>
      </c>
      <c r="AQ998">
        <v>84.354756047380278</v>
      </c>
      <c r="AR998">
        <v>13.636380157572193</v>
      </c>
      <c r="AS998">
        <v>122.43487105701497</v>
      </c>
      <c r="AT998" t="e">
        <v>#DIV/0!</v>
      </c>
      <c r="AU998" t="e">
        <v>#DIV/0!</v>
      </c>
      <c r="AV998"/>
      <c r="AW998"/>
      <c r="FY998" s="210">
        <v>993</v>
      </c>
      <c r="FZ998">
        <v>9.4321667755883318</v>
      </c>
      <c r="GA998">
        <v>34.127539028761731</v>
      </c>
      <c r="GB998">
        <v>33.285679071444683</v>
      </c>
      <c r="GC998">
        <v>15.231794541059823</v>
      </c>
      <c r="GD998">
        <v>4.3840187113283164</v>
      </c>
      <c r="GE998">
        <v>7.2492751371048971</v>
      </c>
      <c r="GF998">
        <v>6.6791883262542804</v>
      </c>
      <c r="GG998">
        <v>2.5130247529315048</v>
      </c>
      <c r="GH998">
        <v>4.5227497638020155</v>
      </c>
      <c r="GI998">
        <v>14.247039147115405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152.30931935890536</v>
      </c>
      <c r="AO999">
        <v>17.992578939573143</v>
      </c>
      <c r="AP999">
        <v>133.75881562644255</v>
      </c>
      <c r="AQ999">
        <v>98.78372594450245</v>
      </c>
      <c r="AR999">
        <v>16.920821793704238</v>
      </c>
      <c r="AS999">
        <v>188.15654966618328</v>
      </c>
      <c r="AT999">
        <v>7.9648147457367076</v>
      </c>
      <c r="AU999">
        <v>-51.267339744831041</v>
      </c>
      <c r="AV999"/>
      <c r="AW999"/>
      <c r="FY999" s="210">
        <v>994</v>
      </c>
      <c r="FZ999">
        <v>1.752500993728181</v>
      </c>
      <c r="GA999">
        <v>21.998569600588812</v>
      </c>
      <c r="GB999">
        <v>22.206408092098243</v>
      </c>
      <c r="GC999">
        <v>8.7682947660385775</v>
      </c>
      <c r="GD999">
        <v>3.8777410965101149</v>
      </c>
      <c r="GE999">
        <v>4.8390518556524729</v>
      </c>
      <c r="GF999">
        <v>4.8844477882297745</v>
      </c>
      <c r="GG999">
        <v>6.0485802078858928</v>
      </c>
      <c r="GH999">
        <v>4.5907334318515778</v>
      </c>
      <c r="GI999">
        <v>9.6667871928025839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227.78253283350199</v>
      </c>
      <c r="AO1000">
        <v>18.614548038288255</v>
      </c>
      <c r="AP1000">
        <v>143.8793114526114</v>
      </c>
      <c r="AQ1000">
        <v>113.16275862302713</v>
      </c>
      <c r="AR1000">
        <v>17.055431175752588</v>
      </c>
      <c r="AS1000">
        <v>173.5825794949497</v>
      </c>
      <c r="AT1000">
        <v>8.3904390225788177</v>
      </c>
      <c r="AU1000">
        <v>-35.131628846569662</v>
      </c>
      <c r="AV1000"/>
      <c r="AW1000"/>
      <c r="FY1000" s="210">
        <v>995</v>
      </c>
      <c r="FZ1000">
        <v>4.1009397475758558</v>
      </c>
      <c r="GA1000">
        <v>29.297270103263003</v>
      </c>
      <c r="GB1000">
        <v>20.716840899551112</v>
      </c>
      <c r="GC1000">
        <v>7.8134891857319868</v>
      </c>
      <c r="GD1000">
        <v>4.8904411843010713</v>
      </c>
      <c r="GE1000">
        <v>9.3846323060635388</v>
      </c>
      <c r="GF1000">
        <v>9.2579400982822584</v>
      </c>
      <c r="GG1000">
        <v>2.0695819953317161</v>
      </c>
      <c r="GH1000">
        <v>1.6796673225297538</v>
      </c>
      <c r="GI1000">
        <v>10.60324418544921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236.60551094043518</v>
      </c>
      <c r="AO1001">
        <v>14.056560914717457</v>
      </c>
      <c r="AP1001">
        <v>102.83972583580285</v>
      </c>
      <c r="AQ1001">
        <v>84.529778349508248</v>
      </c>
      <c r="AR1001">
        <v>12.889677149960884</v>
      </c>
      <c r="AS1001">
        <v>138.08279654757231</v>
      </c>
      <c r="AT1001">
        <v>6.1852447780407047</v>
      </c>
      <c r="AU1001">
        <v>-12.495584718513253</v>
      </c>
      <c r="AV1001"/>
      <c r="AW1001"/>
      <c r="FY1001" s="210">
        <v>996</v>
      </c>
      <c r="FZ1001">
        <v>4.02381782500595</v>
      </c>
      <c r="GA1001">
        <v>36.895366302838291</v>
      </c>
      <c r="GB1001">
        <v>22.111622038863015</v>
      </c>
      <c r="GC1001">
        <v>6.7737399613848446</v>
      </c>
      <c r="GD1001">
        <v>4.1487717885913478</v>
      </c>
      <c r="GE1001">
        <v>4.7626801804752672</v>
      </c>
      <c r="GF1001">
        <v>5.7952683138022003</v>
      </c>
      <c r="GG1001">
        <v>4.4545568011947685</v>
      </c>
      <c r="GH1001">
        <v>4.8446110526985784</v>
      </c>
      <c r="GI1001">
        <v>10.335641808709315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152.98074342820783</v>
      </c>
      <c r="AO1002">
        <v>16.30080143939368</v>
      </c>
      <c r="AP1002">
        <v>131.61489805538443</v>
      </c>
      <c r="AQ1002">
        <v>105.00284963674804</v>
      </c>
      <c r="AR1002">
        <v>15.125532474691754</v>
      </c>
      <c r="AS1002">
        <v>143.23474406335117</v>
      </c>
      <c r="AT1002">
        <v>7.5048171060068753</v>
      </c>
      <c r="AU1002">
        <v>-22.259422846349604</v>
      </c>
      <c r="AV1002"/>
      <c r="AW1002"/>
      <c r="FY1002" s="210">
        <v>997</v>
      </c>
      <c r="FZ1002">
        <v>3.8871085587194276</v>
      </c>
      <c r="GA1002">
        <v>26.313290058400892</v>
      </c>
      <c r="GB1002">
        <v>21.254135062934726</v>
      </c>
      <c r="GC1002">
        <v>7.3063601505866753</v>
      </c>
      <c r="GD1002">
        <v>3.1284471278450927</v>
      </c>
      <c r="GE1002">
        <v>5.7471491999925295</v>
      </c>
      <c r="GF1002">
        <v>4.9483898302268585</v>
      </c>
      <c r="GG1002">
        <v>1.5160760776420703</v>
      </c>
      <c r="GH1002">
        <v>1.8047604865382569</v>
      </c>
      <c r="GI1002">
        <v>8.9280792068240213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176.86365492075021</v>
      </c>
      <c r="AO1003">
        <v>15.967229363863357</v>
      </c>
      <c r="AP1003">
        <v>124.56866162899097</v>
      </c>
      <c r="AQ1003">
        <v>96.622347590233488</v>
      </c>
      <c r="AR1003">
        <v>14.814468709863119</v>
      </c>
      <c r="AS1003">
        <v>132.84955274533212</v>
      </c>
      <c r="AT1003">
        <v>7.2597211526892069</v>
      </c>
      <c r="AU1003">
        <v>-54.975251963127846</v>
      </c>
      <c r="AV1003"/>
      <c r="AW1003"/>
      <c r="FY1003" s="210">
        <v>998</v>
      </c>
      <c r="FZ1003">
        <v>6.3555973371842107</v>
      </c>
      <c r="GA1003">
        <v>33.440034236113519</v>
      </c>
      <c r="GB1003">
        <v>22.156776229419183</v>
      </c>
      <c r="GC1003">
        <v>8.2714154701195213</v>
      </c>
      <c r="GD1003">
        <v>3.2899160491249999</v>
      </c>
      <c r="GE1003">
        <v>2.906341404925199</v>
      </c>
      <c r="GF1003">
        <v>3.8606796840692374</v>
      </c>
      <c r="GG1003">
        <v>2.9384807235526984</v>
      </c>
      <c r="GH1003">
        <v>2.1969826534817587</v>
      </c>
      <c r="GI1003">
        <v>9.421972592447915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171.50186108793065</v>
      </c>
      <c r="AO1004">
        <v>14.011728041673541</v>
      </c>
      <c r="AP1004">
        <v>117.53153862344178</v>
      </c>
      <c r="AQ1004">
        <v>90.7897561284218</v>
      </c>
      <c r="AR1004">
        <v>13.090804492276751</v>
      </c>
      <c r="AS1004">
        <v>130.51042100452014</v>
      </c>
      <c r="AT1004">
        <v>6.9805151868829149</v>
      </c>
      <c r="AU1004">
        <v>-38.682072077121632</v>
      </c>
      <c r="AV1004"/>
      <c r="AW1004"/>
      <c r="FY1004" s="210">
        <v>999</v>
      </c>
      <c r="FZ1004">
        <v>6.4302003771045246</v>
      </c>
      <c r="GA1004">
        <v>25.479106270326422</v>
      </c>
      <c r="GB1004">
        <v>24.643145975684668</v>
      </c>
      <c r="GC1004">
        <v>11.948371033610606</v>
      </c>
      <c r="GD1004">
        <v>4.8312051864719381</v>
      </c>
      <c r="GE1004">
        <v>7.5389415786717855</v>
      </c>
      <c r="GF1004">
        <v>7.4103232218273813</v>
      </c>
      <c r="GG1004">
        <v>5.1343123084570212</v>
      </c>
      <c r="GH1004">
        <v>4.7158265958600811</v>
      </c>
      <c r="GI1004">
        <v>12.060344028221962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194.58171260636664</v>
      </c>
      <c r="AO1005">
        <v>16.955793808062136</v>
      </c>
      <c r="AP1005">
        <v>131.44790498526913</v>
      </c>
      <c r="AQ1005">
        <v>101.89695321495938</v>
      </c>
      <c r="AR1005">
        <v>15.840715205459855</v>
      </c>
      <c r="AS1005">
        <v>163.77086186148733</v>
      </c>
      <c r="AT1005" t="e">
        <v>#DIV/0!</v>
      </c>
      <c r="AU1005" t="e">
        <v>#DIV/0!</v>
      </c>
      <c r="AV1005"/>
      <c r="AW1005"/>
      <c r="FY1005" s="210">
        <v>1000</v>
      </c>
      <c r="FZ1005">
        <v>7.3130818417196561</v>
      </c>
      <c r="GA1005">
        <v>28.980993354014132</v>
      </c>
      <c r="GB1005">
        <v>20.011826708570823</v>
      </c>
      <c r="GC1005">
        <v>7.2047522928942414</v>
      </c>
      <c r="GD1005">
        <v>4.1417400118835914</v>
      </c>
      <c r="GE1005">
        <v>5.9967329069145201</v>
      </c>
      <c r="GF1005">
        <v>3.9465766449221098</v>
      </c>
      <c r="GG1005">
        <v>3.396514852015057</v>
      </c>
      <c r="GH1005">
        <v>2.9761153791573811</v>
      </c>
      <c r="GI1005">
        <v>9.685008905474044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208.21298397036267</v>
      </c>
      <c r="AO1006">
        <v>15.826604531511236</v>
      </c>
      <c r="AP1006">
        <v>117.73938506195131</v>
      </c>
      <c r="AQ1006">
        <v>94.176095398799106</v>
      </c>
      <c r="AR1006">
        <v>14.735527791476239</v>
      </c>
      <c r="AS1006">
        <v>148.48697405614158</v>
      </c>
      <c r="AT1006">
        <v>6.6659618076946794</v>
      </c>
      <c r="AU1006">
        <v>-26.981249891765778</v>
      </c>
      <c r="AV1006"/>
      <c r="AW1006"/>
      <c r="FY1006" s="205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217.36452219035763</v>
      </c>
      <c r="AO1007">
        <v>15.041587455595376</v>
      </c>
      <c r="AP1007">
        <v>130.2761611814353</v>
      </c>
      <c r="AQ1007">
        <v>98.130732830262531</v>
      </c>
      <c r="AR1007">
        <v>13.752813500874895</v>
      </c>
      <c r="AS1007">
        <v>138.30783558746961</v>
      </c>
      <c r="AT1007">
        <v>5.5753202768479531</v>
      </c>
      <c r="AU1007">
        <v>6.4813640928323117</v>
      </c>
      <c r="AV1007"/>
      <c r="AW1007"/>
      <c r="FY1007" s="205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183.57239721408328</v>
      </c>
      <c r="AO1008">
        <v>16.448693132911625</v>
      </c>
      <c r="AP1008">
        <v>130.39597033558198</v>
      </c>
      <c r="AQ1008">
        <v>103.12448680994268</v>
      </c>
      <c r="AR1008">
        <v>15.276139142113118</v>
      </c>
      <c r="AS1008">
        <v>143.93819971048407</v>
      </c>
      <c r="AT1008">
        <v>6.451137462695236</v>
      </c>
      <c r="AU1008">
        <v>-0.99423482069987124</v>
      </c>
      <c r="AV1008"/>
      <c r="AW1008"/>
      <c r="FY1008" s="205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218.40985363490685</v>
      </c>
      <c r="AO1009">
        <v>21.483083324904591</v>
      </c>
      <c r="AP1009">
        <v>168.38316516823946</v>
      </c>
      <c r="AQ1009">
        <v>131.67247525539096</v>
      </c>
      <c r="AR1009">
        <v>19.736673486625296</v>
      </c>
      <c r="AS1009">
        <v>174.55766503267171</v>
      </c>
      <c r="AT1009" t="e">
        <v>#DIV/0!</v>
      </c>
      <c r="AU1009" t="e">
        <v>#DIV/0!</v>
      </c>
      <c r="AV1009"/>
      <c r="AW1009"/>
      <c r="FY1009" s="205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190.01543854231244</v>
      </c>
      <c r="AO1010">
        <v>14.4432348764251</v>
      </c>
      <c r="AP1010">
        <v>113.26789111413078</v>
      </c>
      <c r="AQ1010">
        <v>88.633115025386232</v>
      </c>
      <c r="AR1010">
        <v>13.474666556627795</v>
      </c>
      <c r="AS1010">
        <v>134.19120988309714</v>
      </c>
      <c r="AT1010">
        <v>6.4083576043654169</v>
      </c>
      <c r="AU1010">
        <v>-24.80263321381252</v>
      </c>
      <c r="AV1010"/>
      <c r="AW1010"/>
      <c r="FY1010" s="205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289.80923339214598</v>
      </c>
      <c r="AO1011">
        <v>15.886186520410737</v>
      </c>
      <c r="AP1011">
        <v>123.221545736008</v>
      </c>
      <c r="AQ1011">
        <v>99.814047028079514</v>
      </c>
      <c r="AR1011">
        <v>14.433505942620009</v>
      </c>
      <c r="AS1011">
        <v>174.58040364207454</v>
      </c>
      <c r="AT1011">
        <v>6.6007991105257089</v>
      </c>
      <c r="AU1011">
        <v>-17.045333478877421</v>
      </c>
      <c r="AV1011"/>
      <c r="AW1011"/>
      <c r="FY1011" s="205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203.99862393457096</v>
      </c>
      <c r="AO1012">
        <v>15.359216334809409</v>
      </c>
      <c r="AP1012">
        <v>132.99651843038092</v>
      </c>
      <c r="AQ1012">
        <v>104.14607607356358</v>
      </c>
      <c r="AR1012">
        <v>14.277687961458192</v>
      </c>
      <c r="AS1012">
        <v>153.45076166996108</v>
      </c>
      <c r="AT1012">
        <v>6.8577379246577737</v>
      </c>
      <c r="AU1012">
        <v>-17.764732322980816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171.06537363799532</v>
      </c>
      <c r="AO1013">
        <v>13.409540013897404</v>
      </c>
      <c r="AP1013">
        <v>109.51481910662015</v>
      </c>
      <c r="AQ1013">
        <v>84.833795759710554</v>
      </c>
      <c r="AR1013">
        <v>12.366467668516698</v>
      </c>
      <c r="AS1013">
        <v>121.8207369725769</v>
      </c>
      <c r="AT1013">
        <v>5.5920471419768658</v>
      </c>
      <c r="AU1013">
        <v>-21.021199500242052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150.87783361624824</v>
      </c>
      <c r="AO1014">
        <v>14.16609310673484</v>
      </c>
      <c r="AP1014">
        <v>120.98178706081714</v>
      </c>
      <c r="AQ1014">
        <v>94.838196380438234</v>
      </c>
      <c r="AR1014">
        <v>13.050471088262693</v>
      </c>
      <c r="AS1014">
        <v>125.29389855963701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232.06425131507586</v>
      </c>
      <c r="AO1015">
        <v>18.24175036459361</v>
      </c>
      <c r="AP1015">
        <v>137.31048750734337</v>
      </c>
      <c r="AQ1015">
        <v>110.19177657623639</v>
      </c>
      <c r="AR1015">
        <v>16.691013934114611</v>
      </c>
      <c r="AS1015">
        <v>151.53778879648064</v>
      </c>
      <c r="AT1015">
        <v>7.3636464569537736</v>
      </c>
      <c r="AU1015">
        <v>-14.368714807179428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202.74000809887178</v>
      </c>
      <c r="AO1016">
        <v>14.417663909603082</v>
      </c>
      <c r="AP1016">
        <v>116.37652113701263</v>
      </c>
      <c r="AQ1016">
        <v>93.653342897565551</v>
      </c>
      <c r="AR1016">
        <v>13.483203569676801</v>
      </c>
      <c r="AS1016">
        <v>146.83732804554779</v>
      </c>
      <c r="AT1016">
        <v>6.9961116532549887</v>
      </c>
      <c r="AU1016">
        <v>-29.540052475075985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2011-01-11T21:23:49Z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