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5" yWindow="0" windowWidth="17805" windowHeight="757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FQ7" i="1"/>
  <c r="FU16"/>
  <c r="FU15"/>
  <c r="FU14"/>
  <c r="FU13"/>
  <c r="FU12"/>
  <c r="FU11"/>
  <c r="FU10"/>
  <c r="FU9"/>
  <c r="FU8"/>
  <c r="FU7"/>
  <c r="FS16"/>
  <c r="FS15"/>
  <c r="FS14"/>
  <c r="FS13"/>
  <c r="FS12"/>
  <c r="FS11"/>
  <c r="FS10"/>
  <c r="FS9"/>
  <c r="FS8"/>
  <c r="FS7"/>
  <c r="FQ8"/>
  <c r="FQ9"/>
  <c r="FQ10"/>
  <c r="FQ11"/>
  <c r="FQ12"/>
  <c r="FQ13"/>
  <c r="FQ14"/>
  <c r="FQ15"/>
  <c r="FQ16"/>
  <c r="H422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FM16"/>
  <c r="FK16"/>
  <c r="FI16"/>
  <c r="FH16"/>
  <c r="FM15"/>
  <c r="FK15"/>
  <c r="FI15"/>
  <c r="FH15"/>
  <c r="FM14"/>
  <c r="FK14"/>
  <c r="FI14"/>
  <c r="FH14"/>
  <c r="FM13"/>
  <c r="FK13"/>
  <c r="FI13"/>
  <c r="FH13"/>
  <c r="FM12"/>
  <c r="FK12"/>
  <c r="FI12"/>
  <c r="FH12"/>
  <c r="FM11"/>
  <c r="FK11"/>
  <c r="FI11"/>
  <c r="FH11"/>
  <c r="FM10"/>
  <c r="FK10"/>
  <c r="FI10"/>
  <c r="FH10"/>
  <c r="FM9"/>
  <c r="FK9"/>
  <c r="FI9"/>
  <c r="FH9"/>
  <c r="FM8"/>
  <c r="FK8"/>
  <c r="FI8"/>
  <c r="FH8"/>
  <c r="FM7"/>
  <c r="FK7"/>
  <c r="FI7"/>
  <c r="FH7"/>
  <c r="GI4"/>
  <c r="GH4"/>
  <c r="GG4"/>
  <c r="GF4"/>
  <c r="GE4"/>
  <c r="GD4"/>
  <c r="GC4"/>
  <c r="GB4"/>
  <c r="GA4"/>
  <c r="FZ4"/>
  <c r="CX117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J36"/>
  <c r="E463" s="1"/>
  <c r="K36"/>
  <c r="E465" s="1"/>
  <c r="L36"/>
  <c r="E467" s="1"/>
  <c r="M36"/>
  <c r="E469" s="1"/>
  <c r="N36"/>
  <c r="E471" s="1"/>
  <c r="O36"/>
  <c r="O372" s="1"/>
  <c r="O381" s="1"/>
  <c r="P36"/>
  <c r="P372" s="1"/>
  <c r="P374" s="1"/>
  <c r="Q36"/>
  <c r="R36"/>
  <c r="E479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AD372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J372"/>
  <c r="J376" s="1"/>
  <c r="N372"/>
  <c r="N382" s="1"/>
  <c r="U372"/>
  <c r="U374" s="1"/>
  <c r="U378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EK20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P198"/>
  <c r="FU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EK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EK19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/>
  <c r="EA189"/>
  <c r="FK189" s="1"/>
  <c r="DZ189"/>
  <c r="FJ189" s="1"/>
  <c r="DY189"/>
  <c r="FI189" s="1"/>
  <c r="DX189"/>
  <c r="FH189"/>
  <c r="DW189"/>
  <c r="FG189" s="1"/>
  <c r="DV189"/>
  <c r="FF189"/>
  <c r="DU189"/>
  <c r="FE189" s="1"/>
  <c r="DT189"/>
  <c r="FD189"/>
  <c r="DS189"/>
  <c r="FC189" s="1"/>
  <c r="DR189"/>
  <c r="FB189" s="1"/>
  <c r="DQ189"/>
  <c r="FA189" s="1"/>
  <c r="DP189"/>
  <c r="EZ189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/>
  <c r="DM188"/>
  <c r="EW188"/>
  <c r="DL188"/>
  <c r="EV188"/>
  <c r="DK188"/>
  <c r="EU188"/>
  <c r="DJ188"/>
  <c r="ET188"/>
  <c r="DI188"/>
  <c r="ES188"/>
  <c r="DH188"/>
  <c r="ER188"/>
  <c r="DG188"/>
  <c r="EQ188"/>
  <c r="DD188"/>
  <c r="DE188" s="1"/>
  <c r="DC188"/>
  <c r="CZ188"/>
  <c r="CM188"/>
  <c r="CL188"/>
  <c r="CK188"/>
  <c r="AY188"/>
  <c r="B188"/>
  <c r="CX187"/>
  <c r="CZ187"/>
  <c r="DZ187" s="1"/>
  <c r="DH187"/>
  <c r="DP187"/>
  <c r="EZ187" s="1"/>
  <c r="DV187"/>
  <c r="ED187"/>
  <c r="EH187"/>
  <c r="FR187" s="1"/>
  <c r="DD187"/>
  <c r="BA187"/>
  <c r="CM187"/>
  <c r="CL187"/>
  <c r="CK187"/>
  <c r="AY187"/>
  <c r="B183"/>
  <c r="CX186"/>
  <c r="CZ186"/>
  <c r="DJ186"/>
  <c r="DN186"/>
  <c r="DO186"/>
  <c r="DP186"/>
  <c r="DQ186"/>
  <c r="FA186" s="1"/>
  <c r="DR186"/>
  <c r="DS186"/>
  <c r="DT186"/>
  <c r="FD186" s="1"/>
  <c r="DU186"/>
  <c r="DV186"/>
  <c r="DW186"/>
  <c r="DX186"/>
  <c r="DY186"/>
  <c r="FI186" s="1"/>
  <c r="DZ186"/>
  <c r="EA186"/>
  <c r="FK186" s="1"/>
  <c r="EB186"/>
  <c r="EC186"/>
  <c r="FM186" s="1"/>
  <c r="ED186"/>
  <c r="EE186"/>
  <c r="FO186" s="1"/>
  <c r="EF186"/>
  <c r="EG186"/>
  <c r="EH186"/>
  <c r="EI186"/>
  <c r="EJ186"/>
  <c r="DD186"/>
  <c r="BA186"/>
  <c r="CM186"/>
  <c r="CL186"/>
  <c r="CK186"/>
  <c r="AY186"/>
  <c r="B179"/>
  <c r="CX185"/>
  <c r="CZ185"/>
  <c r="DK185"/>
  <c r="DO185"/>
  <c r="DS185"/>
  <c r="DW185"/>
  <c r="EA185"/>
  <c r="EC185"/>
  <c r="EE185"/>
  <c r="FO185" s="1"/>
  <c r="DD185"/>
  <c r="DE185"/>
  <c r="DC185"/>
  <c r="BA185"/>
  <c r="CM185" s="1"/>
  <c r="CL185"/>
  <c r="CK185"/>
  <c r="AY185"/>
  <c r="B185"/>
  <c r="CX184"/>
  <c r="CZ184"/>
  <c r="DF184"/>
  <c r="DL184"/>
  <c r="DT184"/>
  <c r="FD184" s="1"/>
  <c r="EA184"/>
  <c r="EI184"/>
  <c r="FS184" s="1"/>
  <c r="DD184"/>
  <c r="BA184"/>
  <c r="CM184"/>
  <c r="CL184"/>
  <c r="CK184"/>
  <c r="AY184"/>
  <c r="B182"/>
  <c r="CX183"/>
  <c r="CZ183"/>
  <c r="DH183"/>
  <c r="DL183"/>
  <c r="DP183"/>
  <c r="EZ183" s="1"/>
  <c r="DR183"/>
  <c r="DT183"/>
  <c r="FD183" s="1"/>
  <c r="DZ183"/>
  <c r="EF183"/>
  <c r="EH183"/>
  <c r="EJ183"/>
  <c r="DD183"/>
  <c r="DC183" s="1"/>
  <c r="DE183"/>
  <c r="BA183"/>
  <c r="CM183" s="1"/>
  <c r="CL183"/>
  <c r="CK183"/>
  <c r="AY183"/>
  <c r="B178"/>
  <c r="CX182"/>
  <c r="CZ182"/>
  <c r="DF182"/>
  <c r="DG182"/>
  <c r="DH182"/>
  <c r="DI182"/>
  <c r="ES182" s="1"/>
  <c r="DJ182"/>
  <c r="DK182"/>
  <c r="DL182"/>
  <c r="DM182"/>
  <c r="DN182"/>
  <c r="DO182"/>
  <c r="DP182"/>
  <c r="DQ182"/>
  <c r="DR182"/>
  <c r="DS182"/>
  <c r="DT182"/>
  <c r="FD182" s="1"/>
  <c r="DU182"/>
  <c r="DV182"/>
  <c r="DW182"/>
  <c r="DX182"/>
  <c r="DY182"/>
  <c r="DZ182"/>
  <c r="EA182"/>
  <c r="EB182"/>
  <c r="EC182"/>
  <c r="ED182"/>
  <c r="EE182"/>
  <c r="FO182" s="1"/>
  <c r="EF182"/>
  <c r="FP182" s="1"/>
  <c r="EG182"/>
  <c r="EH182"/>
  <c r="FR182" s="1"/>
  <c r="EI182"/>
  <c r="FS182" s="1"/>
  <c r="EJ182"/>
  <c r="DD182"/>
  <c r="BA182"/>
  <c r="CM182"/>
  <c r="CL182"/>
  <c r="CK182"/>
  <c r="AY182"/>
  <c r="B186"/>
  <c r="CX181"/>
  <c r="CZ181"/>
  <c r="DO181"/>
  <c r="DQ181"/>
  <c r="DS181"/>
  <c r="DU181"/>
  <c r="DW181"/>
  <c r="DY181"/>
  <c r="EA181"/>
  <c r="EC181"/>
  <c r="EE181"/>
  <c r="FO181" s="1"/>
  <c r="EG181"/>
  <c r="EI181"/>
  <c r="DD181"/>
  <c r="DE181"/>
  <c r="DC181"/>
  <c r="BA181"/>
  <c r="CM181" s="1"/>
  <c r="CL181"/>
  <c r="CK181"/>
  <c r="AY181"/>
  <c r="B187"/>
  <c r="CX180"/>
  <c r="CZ180"/>
  <c r="DF180"/>
  <c r="DH180"/>
  <c r="DJ180"/>
  <c r="DK180"/>
  <c r="DN180"/>
  <c r="DP180"/>
  <c r="DQ180"/>
  <c r="FA180" s="1"/>
  <c r="DR180"/>
  <c r="DS180"/>
  <c r="DU180"/>
  <c r="DV180"/>
  <c r="DX180"/>
  <c r="FH180" s="1"/>
  <c r="DY180"/>
  <c r="DZ180"/>
  <c r="EA180"/>
  <c r="EC180"/>
  <c r="ED180"/>
  <c r="EF180"/>
  <c r="EG180"/>
  <c r="EH180"/>
  <c r="FR180" s="1"/>
  <c r="EI180"/>
  <c r="DD180"/>
  <c r="DE180" s="1"/>
  <c r="DC180"/>
  <c r="BA180"/>
  <c r="CM180" s="1"/>
  <c r="CL180"/>
  <c r="CK180"/>
  <c r="AY180"/>
  <c r="B180"/>
  <c r="CX179"/>
  <c r="CZ179"/>
  <c r="DP179"/>
  <c r="DR179"/>
  <c r="EF179"/>
  <c r="EH179"/>
  <c r="DD179"/>
  <c r="DC179" s="1"/>
  <c r="BA179"/>
  <c r="CM179"/>
  <c r="CL179"/>
  <c r="CK179"/>
  <c r="AY179"/>
  <c r="B184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FH178" s="1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1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68"/>
  <c r="CZ176"/>
  <c r="DK176"/>
  <c r="DM176"/>
  <c r="DS176"/>
  <c r="DU176"/>
  <c r="EA176"/>
  <c r="EC176"/>
  <c r="FM176" s="1"/>
  <c r="EI176"/>
  <c r="DD176"/>
  <c r="DE176"/>
  <c r="DC176"/>
  <c r="BA176"/>
  <c r="CM176" s="1"/>
  <c r="CL176"/>
  <c r="CK176"/>
  <c r="AY176"/>
  <c r="B175"/>
  <c r="CZ175"/>
  <c r="DH175"/>
  <c r="DJ175"/>
  <c r="DL175"/>
  <c r="DP175"/>
  <c r="DR175"/>
  <c r="DT175"/>
  <c r="FD175" s="1"/>
  <c r="DX175"/>
  <c r="DZ175"/>
  <c r="EB175"/>
  <c r="EF175"/>
  <c r="EH175"/>
  <c r="EJ175"/>
  <c r="DD175"/>
  <c r="DC175" s="1"/>
  <c r="DE175"/>
  <c r="BA175"/>
  <c r="CM175" s="1"/>
  <c r="CL175"/>
  <c r="CK175"/>
  <c r="AY175"/>
  <c r="B169"/>
  <c r="CZ174"/>
  <c r="DG174"/>
  <c r="DI174"/>
  <c r="ES174" s="1"/>
  <c r="DK174"/>
  <c r="DM174"/>
  <c r="EW174" s="1"/>
  <c r="DO174"/>
  <c r="DQ174"/>
  <c r="DR174"/>
  <c r="DS174"/>
  <c r="FC174" s="1"/>
  <c r="DT174"/>
  <c r="FD174" s="1"/>
  <c r="DU174"/>
  <c r="DV174"/>
  <c r="DW174"/>
  <c r="DX174"/>
  <c r="DY174"/>
  <c r="FI174" s="1"/>
  <c r="DZ174"/>
  <c r="EA174"/>
  <c r="FK174" s="1"/>
  <c r="EB174"/>
  <c r="FL174" s="1"/>
  <c r="EC174"/>
  <c r="FM174" s="1"/>
  <c r="ED174"/>
  <c r="EE174"/>
  <c r="FO174" s="1"/>
  <c r="EF174"/>
  <c r="EG174"/>
  <c r="EH174"/>
  <c r="EI174"/>
  <c r="EJ174"/>
  <c r="DD174"/>
  <c r="DE174" s="1"/>
  <c r="DC174"/>
  <c r="BA174"/>
  <c r="CM174" s="1"/>
  <c r="CL174"/>
  <c r="CK174"/>
  <c r="AY174"/>
  <c r="B177"/>
  <c r="CZ173"/>
  <c r="DF173"/>
  <c r="DG173"/>
  <c r="DH173"/>
  <c r="DI173"/>
  <c r="ES173" s="1"/>
  <c r="DJ173"/>
  <c r="DK173"/>
  <c r="DL173"/>
  <c r="DM173"/>
  <c r="EW173" s="1"/>
  <c r="DN173"/>
  <c r="EX173" s="1"/>
  <c r="DO173"/>
  <c r="DP173"/>
  <c r="DQ173"/>
  <c r="DR173"/>
  <c r="DS173"/>
  <c r="DT173"/>
  <c r="FD173" s="1"/>
  <c r="DU173"/>
  <c r="DV173"/>
  <c r="DW173"/>
  <c r="DX173"/>
  <c r="FH173" s="1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0"/>
  <c r="CZ172"/>
  <c r="DD172"/>
  <c r="DE172" s="1"/>
  <c r="DC172"/>
  <c r="BA172"/>
  <c r="CM172" s="1"/>
  <c r="CL172"/>
  <c r="CK172"/>
  <c r="AY172"/>
  <c r="B171"/>
  <c r="CX171"/>
  <c r="CZ171"/>
  <c r="DF171"/>
  <c r="DH171"/>
  <c r="DJ171"/>
  <c r="ET171" s="1"/>
  <c r="DL171"/>
  <c r="DN171"/>
  <c r="DP171"/>
  <c r="DR171"/>
  <c r="DT171"/>
  <c r="FD171" s="1"/>
  <c r="DV171"/>
  <c r="DX171"/>
  <c r="DZ171"/>
  <c r="EB171"/>
  <c r="ED171"/>
  <c r="EF171"/>
  <c r="EH171"/>
  <c r="FR171" s="1"/>
  <c r="EJ171"/>
  <c r="DD171"/>
  <c r="BA171"/>
  <c r="CM171"/>
  <c r="CL171"/>
  <c r="CK171"/>
  <c r="AY171"/>
  <c r="B173"/>
  <c r="CX170"/>
  <c r="CZ170"/>
  <c r="DF170"/>
  <c r="DG170"/>
  <c r="EQ170" s="1"/>
  <c r="DH170"/>
  <c r="DI170"/>
  <c r="ES170" s="1"/>
  <c r="DJ170"/>
  <c r="DK170"/>
  <c r="DL170"/>
  <c r="DM170"/>
  <c r="DN170"/>
  <c r="DO170"/>
  <c r="DP170"/>
  <c r="DQ170"/>
  <c r="FA170" s="1"/>
  <c r="DR170"/>
  <c r="DS170"/>
  <c r="DT170"/>
  <c r="FD170" s="1"/>
  <c r="DU170"/>
  <c r="DV170"/>
  <c r="DW170"/>
  <c r="DX170"/>
  <c r="DY170"/>
  <c r="FI170" s="1"/>
  <c r="DZ170"/>
  <c r="EA170"/>
  <c r="FK170" s="1"/>
  <c r="EB170"/>
  <c r="EC170"/>
  <c r="FM170" s="1"/>
  <c r="ED170"/>
  <c r="EE170"/>
  <c r="FO170" s="1"/>
  <c r="EF170"/>
  <c r="EG170"/>
  <c r="EH170"/>
  <c r="EI170"/>
  <c r="FS170" s="1"/>
  <c r="EJ170"/>
  <c r="DD170"/>
  <c r="DC170" s="1"/>
  <c r="DE170"/>
  <c r="BA170"/>
  <c r="CM170"/>
  <c r="CL170"/>
  <c r="CK170"/>
  <c r="AY170"/>
  <c r="B172"/>
  <c r="CZ169"/>
  <c r="DI169" s="1"/>
  <c r="ES169" s="1"/>
  <c r="DG169"/>
  <c r="DK169"/>
  <c r="DO169"/>
  <c r="DS169"/>
  <c r="DW169"/>
  <c r="EA169"/>
  <c r="FK169" s="1"/>
  <c r="EE169"/>
  <c r="FO169" s="1"/>
  <c r="EI169"/>
  <c r="DD169"/>
  <c r="DE169" s="1"/>
  <c r="DC169"/>
  <c r="BA169"/>
  <c r="CM169"/>
  <c r="CL169"/>
  <c r="CK169"/>
  <c r="AY169"/>
  <c r="B176"/>
  <c r="CX168"/>
  <c r="CZ168"/>
  <c r="DZ168" s="1"/>
  <c r="DJ168"/>
  <c r="DP168"/>
  <c r="EF168"/>
  <c r="DD168"/>
  <c r="DC168" s="1"/>
  <c r="DE168"/>
  <c r="CL168"/>
  <c r="CK168"/>
  <c r="AY168"/>
  <c r="B174"/>
  <c r="CX167"/>
  <c r="CZ167"/>
  <c r="DZ167" s="1"/>
  <c r="DJ167"/>
  <c r="ET167" s="1"/>
  <c r="DK167"/>
  <c r="DP167"/>
  <c r="DU167"/>
  <c r="EA167"/>
  <c r="FK167" s="1"/>
  <c r="EF167"/>
  <c r="DD167"/>
  <c r="DE167" s="1"/>
  <c r="DC167"/>
  <c r="BA167"/>
  <c r="CM167"/>
  <c r="CL167"/>
  <c r="CK167"/>
  <c r="AY167"/>
  <c r="B161"/>
  <c r="CW166"/>
  <c r="CX166"/>
  <c r="CZ166"/>
  <c r="DF166"/>
  <c r="DK166"/>
  <c r="DP166"/>
  <c r="DQ166"/>
  <c r="FA166" s="1"/>
  <c r="DV166"/>
  <c r="EA166"/>
  <c r="EF166"/>
  <c r="EG166"/>
  <c r="DD166"/>
  <c r="BA166"/>
  <c r="CM166"/>
  <c r="CL166"/>
  <c r="CK166"/>
  <c r="AY166"/>
  <c r="B163"/>
  <c r="CZ165"/>
  <c r="DF165"/>
  <c r="DG165"/>
  <c r="DH165"/>
  <c r="DI165"/>
  <c r="ES165" s="1"/>
  <c r="DJ165"/>
  <c r="DK165"/>
  <c r="DL165"/>
  <c r="DM165"/>
  <c r="EW165" s="1"/>
  <c r="DN165"/>
  <c r="DO165"/>
  <c r="DP165"/>
  <c r="DQ165"/>
  <c r="FA165" s="1"/>
  <c r="DR165"/>
  <c r="DS165"/>
  <c r="DT165"/>
  <c r="FD165" s="1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DD165"/>
  <c r="DE165"/>
  <c r="DC165"/>
  <c r="BA165"/>
  <c r="CM165"/>
  <c r="CL165"/>
  <c r="CK165"/>
  <c r="AY165"/>
  <c r="B160"/>
  <c r="CZ164"/>
  <c r="DJ164" s="1"/>
  <c r="DF164"/>
  <c r="DG164"/>
  <c r="DH164"/>
  <c r="DI164"/>
  <c r="ES164" s="1"/>
  <c r="DK164"/>
  <c r="DL164"/>
  <c r="DN164"/>
  <c r="DO164"/>
  <c r="DP164"/>
  <c r="DQ164"/>
  <c r="FA164" s="1"/>
  <c r="DS164"/>
  <c r="DT164"/>
  <c r="FD164" s="1"/>
  <c r="DV164"/>
  <c r="DW164"/>
  <c r="DX164"/>
  <c r="FH164" s="1"/>
  <c r="DY164"/>
  <c r="EA164"/>
  <c r="EB164"/>
  <c r="ED164"/>
  <c r="EE164"/>
  <c r="FO164" s="1"/>
  <c r="EF164"/>
  <c r="EG164"/>
  <c r="EI164"/>
  <c r="EJ164"/>
  <c r="DD164"/>
  <c r="DE164" s="1"/>
  <c r="DC164"/>
  <c r="BA164"/>
  <c r="CM164"/>
  <c r="CL164"/>
  <c r="CK164"/>
  <c r="AY164"/>
  <c r="B159"/>
  <c r="CZ163"/>
  <c r="DF163"/>
  <c r="DG163"/>
  <c r="EQ163" s="1"/>
  <c r="DH163"/>
  <c r="DI163"/>
  <c r="ES163" s="1"/>
  <c r="DJ163"/>
  <c r="DK163"/>
  <c r="DL163"/>
  <c r="DM163"/>
  <c r="DN163"/>
  <c r="DO163"/>
  <c r="DP163"/>
  <c r="DQ163"/>
  <c r="FA163" s="1"/>
  <c r="DR163"/>
  <c r="DS163"/>
  <c r="DT163"/>
  <c r="FD163" s="1"/>
  <c r="DU163"/>
  <c r="DV163"/>
  <c r="DW163"/>
  <c r="FG163" s="1"/>
  <c r="DX163"/>
  <c r="DY163"/>
  <c r="FI163" s="1"/>
  <c r="DZ163"/>
  <c r="EA163"/>
  <c r="FK163" s="1"/>
  <c r="EB163"/>
  <c r="EC163"/>
  <c r="FM163" s="1"/>
  <c r="ED163"/>
  <c r="EE163"/>
  <c r="FO163" s="1"/>
  <c r="EF163"/>
  <c r="EG163"/>
  <c r="EH163"/>
  <c r="EI163"/>
  <c r="FS163" s="1"/>
  <c r="EJ163"/>
  <c r="DD163"/>
  <c r="BA163"/>
  <c r="CM163"/>
  <c r="CL163"/>
  <c r="CK163"/>
  <c r="AY163"/>
  <c r="B165"/>
  <c r="CZ162"/>
  <c r="DF162"/>
  <c r="DG162"/>
  <c r="DH162"/>
  <c r="DI162"/>
  <c r="ES162" s="1"/>
  <c r="DJ162"/>
  <c r="DK162"/>
  <c r="DL162"/>
  <c r="DM162"/>
  <c r="EW162" s="1"/>
  <c r="DN162"/>
  <c r="EX162" s="1"/>
  <c r="DO162"/>
  <c r="DP162"/>
  <c r="DQ162"/>
  <c r="DR162"/>
  <c r="DS162"/>
  <c r="DT162"/>
  <c r="FD162" s="1"/>
  <c r="DU162"/>
  <c r="DV162"/>
  <c r="DW162"/>
  <c r="DX162"/>
  <c r="FH162" s="1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4"/>
  <c r="CX161"/>
  <c r="CZ161"/>
  <c r="DP161"/>
  <c r="DV161"/>
  <c r="DD161"/>
  <c r="BA161"/>
  <c r="CM161"/>
  <c r="CL161"/>
  <c r="CK161"/>
  <c r="AY161"/>
  <c r="B162"/>
  <c r="CW160"/>
  <c r="CX160"/>
  <c r="CZ160"/>
  <c r="EB160"/>
  <c r="ED160"/>
  <c r="DD160"/>
  <c r="DC160" s="1"/>
  <c r="DE160"/>
  <c r="BA160"/>
  <c r="CM160"/>
  <c r="CL160"/>
  <c r="CK160"/>
  <c r="AY160"/>
  <c r="B166"/>
  <c r="CX159"/>
  <c r="DH159" s="1"/>
  <c r="CZ159"/>
  <c r="DG159"/>
  <c r="DJ159"/>
  <c r="DN159"/>
  <c r="DO159"/>
  <c r="DP159"/>
  <c r="DQ159"/>
  <c r="FA159" s="1"/>
  <c r="DR159"/>
  <c r="DS159"/>
  <c r="DT159"/>
  <c r="FD159" s="1"/>
  <c r="DU159"/>
  <c r="DV159"/>
  <c r="DW159"/>
  <c r="DX159"/>
  <c r="DY159"/>
  <c r="DZ159"/>
  <c r="EA159"/>
  <c r="EB159"/>
  <c r="EC159"/>
  <c r="ED159"/>
  <c r="EE159"/>
  <c r="FO159" s="1"/>
  <c r="EF159"/>
  <c r="EG159"/>
  <c r="EH159"/>
  <c r="FR159" s="1"/>
  <c r="EI159"/>
  <c r="EJ159"/>
  <c r="DD159"/>
  <c r="DE159"/>
  <c r="DC159"/>
  <c r="CL159"/>
  <c r="CK159"/>
  <c r="AY159"/>
  <c r="B167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FD158" s="1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58"/>
  <c r="CZ157"/>
  <c r="DF157"/>
  <c r="DH157"/>
  <c r="DJ157"/>
  <c r="DL157"/>
  <c r="DN157"/>
  <c r="DP157"/>
  <c r="DR157"/>
  <c r="DT157"/>
  <c r="FD157" s="1"/>
  <c r="DV157"/>
  <c r="DX157"/>
  <c r="FH157" s="1"/>
  <c r="DZ157"/>
  <c r="EB157"/>
  <c r="ED157"/>
  <c r="EF157"/>
  <c r="EH157"/>
  <c r="EJ157"/>
  <c r="DD157"/>
  <c r="DC157" s="1"/>
  <c r="DE157"/>
  <c r="BA157"/>
  <c r="CM157" s="1"/>
  <c r="CL157"/>
  <c r="CK157"/>
  <c r="AY157"/>
  <c r="B154"/>
  <c r="CX156"/>
  <c r="DI156" s="1"/>
  <c r="ES156" s="1"/>
  <c r="CZ156"/>
  <c r="DF156"/>
  <c r="DG156"/>
  <c r="DH156"/>
  <c r="DJ156"/>
  <c r="DL156"/>
  <c r="DN156"/>
  <c r="DO156"/>
  <c r="DP156"/>
  <c r="DQ156"/>
  <c r="DR156"/>
  <c r="DS156"/>
  <c r="DT156"/>
  <c r="FD156" s="1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51"/>
  <c r="CZ155"/>
  <c r="DK155" s="1"/>
  <c r="DG155"/>
  <c r="DO155"/>
  <c r="DW155"/>
  <c r="EE155"/>
  <c r="FO155" s="1"/>
  <c r="DD155"/>
  <c r="DE155"/>
  <c r="DC155"/>
  <c r="BA155"/>
  <c r="CM155" s="1"/>
  <c r="CL155"/>
  <c r="CK155"/>
  <c r="AY155"/>
  <c r="B153"/>
  <c r="CZ154"/>
  <c r="DG154" s="1"/>
  <c r="DF154"/>
  <c r="DH154"/>
  <c r="DJ154"/>
  <c r="ET154" s="1"/>
  <c r="DL154"/>
  <c r="DN154"/>
  <c r="EX154" s="1"/>
  <c r="DP154"/>
  <c r="DR154"/>
  <c r="DT154"/>
  <c r="FD154" s="1"/>
  <c r="DV154"/>
  <c r="DX154"/>
  <c r="DZ154"/>
  <c r="EB154"/>
  <c r="ED154"/>
  <c r="EF154"/>
  <c r="EH154"/>
  <c r="FR154" s="1"/>
  <c r="EJ154"/>
  <c r="DD154"/>
  <c r="DC154" s="1"/>
  <c r="DE154"/>
  <c r="BA154"/>
  <c r="CM154"/>
  <c r="CL154"/>
  <c r="CK154"/>
  <c r="AY154"/>
  <c r="B157"/>
  <c r="CZ153"/>
  <c r="DG153"/>
  <c r="DI153"/>
  <c r="ES153" s="1"/>
  <c r="DK153"/>
  <c r="DM153"/>
  <c r="DO153"/>
  <c r="DQ153"/>
  <c r="FA153" s="1"/>
  <c r="DS153"/>
  <c r="DU153"/>
  <c r="DW153"/>
  <c r="DY153"/>
  <c r="EA153"/>
  <c r="EC153"/>
  <c r="FM153" s="1"/>
  <c r="EE153"/>
  <c r="EG153"/>
  <c r="EI153"/>
  <c r="DD153"/>
  <c r="DE153"/>
  <c r="DC153"/>
  <c r="BA153"/>
  <c r="CM153" s="1"/>
  <c r="CL153"/>
  <c r="CK153"/>
  <c r="AY153"/>
  <c r="B155"/>
  <c r="CZ152"/>
  <c r="DG152" s="1"/>
  <c r="DF152"/>
  <c r="DH152"/>
  <c r="DJ152"/>
  <c r="DL152"/>
  <c r="DN152"/>
  <c r="DP152"/>
  <c r="DR152"/>
  <c r="DT152"/>
  <c r="FD152" s="1"/>
  <c r="DV152"/>
  <c r="DX152"/>
  <c r="FH152" s="1"/>
  <c r="DZ152"/>
  <c r="EB152"/>
  <c r="ED152"/>
  <c r="EF152"/>
  <c r="EH152"/>
  <c r="EJ152"/>
  <c r="DD152"/>
  <c r="DC152" s="1"/>
  <c r="DE152"/>
  <c r="BA152"/>
  <c r="CM152"/>
  <c r="CL152"/>
  <c r="CK152"/>
  <c r="AY152"/>
  <c r="B152"/>
  <c r="CZ151"/>
  <c r="DK151" s="1"/>
  <c r="DG151"/>
  <c r="EQ151" s="1"/>
  <c r="DO151"/>
  <c r="DW151"/>
  <c r="EE151"/>
  <c r="DD151"/>
  <c r="DE151"/>
  <c r="DC151"/>
  <c r="BA151"/>
  <c r="CM151" s="1"/>
  <c r="CL151"/>
  <c r="CK151"/>
  <c r="AY151"/>
  <c r="B148"/>
  <c r="CZ150"/>
  <c r="DG150" s="1"/>
  <c r="EQ150" s="1"/>
  <c r="DF150"/>
  <c r="DH150"/>
  <c r="DJ150"/>
  <c r="DL150"/>
  <c r="DN150"/>
  <c r="DP150"/>
  <c r="DR150"/>
  <c r="DT150"/>
  <c r="FD150" s="1"/>
  <c r="DV150"/>
  <c r="DX150"/>
  <c r="DZ150"/>
  <c r="EB150"/>
  <c r="FL150" s="1"/>
  <c r="ED150"/>
  <c r="EF150"/>
  <c r="FP150" s="1"/>
  <c r="EH150"/>
  <c r="EJ150"/>
  <c r="DD150"/>
  <c r="DC150" s="1"/>
  <c r="DE150"/>
  <c r="BA150"/>
  <c r="CM150"/>
  <c r="CL150"/>
  <c r="CK150"/>
  <c r="AY150"/>
  <c r="B150"/>
  <c r="CW149"/>
  <c r="CX149"/>
  <c r="CZ149"/>
  <c r="DF149"/>
  <c r="DH149"/>
  <c r="DJ149"/>
  <c r="DL149"/>
  <c r="DN149"/>
  <c r="DP149"/>
  <c r="EZ149" s="1"/>
  <c r="DR149"/>
  <c r="DT149"/>
  <c r="FD149" s="1"/>
  <c r="DV149"/>
  <c r="DX149"/>
  <c r="DZ149"/>
  <c r="EB149"/>
  <c r="ED149"/>
  <c r="EF149"/>
  <c r="EH149"/>
  <c r="EJ149"/>
  <c r="DD149"/>
  <c r="CM149"/>
  <c r="CL149"/>
  <c r="CK149"/>
  <c r="AY149"/>
  <c r="B149"/>
  <c r="CZ148"/>
  <c r="DF148"/>
  <c r="DJ148"/>
  <c r="ET148" s="1"/>
  <c r="DN148"/>
  <c r="DR148"/>
  <c r="DV148"/>
  <c r="DZ148"/>
  <c r="ED148"/>
  <c r="EH148"/>
  <c r="DD148"/>
  <c r="CL148"/>
  <c r="CK148"/>
  <c r="AY148"/>
  <c r="B156"/>
  <c r="CZ147"/>
  <c r="DF147"/>
  <c r="DH147"/>
  <c r="DJ147"/>
  <c r="DL147"/>
  <c r="DN147"/>
  <c r="DP147"/>
  <c r="DR147"/>
  <c r="DT147"/>
  <c r="FD147" s="1"/>
  <c r="DV147"/>
  <c r="DX147"/>
  <c r="DZ147"/>
  <c r="EB147"/>
  <c r="FL147" s="1"/>
  <c r="ED147"/>
  <c r="EF147"/>
  <c r="EH147"/>
  <c r="EJ147"/>
  <c r="DD147"/>
  <c r="BA147"/>
  <c r="CM147"/>
  <c r="CL147"/>
  <c r="CK147"/>
  <c r="AY147"/>
  <c r="B147"/>
  <c r="CX146"/>
  <c r="CZ146"/>
  <c r="DG146" s="1"/>
  <c r="DF146"/>
  <c r="DH146"/>
  <c r="DJ146"/>
  <c r="ET146" s="1"/>
  <c r="DL146"/>
  <c r="DN146"/>
  <c r="EX146" s="1"/>
  <c r="DP146"/>
  <c r="DR146"/>
  <c r="DT146"/>
  <c r="FD146" s="1"/>
  <c r="DV146"/>
  <c r="DX146"/>
  <c r="DZ146"/>
  <c r="EB146"/>
  <c r="ED146"/>
  <c r="EF146"/>
  <c r="EH146"/>
  <c r="FR146" s="1"/>
  <c r="EJ146"/>
  <c r="DD146"/>
  <c r="DC146" s="1"/>
  <c r="DE146"/>
  <c r="BA146"/>
  <c r="CM146"/>
  <c r="CL146"/>
  <c r="CK146"/>
  <c r="AY146"/>
  <c r="B140"/>
  <c r="CX145"/>
  <c r="CZ145"/>
  <c r="DI145"/>
  <c r="ES145" s="1"/>
  <c r="DM145"/>
  <c r="EW145" s="1"/>
  <c r="DN145"/>
  <c r="EX145" s="1"/>
  <c r="DO145"/>
  <c r="DP145"/>
  <c r="DQ145"/>
  <c r="FA145" s="1"/>
  <c r="DR145"/>
  <c r="DS145"/>
  <c r="DT145"/>
  <c r="FD145" s="1"/>
  <c r="DU145"/>
  <c r="DV145"/>
  <c r="DW145"/>
  <c r="DX145"/>
  <c r="FH145" s="1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39"/>
  <c r="CX144"/>
  <c r="CZ144"/>
  <c r="DG144"/>
  <c r="EQ144" s="1"/>
  <c r="DK144"/>
  <c r="DO144"/>
  <c r="DS144"/>
  <c r="DW144"/>
  <c r="FG144" s="1"/>
  <c r="EA144"/>
  <c r="EE144"/>
  <c r="EI144"/>
  <c r="DD144"/>
  <c r="DE144"/>
  <c r="DC144"/>
  <c r="BA144"/>
  <c r="CM144" s="1"/>
  <c r="CL144"/>
  <c r="CK144"/>
  <c r="AY144"/>
  <c r="B138"/>
  <c r="CZ143"/>
  <c r="DG143" s="1"/>
  <c r="EQ143" s="1"/>
  <c r="DF143"/>
  <c r="DH143"/>
  <c r="DJ143"/>
  <c r="DL143"/>
  <c r="DN143"/>
  <c r="DP143"/>
  <c r="DR143"/>
  <c r="DT143"/>
  <c r="FD143" s="1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6"/>
  <c r="CX142"/>
  <c r="CZ142"/>
  <c r="DI142"/>
  <c r="ES142" s="1"/>
  <c r="DM142"/>
  <c r="DN142"/>
  <c r="DO142"/>
  <c r="DP142"/>
  <c r="DQ142"/>
  <c r="FA142" s="1"/>
  <c r="DR142"/>
  <c r="DS142"/>
  <c r="FC142" s="1"/>
  <c r="DT142"/>
  <c r="FD142" s="1"/>
  <c r="DU142"/>
  <c r="DV142"/>
  <c r="DW142"/>
  <c r="DX142"/>
  <c r="DY142"/>
  <c r="DZ142"/>
  <c r="EA142"/>
  <c r="EB142"/>
  <c r="EC142"/>
  <c r="ED142"/>
  <c r="EE142"/>
  <c r="FO142" s="1"/>
  <c r="EF142"/>
  <c r="FP142" s="1"/>
  <c r="EG142"/>
  <c r="EH142"/>
  <c r="FR142" s="1"/>
  <c r="EI142"/>
  <c r="FS142" s="1"/>
  <c r="EJ142"/>
  <c r="DD142"/>
  <c r="DE142"/>
  <c r="DC142"/>
  <c r="BA142"/>
  <c r="CM142"/>
  <c r="CL142"/>
  <c r="CK142"/>
  <c r="AY142"/>
  <c r="B145"/>
  <c r="CW141"/>
  <c r="CX141"/>
  <c r="CZ141"/>
  <c r="DI141"/>
  <c r="ES141" s="1"/>
  <c r="DM141"/>
  <c r="EW141" s="1"/>
  <c r="DO141"/>
  <c r="DQ141"/>
  <c r="DS141"/>
  <c r="DU141"/>
  <c r="DW141"/>
  <c r="DY141"/>
  <c r="FI141" s="1"/>
  <c r="EA141"/>
  <c r="EC141"/>
  <c r="EE141"/>
  <c r="FO141" s="1"/>
  <c r="EG141"/>
  <c r="EI141"/>
  <c r="DD141"/>
  <c r="DE141"/>
  <c r="DC141"/>
  <c r="BA141"/>
  <c r="CM141"/>
  <c r="CL141"/>
  <c r="CK141"/>
  <c r="AY141"/>
  <c r="B144"/>
  <c r="CW140"/>
  <c r="CX140"/>
  <c r="CZ140"/>
  <c r="DO140"/>
  <c r="DQ140"/>
  <c r="FA140" s="1"/>
  <c r="DS140"/>
  <c r="DU140"/>
  <c r="DW140"/>
  <c r="DY140"/>
  <c r="EA140"/>
  <c r="EC140"/>
  <c r="EE140"/>
  <c r="FO140" s="1"/>
  <c r="EG140"/>
  <c r="EI140"/>
  <c r="DD140"/>
  <c r="DE140"/>
  <c r="DC140"/>
  <c r="BA140"/>
  <c r="CM140"/>
  <c r="CL140"/>
  <c r="CK140"/>
  <c r="AY140"/>
  <c r="B143"/>
  <c r="CZ139"/>
  <c r="DJ139" s="1"/>
  <c r="ET139" s="1"/>
  <c r="DF139"/>
  <c r="DG139"/>
  <c r="DH139"/>
  <c r="DI139"/>
  <c r="ES139" s="1"/>
  <c r="DK139"/>
  <c r="DL139"/>
  <c r="DN139"/>
  <c r="DO139"/>
  <c r="DP139"/>
  <c r="DQ139"/>
  <c r="DS139"/>
  <c r="DT139"/>
  <c r="FD139" s="1"/>
  <c r="DV139"/>
  <c r="DW139"/>
  <c r="DX139"/>
  <c r="DY139"/>
  <c r="EA139"/>
  <c r="EB139"/>
  <c r="ED139"/>
  <c r="EE139"/>
  <c r="FO139" s="1"/>
  <c r="EF139"/>
  <c r="EG139"/>
  <c r="EI139"/>
  <c r="EJ139"/>
  <c r="DD139"/>
  <c r="DE139" s="1"/>
  <c r="DC139"/>
  <c r="BA139"/>
  <c r="CM139"/>
  <c r="CL139"/>
  <c r="CK139"/>
  <c r="AY139"/>
  <c r="B142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1"/>
  <c r="CZ137"/>
  <c r="DF137"/>
  <c r="DG137"/>
  <c r="EQ137" s="1"/>
  <c r="DH137"/>
  <c r="DI137"/>
  <c r="ES137" s="1"/>
  <c r="DJ137"/>
  <c r="DK137"/>
  <c r="DL137"/>
  <c r="DM137"/>
  <c r="DN137"/>
  <c r="DO137"/>
  <c r="DP137"/>
  <c r="DQ137"/>
  <c r="FA137" s="1"/>
  <c r="DR137"/>
  <c r="DS137"/>
  <c r="DT137"/>
  <c r="FD137" s="1"/>
  <c r="DU137"/>
  <c r="DV137"/>
  <c r="DW137"/>
  <c r="DX137"/>
  <c r="DY137"/>
  <c r="FI137" s="1"/>
  <c r="DZ137"/>
  <c r="EA137"/>
  <c r="FK137" s="1"/>
  <c r="EB137"/>
  <c r="EC137"/>
  <c r="FM137" s="1"/>
  <c r="ED137"/>
  <c r="EE137"/>
  <c r="FO137" s="1"/>
  <c r="EF137"/>
  <c r="EG137"/>
  <c r="EH137"/>
  <c r="EI137"/>
  <c r="FS137" s="1"/>
  <c r="EJ137"/>
  <c r="DD137"/>
  <c r="DE137"/>
  <c r="DC137"/>
  <c r="BA137"/>
  <c r="CM137" s="1"/>
  <c r="CL137"/>
  <c r="CK137"/>
  <c r="AY137"/>
  <c r="B131"/>
  <c r="CZ136"/>
  <c r="DG136" s="1"/>
  <c r="DF136"/>
  <c r="DH136"/>
  <c r="DJ136"/>
  <c r="DL136"/>
  <c r="DN136"/>
  <c r="DP136"/>
  <c r="DR136"/>
  <c r="DT136"/>
  <c r="FD136" s="1"/>
  <c r="DV136"/>
  <c r="DX136"/>
  <c r="FH136" s="1"/>
  <c r="DZ136"/>
  <c r="EB136"/>
  <c r="ED136"/>
  <c r="EF136"/>
  <c r="EH136"/>
  <c r="EJ136"/>
  <c r="DD136"/>
  <c r="DC136" s="1"/>
  <c r="DE136"/>
  <c r="BA136"/>
  <c r="CM136"/>
  <c r="CL136"/>
  <c r="CK136"/>
  <c r="AY136"/>
  <c r="B129"/>
  <c r="CW135"/>
  <c r="CX135"/>
  <c r="CZ135"/>
  <c r="DF135"/>
  <c r="DH135"/>
  <c r="DJ135"/>
  <c r="DL135"/>
  <c r="DN135"/>
  <c r="DP135"/>
  <c r="DR135"/>
  <c r="DT135"/>
  <c r="FD135" s="1"/>
  <c r="DV135"/>
  <c r="DX135"/>
  <c r="DZ135"/>
  <c r="EB135"/>
  <c r="ED135"/>
  <c r="EF135"/>
  <c r="EH135"/>
  <c r="FR135" s="1"/>
  <c r="EJ135"/>
  <c r="DD135"/>
  <c r="DC135" s="1"/>
  <c r="BA135"/>
  <c r="CM135"/>
  <c r="CL135"/>
  <c r="CK135"/>
  <c r="AY135"/>
  <c r="B137"/>
  <c r="CW134"/>
  <c r="CX134"/>
  <c r="CZ134"/>
  <c r="DF134"/>
  <c r="DJ134"/>
  <c r="DN134"/>
  <c r="EX134" s="1"/>
  <c r="DR134"/>
  <c r="DV134"/>
  <c r="DZ134"/>
  <c r="ED134"/>
  <c r="EH134"/>
  <c r="DD134"/>
  <c r="DC134" s="1"/>
  <c r="BA134"/>
  <c r="CM134"/>
  <c r="CL134"/>
  <c r="CK134"/>
  <c r="AY134"/>
  <c r="B136"/>
  <c r="CZ133"/>
  <c r="DG133" s="1"/>
  <c r="DD133"/>
  <c r="DE133"/>
  <c r="DC133"/>
  <c r="BA133"/>
  <c r="CM133" s="1"/>
  <c r="CL133"/>
  <c r="CK133"/>
  <c r="AY133"/>
  <c r="B135"/>
  <c r="CX132"/>
  <c r="CZ132"/>
  <c r="DF132"/>
  <c r="EP132" s="1"/>
  <c r="DH132"/>
  <c r="DJ132"/>
  <c r="DL132"/>
  <c r="DN132"/>
  <c r="EX132" s="1"/>
  <c r="DP132"/>
  <c r="DR132"/>
  <c r="DT132"/>
  <c r="FD132" s="1"/>
  <c r="DV132"/>
  <c r="DX132"/>
  <c r="DZ132"/>
  <c r="EB132"/>
  <c r="ED132"/>
  <c r="EF132"/>
  <c r="EH132"/>
  <c r="FR132" s="1"/>
  <c r="EJ132"/>
  <c r="DD132"/>
  <c r="BA132"/>
  <c r="CM132" s="1"/>
  <c r="CL132"/>
  <c r="CK132"/>
  <c r="AY132"/>
  <c r="B130"/>
  <c r="CZ131"/>
  <c r="DF131"/>
  <c r="EP131" s="1"/>
  <c r="DG131"/>
  <c r="DH131"/>
  <c r="DI131"/>
  <c r="ES131" s="1"/>
  <c r="DJ131"/>
  <c r="DK131"/>
  <c r="DL131"/>
  <c r="DM131"/>
  <c r="EW131" s="1"/>
  <c r="DN131"/>
  <c r="DO131"/>
  <c r="DP131"/>
  <c r="DQ131"/>
  <c r="FA131" s="1"/>
  <c r="DR131"/>
  <c r="DS131"/>
  <c r="DT131"/>
  <c r="FD131" s="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3"/>
  <c r="CX130"/>
  <c r="DG130" s="1"/>
  <c r="CZ130"/>
  <c r="DI130"/>
  <c r="ES130" s="1"/>
  <c r="DM130"/>
  <c r="EW130" s="1"/>
  <c r="DQ130"/>
  <c r="DU130"/>
  <c r="DY130"/>
  <c r="EC130"/>
  <c r="EG130"/>
  <c r="DD130"/>
  <c r="DE130"/>
  <c r="DC130"/>
  <c r="BA130"/>
  <c r="CM130" s="1"/>
  <c r="CL130"/>
  <c r="CK130"/>
  <c r="AY130"/>
  <c r="B132"/>
  <c r="CX129"/>
  <c r="CZ129"/>
  <c r="DH129" s="1"/>
  <c r="DF129"/>
  <c r="DJ129"/>
  <c r="DN129"/>
  <c r="EX129" s="1"/>
  <c r="DR129"/>
  <c r="DV129"/>
  <c r="DZ129"/>
  <c r="ED129"/>
  <c r="EH129"/>
  <c r="DD129"/>
  <c r="BA129"/>
  <c r="CM129" s="1"/>
  <c r="CL129"/>
  <c r="CK129"/>
  <c r="AY129"/>
  <c r="B128"/>
  <c r="CW128"/>
  <c r="CX128"/>
  <c r="CZ128"/>
  <c r="DH128"/>
  <c r="DL128"/>
  <c r="DP128"/>
  <c r="DT128"/>
  <c r="DX128"/>
  <c r="EB128"/>
  <c r="EF128"/>
  <c r="EJ128"/>
  <c r="DD128"/>
  <c r="CL128"/>
  <c r="CK128"/>
  <c r="AY128"/>
  <c r="B134"/>
  <c r="CX127"/>
  <c r="CZ127"/>
  <c r="DD127"/>
  <c r="DE127"/>
  <c r="DC127"/>
  <c r="BA127"/>
  <c r="CM127" s="1"/>
  <c r="CL127"/>
  <c r="CK127"/>
  <c r="AY127"/>
  <c r="B126"/>
  <c r="CX126"/>
  <c r="CZ126"/>
  <c r="DF126"/>
  <c r="DH126"/>
  <c r="DJ126"/>
  <c r="DL126"/>
  <c r="DN126"/>
  <c r="EX126" s="1"/>
  <c r="DP126"/>
  <c r="DR126"/>
  <c r="DT126"/>
  <c r="FD126" s="1"/>
  <c r="DV126"/>
  <c r="DX126"/>
  <c r="DZ126"/>
  <c r="EB126"/>
  <c r="ED126"/>
  <c r="EF126"/>
  <c r="EH126"/>
  <c r="FR126" s="1"/>
  <c r="EJ126"/>
  <c r="DD126"/>
  <c r="BA126"/>
  <c r="CM126" s="1"/>
  <c r="CL126"/>
  <c r="CK126"/>
  <c r="AY126"/>
  <c r="B127"/>
  <c r="CX125"/>
  <c r="CZ125"/>
  <c r="DG125" s="1"/>
  <c r="DF125"/>
  <c r="DH125"/>
  <c r="DJ125"/>
  <c r="DL125"/>
  <c r="DN125"/>
  <c r="DP125"/>
  <c r="DR125"/>
  <c r="DT125"/>
  <c r="FD125" s="1"/>
  <c r="DV125"/>
  <c r="DX125"/>
  <c r="DZ125"/>
  <c r="EB125"/>
  <c r="ED125"/>
  <c r="EF125"/>
  <c r="EH125"/>
  <c r="FR125" s="1"/>
  <c r="EJ125"/>
  <c r="DD125"/>
  <c r="DC125" s="1"/>
  <c r="BA125"/>
  <c r="CM125"/>
  <c r="CL125"/>
  <c r="CK125"/>
  <c r="AY125"/>
  <c r="B120"/>
  <c r="CX124"/>
  <c r="DI124" s="1"/>
  <c r="ES124" s="1"/>
  <c r="CZ124"/>
  <c r="DN124"/>
  <c r="DO124"/>
  <c r="DP124"/>
  <c r="DQ124"/>
  <c r="DR124"/>
  <c r="DS124"/>
  <c r="DT124"/>
  <c r="FD124" s="1"/>
  <c r="DU124"/>
  <c r="DV124"/>
  <c r="DW124"/>
  <c r="DX124"/>
  <c r="DY124"/>
  <c r="FI124" s="1"/>
  <c r="DZ124"/>
  <c r="EA124"/>
  <c r="FK124" s="1"/>
  <c r="EB124"/>
  <c r="EC124"/>
  <c r="FM124" s="1"/>
  <c r="ED124"/>
  <c r="EE124"/>
  <c r="FO124" s="1"/>
  <c r="EF124"/>
  <c r="EG124"/>
  <c r="EH124"/>
  <c r="EI124"/>
  <c r="FS124" s="1"/>
  <c r="EJ124"/>
  <c r="DD124"/>
  <c r="DE124"/>
  <c r="DC124"/>
  <c r="BA124"/>
  <c r="CM124"/>
  <c r="CL124"/>
  <c r="CK124"/>
  <c r="AY124"/>
  <c r="B122"/>
  <c r="CX123"/>
  <c r="CZ123"/>
  <c r="DD123"/>
  <c r="DE123"/>
  <c r="DC123"/>
  <c r="BA123"/>
  <c r="CM123" s="1"/>
  <c r="CL123"/>
  <c r="CK123"/>
  <c r="AY123"/>
  <c r="B125"/>
  <c r="CX122"/>
  <c r="CZ122"/>
  <c r="DF122"/>
  <c r="EP122" s="1"/>
  <c r="DH122"/>
  <c r="DJ122"/>
  <c r="DL122"/>
  <c r="DN122"/>
  <c r="DP122"/>
  <c r="DR122"/>
  <c r="DT122"/>
  <c r="FD122" s="1"/>
  <c r="DV122"/>
  <c r="DX122"/>
  <c r="FH122" s="1"/>
  <c r="DZ122"/>
  <c r="EB122"/>
  <c r="ED122"/>
  <c r="EF122"/>
  <c r="EH122"/>
  <c r="EJ122"/>
  <c r="DD122"/>
  <c r="BA122"/>
  <c r="CM122" s="1"/>
  <c r="CL122"/>
  <c r="CK122"/>
  <c r="AY122"/>
  <c r="B119"/>
  <c r="CW121"/>
  <c r="CX121"/>
  <c r="CZ121"/>
  <c r="DD121"/>
  <c r="BA121"/>
  <c r="CM121"/>
  <c r="CL121"/>
  <c r="CK121"/>
  <c r="AY121"/>
  <c r="B118"/>
  <c r="CZ120"/>
  <c r="DF120"/>
  <c r="DG120"/>
  <c r="DH120"/>
  <c r="DI120"/>
  <c r="ES120" s="1"/>
  <c r="DJ120"/>
  <c r="ET120" s="1"/>
  <c r="DK120"/>
  <c r="DL120"/>
  <c r="DM120"/>
  <c r="DN120"/>
  <c r="DO120"/>
  <c r="DP120"/>
  <c r="DQ120"/>
  <c r="DR120"/>
  <c r="DS120"/>
  <c r="DT120"/>
  <c r="FD120" s="1"/>
  <c r="DU120"/>
  <c r="DV120"/>
  <c r="DW120"/>
  <c r="DX120"/>
  <c r="DY120"/>
  <c r="DZ120"/>
  <c r="EA120"/>
  <c r="EB120"/>
  <c r="EC120"/>
  <c r="ED120"/>
  <c r="EE120"/>
  <c r="FO120" s="1"/>
  <c r="EF120"/>
  <c r="EG120"/>
  <c r="EH120"/>
  <c r="FR120" s="1"/>
  <c r="EI120"/>
  <c r="EJ120"/>
  <c r="DD120"/>
  <c r="DE120"/>
  <c r="DC120"/>
  <c r="BA120"/>
  <c r="CM120"/>
  <c r="CL120"/>
  <c r="CK120"/>
  <c r="AY120"/>
  <c r="B123"/>
  <c r="CW119"/>
  <c r="CX119"/>
  <c r="DG119" s="1"/>
  <c r="CZ119"/>
  <c r="DI119"/>
  <c r="ES119" s="1"/>
  <c r="DM119"/>
  <c r="EW119" s="1"/>
  <c r="DO119"/>
  <c r="DQ119"/>
  <c r="FA119" s="1"/>
  <c r="DS119"/>
  <c r="DU119"/>
  <c r="DW119"/>
  <c r="DY119"/>
  <c r="FI119" s="1"/>
  <c r="EA119"/>
  <c r="EC119"/>
  <c r="EE119"/>
  <c r="FO119" s="1"/>
  <c r="EG119"/>
  <c r="EI119"/>
  <c r="DD119"/>
  <c r="DE119"/>
  <c r="DC119"/>
  <c r="BA119"/>
  <c r="CM119"/>
  <c r="CL119"/>
  <c r="CK119"/>
  <c r="AY119"/>
  <c r="B124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1"/>
  <c r="CZ117"/>
  <c r="DI117" s="1"/>
  <c r="ES117" s="1"/>
  <c r="DG117"/>
  <c r="DK117"/>
  <c r="DO117"/>
  <c r="DS117"/>
  <c r="DW117"/>
  <c r="EA117"/>
  <c r="FK117" s="1"/>
  <c r="EE117"/>
  <c r="FO117" s="1"/>
  <c r="EI117"/>
  <c r="DD117"/>
  <c r="DE117"/>
  <c r="DC117"/>
  <c r="BA117"/>
  <c r="CM117" s="1"/>
  <c r="CL117"/>
  <c r="CK117"/>
  <c r="AY117"/>
  <c r="B117"/>
  <c r="CZ116"/>
  <c r="DG116" s="1"/>
  <c r="DF116"/>
  <c r="DH116"/>
  <c r="DJ116"/>
  <c r="DL116"/>
  <c r="DN116"/>
  <c r="DP116"/>
  <c r="DR116"/>
  <c r="DT116"/>
  <c r="FD116" s="1"/>
  <c r="DV116"/>
  <c r="DX116"/>
  <c r="DZ116"/>
  <c r="EB116"/>
  <c r="ED116"/>
  <c r="EF116"/>
  <c r="EH116"/>
  <c r="EJ116"/>
  <c r="DD116"/>
  <c r="DC116" s="1"/>
  <c r="BA116"/>
  <c r="CM116"/>
  <c r="CL116"/>
  <c r="CK116"/>
  <c r="AY116"/>
  <c r="B115"/>
  <c r="CZ115"/>
  <c r="DI115"/>
  <c r="ES115" s="1"/>
  <c r="DM115"/>
  <c r="EW115" s="1"/>
  <c r="DQ115"/>
  <c r="FA115" s="1"/>
  <c r="DU115"/>
  <c r="DY115"/>
  <c r="EC115"/>
  <c r="EG115"/>
  <c r="DD115"/>
  <c r="DE115"/>
  <c r="DC115"/>
  <c r="BA115"/>
  <c r="CM115" s="1"/>
  <c r="CL115"/>
  <c r="CK115"/>
  <c r="AY115"/>
  <c r="B111"/>
  <c r="CZ114"/>
  <c r="DG114" s="1"/>
  <c r="DF114"/>
  <c r="DH114"/>
  <c r="DJ114"/>
  <c r="DL114"/>
  <c r="DN114"/>
  <c r="DP114"/>
  <c r="DR114"/>
  <c r="DT114"/>
  <c r="FD114" s="1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10"/>
  <c r="CZ113"/>
  <c r="DI113" s="1"/>
  <c r="ES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2"/>
  <c r="CZ112"/>
  <c r="DG112" s="1"/>
  <c r="DF112"/>
  <c r="DH112"/>
  <c r="DJ112"/>
  <c r="ET112" s="1"/>
  <c r="DL112"/>
  <c r="DN112"/>
  <c r="DP112"/>
  <c r="DR112"/>
  <c r="DT112"/>
  <c r="FD112" s="1"/>
  <c r="DV112"/>
  <c r="DX112"/>
  <c r="DZ112"/>
  <c r="EB112"/>
  <c r="ED112"/>
  <c r="EF112"/>
  <c r="EH112"/>
  <c r="FR112" s="1"/>
  <c r="EJ112"/>
  <c r="DD112"/>
  <c r="DC112" s="1"/>
  <c r="BA112"/>
  <c r="CM112"/>
  <c r="CL112"/>
  <c r="CK112"/>
  <c r="AY112"/>
  <c r="B109"/>
  <c r="CZ111"/>
  <c r="DI111"/>
  <c r="ES111" s="1"/>
  <c r="DM111"/>
  <c r="DQ111"/>
  <c r="DU111"/>
  <c r="DY111"/>
  <c r="FI111" s="1"/>
  <c r="EC111"/>
  <c r="EG111"/>
  <c r="DD111"/>
  <c r="DE111"/>
  <c r="DC111"/>
  <c r="BA111"/>
  <c r="CM111" s="1"/>
  <c r="CL111"/>
  <c r="CK111"/>
  <c r="AY111"/>
  <c r="B108"/>
  <c r="CZ110"/>
  <c r="DG110" s="1"/>
  <c r="DF110"/>
  <c r="DH110"/>
  <c r="DJ110"/>
  <c r="ET110" s="1"/>
  <c r="DL110"/>
  <c r="DN110"/>
  <c r="EX110" s="1"/>
  <c r="DP110"/>
  <c r="DR110"/>
  <c r="DT110"/>
  <c r="FD110" s="1"/>
  <c r="DV110"/>
  <c r="DX110"/>
  <c r="DZ110"/>
  <c r="EB110"/>
  <c r="ED110"/>
  <c r="EF110"/>
  <c r="EH110"/>
  <c r="FR110" s="1"/>
  <c r="EJ110"/>
  <c r="DD110"/>
  <c r="DC110" s="1"/>
  <c r="DE110"/>
  <c r="BA110"/>
  <c r="CM110"/>
  <c r="CL110"/>
  <c r="CK110"/>
  <c r="AY110"/>
  <c r="B114"/>
  <c r="CZ109"/>
  <c r="DI109" s="1"/>
  <c r="ES109" s="1"/>
  <c r="DG109"/>
  <c r="DK109"/>
  <c r="DO109"/>
  <c r="DS109"/>
  <c r="DW109"/>
  <c r="EA109"/>
  <c r="FK109" s="1"/>
  <c r="EE109"/>
  <c r="FO109" s="1"/>
  <c r="EI109"/>
  <c r="DD109"/>
  <c r="DE109"/>
  <c r="DC109"/>
  <c r="BA109"/>
  <c r="CM109" s="1"/>
  <c r="CL109"/>
  <c r="CK109"/>
  <c r="AY109"/>
  <c r="B113"/>
  <c r="CZ108"/>
  <c r="DG108" s="1"/>
  <c r="DF108"/>
  <c r="DH108"/>
  <c r="DJ108"/>
  <c r="DL108"/>
  <c r="DN108"/>
  <c r="DP108"/>
  <c r="DR108"/>
  <c r="DT108"/>
  <c r="FD108" s="1"/>
  <c r="DV108"/>
  <c r="DX108"/>
  <c r="DZ108"/>
  <c r="EB108"/>
  <c r="ED108"/>
  <c r="EF108"/>
  <c r="EH108"/>
  <c r="EJ108"/>
  <c r="DD108"/>
  <c r="DC108" s="1"/>
  <c r="CL108"/>
  <c r="CK108"/>
  <c r="AY108"/>
  <c r="B116"/>
  <c r="CW107"/>
  <c r="CX107"/>
  <c r="DG107" s="1"/>
  <c r="CZ107"/>
  <c r="DO107" s="1"/>
  <c r="DI107"/>
  <c r="ES107" s="1"/>
  <c r="DM107"/>
  <c r="EW107" s="1"/>
  <c r="DQ107"/>
  <c r="FA107" s="1"/>
  <c r="DU107"/>
  <c r="DY107"/>
  <c r="EC107"/>
  <c r="EG107"/>
  <c r="DD107"/>
  <c r="DE107"/>
  <c r="DC107"/>
  <c r="BA107"/>
  <c r="CM107" s="1"/>
  <c r="CL107"/>
  <c r="CK107"/>
  <c r="AY107"/>
  <c r="B99"/>
  <c r="CZ106"/>
  <c r="DG106" s="1"/>
  <c r="DF106"/>
  <c r="DH106"/>
  <c r="DJ106"/>
  <c r="DL106"/>
  <c r="DN106"/>
  <c r="DP106"/>
  <c r="DR106"/>
  <c r="DT106"/>
  <c r="FD106" s="1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6"/>
  <c r="CZ105"/>
  <c r="DI105" s="1"/>
  <c r="ES105" s="1"/>
  <c r="DG105"/>
  <c r="DK105"/>
  <c r="DO105"/>
  <c r="DS105"/>
  <c r="DW105"/>
  <c r="EA105"/>
  <c r="EE105"/>
  <c r="EI105"/>
  <c r="FS105" s="1"/>
  <c r="DD105"/>
  <c r="DE105"/>
  <c r="DC105"/>
  <c r="BA105"/>
  <c r="CM105" s="1"/>
  <c r="CL105"/>
  <c r="CK105"/>
  <c r="AY105"/>
  <c r="B103"/>
  <c r="CZ104"/>
  <c r="DG104" s="1"/>
  <c r="DF104"/>
  <c r="DH104"/>
  <c r="DJ104"/>
  <c r="ET104" s="1"/>
  <c r="DL104"/>
  <c r="DN104"/>
  <c r="EX104" s="1"/>
  <c r="DP104"/>
  <c r="DR104"/>
  <c r="DT104"/>
  <c r="FD104" s="1"/>
  <c r="DV104"/>
  <c r="DX104"/>
  <c r="DZ104"/>
  <c r="EB104"/>
  <c r="ED104"/>
  <c r="EF104"/>
  <c r="EH104"/>
  <c r="FR104" s="1"/>
  <c r="EJ104"/>
  <c r="DD104"/>
  <c r="DC104" s="1"/>
  <c r="BA104"/>
  <c r="CM104"/>
  <c r="CL104"/>
  <c r="CK104"/>
  <c r="AY104"/>
  <c r="B104"/>
  <c r="CZ103"/>
  <c r="DI103"/>
  <c r="ES103" s="1"/>
  <c r="DM103"/>
  <c r="DQ103"/>
  <c r="FA103" s="1"/>
  <c r="DU103"/>
  <c r="DY103"/>
  <c r="FI103" s="1"/>
  <c r="EC103"/>
  <c r="EG103"/>
  <c r="DD103"/>
  <c r="DE103"/>
  <c r="DC103"/>
  <c r="BA103"/>
  <c r="CM103" s="1"/>
  <c r="CL103"/>
  <c r="CK103"/>
  <c r="AY103"/>
  <c r="B107"/>
  <c r="CZ102"/>
  <c r="DG102" s="1"/>
  <c r="DF102"/>
  <c r="DH102"/>
  <c r="DJ102"/>
  <c r="ET102" s="1"/>
  <c r="DL102"/>
  <c r="DN102"/>
  <c r="EX102" s="1"/>
  <c r="DP102"/>
  <c r="DR102"/>
  <c r="DT102"/>
  <c r="FD102" s="1"/>
  <c r="DV102"/>
  <c r="DX102"/>
  <c r="DZ102"/>
  <c r="EB102"/>
  <c r="ED102"/>
  <c r="EF102"/>
  <c r="EH102"/>
  <c r="FR102" s="1"/>
  <c r="EJ102"/>
  <c r="DD102"/>
  <c r="DC102" s="1"/>
  <c r="DE102"/>
  <c r="BA102"/>
  <c r="CM102"/>
  <c r="CL102"/>
  <c r="CK102"/>
  <c r="AY102"/>
  <c r="B102"/>
  <c r="CX101"/>
  <c r="DG101" s="1"/>
  <c r="CZ101"/>
  <c r="DI101"/>
  <c r="ES101" s="1"/>
  <c r="DM101"/>
  <c r="EW101" s="1"/>
  <c r="DN101"/>
  <c r="EX101" s="1"/>
  <c r="DO101"/>
  <c r="DP101"/>
  <c r="EZ101" s="1"/>
  <c r="DQ101"/>
  <c r="FA101" s="1"/>
  <c r="DR101"/>
  <c r="DS101"/>
  <c r="DT101"/>
  <c r="FD101" s="1"/>
  <c r="DU101"/>
  <c r="DV101"/>
  <c r="DW101"/>
  <c r="DX101"/>
  <c r="FH101" s="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0"/>
  <c r="CX100"/>
  <c r="CZ100"/>
  <c r="DI100" s="1"/>
  <c r="ES100" s="1"/>
  <c r="DG100"/>
  <c r="EQ100" s="1"/>
  <c r="DK100"/>
  <c r="DO100"/>
  <c r="DS100"/>
  <c r="DW100"/>
  <c r="EA100"/>
  <c r="EE100"/>
  <c r="EI100"/>
  <c r="DD100"/>
  <c r="DE100"/>
  <c r="DC100"/>
  <c r="BA100"/>
  <c r="CM100" s="1"/>
  <c r="CL100"/>
  <c r="CK100"/>
  <c r="AY100"/>
  <c r="B101"/>
  <c r="CZ99"/>
  <c r="DG99" s="1"/>
  <c r="EQ99" s="1"/>
  <c r="DF99"/>
  <c r="DH99"/>
  <c r="DJ99"/>
  <c r="DL99"/>
  <c r="DN99"/>
  <c r="DP99"/>
  <c r="DR99"/>
  <c r="DT99"/>
  <c r="FD99" s="1"/>
  <c r="DV99"/>
  <c r="DX99"/>
  <c r="DZ99"/>
  <c r="EB99"/>
  <c r="FL99" s="1"/>
  <c r="ED99"/>
  <c r="EF99"/>
  <c r="FP99" s="1"/>
  <c r="EG99"/>
  <c r="EH99"/>
  <c r="FR99" s="1"/>
  <c r="EI99"/>
  <c r="FS99" s="1"/>
  <c r="EJ99"/>
  <c r="DD99"/>
  <c r="DC99" s="1"/>
  <c r="BA99"/>
  <c r="CM99"/>
  <c r="CL99"/>
  <c r="CK99"/>
  <c r="AY99"/>
  <c r="B105"/>
  <c r="CZ98"/>
  <c r="DI98"/>
  <c r="DM98"/>
  <c r="DQ98"/>
  <c r="DU98"/>
  <c r="DY98"/>
  <c r="EC98"/>
  <c r="EG98"/>
  <c r="DD98"/>
  <c r="DE98" s="1"/>
  <c r="DC98"/>
  <c r="CL98"/>
  <c r="CK98"/>
  <c r="AY98"/>
  <c r="B98"/>
  <c r="CZ97"/>
  <c r="DG97" s="1"/>
  <c r="EQ97" s="1"/>
  <c r="DD97"/>
  <c r="DE97" s="1"/>
  <c r="DC97"/>
  <c r="BA97"/>
  <c r="CM97" s="1"/>
  <c r="CL97"/>
  <c r="CK97"/>
  <c r="AY97"/>
  <c r="B94"/>
  <c r="CZ96"/>
  <c r="DF96"/>
  <c r="DG96"/>
  <c r="DH96"/>
  <c r="DI96"/>
  <c r="ES96" s="1"/>
  <c r="DJ96"/>
  <c r="DK96"/>
  <c r="DL96"/>
  <c r="DM96"/>
  <c r="EW96" s="1"/>
  <c r="DN96"/>
  <c r="DO96"/>
  <c r="DP96"/>
  <c r="DQ96"/>
  <c r="FA96" s="1"/>
  <c r="DR96"/>
  <c r="DS96"/>
  <c r="DT96"/>
  <c r="FD96" s="1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88"/>
  <c r="CZ95"/>
  <c r="DD95"/>
  <c r="DE95" s="1"/>
  <c r="DC95"/>
  <c r="BA95"/>
  <c r="CM95" s="1"/>
  <c r="CL95"/>
  <c r="CK95"/>
  <c r="AY95"/>
  <c r="B89"/>
  <c r="CZ94"/>
  <c r="DF94"/>
  <c r="DG94"/>
  <c r="DH94"/>
  <c r="DI94"/>
  <c r="ES94" s="1"/>
  <c r="DJ94"/>
  <c r="ET94" s="1"/>
  <c r="DK94"/>
  <c r="DL94"/>
  <c r="DM94"/>
  <c r="DN94"/>
  <c r="DO94"/>
  <c r="DP94"/>
  <c r="DQ94"/>
  <c r="FA94" s="1"/>
  <c r="DR94"/>
  <c r="DS94"/>
  <c r="FC94" s="1"/>
  <c r="DT94"/>
  <c r="FD94" s="1"/>
  <c r="DU94"/>
  <c r="DV94"/>
  <c r="DW94"/>
  <c r="DX94"/>
  <c r="DY94"/>
  <c r="DZ94"/>
  <c r="EA94"/>
  <c r="EB94"/>
  <c r="EC94"/>
  <c r="ED94"/>
  <c r="EE94"/>
  <c r="FO94" s="1"/>
  <c r="EF94"/>
  <c r="FP94" s="1"/>
  <c r="EG94"/>
  <c r="EH94"/>
  <c r="FR94" s="1"/>
  <c r="EI94"/>
  <c r="FS94" s="1"/>
  <c r="EJ94"/>
  <c r="DD94"/>
  <c r="DC94" s="1"/>
  <c r="BA94"/>
  <c r="CM94"/>
  <c r="CL94"/>
  <c r="CK94"/>
  <c r="AY94"/>
  <c r="B96"/>
  <c r="CZ93"/>
  <c r="DD93"/>
  <c r="DE93" s="1"/>
  <c r="DC93"/>
  <c r="BA93"/>
  <c r="CM93" s="1"/>
  <c r="CL93"/>
  <c r="CK93"/>
  <c r="AY93"/>
  <c r="B92"/>
  <c r="CZ92"/>
  <c r="DF92"/>
  <c r="DG92"/>
  <c r="EQ92" s="1"/>
  <c r="DH92"/>
  <c r="DI92"/>
  <c r="ES92" s="1"/>
  <c r="DJ92"/>
  <c r="DK92"/>
  <c r="DL92"/>
  <c r="DM92"/>
  <c r="DN92"/>
  <c r="DO92"/>
  <c r="DP92"/>
  <c r="EZ92" s="1"/>
  <c r="DQ92"/>
  <c r="FA92" s="1"/>
  <c r="DR92"/>
  <c r="DS92"/>
  <c r="FC92" s="1"/>
  <c r="DT92"/>
  <c r="FD92" s="1"/>
  <c r="DU92"/>
  <c r="DV92"/>
  <c r="DW92"/>
  <c r="FG92" s="1"/>
  <c r="DX92"/>
  <c r="DY92"/>
  <c r="FI92" s="1"/>
  <c r="DZ92"/>
  <c r="EA92"/>
  <c r="FK92" s="1"/>
  <c r="EB92"/>
  <c r="FL92" s="1"/>
  <c r="EC92"/>
  <c r="FM92" s="1"/>
  <c r="ED92"/>
  <c r="EE92"/>
  <c r="FO92" s="1"/>
  <c r="EF92"/>
  <c r="EG92"/>
  <c r="EH92"/>
  <c r="EI92"/>
  <c r="FS92" s="1"/>
  <c r="EJ92"/>
  <c r="DD92"/>
  <c r="DC92" s="1"/>
  <c r="BA92"/>
  <c r="CM92"/>
  <c r="CL92"/>
  <c r="CK92"/>
  <c r="AY92"/>
  <c r="B90"/>
  <c r="CZ91"/>
  <c r="DG91" s="1"/>
  <c r="DD91"/>
  <c r="DE91" s="1"/>
  <c r="DC91"/>
  <c r="BA91"/>
  <c r="CM91" s="1"/>
  <c r="CL91"/>
  <c r="CK91"/>
  <c r="AY91"/>
  <c r="B93"/>
  <c r="CZ90"/>
  <c r="DF90"/>
  <c r="DG90"/>
  <c r="DH90"/>
  <c r="DI90"/>
  <c r="ES90" s="1"/>
  <c r="DJ90"/>
  <c r="DK90"/>
  <c r="DL90"/>
  <c r="DM90"/>
  <c r="EW90" s="1"/>
  <c r="DN90"/>
  <c r="EX90" s="1"/>
  <c r="DO90"/>
  <c r="DP90"/>
  <c r="EZ90" s="1"/>
  <c r="DQ90"/>
  <c r="FA90" s="1"/>
  <c r="DR90"/>
  <c r="DS90"/>
  <c r="DT90"/>
  <c r="FD90" s="1"/>
  <c r="DU90"/>
  <c r="DV90"/>
  <c r="DW90"/>
  <c r="DX90"/>
  <c r="FH90" s="1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1"/>
  <c r="CX89"/>
  <c r="CZ89"/>
  <c r="DN89" s="1"/>
  <c r="DO89"/>
  <c r="DQ89"/>
  <c r="FA89" s="1"/>
  <c r="DS89"/>
  <c r="FC89" s="1"/>
  <c r="DU89"/>
  <c r="DW89"/>
  <c r="DY89"/>
  <c r="EA89"/>
  <c r="FK89" s="1"/>
  <c r="EC89"/>
  <c r="EE89"/>
  <c r="EG89"/>
  <c r="EI89"/>
  <c r="FS89" s="1"/>
  <c r="DD89"/>
  <c r="DE89"/>
  <c r="DC89"/>
  <c r="BA89"/>
  <c r="CM89" s="1"/>
  <c r="CL89"/>
  <c r="CK89"/>
  <c r="AY89"/>
  <c r="B97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5"/>
  <c r="C79"/>
  <c r="C78"/>
  <c r="C77"/>
  <c r="C76"/>
  <c r="C75"/>
  <c r="C74"/>
  <c r="C73"/>
  <c r="C72"/>
  <c r="C71"/>
  <c r="C70"/>
  <c r="E61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EX88" l="1"/>
  <c r="ES158"/>
  <c r="FA98"/>
  <c r="EW98"/>
  <c r="FR96"/>
  <c r="FR122"/>
  <c r="FR131"/>
  <c r="FR143"/>
  <c r="FR183"/>
  <c r="EZ88"/>
  <c r="FS90"/>
  <c r="FG90"/>
  <c r="FC90"/>
  <c r="FJ92"/>
  <c r="EV96"/>
  <c r="ER96"/>
  <c r="FS100"/>
  <c r="FC100"/>
  <c r="FS101"/>
  <c r="FC101"/>
  <c r="EZ102"/>
  <c r="EZ104"/>
  <c r="EV106"/>
  <c r="EV108"/>
  <c r="EZ110"/>
  <c r="EV114"/>
  <c r="FJ124"/>
  <c r="EZ126"/>
  <c r="ER126"/>
  <c r="ER129"/>
  <c r="EV131"/>
  <c r="EZ132"/>
  <c r="EZ135"/>
  <c r="FS144"/>
  <c r="EZ156"/>
  <c r="FJ163"/>
  <c r="EV164"/>
  <c r="EZ165"/>
  <c r="ER165"/>
  <c r="EZ171"/>
  <c r="ER171"/>
  <c r="FJ183"/>
  <c r="AB372"/>
  <c r="AB376" s="1"/>
  <c r="FR136"/>
  <c r="FR152"/>
  <c r="FR156"/>
  <c r="FR157"/>
  <c r="FR165"/>
  <c r="FJ90"/>
  <c r="EZ94"/>
  <c r="EV94"/>
  <c r="FS96"/>
  <c r="EU96"/>
  <c r="EZ99"/>
  <c r="FJ101"/>
  <c r="EU105"/>
  <c r="FS109"/>
  <c r="FC109"/>
  <c r="EU113"/>
  <c r="FS117"/>
  <c r="EV120"/>
  <c r="EV122"/>
  <c r="EU131"/>
  <c r="EZ142"/>
  <c r="FS143"/>
  <c r="EZ143"/>
  <c r="FJ149"/>
  <c r="EZ150"/>
  <c r="EV157"/>
  <c r="EU164"/>
  <c r="FS165"/>
  <c r="EU165"/>
  <c r="EU166"/>
  <c r="FJ180"/>
  <c r="FS181"/>
  <c r="FC181"/>
  <c r="EV182"/>
  <c r="N373"/>
  <c r="Z372"/>
  <c r="AD382"/>
  <c r="AD381"/>
  <c r="FI89"/>
  <c r="EU90"/>
  <c r="EX92"/>
  <c r="FM94"/>
  <c r="FP96"/>
  <c r="FM103"/>
  <c r="FP104"/>
  <c r="FM111"/>
  <c r="FP112"/>
  <c r="FM120"/>
  <c r="FP125"/>
  <c r="FP126"/>
  <c r="FP132"/>
  <c r="FM142"/>
  <c r="EU151"/>
  <c r="EX152"/>
  <c r="FP156"/>
  <c r="EX158"/>
  <c r="FM159"/>
  <c r="EX163"/>
  <c r="FP165"/>
  <c r="EU174"/>
  <c r="EX177"/>
  <c r="FI182"/>
  <c r="EX186"/>
  <c r="E503"/>
  <c r="FT90"/>
  <c r="EV90"/>
  <c r="EY92"/>
  <c r="EU92"/>
  <c r="EV88"/>
  <c r="FM89"/>
  <c r="EX89"/>
  <c r="FM90"/>
  <c r="FI90"/>
  <c r="FP92"/>
  <c r="EV92"/>
  <c r="EU94"/>
  <c r="FJ96"/>
  <c r="FF96"/>
  <c r="FB96"/>
  <c r="EX96"/>
  <c r="FF99"/>
  <c r="EX99"/>
  <c r="EU100"/>
  <c r="FM101"/>
  <c r="FI101"/>
  <c r="EV102"/>
  <c r="EV104"/>
  <c r="FP106"/>
  <c r="ER106"/>
  <c r="FM107"/>
  <c r="FP108"/>
  <c r="ER108"/>
  <c r="ER114"/>
  <c r="FM115"/>
  <c r="EU120"/>
  <c r="FB122"/>
  <c r="FP124"/>
  <c r="EV125"/>
  <c r="FF131"/>
  <c r="FB131"/>
  <c r="EX131"/>
  <c r="EV135"/>
  <c r="FB136"/>
  <c r="FP139"/>
  <c r="FF139"/>
  <c r="EU139"/>
  <c r="FI140"/>
  <c r="FF143"/>
  <c r="EU144"/>
  <c r="FM145"/>
  <c r="FI145"/>
  <c r="FF147"/>
  <c r="FP149"/>
  <c r="FF150"/>
  <c r="FB152"/>
  <c r="EU153"/>
  <c r="FJ156"/>
  <c r="FF156"/>
  <c r="FB156"/>
  <c r="EX156"/>
  <c r="FJ157"/>
  <c r="FB157"/>
  <c r="EV158"/>
  <c r="FM162"/>
  <c r="FI162"/>
  <c r="FP163"/>
  <c r="FI164"/>
  <c r="FJ165"/>
  <c r="FF165"/>
  <c r="FB165"/>
  <c r="FF166"/>
  <c r="FP167"/>
  <c r="EU167"/>
  <c r="FP170"/>
  <c r="EV170"/>
  <c r="ER170"/>
  <c r="FM173"/>
  <c r="FI173"/>
  <c r="FB175"/>
  <c r="EU176"/>
  <c r="FF177"/>
  <c r="FI180"/>
  <c r="FI181"/>
  <c r="EU182"/>
  <c r="FB183"/>
  <c r="EV184"/>
  <c r="FP186"/>
  <c r="AK372"/>
  <c r="AK381" s="1"/>
  <c r="W372"/>
  <c r="M372"/>
  <c r="M373" s="1"/>
  <c r="H466"/>
  <c r="FI94"/>
  <c r="FP102"/>
  <c r="FP110"/>
  <c r="FI120"/>
  <c r="EX122"/>
  <c r="FI130"/>
  <c r="FP135"/>
  <c r="EX136"/>
  <c r="EX139"/>
  <c r="FM140"/>
  <c r="FI142"/>
  <c r="FI159"/>
  <c r="EU162"/>
  <c r="FP166"/>
  <c r="EX170"/>
  <c r="FP171"/>
  <c r="EU173"/>
  <c r="FM181"/>
  <c r="FM182"/>
  <c r="EU185"/>
  <c r="FP90"/>
  <c r="FF94"/>
  <c r="FB94"/>
  <c r="EX94"/>
  <c r="FM96"/>
  <c r="FI96"/>
  <c r="FE96"/>
  <c r="EV99"/>
  <c r="FT101"/>
  <c r="FP101"/>
  <c r="FJ102"/>
  <c r="FB102"/>
  <c r="FJ104"/>
  <c r="FB104"/>
  <c r="FF106"/>
  <c r="EX106"/>
  <c r="FI107"/>
  <c r="EU109"/>
  <c r="FJ110"/>
  <c r="FB110"/>
  <c r="FJ112"/>
  <c r="FB112"/>
  <c r="FF114"/>
  <c r="FI115"/>
  <c r="FF116"/>
  <c r="EX116"/>
  <c r="EU117"/>
  <c r="EU118"/>
  <c r="FM119"/>
  <c r="FJ120"/>
  <c r="FF120"/>
  <c r="FB120"/>
  <c r="EY124"/>
  <c r="FB125"/>
  <c r="FB126"/>
  <c r="FF129"/>
  <c r="FM130"/>
  <c r="FM131"/>
  <c r="FI131"/>
  <c r="FB132"/>
  <c r="FF134"/>
  <c r="FB135"/>
  <c r="FP136"/>
  <c r="EY137"/>
  <c r="EU137"/>
  <c r="FP138"/>
  <c r="FT139"/>
  <c r="FI139"/>
  <c r="EY139"/>
  <c r="EY140"/>
  <c r="FM141"/>
  <c r="FF142"/>
  <c r="FB142"/>
  <c r="EX142"/>
  <c r="FM143"/>
  <c r="FI143"/>
  <c r="EV143"/>
  <c r="FT145"/>
  <c r="FJ146"/>
  <c r="FB146"/>
  <c r="FT147"/>
  <c r="EV147"/>
  <c r="FF149"/>
  <c r="FT150"/>
  <c r="EV150"/>
  <c r="FI153"/>
  <c r="FJ154"/>
  <c r="FB154"/>
  <c r="EU155"/>
  <c r="FM156"/>
  <c r="FI156"/>
  <c r="FF159"/>
  <c r="FB159"/>
  <c r="ER159"/>
  <c r="FT162"/>
  <c r="ER162"/>
  <c r="EY163"/>
  <c r="EU163"/>
  <c r="EX164"/>
  <c r="FQ165"/>
  <c r="FM165"/>
  <c r="FI165"/>
  <c r="EU169"/>
  <c r="EY170"/>
  <c r="EU170"/>
  <c r="FJ171"/>
  <c r="FB171"/>
  <c r="FT173"/>
  <c r="FP173"/>
  <c r="EV173"/>
  <c r="FT175"/>
  <c r="FP177"/>
  <c r="FB179"/>
  <c r="FM180"/>
  <c r="FB180"/>
  <c r="EU180"/>
  <c r="EY181"/>
  <c r="FF182"/>
  <c r="FB182"/>
  <c r="FP183"/>
  <c r="FM185"/>
  <c r="EY185"/>
  <c r="EY186"/>
  <c r="L372"/>
  <c r="L382" s="1"/>
  <c r="H382"/>
  <c r="H380"/>
  <c r="H375"/>
  <c r="H378"/>
  <c r="H379"/>
  <c r="FH92"/>
  <c r="FK94"/>
  <c r="EY94"/>
  <c r="EQ94"/>
  <c r="ET96"/>
  <c r="FK100"/>
  <c r="FE101"/>
  <c r="FT102"/>
  <c r="FE103"/>
  <c r="EQ104"/>
  <c r="EQ105"/>
  <c r="EY109"/>
  <c r="FT110"/>
  <c r="EQ110"/>
  <c r="FT112"/>
  <c r="EQ112"/>
  <c r="FH116"/>
  <c r="EY117"/>
  <c r="EQ119"/>
  <c r="FT124"/>
  <c r="FH124"/>
  <c r="FN131"/>
  <c r="FT132"/>
  <c r="FT135"/>
  <c r="ET136"/>
  <c r="FH137"/>
  <c r="FK142"/>
  <c r="EY142"/>
  <c r="EQ146"/>
  <c r="ET152"/>
  <c r="FT154"/>
  <c r="EQ156"/>
  <c r="FK159"/>
  <c r="FT164"/>
  <c r="ET165"/>
  <c r="FT174"/>
  <c r="FH174"/>
  <c r="EQ174"/>
  <c r="FN180"/>
  <c r="EY182"/>
  <c r="EQ182"/>
  <c r="U379"/>
  <c r="AB380"/>
  <c r="N381"/>
  <c r="E475"/>
  <c r="FO89"/>
  <c r="EY89"/>
  <c r="FR90"/>
  <c r="FF90"/>
  <c r="FB90"/>
  <c r="ET90"/>
  <c r="FE92"/>
  <c r="EW92"/>
  <c r="FT94"/>
  <c r="FH94"/>
  <c r="FO96"/>
  <c r="FK96"/>
  <c r="EY96"/>
  <c r="EQ96"/>
  <c r="FT99"/>
  <c r="FH99"/>
  <c r="FO100"/>
  <c r="EY100"/>
  <c r="FR101"/>
  <c r="FF101"/>
  <c r="FB101"/>
  <c r="EQ101"/>
  <c r="FF102"/>
  <c r="FF104"/>
  <c r="FK105"/>
  <c r="FR106"/>
  <c r="FB106"/>
  <c r="ET106"/>
  <c r="FQ107"/>
  <c r="EQ107"/>
  <c r="ET108"/>
  <c r="FF110"/>
  <c r="FF112"/>
  <c r="FK113"/>
  <c r="FR114"/>
  <c r="FB114"/>
  <c r="FQ115"/>
  <c r="FR116"/>
  <c r="FB116"/>
  <c r="FT120"/>
  <c r="FH120"/>
  <c r="FT122"/>
  <c r="FE124"/>
  <c r="FF125"/>
  <c r="FF126"/>
  <c r="FO131"/>
  <c r="FK131"/>
  <c r="EY131"/>
  <c r="EQ131"/>
  <c r="FN132"/>
  <c r="FF132"/>
  <c r="FN134"/>
  <c r="FF135"/>
  <c r="FT136"/>
  <c r="EQ136"/>
  <c r="EW137"/>
  <c r="EQ139"/>
  <c r="FK140"/>
  <c r="FT142"/>
  <c r="FH142"/>
  <c r="FO143"/>
  <c r="FK143"/>
  <c r="FO144"/>
  <c r="EY144"/>
  <c r="FR145"/>
  <c r="FN145"/>
  <c r="FF145"/>
  <c r="FB145"/>
  <c r="FF146"/>
  <c r="FH147"/>
  <c r="FR149"/>
  <c r="FB149"/>
  <c r="ET149"/>
  <c r="FH150"/>
  <c r="FT152"/>
  <c r="EQ152"/>
  <c r="EW153"/>
  <c r="FF154"/>
  <c r="EY155"/>
  <c r="FO156"/>
  <c r="FK156"/>
  <c r="EY156"/>
  <c r="FT157"/>
  <c r="EW158"/>
  <c r="FT159"/>
  <c r="FH159"/>
  <c r="EQ159"/>
  <c r="FR162"/>
  <c r="FF162"/>
  <c r="FB162"/>
  <c r="ET162"/>
  <c r="FQ163"/>
  <c r="FK164"/>
  <c r="FF164"/>
  <c r="FO165"/>
  <c r="FK165"/>
  <c r="EY165"/>
  <c r="EQ165"/>
  <c r="FK166"/>
  <c r="EW170"/>
  <c r="FF171"/>
  <c r="FR173"/>
  <c r="FF173"/>
  <c r="FB173"/>
  <c r="FQ174"/>
  <c r="FE174"/>
  <c r="ET175"/>
  <c r="EW176"/>
  <c r="FH177"/>
  <c r="FR179"/>
  <c r="FE180"/>
  <c r="FK181"/>
  <c r="FT182"/>
  <c r="FH182"/>
  <c r="FT183"/>
  <c r="FF187"/>
  <c r="J377"/>
  <c r="J378"/>
  <c r="W379"/>
  <c r="AD380"/>
  <c r="AF372"/>
  <c r="AF380" s="1"/>
  <c r="Y372"/>
  <c r="Y373" s="1"/>
  <c r="H468"/>
  <c r="FQ90"/>
  <c r="EQ91"/>
  <c r="FT92"/>
  <c r="FN96"/>
  <c r="EQ102"/>
  <c r="FT104"/>
  <c r="FH106"/>
  <c r="FE111"/>
  <c r="EQ113"/>
  <c r="FH114"/>
  <c r="EY119"/>
  <c r="FK120"/>
  <c r="EY120"/>
  <c r="EQ120"/>
  <c r="FT125"/>
  <c r="EQ125"/>
  <c r="FT126"/>
  <c r="EQ130"/>
  <c r="FT137"/>
  <c r="FK139"/>
  <c r="EY141"/>
  <c r="FK144"/>
  <c r="FT146"/>
  <c r="FH149"/>
  <c r="EY151"/>
  <c r="FK153"/>
  <c r="EQ154"/>
  <c r="EY159"/>
  <c r="FT163"/>
  <c r="FH163"/>
  <c r="EY164"/>
  <c r="ET164"/>
  <c r="EY169"/>
  <c r="FT170"/>
  <c r="FH170"/>
  <c r="FT171"/>
  <c r="EY174"/>
  <c r="FK176"/>
  <c r="FK182"/>
  <c r="FT186"/>
  <c r="FH186"/>
  <c r="FQ89"/>
  <c r="FO90"/>
  <c r="FK90"/>
  <c r="EY90"/>
  <c r="EQ90"/>
  <c r="FR92"/>
  <c r="FF92"/>
  <c r="FB92"/>
  <c r="ET92"/>
  <c r="FE94"/>
  <c r="EW94"/>
  <c r="FT96"/>
  <c r="FH96"/>
  <c r="FB99"/>
  <c r="ET99"/>
  <c r="FO101"/>
  <c r="FK101"/>
  <c r="EY101"/>
  <c r="FH102"/>
  <c r="EW103"/>
  <c r="FH104"/>
  <c r="FO105"/>
  <c r="EY105"/>
  <c r="FT106"/>
  <c r="EQ106"/>
  <c r="FE107"/>
  <c r="EY107"/>
  <c r="EQ108"/>
  <c r="EQ109"/>
  <c r="FH110"/>
  <c r="EW111"/>
  <c r="FH112"/>
  <c r="FO113"/>
  <c r="EY113"/>
  <c r="FT114"/>
  <c r="FL114"/>
  <c r="EQ114"/>
  <c r="FT116"/>
  <c r="FL116"/>
  <c r="EQ117"/>
  <c r="EQ118"/>
  <c r="FK119"/>
  <c r="FE120"/>
  <c r="EW120"/>
  <c r="FN122"/>
  <c r="FF122"/>
  <c r="FR124"/>
  <c r="FF124"/>
  <c r="FB124"/>
  <c r="FH125"/>
  <c r="FH126"/>
  <c r="FR129"/>
  <c r="FB129"/>
  <c r="FT131"/>
  <c r="FH131"/>
  <c r="FH132"/>
  <c r="EQ133"/>
  <c r="FR134"/>
  <c r="FB134"/>
  <c r="FH135"/>
  <c r="FF136"/>
  <c r="FR137"/>
  <c r="FF137"/>
  <c r="FB137"/>
  <c r="EQ138"/>
  <c r="FH139"/>
  <c r="FK141"/>
  <c r="EW142"/>
  <c r="FT143"/>
  <c r="FH143"/>
  <c r="FB143"/>
  <c r="FO145"/>
  <c r="FK145"/>
  <c r="EY145"/>
  <c r="FH146"/>
  <c r="FR147"/>
  <c r="FB147"/>
  <c r="ET147"/>
  <c r="FT149"/>
  <c r="FR150"/>
  <c r="FB150"/>
  <c r="FO151"/>
  <c r="FF152"/>
  <c r="FO153"/>
  <c r="EY153"/>
  <c r="EQ153"/>
  <c r="FH154"/>
  <c r="FT156"/>
  <c r="FH156"/>
  <c r="ET156"/>
  <c r="FN157"/>
  <c r="FF157"/>
  <c r="FF158"/>
  <c r="ET159"/>
  <c r="FF161"/>
  <c r="FO162"/>
  <c r="FK162"/>
  <c r="EY162"/>
  <c r="EQ162"/>
  <c r="FR163"/>
  <c r="FN163"/>
  <c r="FF163"/>
  <c r="FB163"/>
  <c r="ET163"/>
  <c r="EQ164"/>
  <c r="FT165"/>
  <c r="FH165"/>
  <c r="EQ169"/>
  <c r="FR170"/>
  <c r="FF170"/>
  <c r="FB170"/>
  <c r="FH171"/>
  <c r="FO173"/>
  <c r="FK173"/>
  <c r="EY173"/>
  <c r="EQ173"/>
  <c r="FR174"/>
  <c r="FF174"/>
  <c r="FB174"/>
  <c r="FR175"/>
  <c r="FH175"/>
  <c r="FK180"/>
  <c r="FF180"/>
  <c r="ET180"/>
  <c r="EW182"/>
  <c r="FK184"/>
  <c r="FK185"/>
  <c r="FR186"/>
  <c r="FF186"/>
  <c r="FB186"/>
  <c r="J373"/>
  <c r="N374"/>
  <c r="N377"/>
  <c r="N380"/>
  <c r="AI372"/>
  <c r="AI378" s="1"/>
  <c r="S372"/>
  <c r="S373" s="1"/>
  <c r="H516"/>
  <c r="EK137"/>
  <c r="FD88"/>
  <c r="EV128"/>
  <c r="FS138"/>
  <c r="FM138"/>
  <c r="FI158"/>
  <c r="FB178"/>
  <c r="EY178"/>
  <c r="EY118"/>
  <c r="EZ128"/>
  <c r="EW138"/>
  <c r="ES138"/>
  <c r="FR148"/>
  <c r="FI178"/>
  <c r="EU178"/>
  <c r="FP88"/>
  <c r="FH88"/>
  <c r="ER88"/>
  <c r="FE98"/>
  <c r="FN10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P178"/>
  <c r="FT138"/>
  <c r="FD138"/>
  <c r="FT158"/>
  <c r="FN158"/>
  <c r="EZ178"/>
  <c r="FT88"/>
  <c r="FM98"/>
  <c r="FJ108"/>
  <c r="EX108"/>
  <c r="FK118"/>
  <c r="FI138"/>
  <c r="FF138"/>
  <c r="FM158"/>
  <c r="EY158"/>
  <c r="FJ168"/>
  <c r="FS178"/>
  <c r="FF88"/>
  <c r="FR108"/>
  <c r="FF108"/>
  <c r="FO118"/>
  <c r="FP128"/>
  <c r="FB148"/>
  <c r="ET168"/>
  <c r="FT178"/>
  <c r="FM178"/>
  <c r="FC178"/>
  <c r="FR88"/>
  <c r="FJ88"/>
  <c r="FB88"/>
  <c r="ET88"/>
  <c r="FI98"/>
  <c r="ES98"/>
  <c r="FH128"/>
  <c r="FE138"/>
  <c r="EY138"/>
  <c r="EU138"/>
  <c r="FJ148"/>
  <c r="FO158"/>
  <c r="FH158"/>
  <c r="FE158"/>
  <c r="FB158"/>
  <c r="FR178"/>
  <c r="FO178"/>
  <c r="FK178"/>
  <c r="ES178"/>
  <c r="FF178"/>
  <c r="FT108"/>
  <c r="FH108"/>
  <c r="FR138"/>
  <c r="FH138"/>
  <c r="FB138"/>
  <c r="FR158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G430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428" s="1"/>
  <c r="G25"/>
  <c r="G41" s="1"/>
  <c r="G427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G423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AE432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Y381"/>
  <c r="S377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Z381"/>
  <c r="Z380"/>
  <c r="Z382"/>
  <c r="Z378"/>
  <c r="Z374"/>
  <c r="O376"/>
  <c r="O373"/>
  <c r="O380"/>
  <c r="J380"/>
  <c r="J374"/>
  <c r="J382"/>
  <c r="J381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81" s="1"/>
  <c r="FC169"/>
  <c r="FC156"/>
  <c r="FC153"/>
  <c r="EZ186"/>
  <c r="EZ177"/>
  <c r="EZ170"/>
  <c r="EZ152"/>
  <c r="EZ145"/>
  <c r="EZ131"/>
  <c r="EZ116"/>
  <c r="E477"/>
  <c r="Q372"/>
  <c r="Q382" s="1"/>
  <c r="EZ182"/>
  <c r="EZ154"/>
  <c r="EZ146"/>
  <c r="EZ137"/>
  <c r="EZ120"/>
  <c r="AK378"/>
  <c r="AK379"/>
  <c r="AK377"/>
  <c r="AK374"/>
  <c r="AB378"/>
  <c r="AB374"/>
  <c r="AB375"/>
  <c r="R372"/>
  <c r="R379" s="1"/>
  <c r="FA174"/>
  <c r="FA181"/>
  <c r="FA162"/>
  <c r="FA156"/>
  <c r="EX157"/>
  <c r="EX150"/>
  <c r="EX143"/>
  <c r="EX120"/>
  <c r="E473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78" s="1"/>
  <c r="E511"/>
  <c r="H512" s="1"/>
  <c r="E501"/>
  <c r="H502" s="1"/>
  <c r="E46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S381"/>
  <c r="V372"/>
  <c r="V376" s="1"/>
  <c r="G372"/>
  <c r="H514"/>
  <c r="E497"/>
  <c r="H498" s="1"/>
  <c r="E483"/>
  <c r="H484" s="1"/>
  <c r="W377"/>
  <c r="W376"/>
  <c r="W373"/>
  <c r="AJ372"/>
  <c r="FS164"/>
  <c r="FS162"/>
  <c r="FS139"/>
  <c r="FS180"/>
  <c r="FS169"/>
  <c r="FS156"/>
  <c r="FS153"/>
  <c r="AG372"/>
  <c r="AG378" s="1"/>
  <c r="FP152"/>
  <c r="FP145"/>
  <c r="FP143"/>
  <c r="FP131"/>
  <c r="FP116"/>
  <c r="E509"/>
  <c r="H508" s="1"/>
  <c r="FP157"/>
  <c r="FP154"/>
  <c r="FP146"/>
  <c r="FP137"/>
  <c r="FP120"/>
  <c r="K372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Z373"/>
  <c r="O379"/>
  <c r="S380"/>
  <c r="AH372"/>
  <c r="AH379" s="1"/>
  <c r="AC372"/>
  <c r="AC378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DM88"/>
  <c r="DO88"/>
  <c r="DQ88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P215" s="1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EU168" s="1"/>
  <c r="DM168"/>
  <c r="EW168" s="1"/>
  <c r="DO168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EU147" s="1"/>
  <c r="DM147"/>
  <c r="EW147" s="1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H462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DK108"/>
  <c r="DI108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F219" s="1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81"/>
  <c r="AJ377"/>
  <c r="AJ373"/>
  <c r="AJ382"/>
  <c r="AJ380"/>
  <c r="AJ378"/>
  <c r="AJ379"/>
  <c r="AJ374"/>
  <c r="AG382"/>
  <c r="AG380"/>
  <c r="AG377"/>
  <c r="AG375"/>
  <c r="AG373"/>
  <c r="AA382"/>
  <c r="AA379"/>
  <c r="AA376"/>
  <c r="U382"/>
  <c r="U380"/>
  <c r="U376"/>
  <c r="U375"/>
  <c r="U373"/>
  <c r="U381"/>
  <c r="U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V374"/>
  <c r="L379"/>
  <c r="L380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77"/>
  <c r="P373"/>
  <c r="P375"/>
  <c r="P380"/>
  <c r="P382"/>
  <c r="P379"/>
  <c r="P378"/>
  <c r="P376"/>
  <c r="M380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AI382"/>
  <c r="AI376"/>
  <c r="AI373"/>
  <c r="AD379"/>
  <c r="AD375"/>
  <c r="AD378"/>
  <c r="AD376"/>
  <c r="AD377"/>
  <c r="AD374"/>
  <c r="AD373"/>
  <c r="X381"/>
  <c r="X374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82"/>
  <c r="AK380"/>
  <c r="AK376"/>
  <c r="AK375"/>
  <c r="AK373"/>
  <c r="AB381"/>
  <c r="AB377"/>
  <c r="AB373"/>
  <c r="AB382"/>
  <c r="AB379"/>
  <c r="Y378"/>
  <c r="S376"/>
  <c r="N379"/>
  <c r="N375"/>
  <c r="N378"/>
  <c r="N376"/>
  <c r="H381"/>
  <c r="H377"/>
  <c r="H373"/>
  <c r="H376"/>
  <c r="H374"/>
  <c r="AJ30"/>
  <c r="AJ46" s="1"/>
  <c r="AJ432" s="1"/>
  <c r="AJ21"/>
  <c r="AJ37" s="1"/>
  <c r="AF21"/>
  <c r="AF37" s="1"/>
  <c r="AF30"/>
  <c r="AF46" s="1"/>
  <c r="AF432" s="1"/>
  <c r="AB30"/>
  <c r="AB46" s="1"/>
  <c r="AB432" s="1"/>
  <c r="AB21"/>
  <c r="AB37" s="1"/>
  <c r="P21"/>
  <c r="P30"/>
  <c r="P46" s="1"/>
  <c r="P432" s="1"/>
  <c r="AH28"/>
  <c r="AH44" s="1"/>
  <c r="AD28"/>
  <c r="AD44" s="1"/>
  <c r="Z28"/>
  <c r="Z44" s="1"/>
  <c r="V28"/>
  <c r="V44" s="1"/>
  <c r="R28"/>
  <c r="R44" s="1"/>
  <c r="N28"/>
  <c r="N44" s="1"/>
  <c r="J28"/>
  <c r="CM128"/>
  <c r="AF377"/>
  <c r="AC374"/>
  <c r="K378"/>
  <c r="H480"/>
  <c r="H478"/>
  <c r="H470"/>
  <c r="AE374"/>
  <c r="Z379"/>
  <c r="Z375"/>
  <c r="W382"/>
  <c r="W378"/>
  <c r="W374"/>
  <c r="O382"/>
  <c r="O378"/>
  <c r="O374"/>
  <c r="J379"/>
  <c r="J375"/>
  <c r="G382"/>
  <c r="AH23"/>
  <c r="AH39" s="1"/>
  <c r="AH30"/>
  <c r="AH46" s="1"/>
  <c r="AH432" s="1"/>
  <c r="AD23"/>
  <c r="AD39" s="1"/>
  <c r="AD30"/>
  <c r="AD46" s="1"/>
  <c r="AD432" s="1"/>
  <c r="Z23"/>
  <c r="Z39" s="1"/>
  <c r="Z30"/>
  <c r="Z46" s="1"/>
  <c r="Z432" s="1"/>
  <c r="V23"/>
  <c r="V39" s="1"/>
  <c r="V30"/>
  <c r="V46" s="1"/>
  <c r="V432" s="1"/>
  <c r="R23"/>
  <c r="R39" s="1"/>
  <c r="R30"/>
  <c r="R46" s="1"/>
  <c r="R432" s="1"/>
  <c r="N23"/>
  <c r="N39" s="1"/>
  <c r="N30"/>
  <c r="N46" s="1"/>
  <c r="N432" s="1"/>
  <c r="J23"/>
  <c r="J30"/>
  <c r="D70"/>
  <c r="E459"/>
  <c r="H460" s="1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DN214" l="1"/>
  <c r="DF217"/>
  <c r="DH212"/>
  <c r="DM213"/>
  <c r="DF218"/>
  <c r="DH216"/>
  <c r="ES108"/>
  <c r="DI214"/>
  <c r="EY98"/>
  <c r="DO213"/>
  <c r="EV98"/>
  <c r="DL213"/>
  <c r="EU98"/>
  <c r="DK213"/>
  <c r="EY88"/>
  <c r="DO212"/>
  <c r="EX98"/>
  <c r="DN213"/>
  <c r="EW108"/>
  <c r="DM214"/>
  <c r="FA88"/>
  <c r="DQ212"/>
  <c r="EZ98"/>
  <c r="DP213"/>
  <c r="DN212"/>
  <c r="DM221"/>
  <c r="DG213"/>
  <c r="DJ215"/>
  <c r="DH213"/>
  <c r="DH217"/>
  <c r="DI215"/>
  <c r="DL221"/>
  <c r="DL212"/>
  <c r="DN221"/>
  <c r="EQ148"/>
  <c r="DG218"/>
  <c r="EW88"/>
  <c r="DM212"/>
  <c r="ER118"/>
  <c r="DH215"/>
  <c r="EU108"/>
  <c r="DK214"/>
  <c r="ES168"/>
  <c r="DI220"/>
  <c r="EV118"/>
  <c r="DL215"/>
  <c r="EU88"/>
  <c r="DK212"/>
  <c r="EQ128"/>
  <c r="DG216"/>
  <c r="DO215"/>
  <c r="DG215"/>
  <c r="DO214"/>
  <c r="DG212"/>
  <c r="DK215"/>
  <c r="DL214"/>
  <c r="DJ214"/>
  <c r="DG217"/>
  <c r="DQ213"/>
  <c r="DN215"/>
  <c r="DM215"/>
  <c r="DH218"/>
  <c r="DP214"/>
  <c r="DP212"/>
  <c r="DI219"/>
  <c r="N424"/>
  <c r="N442" s="1"/>
  <c r="AD424"/>
  <c r="AD442" s="1"/>
  <c r="W426"/>
  <c r="W444" s="1"/>
  <c r="N426"/>
  <c r="N444" s="1"/>
  <c r="R428"/>
  <c r="R446" s="1"/>
  <c r="AH428"/>
  <c r="AH446" s="1"/>
  <c r="N425"/>
  <c r="N443" s="1"/>
  <c r="AD425"/>
  <c r="AD443" s="1"/>
  <c r="AH430"/>
  <c r="AH448" s="1"/>
  <c r="W424"/>
  <c r="W442" s="1"/>
  <c r="V427"/>
  <c r="V445" s="1"/>
  <c r="AH431"/>
  <c r="AH449" s="1"/>
  <c r="W423"/>
  <c r="W441" s="1"/>
  <c r="T423"/>
  <c r="T441" s="1"/>
  <c r="J427"/>
  <c r="J445" s="1"/>
  <c r="S61"/>
  <c r="S432"/>
  <c r="S450" s="1"/>
  <c r="AD423"/>
  <c r="AD441" s="1"/>
  <c r="AC432"/>
  <c r="AC450" s="1"/>
  <c r="AA432"/>
  <c r="AA450" s="1"/>
  <c r="AC424"/>
  <c r="AC442" s="1"/>
  <c r="Q426"/>
  <c r="Q444" s="1"/>
  <c r="H427"/>
  <c r="H445" s="1"/>
  <c r="AK427"/>
  <c r="AK445" s="1"/>
  <c r="AI427"/>
  <c r="AI445" s="1"/>
  <c r="AC428"/>
  <c r="AC446" s="1"/>
  <c r="P428"/>
  <c r="P446" s="1"/>
  <c r="AA428"/>
  <c r="AA446" s="1"/>
  <c r="S429"/>
  <c r="S447" s="1"/>
  <c r="O430"/>
  <c r="O448" s="1"/>
  <c r="AK430"/>
  <c r="AK448" s="1"/>
  <c r="P431"/>
  <c r="P449" s="1"/>
  <c r="H431"/>
  <c r="H449" s="1"/>
  <c r="K431"/>
  <c r="K449" s="1"/>
  <c r="AI431"/>
  <c r="AI449" s="1"/>
  <c r="L424"/>
  <c r="L442" s="1"/>
  <c r="K425"/>
  <c r="K443" s="1"/>
  <c r="AK425"/>
  <c r="AK443" s="1"/>
  <c r="AJ427"/>
  <c r="AJ445" s="1"/>
  <c r="AF425"/>
  <c r="AF443" s="1"/>
  <c r="X426"/>
  <c r="X444" s="1"/>
  <c r="J424"/>
  <c r="J442" s="1"/>
  <c r="Z424"/>
  <c r="Z442" s="1"/>
  <c r="J426"/>
  <c r="J444" s="1"/>
  <c r="Z426"/>
  <c r="Z444" s="1"/>
  <c r="AD428"/>
  <c r="AD446" s="1"/>
  <c r="AD430"/>
  <c r="AD448" s="1"/>
  <c r="AJ423"/>
  <c r="AJ441" s="1"/>
  <c r="AI424"/>
  <c r="AI442" s="1"/>
  <c r="Z431"/>
  <c r="Z449" s="1"/>
  <c r="AI423"/>
  <c r="AI441" s="1"/>
  <c r="M61"/>
  <c r="M432"/>
  <c r="M450" s="1"/>
  <c r="AK424"/>
  <c r="AK442" s="1"/>
  <c r="N431"/>
  <c r="N449" s="1"/>
  <c r="AG432"/>
  <c r="AG450" s="1"/>
  <c r="I423"/>
  <c r="I441" s="1"/>
  <c r="H432"/>
  <c r="H450" s="1"/>
  <c r="P425"/>
  <c r="P443" s="1"/>
  <c r="M426"/>
  <c r="M444" s="1"/>
  <c r="AC426"/>
  <c r="AC444" s="1"/>
  <c r="AG427"/>
  <c r="AG445" s="1"/>
  <c r="H428"/>
  <c r="H446" s="1"/>
  <c r="AJ429"/>
  <c r="AJ447" s="1"/>
  <c r="W428"/>
  <c r="W446" s="1"/>
  <c r="O429"/>
  <c r="O447" s="1"/>
  <c r="AK429"/>
  <c r="AK447" s="1"/>
  <c r="K430"/>
  <c r="K448" s="1"/>
  <c r="AG430"/>
  <c r="AG448" s="1"/>
  <c r="L431"/>
  <c r="L449" s="1"/>
  <c r="AG431"/>
  <c r="AG449" s="1"/>
  <c r="AE431"/>
  <c r="AE449" s="1"/>
  <c r="T428"/>
  <c r="T446" s="1"/>
  <c r="X424"/>
  <c r="X442" s="1"/>
  <c r="M425"/>
  <c r="M443" s="1"/>
  <c r="T426"/>
  <c r="T444" s="1"/>
  <c r="U427"/>
  <c r="U445" s="1"/>
  <c r="Q423"/>
  <c r="Q441" s="1"/>
  <c r="L430"/>
  <c r="L448" s="1"/>
  <c r="V426"/>
  <c r="V444" s="1"/>
  <c r="R425"/>
  <c r="R443" s="1"/>
  <c r="AH425"/>
  <c r="AH443" s="1"/>
  <c r="Z430"/>
  <c r="Z448" s="1"/>
  <c r="O424"/>
  <c r="O442" s="1"/>
  <c r="AE424"/>
  <c r="AE442" s="1"/>
  <c r="I61"/>
  <c r="I432"/>
  <c r="I450" s="1"/>
  <c r="R429"/>
  <c r="R447" s="1"/>
  <c r="R431"/>
  <c r="R449" s="1"/>
  <c r="O423"/>
  <c r="O441" s="1"/>
  <c r="AE423"/>
  <c r="AE441" s="1"/>
  <c r="W425"/>
  <c r="W443" s="1"/>
  <c r="Y423"/>
  <c r="Y441" s="1"/>
  <c r="Z427"/>
  <c r="Z445" s="1"/>
  <c r="AD429"/>
  <c r="AD447" s="1"/>
  <c r="G432"/>
  <c r="G450" s="1"/>
  <c r="X423"/>
  <c r="X441" s="1"/>
  <c r="V423"/>
  <c r="V441" s="1"/>
  <c r="L432"/>
  <c r="L450" s="1"/>
  <c r="U423"/>
  <c r="U441" s="1"/>
  <c r="AK61"/>
  <c r="AK432"/>
  <c r="AK450" s="1"/>
  <c r="Y424"/>
  <c r="Y442" s="1"/>
  <c r="M424"/>
  <c r="M442" s="1"/>
  <c r="H425"/>
  <c r="H443" s="1"/>
  <c r="S425"/>
  <c r="S443" s="1"/>
  <c r="I426"/>
  <c r="I444" s="1"/>
  <c r="Y426"/>
  <c r="Y444" s="1"/>
  <c r="X427"/>
  <c r="X445" s="1"/>
  <c r="I427"/>
  <c r="I445" s="1"/>
  <c r="AC427"/>
  <c r="AC445" s="1"/>
  <c r="O427"/>
  <c r="O445" s="1"/>
  <c r="AA427"/>
  <c r="AA445" s="1"/>
  <c r="Q428"/>
  <c r="Q446" s="1"/>
  <c r="L429"/>
  <c r="L447" s="1"/>
  <c r="T429"/>
  <c r="T447" s="1"/>
  <c r="S428"/>
  <c r="S446" s="1"/>
  <c r="AI428"/>
  <c r="AI446" s="1"/>
  <c r="K429"/>
  <c r="K447" s="1"/>
  <c r="AA429"/>
  <c r="AA447" s="1"/>
  <c r="Q429"/>
  <c r="Q447" s="1"/>
  <c r="AG429"/>
  <c r="AG447" s="1"/>
  <c r="AF429"/>
  <c r="AF447" s="1"/>
  <c r="W430"/>
  <c r="W448" s="1"/>
  <c r="AC430"/>
  <c r="AC448" s="1"/>
  <c r="AB430"/>
  <c r="AB448" s="1"/>
  <c r="U430"/>
  <c r="U448" s="1"/>
  <c r="I431"/>
  <c r="I449" s="1"/>
  <c r="AC431"/>
  <c r="AC449" s="1"/>
  <c r="AF431"/>
  <c r="AF449" s="1"/>
  <c r="W431"/>
  <c r="W449" s="1"/>
  <c r="S431"/>
  <c r="S449" s="1"/>
  <c r="L428"/>
  <c r="L446" s="1"/>
  <c r="AJ428"/>
  <c r="AJ446" s="1"/>
  <c r="T424"/>
  <c r="T442" s="1"/>
  <c r="AJ424"/>
  <c r="AJ442" s="1"/>
  <c r="I425"/>
  <c r="I443" s="1"/>
  <c r="AC425"/>
  <c r="AC443" s="1"/>
  <c r="L426"/>
  <c r="L444" s="1"/>
  <c r="AB427"/>
  <c r="AB445" s="1"/>
  <c r="Y431"/>
  <c r="Y449" s="1"/>
  <c r="AH423"/>
  <c r="AH441" s="1"/>
  <c r="L425"/>
  <c r="L443" s="1"/>
  <c r="H426"/>
  <c r="H444" s="1"/>
  <c r="AE429"/>
  <c r="AE447" s="1"/>
  <c r="AJ430"/>
  <c r="AJ448" s="1"/>
  <c r="AD426"/>
  <c r="AD444" s="1"/>
  <c r="V425"/>
  <c r="V443" s="1"/>
  <c r="R430"/>
  <c r="R448" s="1"/>
  <c r="H423"/>
  <c r="H441" s="1"/>
  <c r="AH429"/>
  <c r="AH447" s="1"/>
  <c r="N429"/>
  <c r="N447" s="1"/>
  <c r="V431"/>
  <c r="V449" s="1"/>
  <c r="N423"/>
  <c r="N441" s="1"/>
  <c r="M423"/>
  <c r="M441" s="1"/>
  <c r="T432"/>
  <c r="T450" s="1"/>
  <c r="Q425"/>
  <c r="Q443" s="1"/>
  <c r="AB425"/>
  <c r="AB443" s="1"/>
  <c r="AE425"/>
  <c r="AE443" s="1"/>
  <c r="AG426"/>
  <c r="AG444" s="1"/>
  <c r="Q427"/>
  <c r="Q445" s="1"/>
  <c r="S427"/>
  <c r="S445" s="1"/>
  <c r="X429"/>
  <c r="X447" s="1"/>
  <c r="AF428"/>
  <c r="AF446" s="1"/>
  <c r="K428"/>
  <c r="K446" s="1"/>
  <c r="U428"/>
  <c r="U446" s="1"/>
  <c r="I429"/>
  <c r="I447" s="1"/>
  <c r="Y429"/>
  <c r="Y447" s="1"/>
  <c r="H430"/>
  <c r="H448" s="1"/>
  <c r="AI430"/>
  <c r="AI448" s="1"/>
  <c r="M430"/>
  <c r="M448" s="1"/>
  <c r="Q431"/>
  <c r="Q449" s="1"/>
  <c r="X428"/>
  <c r="X446" s="1"/>
  <c r="AB424"/>
  <c r="AB442" s="1"/>
  <c r="U425"/>
  <c r="U443" s="1"/>
  <c r="AB426"/>
  <c r="AB444" s="1"/>
  <c r="AF430"/>
  <c r="AF448" s="1"/>
  <c r="AK423"/>
  <c r="AK441" s="1"/>
  <c r="P430"/>
  <c r="P448" s="1"/>
  <c r="S426"/>
  <c r="S444" s="1"/>
  <c r="AI426"/>
  <c r="AI444" s="1"/>
  <c r="N428"/>
  <c r="N446" s="1"/>
  <c r="N430"/>
  <c r="N448" s="1"/>
  <c r="AB423"/>
  <c r="AB441" s="1"/>
  <c r="S424"/>
  <c r="S442" s="1"/>
  <c r="N427"/>
  <c r="N445" s="1"/>
  <c r="Z429"/>
  <c r="Z447" s="1"/>
  <c r="S423"/>
  <c r="S441" s="1"/>
  <c r="AH427"/>
  <c r="AH445" s="1"/>
  <c r="K432"/>
  <c r="K450" s="1"/>
  <c r="Z423"/>
  <c r="Z441" s="1"/>
  <c r="Y432"/>
  <c r="Y450" s="1"/>
  <c r="O432"/>
  <c r="O450" s="1"/>
  <c r="U61"/>
  <c r="U432"/>
  <c r="U450" s="1"/>
  <c r="AA425"/>
  <c r="AA443" s="1"/>
  <c r="M427"/>
  <c r="M445" s="1"/>
  <c r="K427"/>
  <c r="K445" s="1"/>
  <c r="AE427"/>
  <c r="AE445" s="1"/>
  <c r="Y428"/>
  <c r="Y446" s="1"/>
  <c r="AG428"/>
  <c r="AG446" s="1"/>
  <c r="M428"/>
  <c r="M446" s="1"/>
  <c r="AI429"/>
  <c r="AI447" s="1"/>
  <c r="U429"/>
  <c r="U447" s="1"/>
  <c r="AE430"/>
  <c r="AE448" s="1"/>
  <c r="AA430"/>
  <c r="AA448" s="1"/>
  <c r="X431"/>
  <c r="X449" s="1"/>
  <c r="M431"/>
  <c r="M449" s="1"/>
  <c r="AB431"/>
  <c r="AB449" s="1"/>
  <c r="AA431"/>
  <c r="AA449" s="1"/>
  <c r="P427"/>
  <c r="P445" s="1"/>
  <c r="T425"/>
  <c r="T443" s="1"/>
  <c r="AG425"/>
  <c r="AG443" s="1"/>
  <c r="L427"/>
  <c r="L445" s="1"/>
  <c r="X425"/>
  <c r="X443" s="1"/>
  <c r="P426"/>
  <c r="P444" s="1"/>
  <c r="AK431"/>
  <c r="AK449" s="1"/>
  <c r="V424"/>
  <c r="V442" s="1"/>
  <c r="O426"/>
  <c r="O444" s="1"/>
  <c r="AE426"/>
  <c r="AE444" s="1"/>
  <c r="Z428"/>
  <c r="Z446" s="1"/>
  <c r="Z425"/>
  <c r="Z443" s="1"/>
  <c r="AF423"/>
  <c r="AF441" s="1"/>
  <c r="R424"/>
  <c r="R442" s="1"/>
  <c r="AH424"/>
  <c r="AH442" s="1"/>
  <c r="K426"/>
  <c r="K444" s="1"/>
  <c r="AA426"/>
  <c r="AA444" s="1"/>
  <c r="R426"/>
  <c r="R444" s="1"/>
  <c r="AH426"/>
  <c r="AH444" s="1"/>
  <c r="V428"/>
  <c r="V446" s="1"/>
  <c r="V430"/>
  <c r="V448" s="1"/>
  <c r="K424"/>
  <c r="K442" s="1"/>
  <c r="AA424"/>
  <c r="AA442" s="1"/>
  <c r="AC423"/>
  <c r="AC441" s="1"/>
  <c r="K423"/>
  <c r="K441" s="1"/>
  <c r="AA423"/>
  <c r="AA441" s="1"/>
  <c r="U424"/>
  <c r="U442" s="1"/>
  <c r="L423"/>
  <c r="L441" s="1"/>
  <c r="R427"/>
  <c r="R445" s="1"/>
  <c r="V429"/>
  <c r="V447" s="1"/>
  <c r="AD431"/>
  <c r="AD449" s="1"/>
  <c r="W61"/>
  <c r="W432"/>
  <c r="W450" s="1"/>
  <c r="R423"/>
  <c r="R441" s="1"/>
  <c r="J423"/>
  <c r="J441" s="1"/>
  <c r="Q432"/>
  <c r="Q450" s="1"/>
  <c r="AG423"/>
  <c r="AG441" s="1"/>
  <c r="X432"/>
  <c r="X450" s="1"/>
  <c r="AI61"/>
  <c r="AI432"/>
  <c r="AI450" s="1"/>
  <c r="I424"/>
  <c r="I442" s="1"/>
  <c r="AG424"/>
  <c r="AG442" s="1"/>
  <c r="G425"/>
  <c r="G443" s="1"/>
  <c r="AI425"/>
  <c r="AI443" s="1"/>
  <c r="U426"/>
  <c r="U444" s="1"/>
  <c r="AK426"/>
  <c r="AK444" s="1"/>
  <c r="AF427"/>
  <c r="AF445" s="1"/>
  <c r="Y427"/>
  <c r="Y445" s="1"/>
  <c r="T427"/>
  <c r="T445" s="1"/>
  <c r="W427"/>
  <c r="W445" s="1"/>
  <c r="I428"/>
  <c r="I446" s="1"/>
  <c r="AK428"/>
  <c r="AK446" s="1"/>
  <c r="H429"/>
  <c r="H447" s="1"/>
  <c r="AB429"/>
  <c r="AB447" s="1"/>
  <c r="O428"/>
  <c r="O446" s="1"/>
  <c r="AE428"/>
  <c r="AE446" s="1"/>
  <c r="G429"/>
  <c r="G447" s="1"/>
  <c r="W429"/>
  <c r="W447" s="1"/>
  <c r="M429"/>
  <c r="M447" s="1"/>
  <c r="AC429"/>
  <c r="AC447" s="1"/>
  <c r="P429"/>
  <c r="P447" s="1"/>
  <c r="T430"/>
  <c r="T448" s="1"/>
  <c r="S430"/>
  <c r="S448" s="1"/>
  <c r="Y430"/>
  <c r="Y448" s="1"/>
  <c r="Q430"/>
  <c r="Q448" s="1"/>
  <c r="AJ431"/>
  <c r="AJ449" s="1"/>
  <c r="U431"/>
  <c r="U449" s="1"/>
  <c r="T431"/>
  <c r="T449" s="1"/>
  <c r="O431"/>
  <c r="O449" s="1"/>
  <c r="G431"/>
  <c r="G449" s="1"/>
  <c r="Q424"/>
  <c r="Q442" s="1"/>
  <c r="AB428"/>
  <c r="AB446" s="1"/>
  <c r="P424"/>
  <c r="P442" s="1"/>
  <c r="AF424"/>
  <c r="AF442" s="1"/>
  <c r="Y425"/>
  <c r="Y443" s="1"/>
  <c r="AJ426"/>
  <c r="AJ444" s="1"/>
  <c r="AD427"/>
  <c r="AD445" s="1"/>
  <c r="I430"/>
  <c r="I448" s="1"/>
  <c r="H424"/>
  <c r="H442" s="1"/>
  <c r="AJ425"/>
  <c r="AJ443" s="1"/>
  <c r="O425"/>
  <c r="O443" s="1"/>
  <c r="AF426"/>
  <c r="AF444" s="1"/>
  <c r="X430"/>
  <c r="X448" s="1"/>
  <c r="Z376"/>
  <c r="Z377"/>
  <c r="T380"/>
  <c r="AF373"/>
  <c r="AE382"/>
  <c r="AC382"/>
  <c r="L381"/>
  <c r="DG235"/>
  <c r="AF382"/>
  <c r="AC380"/>
  <c r="H476"/>
  <c r="M379"/>
  <c r="M375"/>
  <c r="L376"/>
  <c r="L378"/>
  <c r="W381"/>
  <c r="W380"/>
  <c r="W375"/>
  <c r="T378"/>
  <c r="M376"/>
  <c r="M378"/>
  <c r="H474"/>
  <c r="Q379"/>
  <c r="T377"/>
  <c r="AF381"/>
  <c r="S374"/>
  <c r="M374"/>
  <c r="M382"/>
  <c r="L374"/>
  <c r="L373"/>
  <c r="V381"/>
  <c r="AF376"/>
  <c r="S379"/>
  <c r="S382"/>
  <c r="S375"/>
  <c r="Q376"/>
  <c r="AF375"/>
  <c r="Q374"/>
  <c r="S378"/>
  <c r="M381"/>
  <c r="L375"/>
  <c r="L377"/>
  <c r="H496"/>
  <c r="M377"/>
  <c r="G459"/>
  <c r="Y382"/>
  <c r="Y379"/>
  <c r="AH375"/>
  <c r="AC376"/>
  <c r="Y380"/>
  <c r="AA377"/>
  <c r="H500"/>
  <c r="Y375"/>
  <c r="Y377"/>
  <c r="AI381"/>
  <c r="AI380"/>
  <c r="AI377"/>
  <c r="AI375"/>
  <c r="AI379"/>
  <c r="AF379"/>
  <c r="AF374"/>
  <c r="AF378"/>
  <c r="H510"/>
  <c r="H482"/>
  <c r="H472"/>
  <c r="AC381"/>
  <c r="Y376"/>
  <c r="AI374"/>
  <c r="AA375"/>
  <c r="H490"/>
  <c r="Y374"/>
  <c r="DT212"/>
  <c r="DT214"/>
  <c r="EB217"/>
  <c r="DY221"/>
  <c r="EG217"/>
  <c r="EJ217"/>
  <c r="DY219"/>
  <c r="DF212"/>
  <c r="DF214"/>
  <c r="DG219"/>
  <c r="EK171"/>
  <c r="DF221"/>
  <c r="EK156"/>
  <c r="DF216"/>
  <c r="FU131"/>
  <c r="DH221"/>
  <c r="EY108"/>
  <c r="FB168"/>
  <c r="DR220"/>
  <c r="FQ168"/>
  <c r="EG220"/>
  <c r="FF118"/>
  <c r="DV215"/>
  <c r="FJ128"/>
  <c r="DZ216"/>
  <c r="FS98"/>
  <c r="EI213"/>
  <c r="FH148"/>
  <c r="DX218"/>
  <c r="FM148"/>
  <c r="EC218"/>
  <c r="FE148"/>
  <c r="DU218"/>
  <c r="FS88"/>
  <c r="EI212"/>
  <c r="FG128"/>
  <c r="DW216"/>
  <c r="EY128"/>
  <c r="DO216"/>
  <c r="FR98"/>
  <c r="EH213"/>
  <c r="FB98"/>
  <c r="DR213"/>
  <c r="FR168"/>
  <c r="EH220"/>
  <c r="FT168"/>
  <c r="EJ220"/>
  <c r="FK168"/>
  <c r="EA220"/>
  <c r="FH118"/>
  <c r="DX215"/>
  <c r="FO148"/>
  <c r="EE218"/>
  <c r="EY148"/>
  <c r="DO218"/>
  <c r="FM88"/>
  <c r="EC212"/>
  <c r="FE88"/>
  <c r="DU212"/>
  <c r="FQ128"/>
  <c r="EG216"/>
  <c r="FA128"/>
  <c r="DQ216"/>
  <c r="FL98"/>
  <c r="EB213"/>
  <c r="FA108"/>
  <c r="DQ214"/>
  <c r="FI108"/>
  <c r="DY214"/>
  <c r="FQ108"/>
  <c r="EG214"/>
  <c r="FH168"/>
  <c r="DX220"/>
  <c r="FD168"/>
  <c r="DT220"/>
  <c r="FO168"/>
  <c r="EE220"/>
  <c r="FG168"/>
  <c r="DW220"/>
  <c r="EY168"/>
  <c r="DO220"/>
  <c r="EQ168"/>
  <c r="DG220"/>
  <c r="FT118"/>
  <c r="EJ215"/>
  <c r="FL118"/>
  <c r="EB215"/>
  <c r="FD118"/>
  <c r="DT215"/>
  <c r="EX128"/>
  <c r="DN216"/>
  <c r="FN128"/>
  <c r="ED216"/>
  <c r="FA118"/>
  <c r="DQ215"/>
  <c r="FQ118"/>
  <c r="EG215"/>
  <c r="EQ98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DI212"/>
  <c r="FM128"/>
  <c r="EC216"/>
  <c r="FE128"/>
  <c r="DU216"/>
  <c r="EW128"/>
  <c r="DM216"/>
  <c r="FP98"/>
  <c r="EF213"/>
  <c r="FH98"/>
  <c r="DX213"/>
  <c r="ER98"/>
  <c r="EB219"/>
  <c r="DZ219"/>
  <c r="DJ221"/>
  <c r="DQ219"/>
  <c r="EJ219"/>
  <c r="EF221"/>
  <c r="DG221"/>
  <c r="DN217"/>
  <c r="EJ216"/>
  <c r="EI215"/>
  <c r="ED214"/>
  <c r="EF212"/>
  <c r="DI217"/>
  <c r="DP216"/>
  <c r="DO221"/>
  <c r="FU92"/>
  <c r="DF215"/>
  <c r="DH219"/>
  <c r="DW217"/>
  <c r="EI219"/>
  <c r="EE221"/>
  <c r="DX219"/>
  <c r="DO217"/>
  <c r="DR212"/>
  <c r="EC221"/>
  <c r="EF216"/>
  <c r="DV212"/>
  <c r="DY217"/>
  <c r="DP220"/>
  <c r="FU162"/>
  <c r="DM219"/>
  <c r="EF220"/>
  <c r="EF217"/>
  <c r="EG219"/>
  <c r="EB221"/>
  <c r="DP217"/>
  <c r="EA221"/>
  <c r="EH221"/>
  <c r="DU219"/>
  <c r="EE219"/>
  <c r="DK217"/>
  <c r="DU217"/>
  <c r="DI213"/>
  <c r="DJ212"/>
  <c r="DZ212"/>
  <c r="DS221"/>
  <c r="EJ221"/>
  <c r="DR218"/>
  <c r="EE215"/>
  <c r="EH214"/>
  <c r="EI221"/>
  <c r="DO219"/>
  <c r="DV217"/>
  <c r="EA215"/>
  <c r="DZ214"/>
  <c r="EJ212"/>
  <c r="ED221"/>
  <c r="DW219"/>
  <c r="DX217"/>
  <c r="DX214"/>
  <c r="DJ219"/>
  <c r="DT217"/>
  <c r="EB214"/>
  <c r="DL220"/>
  <c r="DL217"/>
  <c r="FG108"/>
  <c r="DW214"/>
  <c r="FO108"/>
  <c r="EE214"/>
  <c r="FF168"/>
  <c r="DV220"/>
  <c r="FL168"/>
  <c r="EB220"/>
  <c r="FI168"/>
  <c r="DY220"/>
  <c r="FA168"/>
  <c r="DQ220"/>
  <c r="FN118"/>
  <c r="ED215"/>
  <c r="EX118"/>
  <c r="ET128"/>
  <c r="DJ216"/>
  <c r="FM118"/>
  <c r="EC215"/>
  <c r="FC98"/>
  <c r="DS213"/>
  <c r="FK88"/>
  <c r="EA212"/>
  <c r="FC88"/>
  <c r="DS212"/>
  <c r="FO128"/>
  <c r="EE216"/>
  <c r="FJ98"/>
  <c r="DZ213"/>
  <c r="ET98"/>
  <c r="DJ213"/>
  <c r="FE108"/>
  <c r="DU214"/>
  <c r="FM108"/>
  <c r="EC214"/>
  <c r="FN168"/>
  <c r="ED220"/>
  <c r="FS168"/>
  <c r="EI220"/>
  <c r="FC168"/>
  <c r="DS220"/>
  <c r="FP118"/>
  <c r="EF215"/>
  <c r="EZ118"/>
  <c r="FF128"/>
  <c r="DV216"/>
  <c r="FI118"/>
  <c r="DY215"/>
  <c r="FO98"/>
  <c r="EE213"/>
  <c r="FL148"/>
  <c r="EB218"/>
  <c r="FG148"/>
  <c r="DW218"/>
  <c r="FI128"/>
  <c r="DY216"/>
  <c r="ES128"/>
  <c r="DI216"/>
  <c r="FT98"/>
  <c r="EJ213"/>
  <c r="FD98"/>
  <c r="DT213"/>
  <c r="EW178"/>
  <c r="FU178" s="1"/>
  <c r="FC108"/>
  <c r="DS214"/>
  <c r="FK108"/>
  <c r="EA214"/>
  <c r="FS108"/>
  <c r="EI214"/>
  <c r="ER168"/>
  <c r="DH220"/>
  <c r="FM168"/>
  <c r="EC220"/>
  <c r="FE168"/>
  <c r="DU220"/>
  <c r="FR118"/>
  <c r="EH215"/>
  <c r="FJ118"/>
  <c r="DZ215"/>
  <c r="FB118"/>
  <c r="DR215"/>
  <c r="FB128"/>
  <c r="DR216"/>
  <c r="FR128"/>
  <c r="EH216"/>
  <c r="FE118"/>
  <c r="DU215"/>
  <c r="FK98"/>
  <c r="EA213"/>
  <c r="FP148"/>
  <c r="EF218"/>
  <c r="EZ148"/>
  <c r="DP218"/>
  <c r="FQ148"/>
  <c r="EG218"/>
  <c r="FI148"/>
  <c r="DY218"/>
  <c r="FA148"/>
  <c r="DQ218"/>
  <c r="FO88"/>
  <c r="EE212"/>
  <c r="FG88"/>
  <c r="DW212"/>
  <c r="EQ88"/>
  <c r="FS128"/>
  <c r="EI216"/>
  <c r="FK128"/>
  <c r="EA216"/>
  <c r="FC128"/>
  <c r="DS216"/>
  <c r="EU128"/>
  <c r="DK216"/>
  <c r="FN98"/>
  <c r="ED213"/>
  <c r="FF98"/>
  <c r="DV213"/>
  <c r="DX221"/>
  <c r="DN218"/>
  <c r="DW221"/>
  <c r="DS215"/>
  <c r="ED218"/>
  <c r="DT221"/>
  <c r="EA219"/>
  <c r="EE217"/>
  <c r="EI217"/>
  <c r="FU137"/>
  <c r="FU170"/>
  <c r="FU173"/>
  <c r="DU221"/>
  <c r="DW215"/>
  <c r="DT219"/>
  <c r="DI221"/>
  <c r="DR219"/>
  <c r="DZ218"/>
  <c r="DX216"/>
  <c r="DY213"/>
  <c r="EH212"/>
  <c r="DJ220"/>
  <c r="DV214"/>
  <c r="DZ220"/>
  <c r="EC219"/>
  <c r="EC213"/>
  <c r="EH219"/>
  <c r="DR217"/>
  <c r="DP221"/>
  <c r="ED219"/>
  <c r="ED217"/>
  <c r="DV221"/>
  <c r="EF219"/>
  <c r="EB212"/>
  <c r="FU125"/>
  <c r="FU106"/>
  <c r="FU102"/>
  <c r="DF220"/>
  <c r="DF213"/>
  <c r="FU147"/>
  <c r="FU129"/>
  <c r="FU158"/>
  <c r="DG214"/>
  <c r="DL219"/>
  <c r="DQ221"/>
  <c r="DN219"/>
  <c r="EF214"/>
  <c r="DQ217"/>
  <c r="EG213"/>
  <c r="DV219"/>
  <c r="EB216"/>
  <c r="EG221"/>
  <c r="DJ217"/>
  <c r="EH217"/>
  <c r="EJ214"/>
  <c r="DP219"/>
  <c r="DZ217"/>
  <c r="ED212"/>
  <c r="DS219"/>
  <c r="DS217"/>
  <c r="DZ221"/>
  <c r="DK219"/>
  <c r="DV218"/>
  <c r="EA217"/>
  <c r="DT216"/>
  <c r="DR214"/>
  <c r="DU213"/>
  <c r="DX212"/>
  <c r="DK221"/>
  <c r="EH218"/>
  <c r="DM217"/>
  <c r="DR221"/>
  <c r="EC217"/>
  <c r="DL216"/>
  <c r="DH214"/>
  <c r="EW118"/>
  <c r="ET118"/>
  <c r="FA91"/>
  <c r="EU91"/>
  <c r="EV123"/>
  <c r="EU123"/>
  <c r="ET155"/>
  <c r="DJ218"/>
  <c r="ES155"/>
  <c r="DI218"/>
  <c r="ER148"/>
  <c r="EW116"/>
  <c r="EU116"/>
  <c r="ES116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DN220"/>
  <c r="EW175"/>
  <c r="DM220"/>
  <c r="EU175"/>
  <c r="DK220"/>
  <c r="FU165"/>
  <c r="EV153"/>
  <c r="DL218"/>
  <c r="EW154"/>
  <c r="DM218"/>
  <c r="EU154"/>
  <c r="DK218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I476" s="1"/>
  <c r="J476" s="1"/>
  <c r="G475"/>
  <c r="F459"/>
  <c r="I460" s="1"/>
  <c r="J460" s="1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J429" l="1"/>
  <c r="J447" s="1"/>
  <c r="C447" s="1"/>
  <c r="J431"/>
  <c r="J449" s="1"/>
  <c r="C449" s="1"/>
  <c r="I496"/>
  <c r="J496" s="1"/>
  <c r="K496" s="1"/>
  <c r="I482"/>
  <c r="J482" s="1"/>
  <c r="K484" s="1"/>
  <c r="I472"/>
  <c r="J472" s="1"/>
  <c r="K472" s="1"/>
  <c r="I504"/>
  <c r="J504" s="1"/>
  <c r="K504" s="1"/>
  <c r="I490"/>
  <c r="J490" s="1"/>
  <c r="K490" s="1"/>
  <c r="I500"/>
  <c r="J500" s="1"/>
  <c r="K502" s="1"/>
  <c r="FU108"/>
  <c r="FU153"/>
  <c r="Y11"/>
  <c r="AD9"/>
  <c r="Z9"/>
  <c r="X11"/>
  <c r="FU88"/>
  <c r="FU154"/>
  <c r="AD13"/>
  <c r="DG229"/>
  <c r="DG234"/>
  <c r="FU98"/>
  <c r="AC5" s="1"/>
  <c r="FU168"/>
  <c r="FU148"/>
  <c r="FU116"/>
  <c r="DG232"/>
  <c r="DG230"/>
  <c r="FU128"/>
  <c r="AD8" s="1"/>
  <c r="DG226"/>
  <c r="DG233"/>
  <c r="FU118"/>
  <c r="DG228"/>
  <c r="FU91"/>
  <c r="DG225"/>
  <c r="FU123"/>
  <c r="FU155"/>
  <c r="DG23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E57" s="1"/>
  <c r="K514"/>
  <c r="D375"/>
  <c r="E375" s="1"/>
  <c r="D32"/>
  <c r="AN15" s="1"/>
  <c r="K510"/>
  <c r="D45"/>
  <c r="E45" s="1"/>
  <c r="FU175"/>
  <c r="AD11"/>
  <c r="AC11"/>
  <c r="C427"/>
  <c r="G445"/>
  <c r="C445" s="1"/>
  <c r="K494"/>
  <c r="AC9"/>
  <c r="I486"/>
  <c r="J486" s="1"/>
  <c r="K486" s="1"/>
  <c r="K518"/>
  <c r="AE13"/>
  <c r="D374"/>
  <c r="E374" s="1"/>
  <c r="K462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9"/>
  <c r="AE11"/>
  <c r="K516"/>
  <c r="K512"/>
  <c r="G520"/>
  <c r="AR15" s="1"/>
  <c r="X9"/>
  <c r="Z11"/>
  <c r="K476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78"/>
  <c r="K480"/>
  <c r="K468"/>
  <c r="AE8" l="1"/>
  <c r="AF8" s="1"/>
  <c r="K492"/>
  <c r="C431"/>
  <c r="K482"/>
  <c r="K506"/>
  <c r="C429"/>
  <c r="K474"/>
  <c r="K498"/>
  <c r="K500"/>
  <c r="F395"/>
  <c r="F381" s="1"/>
  <c r="E59" s="1"/>
  <c r="L59" s="1"/>
  <c r="F390"/>
  <c r="F376" s="1"/>
  <c r="E54" s="1"/>
  <c r="M54" s="1"/>
  <c r="DH235"/>
  <c r="F394"/>
  <c r="F380" s="1"/>
  <c r="E58" s="1"/>
  <c r="U58" s="1"/>
  <c r="AC6"/>
  <c r="AE6"/>
  <c r="AD6"/>
  <c r="AE7"/>
  <c r="DH230"/>
  <c r="AA11"/>
  <c r="DH232"/>
  <c r="AC4"/>
  <c r="DH229"/>
  <c r="AA9"/>
  <c r="AE5"/>
  <c r="AD5"/>
  <c r="AE10"/>
  <c r="AF9"/>
  <c r="DH234"/>
  <c r="AC8"/>
  <c r="AA13"/>
  <c r="AF13"/>
  <c r="AC12"/>
  <c r="DH226"/>
  <c r="DH233"/>
  <c r="AC7"/>
  <c r="DH228"/>
  <c r="AD4"/>
  <c r="AE4"/>
  <c r="AD7"/>
  <c r="DH227"/>
  <c r="AD10"/>
  <c r="AC10"/>
  <c r="DH231"/>
  <c r="AA6"/>
  <c r="F396"/>
  <c r="F382" s="1"/>
  <c r="E60" s="1"/>
  <c r="K60" s="1"/>
  <c r="F392"/>
  <c r="F378" s="1"/>
  <c r="E56" s="1"/>
  <c r="K56" s="1"/>
  <c r="F389"/>
  <c r="F375" s="1"/>
  <c r="E53" s="1"/>
  <c r="J53" s="1"/>
  <c r="K460"/>
  <c r="F391"/>
  <c r="F377" s="1"/>
  <c r="E55" s="1"/>
  <c r="K488"/>
  <c r="AD12"/>
  <c r="AA12"/>
  <c r="AE12"/>
  <c r="AF11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F388"/>
  <c r="F374" s="1"/>
  <c r="E52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59" l="1"/>
  <c r="M58"/>
  <c r="Q59"/>
  <c r="Z58"/>
  <c r="Z59"/>
  <c r="P59"/>
  <c r="AD58"/>
  <c r="AG54"/>
  <c r="R54"/>
  <c r="AE54"/>
  <c r="AH54"/>
  <c r="L54"/>
  <c r="H54"/>
  <c r="AA54"/>
  <c r="AF54"/>
  <c r="AC54"/>
  <c r="Y54"/>
  <c r="AK54"/>
  <c r="Q54"/>
  <c r="K54"/>
  <c r="AD54"/>
  <c r="AJ54"/>
  <c r="W54"/>
  <c r="AJ58"/>
  <c r="AE58"/>
  <c r="AF58"/>
  <c r="Y58"/>
  <c r="T58"/>
  <c r="P58"/>
  <c r="V58"/>
  <c r="V59"/>
  <c r="O59"/>
  <c r="AK58"/>
  <c r="R58"/>
  <c r="AG58"/>
  <c r="J58"/>
  <c r="AB58"/>
  <c r="AH58"/>
  <c r="N58"/>
  <c r="I58"/>
  <c r="O58"/>
  <c r="G58"/>
  <c r="W58"/>
  <c r="H58"/>
  <c r="AK59"/>
  <c r="AE59"/>
  <c r="AI58"/>
  <c r="Q58"/>
  <c r="AA58"/>
  <c r="AC58"/>
  <c r="L58"/>
  <c r="X58"/>
  <c r="S58"/>
  <c r="K58"/>
  <c r="Y59"/>
  <c r="AI59"/>
  <c r="S59"/>
  <c r="T59"/>
  <c r="M59"/>
  <c r="AG59"/>
  <c r="AC59"/>
  <c r="J59"/>
  <c r="W59"/>
  <c r="G59"/>
  <c r="X59"/>
  <c r="H59"/>
  <c r="O54"/>
  <c r="I54"/>
  <c r="G54"/>
  <c r="V54"/>
  <c r="P54"/>
  <c r="U54"/>
  <c r="N54"/>
  <c r="AD59"/>
  <c r="AH59"/>
  <c r="AJ59"/>
  <c r="U59"/>
  <c r="N59"/>
  <c r="I59"/>
  <c r="R59"/>
  <c r="AA59"/>
  <c r="K59"/>
  <c r="AB59"/>
  <c r="AB54"/>
  <c r="J54"/>
  <c r="X54"/>
  <c r="AI54"/>
  <c r="S54"/>
  <c r="T54"/>
  <c r="Z54"/>
  <c r="AF6"/>
  <c r="AF7"/>
  <c r="AF10"/>
  <c r="AF5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I520"/>
  <c r="F522" s="1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 l="1"/>
  <c r="D58"/>
  <c r="D54"/>
  <c r="D56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<sst xmlns="http://schemas.openxmlformats.org/spreadsheetml/2006/main" count="1032" uniqueCount="150">
  <si>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</si>
  <si>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</si>
  <si>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</si>
  <si>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</si>
  <si>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</si>
  <si>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</si>
  <si>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</si>
  <si>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</si>
  <si>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</si>
  <si>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</si>
  <si>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</si>
  <si>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</si>
  <si>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</si>
  <si>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</si>
  <si>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</si>
  <si>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</si>
  <si>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</si>
  <si>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</si>
  <si>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</si>
  <si>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</si>
  <si>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</si>
  <si>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</si>
  <si>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</si>
  <si>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</si>
  <si>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</si>
  <si>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</si>
  <si>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</si>
  <si>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</si>
  <si>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</si>
  <si>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</si>
  <si>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</si>
  <si>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</si>
  <si>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</si>
  <si>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</si>
  <si>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</si>
  <si>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</si>
  <si>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</si>
  <si>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</si>
  <si>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</si>
  <si>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</si>
  <si>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</si>
  <si>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</si>
  <si>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</si>
  <si>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</si>
  <si>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</si>
  <si>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</si>
  <si>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</si>
  <si>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</si>
  <si>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</si>
  <si>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</si>
  <si>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</si>
  <si>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</si>
  <si>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</si>
  <si>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</si>
  <si>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</si>
  <si>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</si>
  <si>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</si>
  <si>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</si>
  <si>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</si>
  <si>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</si>
  <si>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</si>
  <si>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</si>
  <si>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</si>
  <si>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</si>
  <si>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</si>
  <si>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</si>
  <si>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</si>
  <si>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</si>
  <si>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</si>
  <si>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</si>
  <si>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</si>
  <si>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</si>
  <si>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</si>
  <si>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</si>
  <si>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</si>
  <si>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</si>
  <si>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</si>
  <si>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</si>
  <si>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</si>
  <si>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</si>
  <si>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</si>
  <si>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</si>
  <si>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</si>
  <si>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</si>
  <si>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</si>
  <si>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</si>
  <si>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</si>
  <si>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</si>
  <si>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</si>
  <si>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</si>
  <si>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</si>
  <si>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</si>
  <si>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</si>
  <si>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</si>
  <si>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</si>
  <si>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</si>
  <si>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</si>
  <si>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</si>
  <si>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</si>
  <si>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</si>
  <si>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</si>
  <si>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</si>
  <si>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</si>
  <si>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</si>
  <si>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</si>
  <si>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</si>
  <si>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</si>
  <si>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</si>
  <si>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</si>
  <si>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</si>
  <si>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</si>
  <si>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</si>
  <si>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</si>
  <si>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</si>
  <si>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</si>
  <si>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</si>
  <si>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</si>
  <si>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</si>
  <si>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</si>
  <si>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</si>
  <si>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</si>
  <si>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</si>
  <si>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</si>
  <si>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</si>
  <si>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</si>
  <si>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</si>
  <si>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</si>
  <si>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</si>
  <si>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</si>
  <si>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</si>
  <si>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</si>
  <si>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</si>
  <si>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</si>
  <si>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</si>
  <si>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</si>
  <si>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</si>
  <si>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</si>
  <si>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</si>
  <si>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</si>
  <si>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</si>
  <si>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</si>
  <si>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</si>
  <si>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</si>
  <si>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Inerval Growth Boot</t>
  </si>
  <si>
    <t>Boot</t>
  </si>
  <si>
    <t>Interval Growth Variation</t>
  </si>
  <si>
    <t>Avg. Boot</t>
  </si>
  <si>
    <t>Upper 95% CI</t>
  </si>
  <si>
    <t>Lower 95% CI</t>
  </si>
  <si>
    <t>Rhithrogena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</si>
</sst>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4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  <xf numFmtId="0" fontId="24" fillId="3" borderId="0" applyNumberFormat="0" applyBorder="0" applyAlignment="0" applyProtection="0"/>
    <xf numFmtId="0" fontId="24" fillId="6" borderId="0" applyNumberFormat="0" applyBorder="0" applyAlignment="0" applyProtection="0"/>
    <xf numFmtId="0" fontId="24" fillId="8" borderId="0" applyNumberFormat="0" applyBorder="0" applyAlignment="0" applyProtection="0"/>
    <xf numFmtId="0" fontId="24" fillId="3" borderId="0" applyNumberFormat="0" applyBorder="0" applyAlignment="0" applyProtection="0"/>
    <xf numFmtId="0" fontId="24" fillId="11" borderId="0" applyNumberFormat="0" applyBorder="0" applyAlignment="0" applyProtection="0"/>
    <xf numFmtId="0" fontId="24" fillId="6" borderId="0" applyNumberFormat="0" applyBorder="0" applyAlignment="0" applyProtection="0"/>
    <xf numFmtId="0" fontId="24" fillId="4" borderId="0" applyNumberFormat="0" applyBorder="0" applyAlignment="0" applyProtection="0"/>
    <xf numFmtId="0" fontId="24" fillId="7" borderId="0" applyNumberFormat="0" applyBorder="0" applyAlignment="0" applyProtection="0"/>
    <xf numFmtId="0" fontId="24" fillId="9" borderId="0" applyNumberFormat="0" applyBorder="0" applyAlignment="0" applyProtection="0"/>
    <xf numFmtId="0" fontId="24" fillId="4" borderId="0" applyNumberFormat="0" applyBorder="0" applyAlignment="0" applyProtection="0"/>
    <xf numFmtId="0" fontId="24" fillId="12" borderId="0" applyNumberFormat="0" applyBorder="0" applyAlignment="0" applyProtection="0"/>
    <xf numFmtId="0" fontId="24" fillId="6" borderId="0" applyNumberFormat="0" applyBorder="0" applyAlignment="0" applyProtection="0"/>
    <xf numFmtId="0" fontId="25" fillId="2" borderId="0" applyNumberFormat="0" applyBorder="0" applyAlignment="0" applyProtection="0"/>
    <xf numFmtId="0" fontId="25" fillId="7" borderId="0" applyNumberFormat="0" applyBorder="0" applyAlignment="0" applyProtection="0"/>
    <xf numFmtId="0" fontId="25" fillId="9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6" borderId="0" applyNumberFormat="0" applyBorder="0" applyAlignment="0" applyProtection="0"/>
    <xf numFmtId="0" fontId="38" fillId="0" borderId="0" applyNumberFormat="0" applyFill="0" applyBorder="0" applyAlignment="0" applyProtection="0"/>
  </cellStyleXfs>
  <cellXfs count="227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0" borderId="0" xfId="0" applyFill="1"/>
    <xf numFmtId="0" fontId="1" fillId="30" borderId="10" xfId="0" applyFont="1" applyFill="1" applyBorder="1"/>
    <xf numFmtId="2" fontId="3" fillId="29" borderId="0" xfId="0" applyNumberFormat="1" applyFont="1" applyFill="1" applyBorder="1"/>
    <xf numFmtId="0" fontId="0" fillId="0" borderId="0" xfId="0"/>
    <xf numFmtId="0" fontId="0" fillId="0" borderId="0" xfId="0"/>
    <xf numFmtId="0" fontId="1" fillId="31" borderId="0" xfId="0" applyFont="1" applyFill="1"/>
    <xf numFmtId="0" fontId="1" fillId="32" borderId="12" xfId="0" applyFont="1" applyFill="1" applyBorder="1" applyAlignment="1"/>
    <xf numFmtId="0" fontId="1" fillId="32" borderId="13" xfId="0" applyFont="1" applyFill="1" applyBorder="1" applyAlignment="1">
      <alignment horizontal="center"/>
    </xf>
    <xf numFmtId="164" fontId="1" fillId="32" borderId="13" xfId="0" applyNumberFormat="1" applyFont="1" applyFill="1" applyBorder="1" applyAlignment="1"/>
    <xf numFmtId="0" fontId="1" fillId="33" borderId="10" xfId="0" applyFont="1" applyFill="1" applyBorder="1"/>
    <xf numFmtId="164" fontId="3" fillId="20" borderId="14" xfId="0" applyNumberFormat="1" applyFont="1" applyFill="1" applyBorder="1"/>
    <xf numFmtId="0" fontId="3" fillId="20" borderId="14" xfId="0" applyFont="1" applyFill="1" applyBorder="1"/>
    <xf numFmtId="0" fontId="3" fillId="20" borderId="0" xfId="0" applyFont="1" applyFill="1" applyBorder="1" applyAlignment="1">
      <alignment horizontal="center"/>
    </xf>
    <xf numFmtId="0" fontId="3" fillId="20" borderId="15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1" borderId="11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43" fillId="20" borderId="11" xfId="0" applyFont="1" applyFill="1" applyBorder="1" applyAlignment="1">
      <alignment horizontal="center"/>
    </xf>
    <xf numFmtId="0" fontId="4" fillId="20" borderId="11" xfId="0" applyFont="1" applyFill="1" applyBorder="1" applyAlignment="1">
      <alignment horizontal="center"/>
    </xf>
    <xf numFmtId="0" fontId="3" fillId="20" borderId="17" xfId="0" applyFont="1" applyFill="1" applyBorder="1" applyAlignment="1">
      <alignment horizontal="center"/>
    </xf>
    <xf numFmtId="0" fontId="3" fillId="20" borderId="16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</cellXfs>
  <cellStyles count="64">
    <cellStyle name="20% - Accent1 2" xfId="45"/>
    <cellStyle name="20% - Accent2 2" xfId="46"/>
    <cellStyle name="20% - Accent3 2" xfId="47"/>
    <cellStyle name="20% - Accent4 2" xfId="48"/>
    <cellStyle name="20% - Accent5 2" xfId="49"/>
    <cellStyle name="20% - Accent6 2" xfId="50"/>
    <cellStyle name="40% - Accent1 2" xfId="51"/>
    <cellStyle name="40% - Accent2 2" xfId="52"/>
    <cellStyle name="40% - Accent3 2" xfId="53"/>
    <cellStyle name="40% - Accent4 2" xfId="54"/>
    <cellStyle name="40% - Accent5 2" xfId="55"/>
    <cellStyle name="40% - Accent6 2" xfId="56"/>
    <cellStyle name="60% - Accent1 2" xfId="57"/>
    <cellStyle name="60% - Accent2 2" xfId="58"/>
    <cellStyle name="60% - Accent3 2" xfId="59"/>
    <cellStyle name="60% - Accent4 2" xfId="60"/>
    <cellStyle name="60% - Accent5 2" xfId="61"/>
    <cellStyle name="60% - Accent6 2" xfId="62"/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itle 2" xfId="63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1338"/>
  <sheetViews>
    <sheetView tabSelected="1" topLeftCell="FD5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71" width="8.85546875" style="8"/>
    <col min="172" max="172" width="9.85546875" style="8" bestFit="1" customWidth="1"/>
    <col min="173" max="176" width="8.85546875" style="8"/>
    <col min="177" max="177" width="15.140625" style="8" customWidth="1"/>
    <col min="178" max="193" width="8.85546875" style="8"/>
    <col min="194" max="194" width="9.85546875" style="8" bestFit="1" customWidth="1"/>
    <col min="195" max="195" width="9.7109375" style="8" bestFit="1" customWidth="1"/>
    <col min="196" max="16384" width="8.85546875" style="8"/>
  </cols>
  <sheetData>
    <row r="1" spans="1:203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203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9"/>
      <c r="FY2" s="209"/>
      <c r="FZ2" s="209"/>
      <c r="GA2" s="209"/>
      <c r="GB2" s="209"/>
      <c r="GC2" s="220" t="s">
        <v>143</v>
      </c>
      <c r="GD2" s="220"/>
      <c r="GE2" s="220"/>
      <c r="GF2" s="220"/>
      <c r="GG2" s="220"/>
      <c r="GH2" s="220"/>
      <c r="GI2" s="220"/>
      <c r="GJ2" s="209"/>
      <c r="GK2" s="209"/>
      <c r="GL2" s="209"/>
      <c r="GM2" s="209"/>
      <c r="GN2" s="209"/>
      <c r="GO2" s="209"/>
      <c r="GP2" s="209"/>
      <c r="GQ2" s="209"/>
      <c r="GR2" s="209"/>
      <c r="GS2" s="209"/>
      <c r="GT2" s="209"/>
      <c r="GU2" s="209"/>
    </row>
    <row r="3" spans="1:203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9"/>
      <c r="FY3" s="210"/>
      <c r="FZ3" s="210"/>
      <c r="GA3" s="210"/>
      <c r="GB3" s="210"/>
      <c r="GC3" s="210"/>
      <c r="GD3" s="210"/>
      <c r="GE3" s="210"/>
      <c r="GF3" s="210"/>
      <c r="GG3" s="210"/>
      <c r="GH3" s="210"/>
      <c r="GI3" s="210"/>
      <c r="GJ3" s="210"/>
      <c r="GK3" s="210"/>
      <c r="GL3" s="210"/>
      <c r="GM3" s="210"/>
      <c r="GN3" s="210"/>
      <c r="GO3" s="210"/>
      <c r="GP3" s="210"/>
      <c r="GQ3" s="210"/>
      <c r="GR3" s="210"/>
      <c r="GS3" s="210"/>
      <c r="GT3" s="210"/>
      <c r="GU3" s="210"/>
    </row>
    <row r="4" spans="1:203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29.61690996333445</v>
      </c>
      <c r="N4" s="130">
        <v>7.1295347542195362</v>
      </c>
      <c r="O4" s="130">
        <v>161.62276194040913</v>
      </c>
      <c r="P4" s="130">
        <v>47.630430383998522</v>
      </c>
      <c r="Q4" s="130">
        <v>6.5356665019680609</v>
      </c>
      <c r="R4" s="130">
        <v>87.333971779269135</v>
      </c>
      <c r="S4" s="131" t="e">
        <v>#DIV/0!</v>
      </c>
      <c r="T4" s="131" t="e">
        <v>#DIV/0!</v>
      </c>
      <c r="U4" s="5"/>
      <c r="V4" s="4"/>
      <c r="W4" s="127">
        <f t="shared" ref="W4:W13" si="0">C4</f>
        <v>39646</v>
      </c>
      <c r="X4" s="132">
        <f>AVERAGE(EK88:EK97)</f>
        <v>3.125</v>
      </c>
      <c r="Y4" s="131">
        <f>COUNT(EK88:EK97)</f>
        <v>10</v>
      </c>
      <c r="Z4" s="130">
        <f>STDEV(EK88:EK97)</f>
        <v>9.8821176880261863</v>
      </c>
      <c r="AA4" s="130">
        <f>Z4/SQRT(Y4)</f>
        <v>3.125</v>
      </c>
      <c r="AB4" s="131"/>
      <c r="AC4" s="130">
        <f>AVERAGE($FU88:$FU97)</f>
        <v>1.1939679589066536</v>
      </c>
      <c r="AD4" s="132">
        <f>COUNT($FU88:$FU97)</f>
        <v>10</v>
      </c>
      <c r="AE4" s="130">
        <f>STDEV($FU88:$FU97)</f>
        <v>3.7756582034073478</v>
      </c>
      <c r="AF4" s="130">
        <f>AE4/SQRT(AD4)</f>
        <v>1.1939679589066534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21" t="s">
        <v>145</v>
      </c>
      <c r="FK4" s="221"/>
      <c r="FL4" s="221"/>
      <c r="FM4" s="221"/>
      <c r="FN4" s="5"/>
      <c r="FO4" s="5"/>
      <c r="FP4" s="5"/>
      <c r="FQ4" s="5"/>
      <c r="FR4" s="221"/>
      <c r="FS4" s="221"/>
      <c r="FT4" s="221"/>
      <c r="FU4" s="221"/>
      <c r="FV4" s="5"/>
      <c r="FW4" s="5"/>
      <c r="FX4" s="209"/>
      <c r="FY4" s="211" t="s">
        <v>144</v>
      </c>
      <c r="FZ4" s="212">
        <f>C4</f>
        <v>39646</v>
      </c>
      <c r="GA4" s="212">
        <f>C5</f>
        <v>39673</v>
      </c>
      <c r="GB4" s="212">
        <f>C6</f>
        <v>39714</v>
      </c>
      <c r="GC4" s="212">
        <f>C7</f>
        <v>39747</v>
      </c>
      <c r="GD4" s="212">
        <f>C8</f>
        <v>39775</v>
      </c>
      <c r="GE4" s="212">
        <f>C9</f>
        <v>39799</v>
      </c>
      <c r="GF4" s="212">
        <f>C10</f>
        <v>39847</v>
      </c>
      <c r="GG4" s="212">
        <f>C11</f>
        <v>39910</v>
      </c>
      <c r="GH4" s="212">
        <f>C12</f>
        <v>39949</v>
      </c>
      <c r="GI4" s="212">
        <f>C13</f>
        <v>39987</v>
      </c>
      <c r="GJ4" s="211"/>
      <c r="GK4" s="212">
        <v>39646</v>
      </c>
      <c r="GL4" s="212">
        <v>39673</v>
      </c>
      <c r="GM4" s="212">
        <v>39714</v>
      </c>
      <c r="GN4" s="212">
        <v>39747</v>
      </c>
      <c r="GO4" s="212">
        <v>39775</v>
      </c>
      <c r="GP4" s="212">
        <v>39799</v>
      </c>
      <c r="GQ4" s="212">
        <v>39847</v>
      </c>
      <c r="GR4" s="212">
        <v>39910</v>
      </c>
      <c r="GS4" s="212">
        <v>39949</v>
      </c>
      <c r="GT4" s="212">
        <v>39987</v>
      </c>
      <c r="GU4" s="211" t="s">
        <v>144</v>
      </c>
    </row>
    <row r="5" spans="1:203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29.85567447705435</v>
      </c>
      <c r="N5" s="130">
        <f t="shared" si="1"/>
        <v>7.1703959056004152</v>
      </c>
      <c r="O5" s="130">
        <f t="shared" si="1"/>
        <v>228.79199470026788</v>
      </c>
      <c r="P5" s="130">
        <f t="shared" si="1"/>
        <v>47.740474146879279</v>
      </c>
      <c r="Q5" s="130">
        <f t="shared" si="1"/>
        <v>6.5747667689743388</v>
      </c>
      <c r="R5" s="130">
        <f t="shared" si="1"/>
        <v>83.580550770103542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6.25</v>
      </c>
      <c r="Y5" s="131">
        <f>COUNT(EK98:EK107)</f>
        <v>10</v>
      </c>
      <c r="Z5" s="130">
        <f>STDEV(EK98:EK107)</f>
        <v>19.764235376052373</v>
      </c>
      <c r="AA5" s="130">
        <f t="shared" ref="AA5:AA13" si="2">Z5/SQRT(Y5)</f>
        <v>6.25</v>
      </c>
      <c r="AB5" s="131"/>
      <c r="AC5" s="130">
        <f>AVERAGE($FU98:$FU107)</f>
        <v>3.2868858209026008</v>
      </c>
      <c r="AD5" s="132">
        <f>COUNT($FU98:$FU107)</f>
        <v>10</v>
      </c>
      <c r="AE5" s="130">
        <f>STDEV($FU98:$FU107)</f>
        <v>10.394045602964498</v>
      </c>
      <c r="AF5" s="130">
        <f t="shared" ref="AF5:AF13" si="3">AE5/SQRT(AD5)</f>
        <v>3.2868858209026004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216"/>
      <c r="FK5" s="137"/>
      <c r="FL5" s="216"/>
      <c r="FM5" s="216"/>
      <c r="FN5" s="216"/>
      <c r="FO5" s="5"/>
      <c r="FP5" s="13"/>
      <c r="FQ5" s="13"/>
      <c r="FR5" s="216"/>
      <c r="FS5" s="137"/>
      <c r="FT5" s="216"/>
      <c r="FU5" s="216"/>
      <c r="FV5" s="216"/>
      <c r="FW5" s="5"/>
      <c r="FX5" s="209"/>
      <c r="FY5" s="209"/>
      <c r="FZ5" s="209"/>
      <c r="GA5" s="209"/>
      <c r="GB5" s="209"/>
      <c r="GC5" s="209"/>
      <c r="GD5" s="209"/>
      <c r="GE5" s="209"/>
      <c r="GF5" s="209"/>
      <c r="GG5" s="209"/>
      <c r="GH5" s="209"/>
      <c r="GI5" s="209"/>
      <c r="GJ5" s="209"/>
      <c r="GK5" s="209"/>
      <c r="GL5" s="209"/>
      <c r="GM5" s="209"/>
      <c r="GN5" s="209"/>
      <c r="GO5" s="209"/>
      <c r="GP5" s="209"/>
      <c r="GQ5" s="209"/>
      <c r="GR5" s="209"/>
      <c r="GS5" s="209"/>
      <c r="GT5" s="209"/>
      <c r="GU5" s="209"/>
    </row>
    <row r="6" spans="1:203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45.67871296351251</v>
      </c>
      <c r="N6" s="130">
        <f t="shared" si="4"/>
        <v>10.204299315410323</v>
      </c>
      <c r="O6" s="130">
        <f t="shared" si="4"/>
        <v>437.13718137717041</v>
      </c>
      <c r="P6" s="130">
        <f t="shared" si="4"/>
        <v>68.213876267819003</v>
      </c>
      <c r="Q6" s="130">
        <f t="shared" si="4"/>
        <v>9.3463671274344087</v>
      </c>
      <c r="R6" s="130">
        <f t="shared" si="4"/>
        <v>122.13579795131052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63.541666666666664</v>
      </c>
      <c r="Y6" s="131">
        <f>COUNT(EK108:EK117)</f>
        <v>10</v>
      </c>
      <c r="Z6" s="130">
        <f>STDEV(EK108:EK117)</f>
        <v>59.221495852330968</v>
      </c>
      <c r="AA6" s="130">
        <f t="shared" si="2"/>
        <v>18.727481333558053</v>
      </c>
      <c r="AB6" s="131"/>
      <c r="AC6" s="130">
        <f>AVERAGE($FU108:$FU117)</f>
        <v>26.550725872723739</v>
      </c>
      <c r="AD6" s="132">
        <f>COUNT($FU108:$FU117)</f>
        <v>10</v>
      </c>
      <c r="AE6" s="130">
        <f>STDEV($FU108:$FU117)</f>
        <v>23.886156718253762</v>
      </c>
      <c r="AF6" s="130">
        <f t="shared" si="3"/>
        <v>7.5534659777414719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22" t="s">
        <v>146</v>
      </c>
      <c r="FJ6" s="222"/>
      <c r="FK6" s="223" t="s">
        <v>147</v>
      </c>
      <c r="FL6" s="223"/>
      <c r="FM6" s="223" t="s">
        <v>148</v>
      </c>
      <c r="FN6" s="223"/>
      <c r="FO6" s="5"/>
      <c r="FP6" s="13"/>
      <c r="FQ6" s="222" t="s">
        <v>146</v>
      </c>
      <c r="FR6" s="222"/>
      <c r="FS6" s="223" t="s">
        <v>147</v>
      </c>
      <c r="FT6" s="223"/>
      <c r="FU6" s="223" t="s">
        <v>148</v>
      </c>
      <c r="FV6" s="223"/>
      <c r="FW6" s="5"/>
      <c r="FY6" s="213">
        <v>1</v>
      </c>
      <c r="FZ6">
        <v>3.3577595644647293</v>
      </c>
      <c r="GA6">
        <v>14.830760685637834</v>
      </c>
      <c r="GB6">
        <v>6.379584481595673</v>
      </c>
      <c r="GC6">
        <v>2.4280648647230603</v>
      </c>
      <c r="GD6">
        <v>4.0109967205815078</v>
      </c>
      <c r="GE6">
        <v>4.6424151529863549</v>
      </c>
      <c r="GF6">
        <v>0.47734812494006024</v>
      </c>
      <c r="GG6">
        <v>3.7581495871366699</v>
      </c>
      <c r="GH6">
        <v>5.3997773148724022</v>
      </c>
      <c r="GI6">
        <v>5.5358352113225173</v>
      </c>
      <c r="GJ6"/>
      <c r="GK6"/>
      <c r="GL6"/>
      <c r="GM6"/>
      <c r="GN6" s="208"/>
      <c r="GO6" s="208"/>
      <c r="GP6" s="208"/>
      <c r="GQ6" s="208"/>
      <c r="GR6" s="208"/>
      <c r="GS6" s="208"/>
      <c r="GT6" s="208"/>
      <c r="GU6" s="213">
        <v>1</v>
      </c>
    </row>
    <row r="7" spans="1:203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15.964889916810096</v>
      </c>
      <c r="N7" s="130">
        <f t="shared" si="5"/>
        <v>4.56370931857444</v>
      </c>
      <c r="O7" s="130">
        <f t="shared" si="5"/>
        <v>73.999821105860761</v>
      </c>
      <c r="P7" s="130">
        <f t="shared" si="5"/>
        <v>30.31670197565073</v>
      </c>
      <c r="Q7" s="130">
        <f t="shared" si="5"/>
        <v>4.1488266532494924</v>
      </c>
      <c r="R7" s="130">
        <f t="shared" si="5"/>
        <v>50.500934433341506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0</v>
      </c>
      <c r="Y7" s="131">
        <f>COUNT(EK118:EK127)</f>
        <v>10</v>
      </c>
      <c r="Z7" s="130">
        <f>STDEV(EK118:EK127)</f>
        <v>0</v>
      </c>
      <c r="AA7" s="130">
        <f t="shared" si="2"/>
        <v>0</v>
      </c>
      <c r="AB7" s="131"/>
      <c r="AC7" s="130">
        <f>AVERAGE($FU118:$FU127)</f>
        <v>0</v>
      </c>
      <c r="AD7" s="132">
        <f>COUNT($FU118:$FU127)</f>
        <v>10</v>
      </c>
      <c r="AE7" s="130">
        <f>STDEV($FU118:$FU127)</f>
        <v>0</v>
      </c>
      <c r="AF7" s="130">
        <f t="shared" si="3"/>
        <v>0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4">
        <f t="shared" ref="FH7:FH16" si="6">C4</f>
        <v>39646</v>
      </c>
      <c r="FI7" s="224">
        <f>AVERAGE(FZ6:FZ1005)</f>
        <v>2.1662644948005663</v>
      </c>
      <c r="FJ7" s="225"/>
      <c r="FK7" s="225">
        <f>PERCENTILE($FZ$6:$FZ$1005,0.975)</f>
        <v>5.9631508494094883</v>
      </c>
      <c r="FL7" s="225"/>
      <c r="FM7" s="225">
        <f>PERCENTILE($FZ$6:$FZ$1005,0.025)</f>
        <v>0</v>
      </c>
      <c r="FN7" s="225"/>
      <c r="FO7" s="5"/>
      <c r="FP7" s="214">
        <v>39646</v>
      </c>
      <c r="FQ7" s="224" t="e">
        <f>AVERAGE(GK6:GK1005)</f>
        <v>#DIV/0!</v>
      </c>
      <c r="FR7" s="225"/>
      <c r="FS7" s="225" t="e">
        <f>PERCENTILE($GK$6:$GK$1005,0.975)</f>
        <v>#NUM!</v>
      </c>
      <c r="FT7" s="225"/>
      <c r="FU7" s="225" t="e">
        <f>PERCENTILE($GK$6:$GK$1005,0.025)</f>
        <v>#NUM!</v>
      </c>
      <c r="FV7" s="225"/>
      <c r="FW7" s="5"/>
      <c r="FY7" s="213">
        <v>2</v>
      </c>
      <c r="FZ7">
        <v>0.58716112056924263</v>
      </c>
      <c r="GA7">
        <v>12.467534267369722</v>
      </c>
      <c r="GB7">
        <v>6.2195188101983829</v>
      </c>
      <c r="GC7">
        <v>1.0020405114277708</v>
      </c>
      <c r="GD7">
        <v>1.7384202865963885</v>
      </c>
      <c r="GE7">
        <v>1.9594388810977574</v>
      </c>
      <c r="GF7">
        <v>0</v>
      </c>
      <c r="GG7">
        <v>5.6498583892175525</v>
      </c>
      <c r="GH7">
        <v>8.0009783665119993</v>
      </c>
      <c r="GI7">
        <v>3.9615160581969704</v>
      </c>
      <c r="GJ7"/>
      <c r="GK7"/>
      <c r="GL7"/>
      <c r="GM7"/>
      <c r="GN7" s="208"/>
      <c r="GO7" s="208"/>
      <c r="GP7" s="208"/>
      <c r="GQ7" s="208"/>
      <c r="GR7" s="208"/>
      <c r="GS7" s="208"/>
      <c r="GT7" s="208"/>
      <c r="GU7" s="213">
        <v>2</v>
      </c>
    </row>
    <row r="8" spans="1:203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111.9047619047619</v>
      </c>
      <c r="Y8" s="131">
        <f>COUNT(EK128:EK137)</f>
        <v>10</v>
      </c>
      <c r="Z8" s="130">
        <f>STDEV(EK128:EK137)</f>
        <v>193.71522640019657</v>
      </c>
      <c r="AA8" s="130">
        <f t="shared" si="2"/>
        <v>61.258133287980144</v>
      </c>
      <c r="AB8" s="131"/>
      <c r="AC8" s="130">
        <f>AVERAGE($FU128:$FU137)</f>
        <v>8.2960318342351762</v>
      </c>
      <c r="AD8" s="132">
        <f>COUNT($FU128:$FU137)</f>
        <v>10</v>
      </c>
      <c r="AE8" s="130">
        <f>STDEV($FU128:$FU137)</f>
        <v>14.714787305975811</v>
      </c>
      <c r="AF8" s="130">
        <f t="shared" si="3"/>
        <v>4.6532243171816559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4">
        <f t="shared" si="6"/>
        <v>39673</v>
      </c>
      <c r="FI8" s="217">
        <f>AVERAGE(GA6:GA1005)</f>
        <v>16.763299926606496</v>
      </c>
      <c r="FJ8" s="218"/>
      <c r="FK8" s="218">
        <f>PERCENTILE($GA$6:$GA$1005,0.975)</f>
        <v>25.685229077603161</v>
      </c>
      <c r="FL8" s="218"/>
      <c r="FM8" s="218">
        <f>PERCENTILE($GA$6:$GA$1005,0.025)</f>
        <v>8.824847355251892</v>
      </c>
      <c r="FN8" s="218"/>
      <c r="FO8" s="5"/>
      <c r="FP8" s="214">
        <v>39673</v>
      </c>
      <c r="FQ8" s="224" t="e">
        <f t="shared" ref="FQ8:FQ16" si="7">AVERAGE(GK7:GT1006)</f>
        <v>#DIV/0!</v>
      </c>
      <c r="FR8" s="225"/>
      <c r="FS8" s="218" t="e">
        <f>PERCENTILE($GL$6:$GL$1005,0.975)</f>
        <v>#NUM!</v>
      </c>
      <c r="FT8" s="218"/>
      <c r="FU8" s="218" t="e">
        <f>PERCENTILE($GL$6:$GL$1005,0.025)</f>
        <v>#NUM!</v>
      </c>
      <c r="FV8" s="218"/>
      <c r="FW8" s="5"/>
      <c r="FY8" s="213">
        <v>3</v>
      </c>
      <c r="FZ8">
        <v>0.58716112056924263</v>
      </c>
      <c r="GA8">
        <v>13.316943428847861</v>
      </c>
      <c r="GB8">
        <v>6.7003590477409354</v>
      </c>
      <c r="GC8">
        <v>1.5479672045308583</v>
      </c>
      <c r="GD8">
        <v>3.9179570158570316</v>
      </c>
      <c r="GE8">
        <v>5.8327350484323706</v>
      </c>
      <c r="GF8">
        <v>0.47734812494006024</v>
      </c>
      <c r="GG8">
        <v>6.8230040192573682</v>
      </c>
      <c r="GH8">
        <v>9.653451764873914</v>
      </c>
      <c r="GI8">
        <v>5.9276490834572515</v>
      </c>
      <c r="GJ8"/>
      <c r="GK8"/>
      <c r="GL8"/>
      <c r="GM8"/>
      <c r="GN8" s="208"/>
      <c r="GO8" s="208"/>
      <c r="GP8" s="208"/>
      <c r="GQ8" s="208"/>
      <c r="GR8" s="208"/>
      <c r="GS8" s="208"/>
      <c r="GT8" s="208"/>
      <c r="GU8" s="213">
        <v>3</v>
      </c>
    </row>
    <row r="9" spans="1:203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61.458333333333329</v>
      </c>
      <c r="Y9" s="131">
        <f>COUNT(EK138:EK147)</f>
        <v>10</v>
      </c>
      <c r="Z9" s="130">
        <f>STDEV(EK138:EK147)</f>
        <v>109.63098351422509</v>
      </c>
      <c r="AA9" s="130">
        <f t="shared" si="2"/>
        <v>34.668361002932187</v>
      </c>
      <c r="AB9" s="131"/>
      <c r="AC9" s="130">
        <f>AVERAGE($FU138:$FU147)</f>
        <v>10.448726312067095</v>
      </c>
      <c r="AD9" s="132">
        <f>COUNT($FU138:$FU147)</f>
        <v>10</v>
      </c>
      <c r="AE9" s="130">
        <f>STDEV($FU138:$FU147)</f>
        <v>18.957390082280543</v>
      </c>
      <c r="AF9" s="130">
        <f t="shared" si="3"/>
        <v>5.9948531152293354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4">
        <f t="shared" si="6"/>
        <v>39714</v>
      </c>
      <c r="FI9" s="217">
        <f>AVERAGE(GB6:GB1005)</f>
        <v>7.4280527467551289</v>
      </c>
      <c r="FJ9" s="218"/>
      <c r="FK9" s="218">
        <f>PERCENTILE($GB$6:$GB$1005,0.975)</f>
        <v>11.417471711834018</v>
      </c>
      <c r="FL9" s="218"/>
      <c r="FM9" s="218">
        <f>PERCENTILE($GB$6:$GB$1005,0.025)</f>
        <v>3.8826285784423975</v>
      </c>
      <c r="FN9" s="218"/>
      <c r="FO9" s="5"/>
      <c r="FP9" s="214">
        <v>39714</v>
      </c>
      <c r="FQ9" s="224" t="e">
        <f t="shared" si="7"/>
        <v>#DIV/0!</v>
      </c>
      <c r="FR9" s="225"/>
      <c r="FS9" s="218" t="e">
        <f>PERCENTILE($GM$6:$GM$1005,0.975)</f>
        <v>#NUM!</v>
      </c>
      <c r="FT9" s="218"/>
      <c r="FU9" s="218" t="e">
        <f>PERCENTILE($GM$6:$GM$1005,0.025)</f>
        <v>#NUM!</v>
      </c>
      <c r="FV9" s="218"/>
      <c r="FW9" s="5"/>
      <c r="FY9" s="213">
        <v>4</v>
      </c>
      <c r="FZ9">
        <v>3.7797135260832437</v>
      </c>
      <c r="GA9">
        <v>20.519682652387207</v>
      </c>
      <c r="GB9">
        <v>8.4089094509806763</v>
      </c>
      <c r="GC9">
        <v>1.7595079126197593</v>
      </c>
      <c r="GD9">
        <v>2.0380048152278496</v>
      </c>
      <c r="GE9">
        <v>1.3899874070050173</v>
      </c>
      <c r="GF9">
        <v>0</v>
      </c>
      <c r="GG9">
        <v>9.7248841388842049</v>
      </c>
      <c r="GH9">
        <v>13.589778432972256</v>
      </c>
      <c r="GI9">
        <v>6.1035038212662451</v>
      </c>
      <c r="GJ9"/>
      <c r="GK9"/>
      <c r="GL9"/>
      <c r="GM9"/>
      <c r="GN9" s="208"/>
      <c r="GO9" s="208"/>
      <c r="GP9" s="208"/>
      <c r="GQ9" s="208"/>
      <c r="GR9" s="208"/>
      <c r="GS9" s="208"/>
      <c r="GT9" s="208"/>
      <c r="GU9" s="213">
        <v>4</v>
      </c>
    </row>
    <row r="10" spans="1:203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1.0416666666666665</v>
      </c>
      <c r="Y10" s="131">
        <f>COUNT(EK148:EK157)</f>
        <v>10</v>
      </c>
      <c r="Z10" s="130">
        <f>STDEV(EK148:EK157)</f>
        <v>3.2940392293420615</v>
      </c>
      <c r="AA10" s="130">
        <f t="shared" si="2"/>
        <v>1.0416666666666665</v>
      </c>
      <c r="AB10" s="131"/>
      <c r="AC10" s="130">
        <f>AVERAGE($FU148:$FU157)</f>
        <v>1.4286847949341792</v>
      </c>
      <c r="AD10" s="132">
        <f>COUNT($FU148:$FU157)</f>
        <v>10</v>
      </c>
      <c r="AE10" s="130">
        <f>STDEV($FU148:$FU157)</f>
        <v>4.5178980104425976</v>
      </c>
      <c r="AF10" s="130">
        <f t="shared" si="3"/>
        <v>1.4286847949341792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4">
        <f t="shared" si="6"/>
        <v>39747</v>
      </c>
      <c r="FI10" s="217">
        <f>AVERAGE(GC6:GC1005)</f>
        <v>1.4207257384788512</v>
      </c>
      <c r="FJ10" s="218"/>
      <c r="FK10" s="218">
        <f>PERCENTILE($GC$6:$GC$1005,0.975)</f>
        <v>2.9679829993836475</v>
      </c>
      <c r="FL10" s="218"/>
      <c r="FM10" s="218">
        <f>PERCENTILE($GC$6:$GC$1005,0.025)</f>
        <v>0.15497525338245066</v>
      </c>
      <c r="FN10" s="218"/>
      <c r="FO10" s="5"/>
      <c r="FP10" s="214">
        <v>39747</v>
      </c>
      <c r="FQ10" s="224" t="e">
        <f t="shared" si="7"/>
        <v>#DIV/0!</v>
      </c>
      <c r="FR10" s="225"/>
      <c r="FS10" s="218" t="e">
        <f>PERCENTILE($GN$6:$GN$1005,0.975)</f>
        <v>#NUM!</v>
      </c>
      <c r="FT10" s="218"/>
      <c r="FU10" s="218" t="e">
        <f>PERCENTILE($GN$6:$GN$1005,0.025)</f>
        <v>#NUM!</v>
      </c>
      <c r="FV10" s="218"/>
      <c r="FW10" s="5"/>
      <c r="FY10" s="213">
        <v>5</v>
      </c>
      <c r="FZ10">
        <v>3.7797135260832437</v>
      </c>
      <c r="GA10">
        <v>18.820559103391535</v>
      </c>
      <c r="GB10">
        <v>7.5940743262135246</v>
      </c>
      <c r="GC10">
        <v>2.7232558235467756</v>
      </c>
      <c r="GD10">
        <v>3.220855928865296</v>
      </c>
      <c r="GE10">
        <v>2.5740323504368119</v>
      </c>
      <c r="GF10">
        <v>0.47734812494006024</v>
      </c>
      <c r="GG10">
        <v>4.9329652708625638</v>
      </c>
      <c r="GH10">
        <v>7.1686129712266258</v>
      </c>
      <c r="GI10">
        <v>5.5820851921141195</v>
      </c>
      <c r="GJ10"/>
      <c r="GK10"/>
      <c r="GL10"/>
      <c r="GM10"/>
      <c r="GN10" s="208"/>
      <c r="GO10" s="208"/>
      <c r="GP10" s="208"/>
      <c r="GQ10" s="208"/>
      <c r="GR10" s="208"/>
      <c r="GS10" s="208"/>
      <c r="GT10" s="208"/>
      <c r="GU10" s="213">
        <v>5</v>
      </c>
    </row>
    <row r="11" spans="1:203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0</v>
      </c>
      <c r="Y11" s="131">
        <f>COUNT(EK158:EK167)</f>
        <v>10</v>
      </c>
      <c r="Z11" s="130">
        <f>STDEV(EK158:EK167)</f>
        <v>0</v>
      </c>
      <c r="AA11" s="130">
        <f t="shared" si="2"/>
        <v>0</v>
      </c>
      <c r="AB11" s="131"/>
      <c r="AC11" s="130">
        <f>AVERAGE($FU158:$FU167)</f>
        <v>0</v>
      </c>
      <c r="AD11" s="132">
        <f>COUNT($FU158:$FU167)</f>
        <v>10</v>
      </c>
      <c r="AE11" s="130">
        <f>STDEV($FU158:$FU167)</f>
        <v>0</v>
      </c>
      <c r="AF11" s="130">
        <f t="shared" si="3"/>
        <v>0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4">
        <f t="shared" si="6"/>
        <v>39775</v>
      </c>
      <c r="FI11" s="217">
        <f>AVERAGE(GD5:GD1005)</f>
        <v>2.3029254836065536</v>
      </c>
      <c r="FJ11" s="218"/>
      <c r="FK11" s="218">
        <f>PERCENTILE($GD$6:$GD$1005,0.975)</f>
        <v>4.081766947607151</v>
      </c>
      <c r="FL11" s="218"/>
      <c r="FM11" s="218">
        <f>PERCENTILE($GD$6:$GD$1005,0.025)</f>
        <v>0.74437473846235447</v>
      </c>
      <c r="FN11" s="218"/>
      <c r="FO11" s="5"/>
      <c r="FP11" s="214">
        <v>39775</v>
      </c>
      <c r="FQ11" s="224" t="e">
        <f t="shared" si="7"/>
        <v>#DIV/0!</v>
      </c>
      <c r="FR11" s="225"/>
      <c r="FS11" s="218" t="e">
        <f>PERCENTILE($GO$6:$GO$1005,0.975)</f>
        <v>#NUM!</v>
      </c>
      <c r="FT11" s="218"/>
      <c r="FU11" s="218" t="e">
        <f>PERCENTILE($GO$6:$GO$1005,0.025)</f>
        <v>#NUM!</v>
      </c>
      <c r="FV11" s="218"/>
      <c r="FW11" s="5"/>
      <c r="FY11" s="213">
        <v>6</v>
      </c>
      <c r="FZ11">
        <v>3.7797135260832437</v>
      </c>
      <c r="GA11">
        <v>17.736900807383421</v>
      </c>
      <c r="GB11">
        <v>6.9094245487369204</v>
      </c>
      <c r="GC11">
        <v>2.1133839017666447</v>
      </c>
      <c r="GD11">
        <v>2.4436071309827914</v>
      </c>
      <c r="GE11">
        <v>1.6574259408609204</v>
      </c>
      <c r="GF11">
        <v>0</v>
      </c>
      <c r="GG11">
        <v>7.2230209750823775</v>
      </c>
      <c r="GH11">
        <v>10.29679440857144</v>
      </c>
      <c r="GI11">
        <v>5.4105319474954463</v>
      </c>
      <c r="GJ11"/>
      <c r="GK11"/>
      <c r="GL11"/>
      <c r="GM11"/>
      <c r="GN11" s="208"/>
      <c r="GO11" s="208"/>
      <c r="GP11" s="208"/>
      <c r="GQ11" s="208"/>
      <c r="GR11" s="208"/>
      <c r="GS11" s="208"/>
      <c r="GT11" s="208"/>
      <c r="GU11" s="213">
        <v>6</v>
      </c>
    </row>
    <row r="12" spans="1:203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23.343662004339194</v>
      </c>
      <c r="Y12" s="131">
        <f>COUNT(EK168:EK177)</f>
        <v>10</v>
      </c>
      <c r="Z12" s="130">
        <f>STDEV(EK168:EK177)</f>
        <v>38.388055957105131</v>
      </c>
      <c r="AA12" s="130">
        <f t="shared" si="2"/>
        <v>12.139369177044722</v>
      </c>
      <c r="AB12" s="131"/>
      <c r="AC12" s="130">
        <f>AVERAGE($FU168:$FU177)</f>
        <v>14.151642425911167</v>
      </c>
      <c r="AD12" s="132">
        <f>COUNT($FU168:$FU177)</f>
        <v>10</v>
      </c>
      <c r="AE12" s="130">
        <f>STDEV($FU168:$FU177)</f>
        <v>25.074246664492655</v>
      </c>
      <c r="AF12" s="130">
        <f t="shared" si="3"/>
        <v>7.9291730072676616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4">
        <f t="shared" si="6"/>
        <v>39799</v>
      </c>
      <c r="FI12" s="217">
        <f>AVERAGE(GE6:GE1005)</f>
        <v>2.7532421883363227</v>
      </c>
      <c r="FJ12" s="218"/>
      <c r="FK12" s="218">
        <f>PERCENTILE($GE$6:$GE$1005,0.975)</f>
        <v>5.7114556529713854</v>
      </c>
      <c r="FL12" s="218"/>
      <c r="FM12" s="218">
        <f>PERCENTILE($GE$6:$GE$1005,0.025)</f>
        <v>0.38968151687869679</v>
      </c>
      <c r="FN12" s="218"/>
      <c r="FO12" s="5"/>
      <c r="FP12" s="214">
        <v>39799</v>
      </c>
      <c r="FQ12" s="224" t="e">
        <f t="shared" si="7"/>
        <v>#DIV/0!</v>
      </c>
      <c r="FR12" s="225"/>
      <c r="FS12" s="218" t="e">
        <f>PERCENTILE($GP$6:$GP$1005,0.975)</f>
        <v>#NUM!</v>
      </c>
      <c r="FT12" s="218"/>
      <c r="FU12" s="218" t="e">
        <f>PERCENTILE($GP$6:$GP$1005,0.025)</f>
        <v>#NUM!</v>
      </c>
      <c r="FV12" s="218"/>
      <c r="FW12" s="5"/>
      <c r="FY12" s="213">
        <v>7</v>
      </c>
      <c r="FZ12">
        <v>2.1834373233262436</v>
      </c>
      <c r="GA12">
        <v>17.693065841437875</v>
      </c>
      <c r="GB12">
        <v>7.6015155570710604</v>
      </c>
      <c r="GC12">
        <v>0.93809528275072762</v>
      </c>
      <c r="GD12">
        <v>2.7978942408405563</v>
      </c>
      <c r="GE12">
        <v>4.5105186637242545</v>
      </c>
      <c r="GF12">
        <v>0.47734812494006024</v>
      </c>
      <c r="GG12">
        <v>5.1431026767584997</v>
      </c>
      <c r="GH12">
        <v>7.2170533002903205</v>
      </c>
      <c r="GI12">
        <v>5.3824449606192095</v>
      </c>
      <c r="GJ12"/>
      <c r="GK12"/>
      <c r="GL12"/>
      <c r="GM12"/>
      <c r="GN12" s="208"/>
      <c r="GO12" s="208"/>
      <c r="GP12" s="208"/>
      <c r="GQ12" s="208"/>
      <c r="GR12" s="208"/>
      <c r="GS12" s="208"/>
      <c r="GT12" s="208"/>
      <c r="GU12" s="213">
        <v>7</v>
      </c>
    </row>
    <row r="13" spans="1:203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0</v>
      </c>
      <c r="Y13" s="131">
        <f>COUNT(EK178:EK187)</f>
        <v>10</v>
      </c>
      <c r="Z13" s="130">
        <f>STDEV(EK178:EK187)</f>
        <v>0</v>
      </c>
      <c r="AA13" s="130">
        <f t="shared" si="2"/>
        <v>0</v>
      </c>
      <c r="AB13" s="131"/>
      <c r="AC13" s="130">
        <f>AVERAGE($FU178:$FU187)</f>
        <v>0</v>
      </c>
      <c r="AD13" s="132">
        <f>COUNT($FU178:$FU187)</f>
        <v>10</v>
      </c>
      <c r="AE13" s="130">
        <f>STDEV($FU178:$FU187)</f>
        <v>0</v>
      </c>
      <c r="AF13" s="130">
        <f t="shared" si="3"/>
        <v>0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4">
        <f t="shared" si="6"/>
        <v>39847</v>
      </c>
      <c r="FI13" s="217">
        <f>AVERAGE(GF6:GF1005)</f>
        <v>0.48594039118898208</v>
      </c>
      <c r="FJ13" s="218"/>
      <c r="FK13" s="218">
        <f>PERCENTILE($GF$6:$GF$1005,0.975)</f>
        <v>1.432044374820181</v>
      </c>
      <c r="FL13" s="218"/>
      <c r="FM13" s="218">
        <f>PERCENTILE($GF$6:$GF$1005,0.025)</f>
        <v>0</v>
      </c>
      <c r="FN13" s="218"/>
      <c r="FO13" s="5"/>
      <c r="FP13" s="214">
        <v>39847</v>
      </c>
      <c r="FQ13" s="224" t="e">
        <f t="shared" si="7"/>
        <v>#DIV/0!</v>
      </c>
      <c r="FR13" s="225"/>
      <c r="FS13" s="218" t="e">
        <f>PERCENTILE($GQ$6:$GQ$1005,0.975)</f>
        <v>#NUM!</v>
      </c>
      <c r="FT13" s="218"/>
      <c r="FU13" s="218" t="e">
        <f>PERCENTILE($GQ$6:$GQ$1005,0.025)</f>
        <v>#NUM!</v>
      </c>
      <c r="FV13" s="218"/>
      <c r="FW13" s="5"/>
      <c r="FY13" s="213">
        <v>8</v>
      </c>
      <c r="FZ13">
        <v>7.5594270521664875</v>
      </c>
      <c r="GA13">
        <v>23.226572959354755</v>
      </c>
      <c r="GB13">
        <v>7.879069383839429</v>
      </c>
      <c r="GC13">
        <v>1.5035119799865142</v>
      </c>
      <c r="GD13">
        <v>1.9744019623128173</v>
      </c>
      <c r="GE13">
        <v>1.6574259408609204</v>
      </c>
      <c r="GF13">
        <v>0</v>
      </c>
      <c r="GG13">
        <v>6.6111965596753564</v>
      </c>
      <c r="GH13">
        <v>9.4886491778179121</v>
      </c>
      <c r="GI13">
        <v>5.7897660473042709</v>
      </c>
      <c r="GJ13"/>
      <c r="GK13"/>
      <c r="GL13"/>
      <c r="GM13"/>
      <c r="GN13" s="208"/>
      <c r="GO13" s="208"/>
      <c r="GP13" s="208"/>
      <c r="GQ13" s="208"/>
      <c r="GR13" s="208"/>
      <c r="GS13" s="208"/>
      <c r="GT13" s="208"/>
      <c r="GU13" s="213">
        <v>8</v>
      </c>
    </row>
    <row r="14" spans="1:203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4">
        <f t="shared" si="6"/>
        <v>39910</v>
      </c>
      <c r="FI14" s="217">
        <f>AVERAGE(GG6:GG1005)</f>
        <v>4.087019968609769</v>
      </c>
      <c r="FJ14" s="218"/>
      <c r="FK14" s="218">
        <f>PERCENTILE($GG$6:$GG$1005,0.975)</f>
        <v>8.3987933226958909</v>
      </c>
      <c r="FL14" s="218"/>
      <c r="FM14" s="218">
        <f>PERCENTILE($GG$6:$GG$1005,0.025)</f>
        <v>0.31754780098628327</v>
      </c>
      <c r="FN14" s="218"/>
      <c r="FO14" s="5"/>
      <c r="FP14" s="214">
        <v>39910</v>
      </c>
      <c r="FQ14" s="224" t="e">
        <f t="shared" si="7"/>
        <v>#DIV/0!</v>
      </c>
      <c r="FR14" s="225"/>
      <c r="FS14" s="218" t="e">
        <f>PERCENTILE($GR$6:$GR$1005,0.975)</f>
        <v>#NUM!</v>
      </c>
      <c r="FT14" s="218"/>
      <c r="FU14" s="218" t="e">
        <f>PERCENTILE($GR$6:$GR$1005,0.025)</f>
        <v>#NUM!</v>
      </c>
      <c r="FV14" s="218"/>
      <c r="FW14" s="5"/>
      <c r="FY14" s="213">
        <v>9</v>
      </c>
      <c r="FZ14">
        <v>1.1743222411384853</v>
      </c>
      <c r="GA14">
        <v>12.082963484332282</v>
      </c>
      <c r="GB14">
        <v>6.0755606594546583</v>
      </c>
      <c r="GC14">
        <v>2.1133839017666447</v>
      </c>
      <c r="GD14">
        <v>2.2174744616297395</v>
      </c>
      <c r="GE14">
        <v>1.4963019317742834</v>
      </c>
      <c r="GF14">
        <v>0.47734812494006024</v>
      </c>
      <c r="GG14">
        <v>3.0086188762608805</v>
      </c>
      <c r="GH14">
        <v>4.0769090906224941</v>
      </c>
      <c r="GI14">
        <v>3.7718728884738266</v>
      </c>
      <c r="GJ14"/>
      <c r="GK14"/>
      <c r="GL14"/>
      <c r="GM14"/>
      <c r="GN14" s="208"/>
      <c r="GO14" s="208"/>
      <c r="GP14" s="208"/>
      <c r="GQ14" s="208"/>
      <c r="GR14" s="208"/>
      <c r="GS14" s="208"/>
      <c r="GT14" s="208"/>
      <c r="GU14" s="213">
        <v>9</v>
      </c>
    </row>
    <row r="15" spans="1:203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26.376573617952921</v>
      </c>
      <c r="AO15" s="163">
        <f>D48</f>
        <v>7.4636155261938626</v>
      </c>
      <c r="AP15" s="163">
        <f>D63</f>
        <v>126.10450678748694</v>
      </c>
      <c r="AQ15" s="163">
        <f>C453</f>
        <v>50.576151400294968</v>
      </c>
      <c r="AR15" s="163">
        <f>G520</f>
        <v>6.8936475655313885</v>
      </c>
      <c r="AS15" s="163">
        <f>I523</f>
        <v>86.125853448503705</v>
      </c>
      <c r="AT15" s="122" t="e">
        <f>G556</f>
        <v>#DIV/0!</v>
      </c>
      <c r="AU15" s="122" t="e">
        <f>I556</f>
        <v>#DIV/0!</v>
      </c>
      <c r="AV15" s="23"/>
      <c r="AW15" s="23"/>
      <c r="FG15" s="5"/>
      <c r="FH15" s="214">
        <f t="shared" si="6"/>
        <v>39949</v>
      </c>
      <c r="FI15" s="217">
        <f>AVERAGE(GH6:GH1005)</f>
        <v>5.7214954845600001</v>
      </c>
      <c r="FJ15" s="218"/>
      <c r="FK15" s="218">
        <f>PERCENTILE($GH$6:$GH$1005,0.975)</f>
        <v>11.949873311046648</v>
      </c>
      <c r="FL15" s="218"/>
      <c r="FM15" s="218">
        <f>PERCENTILE($GH$6:$GH$1005,0.025)</f>
        <v>0.41823270700936155</v>
      </c>
      <c r="FN15" s="218"/>
      <c r="FO15" s="5"/>
      <c r="FP15" s="214">
        <v>39949</v>
      </c>
      <c r="FQ15" s="224" t="e">
        <f t="shared" si="7"/>
        <v>#DIV/0!</v>
      </c>
      <c r="FR15" s="225"/>
      <c r="FS15" s="218" t="e">
        <f>PERCENTILE($GS$6:$GS$1005,0.975)</f>
        <v>#NUM!</v>
      </c>
      <c r="FT15" s="218"/>
      <c r="FU15" s="218" t="e">
        <f>PERCENTILE($GS$6:$GS$1005,0.025)</f>
        <v>#NUM!</v>
      </c>
      <c r="FV15" s="218"/>
      <c r="FW15" s="5"/>
      <c r="FY15" s="213">
        <v>10</v>
      </c>
      <c r="FZ15">
        <v>6.385104811028004</v>
      </c>
      <c r="GA15">
        <v>21.282059475702042</v>
      </c>
      <c r="GB15">
        <v>6.8026952022422158</v>
      </c>
      <c r="GC15">
        <v>0.93809528275072762</v>
      </c>
      <c r="GD15">
        <v>1.2552972998747793</v>
      </c>
      <c r="GE15">
        <v>1.3740589487514896</v>
      </c>
      <c r="GF15">
        <v>0.47734812494006024</v>
      </c>
      <c r="GG15">
        <v>5.6188908503828285</v>
      </c>
      <c r="GH15">
        <v>7.6268377955397728</v>
      </c>
      <c r="GI15">
        <v>4.7180927245633653</v>
      </c>
      <c r="GJ15"/>
      <c r="GK15"/>
      <c r="GL15"/>
      <c r="GM15"/>
      <c r="GN15" s="208"/>
      <c r="GO15" s="208"/>
      <c r="GP15" s="208"/>
      <c r="GQ15" s="208"/>
      <c r="GR15" s="208"/>
      <c r="GS15" s="208"/>
      <c r="GT15" s="208"/>
      <c r="GU15" s="213">
        <v>10</v>
      </c>
    </row>
    <row r="16" spans="1:203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4">
        <f t="shared" si="6"/>
        <v>39987</v>
      </c>
      <c r="FI16" s="217">
        <f>AVERAGE(GI6:GI1005)</f>
        <v>4.6115077239366054</v>
      </c>
      <c r="FJ16" s="218"/>
      <c r="FK16" s="218">
        <f>PERCENTILE($GI$6:$GI$1005,0.975)</f>
        <v>6.4581813451053138</v>
      </c>
      <c r="FL16" s="218"/>
      <c r="FM16" s="218">
        <f>PERCENTILE($GI$6:$GI$1005,0.025)</f>
        <v>2.9415112283703118</v>
      </c>
      <c r="FN16" s="218"/>
      <c r="FO16" s="5"/>
      <c r="FP16" s="214">
        <v>39987</v>
      </c>
      <c r="FQ16" s="224" t="e">
        <f t="shared" si="7"/>
        <v>#DIV/0!</v>
      </c>
      <c r="FR16" s="225"/>
      <c r="FS16" s="218" t="e">
        <f>PERCENTILE($GT$6:$GT$1005,0.975)</f>
        <v>#NUM!</v>
      </c>
      <c r="FT16" s="218"/>
      <c r="FU16" s="218" t="e">
        <f>PERCENTILE($GT$6:$GT$1005,0.025)</f>
        <v>#NUM!</v>
      </c>
      <c r="FV16" s="218"/>
      <c r="FW16" s="5"/>
      <c r="FY16" s="213">
        <v>11</v>
      </c>
      <c r="FZ16">
        <v>4.9540357672217299</v>
      </c>
      <c r="GA16">
        <v>12.923110406644499</v>
      </c>
      <c r="GB16">
        <v>4.6490840699792795</v>
      </c>
      <c r="GC16">
        <v>0.9899302812656644</v>
      </c>
      <c r="GD16">
        <v>2.3799524471828062</v>
      </c>
      <c r="GE16">
        <v>3.8670212153203911</v>
      </c>
      <c r="GF16">
        <v>0.95469624988012047</v>
      </c>
      <c r="GG16">
        <v>7.1162822184483332</v>
      </c>
      <c r="GH16">
        <v>10.156211986047284</v>
      </c>
      <c r="GI16">
        <v>5.1738532035801414</v>
      </c>
      <c r="GJ16"/>
      <c r="GK16"/>
      <c r="GL16"/>
      <c r="GM16"/>
      <c r="GN16" s="208"/>
      <c r="GO16" s="208"/>
      <c r="GP16" s="208"/>
      <c r="GQ16" s="208"/>
      <c r="GR16" s="208"/>
      <c r="GS16" s="208"/>
      <c r="GT16" s="208"/>
      <c r="GU16" s="213">
        <v>11</v>
      </c>
    </row>
    <row r="17" spans="1:203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40.608716475095783</v>
      </c>
      <c r="AO17">
        <v>8.5604384783913012</v>
      </c>
      <c r="AP17">
        <v>214.78967906848715</v>
      </c>
      <c r="AQ17">
        <v>50.82069170826081</v>
      </c>
      <c r="AR17">
        <v>7.9450306111157261</v>
      </c>
      <c r="AS17">
        <v>103.68256144681905</v>
      </c>
      <c r="AT17" t="e">
        <v>#DIV/0!</v>
      </c>
      <c r="AU17" t="e">
        <v>#DIV/0!</v>
      </c>
      <c r="AV17"/>
      <c r="AW17"/>
      <c r="FG17" s="5"/>
      <c r="FH17" s="215"/>
      <c r="FI17" s="13"/>
      <c r="FJ17" s="13"/>
      <c r="FK17" s="13"/>
      <c r="FL17" s="13"/>
      <c r="FM17" s="13"/>
      <c r="FN17" s="13"/>
      <c r="FO17" s="5"/>
      <c r="FP17" s="215"/>
      <c r="FQ17" s="13"/>
      <c r="FR17" s="13"/>
      <c r="FS17" s="13"/>
      <c r="FT17" s="13"/>
      <c r="FU17" s="13"/>
      <c r="FV17" s="13"/>
      <c r="FW17" s="5"/>
      <c r="FY17" s="213">
        <v>12</v>
      </c>
      <c r="FZ17">
        <v>1.596276202757001</v>
      </c>
      <c r="GA17">
        <v>19.191903018709525</v>
      </c>
      <c r="GB17">
        <v>8.684404802956017</v>
      </c>
      <c r="GC17">
        <v>1.1752886190159173</v>
      </c>
      <c r="GD17">
        <v>2.0886449390029891</v>
      </c>
      <c r="GE17">
        <v>2.4035923587023471</v>
      </c>
      <c r="GF17">
        <v>0</v>
      </c>
      <c r="GG17">
        <v>2.5035332174879037</v>
      </c>
      <c r="GH17">
        <v>3.4093462823931233</v>
      </c>
      <c r="GI17">
        <v>4.2168732765738248</v>
      </c>
      <c r="GJ17"/>
      <c r="GK17"/>
      <c r="GL17"/>
      <c r="GM17"/>
      <c r="GN17" s="208"/>
      <c r="GO17" s="208"/>
      <c r="GP17" s="208"/>
      <c r="GQ17" s="208"/>
      <c r="GR17" s="208"/>
      <c r="GS17" s="208"/>
      <c r="GT17" s="208"/>
      <c r="GU17" s="213">
        <v>12</v>
      </c>
    </row>
    <row r="18" spans="1:203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27.161552820477311</v>
      </c>
      <c r="AO18">
        <v>6.2162507345702238</v>
      </c>
      <c r="AP18">
        <v>316.01040668101081</v>
      </c>
      <c r="AQ18">
        <v>41.586466691185784</v>
      </c>
      <c r="AR18">
        <v>5.7054083022868696</v>
      </c>
      <c r="AS18">
        <v>70.377526359033382</v>
      </c>
      <c r="AT18" t="e">
        <v>#DIV/0!</v>
      </c>
      <c r="AU18" t="e">
        <v>#DIV/0!</v>
      </c>
      <c r="AV18"/>
      <c r="AW18"/>
      <c r="FG18" s="5"/>
      <c r="FH18" s="215"/>
      <c r="FI18" s="13"/>
      <c r="FJ18" s="13"/>
      <c r="FK18" s="13"/>
      <c r="FL18" s="13"/>
      <c r="FM18" s="13"/>
      <c r="FN18" s="13"/>
      <c r="FO18" s="5"/>
      <c r="FP18" s="215"/>
      <c r="FQ18" s="13"/>
      <c r="FR18" s="13"/>
      <c r="FS18" s="13"/>
      <c r="FT18" s="13"/>
      <c r="FU18" s="13"/>
      <c r="FV18" s="13"/>
      <c r="FW18" s="5"/>
      <c r="FY18" s="213">
        <v>13</v>
      </c>
      <c r="FZ18">
        <v>3.7797135260832437</v>
      </c>
      <c r="GA18">
        <v>14.850642508894232</v>
      </c>
      <c r="GB18">
        <v>5.4895264210505665</v>
      </c>
      <c r="GC18">
        <v>2.2548167571349138</v>
      </c>
      <c r="GD18">
        <v>2.2683246485731288</v>
      </c>
      <c r="GE18">
        <v>1.9594248982660076</v>
      </c>
      <c r="GF18">
        <v>1.432044374820181</v>
      </c>
      <c r="GG18">
        <v>5.1431026767584997</v>
      </c>
      <c r="GH18">
        <v>7.2170533002903205</v>
      </c>
      <c r="GI18">
        <v>4.7224730274116293</v>
      </c>
      <c r="GJ18"/>
      <c r="GK18"/>
      <c r="GL18"/>
      <c r="GM18"/>
      <c r="GN18" s="208"/>
      <c r="GO18" s="208"/>
      <c r="GP18" s="208"/>
      <c r="GQ18" s="208"/>
      <c r="GR18" s="208"/>
      <c r="GS18" s="208"/>
      <c r="GT18" s="208"/>
      <c r="GU18" s="213">
        <v>13</v>
      </c>
    </row>
    <row r="19" spans="1:203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30.182300631095814</v>
      </c>
      <c r="AO19">
        <v>9.3740651283228438</v>
      </c>
      <c r="AP19">
        <v>419.9560947019562</v>
      </c>
      <c r="AQ19">
        <v>54.784575858506891</v>
      </c>
      <c r="AR19">
        <v>8.5761486602437955</v>
      </c>
      <c r="AS19">
        <v>93.15952681315423</v>
      </c>
      <c r="AT19" t="e">
        <v>#DIV/0!</v>
      </c>
      <c r="AU19" t="e">
        <v>#DIV/0!</v>
      </c>
      <c r="AV19"/>
      <c r="AW19"/>
      <c r="FG19" s="5"/>
      <c r="FH19" s="215"/>
      <c r="FI19" s="13"/>
      <c r="FJ19" s="13"/>
      <c r="FK19" s="13"/>
      <c r="FL19" s="13"/>
      <c r="FM19" s="13"/>
      <c r="FN19" s="13"/>
      <c r="FO19" s="5"/>
      <c r="FP19" s="215"/>
      <c r="FQ19" s="13"/>
      <c r="FR19" s="13"/>
      <c r="FS19" s="13"/>
      <c r="FT19" s="13"/>
      <c r="FU19" s="13"/>
      <c r="FV19" s="13"/>
      <c r="FW19" s="5"/>
      <c r="FY19" s="213">
        <v>14</v>
      </c>
      <c r="FZ19">
        <v>2.1834373233262436</v>
      </c>
      <c r="GA19">
        <v>10.508869754513427</v>
      </c>
      <c r="GB19">
        <v>4.3735887180039423</v>
      </c>
      <c r="GC19">
        <v>1.3302638723983682</v>
      </c>
      <c r="GD19">
        <v>1.7408586176871341</v>
      </c>
      <c r="GE19">
        <v>1.7504414040591776</v>
      </c>
      <c r="GF19">
        <v>0.47734812494006024</v>
      </c>
      <c r="GG19">
        <v>2.3967944608538589</v>
      </c>
      <c r="GH19">
        <v>3.2687638598689679</v>
      </c>
      <c r="GI19">
        <v>3.0860008356262849</v>
      </c>
      <c r="GJ19"/>
      <c r="GK19"/>
      <c r="GL19"/>
      <c r="GM19"/>
      <c r="GN19" s="208"/>
      <c r="GO19" s="208"/>
      <c r="GP19" s="208"/>
      <c r="GQ19" s="208"/>
      <c r="GR19" s="208"/>
      <c r="GS19" s="208"/>
      <c r="GT19" s="208"/>
      <c r="GU19" s="213">
        <v>14</v>
      </c>
    </row>
    <row r="20" spans="1:203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33.742730569239185</v>
      </c>
      <c r="AO20">
        <v>9.5932033890830954</v>
      </c>
      <c r="AP20">
        <v>300.15215197558086</v>
      </c>
      <c r="AQ20">
        <v>67.313972157426463</v>
      </c>
      <c r="AR20">
        <v>8.7753652609349349</v>
      </c>
      <c r="AS20">
        <v>101.00889923534014</v>
      </c>
      <c r="AT20" t="e">
        <v>#DIV/0!</v>
      </c>
      <c r="AU20" t="e">
        <v>#DIV/0!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Y20" s="213">
        <v>15</v>
      </c>
      <c r="FZ20">
        <v>3.7797135260832437</v>
      </c>
      <c r="GA20">
        <v>22.265662976114772</v>
      </c>
      <c r="GB20">
        <v>9.2960462676642415</v>
      </c>
      <c r="GC20">
        <v>3.3143251489588508</v>
      </c>
      <c r="GD20">
        <v>3.140673650730446</v>
      </c>
      <c r="GE20">
        <v>1.2036189570170248</v>
      </c>
      <c r="GF20">
        <v>0</v>
      </c>
      <c r="GG20">
        <v>5.4633189466606336</v>
      </c>
      <c r="GH20">
        <v>7.6388005678627859</v>
      </c>
      <c r="GI20">
        <v>5.9876430284473434</v>
      </c>
      <c r="GJ20"/>
      <c r="GK20"/>
      <c r="GL20"/>
      <c r="GM20"/>
      <c r="GN20" s="208"/>
      <c r="GO20" s="208"/>
      <c r="GP20" s="208"/>
      <c r="GQ20" s="208"/>
      <c r="GR20" s="208"/>
      <c r="GS20" s="208"/>
      <c r="GT20" s="208"/>
      <c r="GU20" s="213">
        <v>15</v>
      </c>
    </row>
    <row r="21" spans="1:203" s="7" customFormat="1">
      <c r="A21" s="4"/>
      <c r="B21" s="36"/>
      <c r="C21" s="48" t="s">
        <v>38</v>
      </c>
      <c r="D21" s="49">
        <f t="shared" ref="D21:D26" si="8">SUM(G21:AK21)</f>
        <v>6.25</v>
      </c>
      <c r="E21" s="18">
        <f t="shared" ref="E21:E26" si="9">C5-C4</f>
        <v>27</v>
      </c>
      <c r="F21" s="50"/>
      <c r="G21" s="18">
        <f t="shared" ref="G21:AK21" si="10">AVERAGE(G70:G71)</f>
        <v>0</v>
      </c>
      <c r="H21" s="18">
        <f t="shared" si="10"/>
        <v>0</v>
      </c>
      <c r="I21" s="18">
        <f t="shared" si="10"/>
        <v>0.52083333333333326</v>
      </c>
      <c r="J21" s="18">
        <f t="shared" si="10"/>
        <v>1.0416666666666665</v>
      </c>
      <c r="K21" s="18">
        <f t="shared" si="10"/>
        <v>3.645833333333333</v>
      </c>
      <c r="L21" s="18">
        <f t="shared" si="10"/>
        <v>1.0416666666666665</v>
      </c>
      <c r="M21" s="18">
        <f t="shared" si="10"/>
        <v>0</v>
      </c>
      <c r="N21" s="18">
        <f t="shared" si="10"/>
        <v>0</v>
      </c>
      <c r="O21" s="18">
        <f t="shared" si="10"/>
        <v>0</v>
      </c>
      <c r="P21" s="18">
        <f t="shared" si="10"/>
        <v>0</v>
      </c>
      <c r="Q21" s="18">
        <f t="shared" si="10"/>
        <v>0</v>
      </c>
      <c r="R21" s="18">
        <f t="shared" si="10"/>
        <v>0</v>
      </c>
      <c r="S21" s="18">
        <f t="shared" si="10"/>
        <v>0</v>
      </c>
      <c r="T21" s="18">
        <f t="shared" si="10"/>
        <v>0</v>
      </c>
      <c r="U21" s="18">
        <f t="shared" si="10"/>
        <v>0</v>
      </c>
      <c r="V21" s="18">
        <f t="shared" si="10"/>
        <v>0</v>
      </c>
      <c r="W21" s="18">
        <f t="shared" si="10"/>
        <v>0</v>
      </c>
      <c r="X21" s="18">
        <f t="shared" si="10"/>
        <v>0</v>
      </c>
      <c r="Y21" s="18">
        <f t="shared" si="10"/>
        <v>0</v>
      </c>
      <c r="Z21" s="18">
        <f t="shared" si="10"/>
        <v>0</v>
      </c>
      <c r="AA21" s="18">
        <f t="shared" si="10"/>
        <v>0</v>
      </c>
      <c r="AB21" s="18">
        <f t="shared" si="10"/>
        <v>0</v>
      </c>
      <c r="AC21" s="18">
        <f t="shared" si="10"/>
        <v>0</v>
      </c>
      <c r="AD21" s="18">
        <f t="shared" si="10"/>
        <v>0</v>
      </c>
      <c r="AE21" s="18">
        <f t="shared" si="10"/>
        <v>0</v>
      </c>
      <c r="AF21" s="18">
        <f t="shared" si="10"/>
        <v>0</v>
      </c>
      <c r="AG21" s="18">
        <f t="shared" si="10"/>
        <v>0</v>
      </c>
      <c r="AH21" s="18">
        <f t="shared" si="10"/>
        <v>0</v>
      </c>
      <c r="AI21" s="18">
        <f t="shared" si="10"/>
        <v>0</v>
      </c>
      <c r="AJ21" s="18">
        <f t="shared" si="10"/>
        <v>0</v>
      </c>
      <c r="AK21" s="18">
        <f t="shared" si="10"/>
        <v>0</v>
      </c>
      <c r="AL21" s="42"/>
      <c r="AM21" s="43">
        <v>5</v>
      </c>
      <c r="AN21">
        <v>45.526803643143992</v>
      </c>
      <c r="AO21">
        <v>8.6963507584418682</v>
      </c>
      <c r="AP21">
        <v>242.63284790828379</v>
      </c>
      <c r="AQ21">
        <v>56.873502617680558</v>
      </c>
      <c r="AR21">
        <v>7.9600446876247286</v>
      </c>
      <c r="AS21">
        <v>118.17831340230342</v>
      </c>
      <c r="AT21" t="e">
        <v>#DIV/0!</v>
      </c>
      <c r="AU21" t="e">
        <v>#DIV/0!</v>
      </c>
      <c r="AV21"/>
      <c r="AW21"/>
      <c r="FY21" s="213">
        <v>16</v>
      </c>
      <c r="FZ21">
        <v>0</v>
      </c>
      <c r="GA21">
        <v>19.86557335318728</v>
      </c>
      <c r="GB21">
        <v>9.790106826286129</v>
      </c>
      <c r="GC21">
        <v>0.44278643823557334</v>
      </c>
      <c r="GD21">
        <v>0.56655884217937569</v>
      </c>
      <c r="GE21">
        <v>0.45745253917559825</v>
      </c>
      <c r="GF21">
        <v>0</v>
      </c>
      <c r="GG21">
        <v>6.7667684633975504</v>
      </c>
      <c r="GH21">
        <v>9.4766864054948954</v>
      </c>
      <c r="GI21">
        <v>4.369776744020256</v>
      </c>
      <c r="GJ21"/>
      <c r="GK21"/>
      <c r="GL21"/>
      <c r="GM21"/>
      <c r="GN21" s="208"/>
      <c r="GO21" s="208"/>
      <c r="GP21" s="208"/>
      <c r="GQ21" s="208"/>
      <c r="GR21" s="208"/>
      <c r="GS21" s="208"/>
      <c r="GT21" s="208"/>
      <c r="GU21" s="213">
        <v>16</v>
      </c>
    </row>
    <row r="22" spans="1:203" s="7" customFormat="1">
      <c r="B22" s="36"/>
      <c r="C22" s="48" t="s">
        <v>39</v>
      </c>
      <c r="D22" s="49">
        <f t="shared" si="8"/>
        <v>45.833333333333329</v>
      </c>
      <c r="E22" s="18">
        <f t="shared" si="9"/>
        <v>41</v>
      </c>
      <c r="F22" s="50"/>
      <c r="G22" s="18">
        <f t="shared" ref="G22:AK22" si="11">AVERAGE(G71:G72)</f>
        <v>0</v>
      </c>
      <c r="H22" s="18">
        <f t="shared" si="11"/>
        <v>0</v>
      </c>
      <c r="I22" s="18">
        <f t="shared" si="11"/>
        <v>0.52083333333333326</v>
      </c>
      <c r="J22" s="18">
        <f t="shared" si="11"/>
        <v>19.791666666666664</v>
      </c>
      <c r="K22" s="18">
        <f t="shared" si="11"/>
        <v>23.4375</v>
      </c>
      <c r="L22" s="18">
        <f t="shared" si="11"/>
        <v>1.0416666666666665</v>
      </c>
      <c r="M22" s="18">
        <f t="shared" si="11"/>
        <v>0</v>
      </c>
      <c r="N22" s="18">
        <f t="shared" si="11"/>
        <v>1.0416666666666665</v>
      </c>
      <c r="O22" s="18">
        <f t="shared" si="11"/>
        <v>0</v>
      </c>
      <c r="P22" s="18">
        <f t="shared" si="11"/>
        <v>0</v>
      </c>
      <c r="Q22" s="18">
        <f t="shared" si="11"/>
        <v>0</v>
      </c>
      <c r="R22" s="18">
        <f t="shared" si="11"/>
        <v>0</v>
      </c>
      <c r="S22" s="18">
        <f t="shared" si="11"/>
        <v>0</v>
      </c>
      <c r="T22" s="18">
        <f t="shared" si="11"/>
        <v>0</v>
      </c>
      <c r="U22" s="18">
        <f t="shared" si="11"/>
        <v>0</v>
      </c>
      <c r="V22" s="18">
        <f t="shared" si="11"/>
        <v>0</v>
      </c>
      <c r="W22" s="18">
        <f t="shared" si="11"/>
        <v>0</v>
      </c>
      <c r="X22" s="18">
        <f t="shared" si="11"/>
        <v>0</v>
      </c>
      <c r="Y22" s="18">
        <f t="shared" si="11"/>
        <v>0</v>
      </c>
      <c r="Z22" s="18">
        <f t="shared" si="11"/>
        <v>0</v>
      </c>
      <c r="AA22" s="18">
        <f t="shared" si="11"/>
        <v>0</v>
      </c>
      <c r="AB22" s="18">
        <f t="shared" si="11"/>
        <v>0</v>
      </c>
      <c r="AC22" s="18">
        <f t="shared" si="11"/>
        <v>0</v>
      </c>
      <c r="AD22" s="18">
        <f t="shared" si="11"/>
        <v>0</v>
      </c>
      <c r="AE22" s="18">
        <f t="shared" si="11"/>
        <v>0</v>
      </c>
      <c r="AF22" s="18">
        <f t="shared" si="11"/>
        <v>0</v>
      </c>
      <c r="AG22" s="18">
        <f t="shared" si="11"/>
        <v>0</v>
      </c>
      <c r="AH22" s="18">
        <f t="shared" si="11"/>
        <v>0</v>
      </c>
      <c r="AI22" s="18">
        <f t="shared" si="11"/>
        <v>0</v>
      </c>
      <c r="AJ22" s="18">
        <f t="shared" si="11"/>
        <v>0</v>
      </c>
      <c r="AK22" s="18">
        <f t="shared" si="11"/>
        <v>0</v>
      </c>
      <c r="AL22" s="42"/>
      <c r="AM22" s="43">
        <v>6</v>
      </c>
      <c r="AN22">
        <v>36.950243296667786</v>
      </c>
      <c r="AO22">
        <v>8.5642894369047937</v>
      </c>
      <c r="AP22">
        <v>255.18587941310335</v>
      </c>
      <c r="AQ22">
        <v>57.570803186963204</v>
      </c>
      <c r="AR22">
        <v>7.8399889407728391</v>
      </c>
      <c r="AS22">
        <v>116.03256100155096</v>
      </c>
      <c r="AT22" t="e">
        <v>#DIV/0!</v>
      </c>
      <c r="AU22" t="e">
        <v>#DIV/0!</v>
      </c>
      <c r="AV22"/>
      <c r="AW22"/>
      <c r="FY22" s="213">
        <v>17</v>
      </c>
      <c r="FZ22">
        <v>3.192552405514002</v>
      </c>
      <c r="GA22">
        <v>22.897060099858905</v>
      </c>
      <c r="GB22">
        <v>9.3385310329751938</v>
      </c>
      <c r="GC22">
        <v>1.8431581633545739</v>
      </c>
      <c r="GD22">
        <v>3.3775191994628919</v>
      </c>
      <c r="GE22">
        <v>4.5587156724359259</v>
      </c>
      <c r="GF22">
        <v>0.95469624988012047</v>
      </c>
      <c r="GG22">
        <v>5.5447896862695849</v>
      </c>
      <c r="GH22">
        <v>7.976758201980152</v>
      </c>
      <c r="GI22">
        <v>6.3946930225848639</v>
      </c>
      <c r="GJ22"/>
      <c r="GK22"/>
      <c r="GL22"/>
      <c r="GM22"/>
      <c r="GN22" s="208"/>
      <c r="GO22" s="208"/>
      <c r="GP22" s="208"/>
      <c r="GQ22" s="208"/>
      <c r="GR22" s="208"/>
      <c r="GS22" s="208"/>
      <c r="GT22" s="208"/>
      <c r="GU22" s="213">
        <v>17</v>
      </c>
    </row>
    <row r="23" spans="1:203" s="7" customFormat="1">
      <c r="B23" s="36"/>
      <c r="C23" s="48" t="s">
        <v>40</v>
      </c>
      <c r="D23" s="49">
        <f t="shared" si="8"/>
        <v>42.708333333333329</v>
      </c>
      <c r="E23" s="18">
        <f t="shared" si="9"/>
        <v>33</v>
      </c>
      <c r="F23" s="50"/>
      <c r="G23" s="18">
        <f t="shared" ref="G23:AK23" si="12">AVERAGE(G72:G73)</f>
        <v>0</v>
      </c>
      <c r="H23" s="18">
        <f t="shared" si="12"/>
        <v>0</v>
      </c>
      <c r="I23" s="18">
        <f t="shared" si="12"/>
        <v>0</v>
      </c>
      <c r="J23" s="18">
        <f t="shared" si="12"/>
        <v>19.791666666666664</v>
      </c>
      <c r="K23" s="18">
        <f t="shared" si="12"/>
        <v>21.875</v>
      </c>
      <c r="L23" s="18">
        <f t="shared" si="12"/>
        <v>0</v>
      </c>
      <c r="M23" s="18">
        <f t="shared" si="12"/>
        <v>0</v>
      </c>
      <c r="N23" s="18">
        <f t="shared" si="12"/>
        <v>1.0416666666666665</v>
      </c>
      <c r="O23" s="18">
        <f t="shared" si="12"/>
        <v>0</v>
      </c>
      <c r="P23" s="18">
        <f t="shared" si="12"/>
        <v>0</v>
      </c>
      <c r="Q23" s="18">
        <f t="shared" si="12"/>
        <v>0</v>
      </c>
      <c r="R23" s="18">
        <f t="shared" si="12"/>
        <v>0</v>
      </c>
      <c r="S23" s="18">
        <f t="shared" si="12"/>
        <v>0</v>
      </c>
      <c r="T23" s="18">
        <f t="shared" si="12"/>
        <v>0</v>
      </c>
      <c r="U23" s="18">
        <f t="shared" si="12"/>
        <v>0</v>
      </c>
      <c r="V23" s="18">
        <f t="shared" si="12"/>
        <v>0</v>
      </c>
      <c r="W23" s="18">
        <f t="shared" si="12"/>
        <v>0</v>
      </c>
      <c r="X23" s="18">
        <f t="shared" si="12"/>
        <v>0</v>
      </c>
      <c r="Y23" s="18">
        <f t="shared" si="12"/>
        <v>0</v>
      </c>
      <c r="Z23" s="18">
        <f t="shared" si="12"/>
        <v>0</v>
      </c>
      <c r="AA23" s="18">
        <f t="shared" si="12"/>
        <v>0</v>
      </c>
      <c r="AB23" s="18">
        <f t="shared" si="12"/>
        <v>0</v>
      </c>
      <c r="AC23" s="18">
        <f t="shared" si="12"/>
        <v>0</v>
      </c>
      <c r="AD23" s="18">
        <f t="shared" si="12"/>
        <v>0</v>
      </c>
      <c r="AE23" s="18">
        <f t="shared" si="12"/>
        <v>0</v>
      </c>
      <c r="AF23" s="18">
        <f t="shared" si="12"/>
        <v>0</v>
      </c>
      <c r="AG23" s="18">
        <f t="shared" si="12"/>
        <v>0</v>
      </c>
      <c r="AH23" s="18">
        <f t="shared" si="12"/>
        <v>0</v>
      </c>
      <c r="AI23" s="18">
        <f t="shared" si="12"/>
        <v>0</v>
      </c>
      <c r="AJ23" s="18">
        <f t="shared" si="12"/>
        <v>0</v>
      </c>
      <c r="AK23" s="18">
        <f t="shared" si="12"/>
        <v>0</v>
      </c>
      <c r="AL23" s="42"/>
      <c r="AM23" s="43">
        <v>7</v>
      </c>
      <c r="AN23">
        <v>21.09077380952381</v>
      </c>
      <c r="AO23">
        <v>8.6363271684218095</v>
      </c>
      <c r="AP23">
        <v>196.92702845642725</v>
      </c>
      <c r="AQ23">
        <v>53.944475971758806</v>
      </c>
      <c r="AR23">
        <v>7.905477787606495</v>
      </c>
      <c r="AS23">
        <v>81.120531038437676</v>
      </c>
      <c r="AT23" t="e">
        <v>#DIV/0!</v>
      </c>
      <c r="AU23" t="e">
        <v>#DIV/0!</v>
      </c>
      <c r="AV23"/>
      <c r="AW23"/>
      <c r="FY23" s="213">
        <v>18</v>
      </c>
      <c r="FZ23">
        <v>1.596276202757001</v>
      </c>
      <c r="GA23">
        <v>18.179359866161839</v>
      </c>
      <c r="GB23">
        <v>8.1231784192888341</v>
      </c>
      <c r="GC23">
        <v>1.965788422354787</v>
      </c>
      <c r="GD23">
        <v>2.5374700968058459</v>
      </c>
      <c r="GE23">
        <v>2.0816818641205512</v>
      </c>
      <c r="GF23">
        <v>0</v>
      </c>
      <c r="GG23">
        <v>1.7866400991329137</v>
      </c>
      <c r="GH23">
        <v>2.5769808871077484</v>
      </c>
      <c r="GI23">
        <v>4.226909611182835</v>
      </c>
      <c r="GJ23"/>
      <c r="GK23"/>
      <c r="GL23"/>
      <c r="GM23"/>
      <c r="GN23" s="208"/>
      <c r="GO23" s="208"/>
      <c r="GP23" s="208"/>
      <c r="GQ23" s="208"/>
      <c r="GR23" s="208"/>
      <c r="GS23" s="208"/>
      <c r="GT23" s="208"/>
      <c r="GU23" s="213">
        <v>18</v>
      </c>
    </row>
    <row r="24" spans="1:203" s="7" customFormat="1">
      <c r="A24" s="4"/>
      <c r="B24" s="36"/>
      <c r="C24" s="48" t="s">
        <v>41</v>
      </c>
      <c r="D24" s="49">
        <f t="shared" si="8"/>
        <v>55.952380952380949</v>
      </c>
      <c r="E24" s="18">
        <f t="shared" si="9"/>
        <v>28</v>
      </c>
      <c r="F24" s="50"/>
      <c r="G24" s="18">
        <f t="shared" ref="G24:AK24" si="13">AVERAGE(G73:G74)</f>
        <v>0</v>
      </c>
      <c r="H24" s="18">
        <f t="shared" si="13"/>
        <v>5.2083333333333339</v>
      </c>
      <c r="I24" s="18">
        <f t="shared" si="13"/>
        <v>48.139880952380949</v>
      </c>
      <c r="J24" s="18">
        <f t="shared" si="13"/>
        <v>2.604166666666667</v>
      </c>
      <c r="K24" s="18">
        <f t="shared" si="13"/>
        <v>0</v>
      </c>
      <c r="L24" s="18">
        <f t="shared" si="13"/>
        <v>0</v>
      </c>
      <c r="M24" s="18">
        <f t="shared" si="13"/>
        <v>0</v>
      </c>
      <c r="N24" s="18">
        <f t="shared" si="13"/>
        <v>0</v>
      </c>
      <c r="O24" s="18">
        <f t="shared" si="13"/>
        <v>0</v>
      </c>
      <c r="P24" s="18">
        <f t="shared" si="13"/>
        <v>0</v>
      </c>
      <c r="Q24" s="18">
        <f t="shared" si="13"/>
        <v>0</v>
      </c>
      <c r="R24" s="18">
        <f t="shared" si="13"/>
        <v>0</v>
      </c>
      <c r="S24" s="18">
        <f t="shared" si="13"/>
        <v>0</v>
      </c>
      <c r="T24" s="18">
        <f t="shared" si="13"/>
        <v>0</v>
      </c>
      <c r="U24" s="18">
        <f t="shared" si="13"/>
        <v>0</v>
      </c>
      <c r="V24" s="18">
        <f t="shared" si="13"/>
        <v>0</v>
      </c>
      <c r="W24" s="18">
        <f t="shared" si="13"/>
        <v>0</v>
      </c>
      <c r="X24" s="18">
        <f t="shared" si="13"/>
        <v>0</v>
      </c>
      <c r="Y24" s="18">
        <f t="shared" si="13"/>
        <v>0</v>
      </c>
      <c r="Z24" s="18">
        <f t="shared" si="13"/>
        <v>0</v>
      </c>
      <c r="AA24" s="18">
        <f t="shared" si="13"/>
        <v>0</v>
      </c>
      <c r="AB24" s="18">
        <f t="shared" si="13"/>
        <v>0</v>
      </c>
      <c r="AC24" s="18">
        <f t="shared" si="13"/>
        <v>0</v>
      </c>
      <c r="AD24" s="18">
        <f t="shared" si="13"/>
        <v>0</v>
      </c>
      <c r="AE24" s="18">
        <f t="shared" si="13"/>
        <v>0</v>
      </c>
      <c r="AF24" s="18">
        <f t="shared" si="13"/>
        <v>0</v>
      </c>
      <c r="AG24" s="18">
        <f t="shared" si="13"/>
        <v>0</v>
      </c>
      <c r="AH24" s="18">
        <f t="shared" si="13"/>
        <v>0</v>
      </c>
      <c r="AI24" s="18">
        <f t="shared" si="13"/>
        <v>0</v>
      </c>
      <c r="AJ24" s="18">
        <f t="shared" si="13"/>
        <v>0</v>
      </c>
      <c r="AK24" s="18">
        <f t="shared" si="13"/>
        <v>0</v>
      </c>
      <c r="AL24" s="42"/>
      <c r="AM24" s="43">
        <v>8</v>
      </c>
      <c r="AN24">
        <v>33.365336345381529</v>
      </c>
      <c r="AO24">
        <v>9.0501005792675624</v>
      </c>
      <c r="AP24">
        <v>229.53996900162622</v>
      </c>
      <c r="AQ24">
        <v>65.690021063318468</v>
      </c>
      <c r="AR24">
        <v>8.3359067046892985</v>
      </c>
      <c r="AS24">
        <v>103.60600655535879</v>
      </c>
      <c r="AT24" t="e">
        <v>#DIV/0!</v>
      </c>
      <c r="AU24" t="e">
        <v>#DIV/0!</v>
      </c>
      <c r="AV24"/>
      <c r="AW24"/>
      <c r="FY24" s="213">
        <v>19</v>
      </c>
      <c r="FZ24">
        <v>1.1743222411384853</v>
      </c>
      <c r="GA24">
        <v>19.299756017667061</v>
      </c>
      <c r="GB24">
        <v>9.5459977908367275</v>
      </c>
      <c r="GC24">
        <v>0.86060765605950218</v>
      </c>
      <c r="GD24">
        <v>1.3881222437161695</v>
      </c>
      <c r="GE24">
        <v>2.6417893899019633</v>
      </c>
      <c r="GF24">
        <v>1.9093924997602409</v>
      </c>
      <c r="GG24">
        <v>3.4648713879457071</v>
      </c>
      <c r="GH24">
        <v>4.8970170936990343</v>
      </c>
      <c r="GI24">
        <v>4.5903185033519254</v>
      </c>
      <c r="GJ24"/>
      <c r="GK24"/>
      <c r="GL24"/>
      <c r="GM24"/>
      <c r="GN24" s="208"/>
      <c r="GO24" s="208"/>
      <c r="GP24" s="208"/>
      <c r="GQ24" s="208"/>
      <c r="GR24" s="208"/>
      <c r="GS24" s="208"/>
      <c r="GT24" s="208"/>
      <c r="GU24" s="213">
        <v>19</v>
      </c>
    </row>
    <row r="25" spans="1:203" s="7" customFormat="1">
      <c r="A25" s="4"/>
      <c r="B25" s="36"/>
      <c r="C25" s="48" t="s">
        <v>42</v>
      </c>
      <c r="D25" s="49">
        <f t="shared" si="8"/>
        <v>63.764880952380942</v>
      </c>
      <c r="E25" s="18">
        <f t="shared" si="9"/>
        <v>24</v>
      </c>
      <c r="F25" s="50"/>
      <c r="G25" s="18">
        <f t="shared" ref="G25:AK25" si="14">AVERAGE(G74:G75)</f>
        <v>1.0416666666666665</v>
      </c>
      <c r="H25" s="18">
        <f t="shared" si="14"/>
        <v>6.25</v>
      </c>
      <c r="I25" s="18">
        <f t="shared" si="14"/>
        <v>49.702380952380949</v>
      </c>
      <c r="J25" s="18">
        <f t="shared" si="14"/>
        <v>2.604166666666667</v>
      </c>
      <c r="K25" s="18">
        <f t="shared" si="14"/>
        <v>0</v>
      </c>
      <c r="L25" s="18">
        <f t="shared" si="14"/>
        <v>2.083333333333333</v>
      </c>
      <c r="M25" s="18">
        <f t="shared" si="14"/>
        <v>1.0416666666666665</v>
      </c>
      <c r="N25" s="18">
        <f t="shared" si="14"/>
        <v>1.0416666666666665</v>
      </c>
      <c r="O25" s="18">
        <f t="shared" si="14"/>
        <v>0</v>
      </c>
      <c r="P25" s="18">
        <f t="shared" si="14"/>
        <v>0</v>
      </c>
      <c r="Q25" s="18">
        <f t="shared" si="14"/>
        <v>0</v>
      </c>
      <c r="R25" s="18">
        <f t="shared" si="14"/>
        <v>0</v>
      </c>
      <c r="S25" s="18">
        <f t="shared" si="14"/>
        <v>0</v>
      </c>
      <c r="T25" s="18">
        <f t="shared" si="14"/>
        <v>0</v>
      </c>
      <c r="U25" s="18">
        <f t="shared" si="14"/>
        <v>0</v>
      </c>
      <c r="V25" s="18">
        <f t="shared" si="14"/>
        <v>0</v>
      </c>
      <c r="W25" s="18">
        <f t="shared" si="14"/>
        <v>0</v>
      </c>
      <c r="X25" s="18">
        <f t="shared" si="14"/>
        <v>0</v>
      </c>
      <c r="Y25" s="18">
        <f t="shared" si="14"/>
        <v>0</v>
      </c>
      <c r="Z25" s="18">
        <f t="shared" si="14"/>
        <v>0</v>
      </c>
      <c r="AA25" s="18">
        <f t="shared" si="14"/>
        <v>0</v>
      </c>
      <c r="AB25" s="18">
        <f t="shared" si="14"/>
        <v>0</v>
      </c>
      <c r="AC25" s="18">
        <f t="shared" si="14"/>
        <v>0</v>
      </c>
      <c r="AD25" s="18">
        <f t="shared" si="14"/>
        <v>0</v>
      </c>
      <c r="AE25" s="18">
        <f t="shared" si="14"/>
        <v>0</v>
      </c>
      <c r="AF25" s="18">
        <f t="shared" si="14"/>
        <v>0</v>
      </c>
      <c r="AG25" s="18">
        <f t="shared" si="14"/>
        <v>0</v>
      </c>
      <c r="AH25" s="18">
        <f t="shared" si="14"/>
        <v>0</v>
      </c>
      <c r="AI25" s="18">
        <f t="shared" si="14"/>
        <v>0</v>
      </c>
      <c r="AJ25" s="18">
        <f t="shared" si="14"/>
        <v>0</v>
      </c>
      <c r="AK25" s="18">
        <f t="shared" si="14"/>
        <v>0</v>
      </c>
      <c r="AL25" s="42"/>
      <c r="AM25" s="43">
        <v>9</v>
      </c>
      <c r="AN25">
        <v>29.870706759715382</v>
      </c>
      <c r="AO25">
        <v>5.6712786338343371</v>
      </c>
      <c r="AP25">
        <v>283.56098120929926</v>
      </c>
      <c r="AQ25">
        <v>36.494755660393359</v>
      </c>
      <c r="AR25">
        <v>5.2642503906590923</v>
      </c>
      <c r="AS25">
        <v>78.81898525552549</v>
      </c>
      <c r="AT25" t="e">
        <v>#DIV/0!</v>
      </c>
      <c r="AU25" t="e">
        <v>#DIV/0!</v>
      </c>
      <c r="AV25"/>
      <c r="AW25"/>
      <c r="FY25" s="213">
        <v>20</v>
      </c>
      <c r="FZ25">
        <v>0.58716112056924263</v>
      </c>
      <c r="GA25">
        <v>13.70848597317147</v>
      </c>
      <c r="GB25">
        <v>6.8063524201697003</v>
      </c>
      <c r="GC25">
        <v>1.8883007956635618</v>
      </c>
      <c r="GD25">
        <v>2.0443098746081136</v>
      </c>
      <c r="GE25">
        <v>1.4963019317742834</v>
      </c>
      <c r="GF25">
        <v>0.47734812494006024</v>
      </c>
      <c r="GG25">
        <v>1.8917088020808825</v>
      </c>
      <c r="GH25">
        <v>2.6012010516395971</v>
      </c>
      <c r="GI25">
        <v>3.5600402980557582</v>
      </c>
      <c r="GJ25"/>
      <c r="GK25"/>
      <c r="GL25"/>
      <c r="GM25"/>
      <c r="GN25" s="208"/>
      <c r="GO25" s="208"/>
      <c r="GP25" s="208"/>
      <c r="GQ25" s="208"/>
      <c r="GR25" s="208"/>
      <c r="GS25" s="208"/>
      <c r="GT25" s="208"/>
      <c r="GU25" s="213">
        <v>20</v>
      </c>
    </row>
    <row r="26" spans="1:203" s="7" customFormat="1">
      <c r="A26" s="4"/>
      <c r="B26" s="36"/>
      <c r="C26" s="48" t="s">
        <v>118</v>
      </c>
      <c r="D26" s="49">
        <f t="shared" si="8"/>
        <v>8.8541666666666661</v>
      </c>
      <c r="E26" s="18">
        <f t="shared" si="9"/>
        <v>48</v>
      </c>
      <c r="F26" s="50"/>
      <c r="G26" s="18">
        <f t="shared" ref="G26:AK26" si="15">AVERAGE(G75:G76)</f>
        <v>1.0416666666666665</v>
      </c>
      <c r="H26" s="18">
        <f t="shared" si="15"/>
        <v>1.0416666666666665</v>
      </c>
      <c r="I26" s="18">
        <f t="shared" si="15"/>
        <v>1.5625</v>
      </c>
      <c r="J26" s="18">
        <f t="shared" si="15"/>
        <v>0</v>
      </c>
      <c r="K26" s="18">
        <f t="shared" si="15"/>
        <v>0</v>
      </c>
      <c r="L26" s="18">
        <f t="shared" si="15"/>
        <v>2.083333333333333</v>
      </c>
      <c r="M26" s="18">
        <f t="shared" si="15"/>
        <v>2.083333333333333</v>
      </c>
      <c r="N26" s="18">
        <f t="shared" si="15"/>
        <v>1.0416666666666665</v>
      </c>
      <c r="O26" s="18">
        <f t="shared" si="15"/>
        <v>0</v>
      </c>
      <c r="P26" s="18">
        <f t="shared" si="15"/>
        <v>0</v>
      </c>
      <c r="Q26" s="18">
        <f t="shared" si="15"/>
        <v>0</v>
      </c>
      <c r="R26" s="18">
        <f t="shared" si="15"/>
        <v>0</v>
      </c>
      <c r="S26" s="18">
        <f t="shared" si="15"/>
        <v>0</v>
      </c>
      <c r="T26" s="18">
        <f t="shared" si="15"/>
        <v>0</v>
      </c>
      <c r="U26" s="18">
        <f t="shared" si="15"/>
        <v>0</v>
      </c>
      <c r="V26" s="18">
        <f t="shared" si="15"/>
        <v>0</v>
      </c>
      <c r="W26" s="18">
        <f t="shared" si="15"/>
        <v>0</v>
      </c>
      <c r="X26" s="18">
        <f t="shared" si="15"/>
        <v>0</v>
      </c>
      <c r="Y26" s="18">
        <f t="shared" si="15"/>
        <v>0</v>
      </c>
      <c r="Z26" s="18">
        <f t="shared" si="15"/>
        <v>0</v>
      </c>
      <c r="AA26" s="18">
        <f t="shared" si="15"/>
        <v>0</v>
      </c>
      <c r="AB26" s="18">
        <f t="shared" si="15"/>
        <v>0</v>
      </c>
      <c r="AC26" s="18">
        <f t="shared" si="15"/>
        <v>0</v>
      </c>
      <c r="AD26" s="18">
        <f t="shared" si="15"/>
        <v>0</v>
      </c>
      <c r="AE26" s="18">
        <f t="shared" si="15"/>
        <v>0</v>
      </c>
      <c r="AF26" s="18">
        <f t="shared" si="15"/>
        <v>0</v>
      </c>
      <c r="AG26" s="18">
        <f t="shared" si="15"/>
        <v>0</v>
      </c>
      <c r="AH26" s="18">
        <f t="shared" si="15"/>
        <v>0</v>
      </c>
      <c r="AI26" s="18">
        <f t="shared" si="15"/>
        <v>0</v>
      </c>
      <c r="AJ26" s="18">
        <f t="shared" si="15"/>
        <v>0</v>
      </c>
      <c r="AK26" s="18">
        <f t="shared" si="15"/>
        <v>0</v>
      </c>
      <c r="AL26" s="42"/>
      <c r="AM26" s="43">
        <v>10</v>
      </c>
      <c r="AN26">
        <v>27.81426259224088</v>
      </c>
      <c r="AO26">
        <v>7.339109996114173</v>
      </c>
      <c r="AP26">
        <v>237.90408104549419</v>
      </c>
      <c r="AQ26">
        <v>56.478480515775274</v>
      </c>
      <c r="AR26">
        <v>6.6719181782856145</v>
      </c>
      <c r="AS26">
        <v>82.101953489113882</v>
      </c>
      <c r="AT26" t="e">
        <v>#DIV/0!</v>
      </c>
      <c r="AU26" t="e">
        <v>#DIV/0!</v>
      </c>
      <c r="AV26"/>
      <c r="AW26"/>
      <c r="FY26" s="213">
        <v>21</v>
      </c>
      <c r="FZ26">
        <v>2.1834373233262436</v>
      </c>
      <c r="GA26">
        <v>17.877350252751292</v>
      </c>
      <c r="GB26">
        <v>8.0135278289325846</v>
      </c>
      <c r="GC26">
        <v>2.0102436468991316</v>
      </c>
      <c r="GD26">
        <v>2.6726740408041305</v>
      </c>
      <c r="GE26">
        <v>2.5740323504368119</v>
      </c>
      <c r="GF26">
        <v>0.47734812494006024</v>
      </c>
      <c r="GG26">
        <v>5.0380339738105313</v>
      </c>
      <c r="GH26">
        <v>7.1928331357584732</v>
      </c>
      <c r="GI26">
        <v>5.1447162791669268</v>
      </c>
      <c r="GJ26"/>
      <c r="GK26"/>
      <c r="GL26"/>
      <c r="GM26"/>
      <c r="GN26" s="208"/>
      <c r="GO26" s="208"/>
      <c r="GP26" s="208"/>
      <c r="GQ26" s="208"/>
      <c r="GR26" s="208"/>
      <c r="GS26" s="208"/>
      <c r="GT26" s="208"/>
      <c r="GU26" s="213">
        <v>21</v>
      </c>
    </row>
    <row r="27" spans="1:203" s="7" customFormat="1">
      <c r="A27" s="4"/>
      <c r="B27" s="1"/>
      <c r="C27" s="48" t="s">
        <v>119</v>
      </c>
      <c r="D27" s="49">
        <f>SUM(G27:AK27)</f>
        <v>1.0416666666666665</v>
      </c>
      <c r="E27" s="18">
        <f>C11-C10</f>
        <v>63</v>
      </c>
      <c r="F27" s="50"/>
      <c r="G27" s="18">
        <f t="shared" ref="G27:AK29" si="16">AVERAGE(G76:G77)</f>
        <v>0</v>
      </c>
      <c r="H27" s="18">
        <f t="shared" si="16"/>
        <v>0</v>
      </c>
      <c r="I27" s="18">
        <f t="shared" si="16"/>
        <v>0</v>
      </c>
      <c r="J27" s="18">
        <f t="shared" si="16"/>
        <v>0</v>
      </c>
      <c r="K27" s="18">
        <f t="shared" si="16"/>
        <v>0</v>
      </c>
      <c r="L27" s="18">
        <f t="shared" si="16"/>
        <v>0</v>
      </c>
      <c r="M27" s="18">
        <f t="shared" si="16"/>
        <v>1.0416666666666665</v>
      </c>
      <c r="N27" s="18">
        <f t="shared" si="16"/>
        <v>0</v>
      </c>
      <c r="O27" s="18">
        <f t="shared" si="16"/>
        <v>0</v>
      </c>
      <c r="P27" s="18">
        <f t="shared" si="16"/>
        <v>0</v>
      </c>
      <c r="Q27" s="18">
        <f t="shared" si="16"/>
        <v>0</v>
      </c>
      <c r="R27" s="18">
        <f t="shared" si="16"/>
        <v>0</v>
      </c>
      <c r="S27" s="18">
        <f t="shared" si="16"/>
        <v>0</v>
      </c>
      <c r="T27" s="18">
        <f t="shared" si="16"/>
        <v>0</v>
      </c>
      <c r="U27" s="18">
        <f t="shared" si="16"/>
        <v>0</v>
      </c>
      <c r="V27" s="18">
        <f t="shared" si="16"/>
        <v>0</v>
      </c>
      <c r="W27" s="18">
        <f t="shared" si="16"/>
        <v>0</v>
      </c>
      <c r="X27" s="18">
        <f t="shared" si="16"/>
        <v>0</v>
      </c>
      <c r="Y27" s="18">
        <f t="shared" si="16"/>
        <v>0</v>
      </c>
      <c r="Z27" s="18">
        <f t="shared" si="16"/>
        <v>0</v>
      </c>
      <c r="AA27" s="18">
        <f t="shared" si="16"/>
        <v>0</v>
      </c>
      <c r="AB27" s="18">
        <f t="shared" si="16"/>
        <v>0</v>
      </c>
      <c r="AC27" s="18">
        <f t="shared" si="16"/>
        <v>0</v>
      </c>
      <c r="AD27" s="18">
        <f t="shared" si="16"/>
        <v>0</v>
      </c>
      <c r="AE27" s="18">
        <f t="shared" si="16"/>
        <v>0</v>
      </c>
      <c r="AF27" s="18">
        <f t="shared" si="16"/>
        <v>0</v>
      </c>
      <c r="AG27" s="18">
        <f t="shared" si="16"/>
        <v>0</v>
      </c>
      <c r="AH27" s="18">
        <f t="shared" si="16"/>
        <v>0</v>
      </c>
      <c r="AI27" s="18">
        <f t="shared" si="16"/>
        <v>0</v>
      </c>
      <c r="AJ27" s="18">
        <f t="shared" si="16"/>
        <v>0</v>
      </c>
      <c r="AK27" s="18">
        <f t="shared" si="16"/>
        <v>0</v>
      </c>
      <c r="AL27" s="42"/>
      <c r="AM27" s="43">
        <v>11</v>
      </c>
      <c r="AN27">
        <v>29.019430760810071</v>
      </c>
      <c r="AO27">
        <v>8.0521817846203163</v>
      </c>
      <c r="AP27">
        <v>242.50204618317611</v>
      </c>
      <c r="AQ27">
        <v>53.164177845570258</v>
      </c>
      <c r="AR27">
        <v>7.482979071323923</v>
      </c>
      <c r="AS27">
        <v>86.104150379242881</v>
      </c>
      <c r="AT27" t="e">
        <v>#DIV/0!</v>
      </c>
      <c r="AU27" t="e">
        <v>#DIV/0!</v>
      </c>
      <c r="AV27"/>
      <c r="AW27"/>
      <c r="FY27" s="213">
        <v>22</v>
      </c>
      <c r="FZ27">
        <v>0.58716112056924263</v>
      </c>
      <c r="GA27">
        <v>21.11933740155111</v>
      </c>
      <c r="GB27">
        <v>10.517177971572403</v>
      </c>
      <c r="GC27">
        <v>1.2527762457071427</v>
      </c>
      <c r="GD27">
        <v>1.6477763659490678</v>
      </c>
      <c r="GE27">
        <v>1.6826703817622763</v>
      </c>
      <c r="GF27">
        <v>0.47734812494006024</v>
      </c>
      <c r="GG27">
        <v>4.1817645063006967</v>
      </c>
      <c r="GH27">
        <v>5.7293824889844096</v>
      </c>
      <c r="GI27">
        <v>4.767837922566609</v>
      </c>
      <c r="GJ27"/>
      <c r="GK27"/>
      <c r="GL27"/>
      <c r="GM27"/>
      <c r="GN27" s="208"/>
      <c r="GO27" s="208"/>
      <c r="GP27" s="208"/>
      <c r="GQ27" s="208"/>
      <c r="GR27" s="208"/>
      <c r="GS27" s="208"/>
      <c r="GT27" s="208"/>
      <c r="GU27" s="213">
        <v>22</v>
      </c>
    </row>
    <row r="28" spans="1:203" s="7" customFormat="1">
      <c r="A28" s="51"/>
      <c r="B28" s="1"/>
      <c r="C28" s="48" t="s">
        <v>120</v>
      </c>
      <c r="D28" s="49">
        <f>SUM(G28:AK28)</f>
        <v>7.5490900383141746</v>
      </c>
      <c r="E28" s="18">
        <f>C12-C11</f>
        <v>39</v>
      </c>
      <c r="F28" s="50"/>
      <c r="G28" s="18">
        <f t="shared" si="16"/>
        <v>0</v>
      </c>
      <c r="H28" s="18">
        <f t="shared" si="16"/>
        <v>0</v>
      </c>
      <c r="I28" s="18">
        <f t="shared" si="16"/>
        <v>3.5141283524904212</v>
      </c>
      <c r="J28" s="18">
        <f t="shared" si="16"/>
        <v>2.9932950191570877</v>
      </c>
      <c r="K28" s="18">
        <f t="shared" si="16"/>
        <v>0</v>
      </c>
      <c r="L28" s="18">
        <f t="shared" si="16"/>
        <v>0</v>
      </c>
      <c r="M28" s="18">
        <f t="shared" si="16"/>
        <v>0</v>
      </c>
      <c r="N28" s="18">
        <f t="shared" si="16"/>
        <v>0</v>
      </c>
      <c r="O28" s="18">
        <f t="shared" si="16"/>
        <v>1.0416666666666665</v>
      </c>
      <c r="P28" s="18">
        <f t="shared" si="16"/>
        <v>0</v>
      </c>
      <c r="Q28" s="18">
        <f t="shared" si="16"/>
        <v>0</v>
      </c>
      <c r="R28" s="18">
        <f t="shared" si="16"/>
        <v>0</v>
      </c>
      <c r="S28" s="18">
        <f t="shared" si="16"/>
        <v>0</v>
      </c>
      <c r="T28" s="18">
        <f t="shared" si="16"/>
        <v>0</v>
      </c>
      <c r="U28" s="18">
        <f t="shared" si="16"/>
        <v>0</v>
      </c>
      <c r="V28" s="18">
        <f t="shared" si="16"/>
        <v>0</v>
      </c>
      <c r="W28" s="18">
        <f t="shared" si="16"/>
        <v>0</v>
      </c>
      <c r="X28" s="18">
        <f t="shared" si="16"/>
        <v>0</v>
      </c>
      <c r="Y28" s="18">
        <f t="shared" si="16"/>
        <v>0</v>
      </c>
      <c r="Z28" s="18">
        <f t="shared" si="16"/>
        <v>0</v>
      </c>
      <c r="AA28" s="18">
        <f t="shared" si="16"/>
        <v>0</v>
      </c>
      <c r="AB28" s="18">
        <f t="shared" si="16"/>
        <v>0</v>
      </c>
      <c r="AC28" s="18">
        <f t="shared" si="16"/>
        <v>0</v>
      </c>
      <c r="AD28" s="18">
        <f t="shared" si="16"/>
        <v>0</v>
      </c>
      <c r="AE28" s="18">
        <f t="shared" si="16"/>
        <v>0</v>
      </c>
      <c r="AF28" s="18">
        <f t="shared" si="16"/>
        <v>0</v>
      </c>
      <c r="AG28" s="18">
        <f t="shared" si="16"/>
        <v>0</v>
      </c>
      <c r="AH28" s="18">
        <f t="shared" si="16"/>
        <v>0</v>
      </c>
      <c r="AI28" s="18">
        <f t="shared" si="16"/>
        <v>0</v>
      </c>
      <c r="AJ28" s="18">
        <f t="shared" si="16"/>
        <v>0</v>
      </c>
      <c r="AK28" s="18">
        <f t="shared" si="16"/>
        <v>0</v>
      </c>
      <c r="AL28" s="42"/>
      <c r="AM28" s="43">
        <v>12</v>
      </c>
      <c r="AN28">
        <v>28.463636153810643</v>
      </c>
      <c r="AO28">
        <v>6.4892466196941854</v>
      </c>
      <c r="AP28">
        <v>118.92888340856373</v>
      </c>
      <c r="AQ28">
        <v>45.269862717598642</v>
      </c>
      <c r="AR28">
        <v>5.8993151088128961</v>
      </c>
      <c r="AS28">
        <v>70.772480021952774</v>
      </c>
      <c r="AT28" t="e">
        <v>#DIV/0!</v>
      </c>
      <c r="AU28" t="e">
        <v>#DIV/0!</v>
      </c>
      <c r="AV28"/>
      <c r="AW28"/>
      <c r="FY28" s="213">
        <v>23</v>
      </c>
      <c r="FZ28">
        <v>3.7797135260832437</v>
      </c>
      <c r="GA28">
        <v>17.003780441952763</v>
      </c>
      <c r="GB28">
        <v>6.489235071951919</v>
      </c>
      <c r="GC28">
        <v>0.67524931830924928</v>
      </c>
      <c r="GD28">
        <v>1.6459615383129065</v>
      </c>
      <c r="GE28">
        <v>2.2813493756795529</v>
      </c>
      <c r="GF28">
        <v>0</v>
      </c>
      <c r="GG28">
        <v>3.0086188762608805</v>
      </c>
      <c r="GH28">
        <v>4.0769090906224941</v>
      </c>
      <c r="GI28">
        <v>3.8242593991660336</v>
      </c>
      <c r="GJ28"/>
      <c r="GK28"/>
      <c r="GL28"/>
      <c r="GM28"/>
      <c r="GN28" s="208"/>
      <c r="GO28" s="208"/>
      <c r="GP28" s="208"/>
      <c r="GQ28" s="208"/>
      <c r="GR28" s="208"/>
      <c r="GS28" s="208"/>
      <c r="GT28" s="208"/>
      <c r="GU28" s="213">
        <v>23</v>
      </c>
    </row>
    <row r="29" spans="1:203" s="7" customFormat="1">
      <c r="A29" s="51"/>
      <c r="B29" s="1"/>
      <c r="C29" s="48" t="s">
        <v>121</v>
      </c>
      <c r="D29" s="49">
        <f>SUM(G29:AK29)</f>
        <v>7.5490900383141746</v>
      </c>
      <c r="E29" s="18">
        <f>C13-C12</f>
        <v>38</v>
      </c>
      <c r="F29" s="50"/>
      <c r="G29" s="18">
        <f t="shared" si="16"/>
        <v>0</v>
      </c>
      <c r="H29" s="18">
        <f t="shared" si="16"/>
        <v>0</v>
      </c>
      <c r="I29" s="18">
        <f t="shared" si="16"/>
        <v>3.5141283524904212</v>
      </c>
      <c r="J29" s="18">
        <f t="shared" si="16"/>
        <v>2.9932950191570877</v>
      </c>
      <c r="K29" s="18">
        <f t="shared" si="16"/>
        <v>0</v>
      </c>
      <c r="L29" s="18">
        <f t="shared" si="16"/>
        <v>0</v>
      </c>
      <c r="M29" s="18">
        <f t="shared" si="16"/>
        <v>0</v>
      </c>
      <c r="N29" s="18">
        <f t="shared" si="16"/>
        <v>0</v>
      </c>
      <c r="O29" s="18">
        <f t="shared" si="16"/>
        <v>1.0416666666666665</v>
      </c>
      <c r="P29" s="18">
        <f t="shared" si="16"/>
        <v>0</v>
      </c>
      <c r="Q29" s="18">
        <f t="shared" si="16"/>
        <v>0</v>
      </c>
      <c r="R29" s="18">
        <f t="shared" si="16"/>
        <v>0</v>
      </c>
      <c r="S29" s="18">
        <f t="shared" si="16"/>
        <v>0</v>
      </c>
      <c r="T29" s="18">
        <f t="shared" si="16"/>
        <v>0</v>
      </c>
      <c r="U29" s="18">
        <f t="shared" si="16"/>
        <v>0</v>
      </c>
      <c r="V29" s="18">
        <f t="shared" si="16"/>
        <v>0</v>
      </c>
      <c r="W29" s="18">
        <f t="shared" si="16"/>
        <v>0</v>
      </c>
      <c r="X29" s="18">
        <f t="shared" si="16"/>
        <v>0</v>
      </c>
      <c r="Y29" s="18">
        <f t="shared" si="16"/>
        <v>0</v>
      </c>
      <c r="Z29" s="18">
        <f t="shared" si="16"/>
        <v>0</v>
      </c>
      <c r="AA29" s="18">
        <f t="shared" si="16"/>
        <v>0</v>
      </c>
      <c r="AB29" s="18">
        <f t="shared" si="16"/>
        <v>0</v>
      </c>
      <c r="AC29" s="18">
        <f t="shared" si="16"/>
        <v>0</v>
      </c>
      <c r="AD29" s="18">
        <f t="shared" si="16"/>
        <v>0</v>
      </c>
      <c r="AE29" s="18">
        <f t="shared" si="16"/>
        <v>0</v>
      </c>
      <c r="AF29" s="18">
        <f t="shared" si="16"/>
        <v>0</v>
      </c>
      <c r="AG29" s="18">
        <f t="shared" si="16"/>
        <v>0</v>
      </c>
      <c r="AH29" s="18">
        <f t="shared" si="16"/>
        <v>0</v>
      </c>
      <c r="AI29" s="18">
        <f t="shared" si="16"/>
        <v>0</v>
      </c>
      <c r="AJ29" s="18">
        <f t="shared" si="16"/>
        <v>0</v>
      </c>
      <c r="AK29" s="18">
        <f t="shared" si="16"/>
        <v>0</v>
      </c>
      <c r="AL29" s="42"/>
      <c r="AM29" s="43">
        <v>13</v>
      </c>
      <c r="AN29">
        <v>34.104166666666664</v>
      </c>
      <c r="AO29">
        <v>7.3645519940148603</v>
      </c>
      <c r="AP29">
        <v>217.65347939841649</v>
      </c>
      <c r="AQ29">
        <v>49.117122139282721</v>
      </c>
      <c r="AR29">
        <v>6.74931853814563</v>
      </c>
      <c r="AS29">
        <v>87.001860156386542</v>
      </c>
      <c r="AT29" t="e">
        <v>#DIV/0!</v>
      </c>
      <c r="AU29" t="e">
        <v>#DIV/0!</v>
      </c>
      <c r="AV29"/>
      <c r="AW29"/>
      <c r="FY29" s="213">
        <v>24</v>
      </c>
      <c r="FZ29">
        <v>3.7797135260832437</v>
      </c>
      <c r="GA29">
        <v>20.997955405178601</v>
      </c>
      <c r="GB29">
        <v>8.6449046790078903</v>
      </c>
      <c r="GC29">
        <v>1.8626481674872735</v>
      </c>
      <c r="GD29">
        <v>3.7936768036907362</v>
      </c>
      <c r="GE29">
        <v>5.0865686305909446</v>
      </c>
      <c r="GF29">
        <v>0.47734812494006024</v>
      </c>
      <c r="GG29">
        <v>3.358132631311662</v>
      </c>
      <c r="GH29">
        <v>4.7564346711748797</v>
      </c>
      <c r="GI29">
        <v>5.9582673202860388</v>
      </c>
      <c r="GJ29"/>
      <c r="GK29"/>
      <c r="GL29"/>
      <c r="GM29"/>
      <c r="GN29" s="208"/>
      <c r="GO29" s="208"/>
      <c r="GP29" s="208"/>
      <c r="GQ29" s="208"/>
      <c r="GR29" s="208"/>
      <c r="GS29" s="208"/>
      <c r="GT29" s="208"/>
      <c r="GU29" s="213">
        <v>24</v>
      </c>
    </row>
    <row r="30" spans="1:203" s="7" customFormat="1">
      <c r="A30" s="51"/>
      <c r="B30" s="1"/>
      <c r="C30" s="48" t="s">
        <v>122</v>
      </c>
      <c r="D30" s="49">
        <f>SUM(G30:AK30)</f>
        <v>24.26279419813903</v>
      </c>
      <c r="E30" s="18">
        <v>24</v>
      </c>
      <c r="F30" s="50"/>
      <c r="G30" s="18">
        <f>AVERAGE(G70:G79)</f>
        <v>0.20833333333333331</v>
      </c>
      <c r="H30" s="18">
        <f t="shared" ref="H30:AK30" si="17">AVERAGE(H70:H79)</f>
        <v>1.25</v>
      </c>
      <c r="I30" s="18">
        <f t="shared" si="17"/>
        <v>10.747468527640942</v>
      </c>
      <c r="J30" s="18">
        <f t="shared" si="17"/>
        <v>5.2861590038314175</v>
      </c>
      <c r="K30" s="18">
        <f t="shared" si="17"/>
        <v>5.1041666666666661</v>
      </c>
      <c r="L30" s="18">
        <f t="shared" si="17"/>
        <v>0.62499999999999989</v>
      </c>
      <c r="M30" s="18">
        <f t="shared" si="17"/>
        <v>0.41666666666666663</v>
      </c>
      <c r="N30" s="18">
        <f t="shared" si="17"/>
        <v>0.41666666666666663</v>
      </c>
      <c r="O30" s="18">
        <f t="shared" si="17"/>
        <v>0.20833333333333331</v>
      </c>
      <c r="P30" s="18">
        <f t="shared" si="17"/>
        <v>0</v>
      </c>
      <c r="Q30" s="18">
        <f t="shared" si="17"/>
        <v>0</v>
      </c>
      <c r="R30" s="18">
        <f t="shared" si="17"/>
        <v>0</v>
      </c>
      <c r="S30" s="18">
        <f t="shared" si="17"/>
        <v>0</v>
      </c>
      <c r="T30" s="18">
        <f t="shared" si="17"/>
        <v>0</v>
      </c>
      <c r="U30" s="18">
        <f t="shared" si="17"/>
        <v>0</v>
      </c>
      <c r="V30" s="18">
        <f t="shared" si="17"/>
        <v>0</v>
      </c>
      <c r="W30" s="18">
        <f t="shared" si="17"/>
        <v>0</v>
      </c>
      <c r="X30" s="18">
        <f t="shared" si="17"/>
        <v>0</v>
      </c>
      <c r="Y30" s="18">
        <f t="shared" si="17"/>
        <v>0</v>
      </c>
      <c r="Z30" s="18">
        <f t="shared" si="17"/>
        <v>0</v>
      </c>
      <c r="AA30" s="18">
        <f t="shared" si="17"/>
        <v>0</v>
      </c>
      <c r="AB30" s="18">
        <f t="shared" si="17"/>
        <v>0</v>
      </c>
      <c r="AC30" s="18">
        <f t="shared" si="17"/>
        <v>0</v>
      </c>
      <c r="AD30" s="18">
        <f t="shared" si="17"/>
        <v>0</v>
      </c>
      <c r="AE30" s="18">
        <f t="shared" si="17"/>
        <v>0</v>
      </c>
      <c r="AF30" s="18">
        <f t="shared" si="17"/>
        <v>0</v>
      </c>
      <c r="AG30" s="18">
        <f t="shared" si="17"/>
        <v>0</v>
      </c>
      <c r="AH30" s="18">
        <f t="shared" si="17"/>
        <v>0</v>
      </c>
      <c r="AI30" s="18">
        <f t="shared" si="17"/>
        <v>0</v>
      </c>
      <c r="AJ30" s="18">
        <f t="shared" si="17"/>
        <v>0</v>
      </c>
      <c r="AK30" s="18">
        <f t="shared" si="17"/>
        <v>0</v>
      </c>
      <c r="AL30" s="42"/>
      <c r="AM30" s="43">
        <v>14</v>
      </c>
      <c r="AN30">
        <v>22.35871647509579</v>
      </c>
      <c r="AO30">
        <v>4.6846732599810643</v>
      </c>
      <c r="AP30">
        <v>110.55449162237545</v>
      </c>
      <c r="AQ30">
        <v>31.116366971277465</v>
      </c>
      <c r="AR30">
        <v>4.3130651435694514</v>
      </c>
      <c r="AS30">
        <v>59.219811531548601</v>
      </c>
      <c r="AT30" t="e">
        <v>#DIV/0!</v>
      </c>
      <c r="AU30" t="e">
        <v>#DIV/0!</v>
      </c>
      <c r="AV30"/>
      <c r="AW30"/>
      <c r="FY30" s="213">
        <v>25</v>
      </c>
      <c r="FZ30">
        <v>2.7705984438954863</v>
      </c>
      <c r="GA30">
        <v>18.0120568362514</v>
      </c>
      <c r="GB30">
        <v>7.9470979779532325</v>
      </c>
      <c r="GC30">
        <v>1.3228840984277752</v>
      </c>
      <c r="GD30">
        <v>1.8941518586570978</v>
      </c>
      <c r="GE30">
        <v>2.365034873398232</v>
      </c>
      <c r="GF30">
        <v>0.95469624988012047</v>
      </c>
      <c r="GG30">
        <v>6.2616828046245736</v>
      </c>
      <c r="GH30">
        <v>8.8091235972655255</v>
      </c>
      <c r="GI30">
        <v>5.2201843082840584</v>
      </c>
      <c r="GJ30"/>
      <c r="GK30"/>
      <c r="GL30"/>
      <c r="GM30"/>
      <c r="GN30" s="208"/>
      <c r="GO30" s="208"/>
      <c r="GP30" s="208"/>
      <c r="GQ30" s="208"/>
      <c r="GR30" s="208"/>
      <c r="GS30" s="208"/>
      <c r="GT30" s="208"/>
      <c r="GU30" s="213">
        <v>25</v>
      </c>
    </row>
    <row r="31" spans="1:203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43.127259036144572</v>
      </c>
      <c r="AO31">
        <v>9.2502098806075939</v>
      </c>
      <c r="AP31">
        <v>258.22131811658119</v>
      </c>
      <c r="AQ31">
        <v>62.089803069539357</v>
      </c>
      <c r="AR31">
        <v>8.4635529805026621</v>
      </c>
      <c r="AS31">
        <v>107.24125356629865</v>
      </c>
      <c r="AT31" t="e">
        <v>#DIV/0!</v>
      </c>
      <c r="AU31" t="e">
        <v>#DIV/0!</v>
      </c>
      <c r="AV31"/>
      <c r="AW31"/>
      <c r="FY31" s="213">
        <v>26</v>
      </c>
      <c r="FZ31">
        <v>1.1743222411384853</v>
      </c>
      <c r="GA31">
        <v>14.064629348639475</v>
      </c>
      <c r="GB31">
        <v>6.8034945738094414</v>
      </c>
      <c r="GC31">
        <v>2.0358962750754199</v>
      </c>
      <c r="GD31">
        <v>2.4423337467182642</v>
      </c>
      <c r="GE31">
        <v>2.365034873398232</v>
      </c>
      <c r="GF31">
        <v>0.95469624988012047</v>
      </c>
      <c r="GG31">
        <v>4.1817645063006967</v>
      </c>
      <c r="GH31">
        <v>5.7293824889844096</v>
      </c>
      <c r="GI31">
        <v>4.5244974021308479</v>
      </c>
      <c r="GJ31"/>
      <c r="GK31"/>
      <c r="GL31"/>
      <c r="GM31"/>
      <c r="GN31" s="208"/>
      <c r="GO31" s="208"/>
      <c r="GP31" s="208"/>
      <c r="GQ31" s="208"/>
      <c r="GR31" s="208"/>
      <c r="GS31" s="208"/>
      <c r="GT31" s="208"/>
      <c r="GU31" s="213">
        <v>26</v>
      </c>
    </row>
    <row r="32" spans="1:203" s="7" customFormat="1">
      <c r="A32" s="51"/>
      <c r="B32" s="1"/>
      <c r="C32" s="52" t="s">
        <v>43</v>
      </c>
      <c r="D32" s="53">
        <f>AVERAGE(D21:D31)</f>
        <v>26.376573617952921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20.942220853858785</v>
      </c>
      <c r="AO32">
        <v>7.008144000359283</v>
      </c>
      <c r="AP32">
        <v>403.00316079973982</v>
      </c>
      <c r="AQ32">
        <v>51.735709611976652</v>
      </c>
      <c r="AR32">
        <v>6.3710400003266212</v>
      </c>
      <c r="AS32">
        <v>93.287940240278587</v>
      </c>
      <c r="AT32" t="e">
        <v>#DIV/0!</v>
      </c>
      <c r="AU32" t="e">
        <v>#DIV/0!</v>
      </c>
      <c r="AV32"/>
      <c r="AW32"/>
      <c r="FY32" s="213">
        <v>27</v>
      </c>
      <c r="FZ32">
        <v>0.58716112056924263</v>
      </c>
      <c r="GA32">
        <v>17.615930727929523</v>
      </c>
      <c r="GB32">
        <v>8.8320201716272226</v>
      </c>
      <c r="GC32">
        <v>1.7851605407960478</v>
      </c>
      <c r="GD32">
        <v>2.750289089669339</v>
      </c>
      <c r="GE32">
        <v>3.0859568503383024</v>
      </c>
      <c r="GF32">
        <v>0.47734812494006024</v>
      </c>
      <c r="GG32">
        <v>4.0766958033527283</v>
      </c>
      <c r="GH32">
        <v>5.7051623244525622</v>
      </c>
      <c r="GI32">
        <v>4.9621471554658889</v>
      </c>
      <c r="GJ32"/>
      <c r="GK32"/>
      <c r="GL32"/>
      <c r="GM32"/>
      <c r="GN32" s="208"/>
      <c r="GO32" s="208"/>
      <c r="GP32" s="208"/>
      <c r="GQ32" s="208"/>
      <c r="GR32" s="208"/>
      <c r="GS32" s="208"/>
      <c r="GT32" s="208"/>
      <c r="GU32" s="213">
        <v>27</v>
      </c>
    </row>
    <row r="33" spans="1:203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40.681651070620745</v>
      </c>
      <c r="AO33">
        <v>10.226929869399321</v>
      </c>
      <c r="AP33">
        <v>277.18394028116359</v>
      </c>
      <c r="AQ33">
        <v>66.078473734316219</v>
      </c>
      <c r="AR33">
        <v>9.2972089721811972</v>
      </c>
      <c r="AS33">
        <v>106.2210066780417</v>
      </c>
      <c r="AT33" t="e">
        <v>#DIV/0!</v>
      </c>
      <c r="AU33" t="e">
        <v>#DIV/0!</v>
      </c>
      <c r="AV33"/>
      <c r="AW33"/>
      <c r="FY33" s="213">
        <v>28</v>
      </c>
      <c r="FZ33">
        <v>2.7705984438954863</v>
      </c>
      <c r="GA33">
        <v>18.834710132595117</v>
      </c>
      <c r="GB33">
        <v>8.3636302368107511</v>
      </c>
      <c r="GC33">
        <v>2.0432760490460127</v>
      </c>
      <c r="GD33">
        <v>2.5387434810703731</v>
      </c>
      <c r="GE33">
        <v>2.2521218558550165</v>
      </c>
      <c r="GF33">
        <v>0.47734812494006024</v>
      </c>
      <c r="GG33">
        <v>0.93204068530915563</v>
      </c>
      <c r="GH33">
        <v>1.2298924983259916</v>
      </c>
      <c r="GI33">
        <v>4.2906201667936914</v>
      </c>
      <c r="GJ33"/>
      <c r="GK33"/>
      <c r="GL33"/>
      <c r="GM33"/>
      <c r="GN33" s="208"/>
      <c r="GO33" s="208"/>
      <c r="GP33" s="208"/>
      <c r="GQ33" s="208"/>
      <c r="GR33" s="208"/>
      <c r="GS33" s="208"/>
      <c r="GT33" s="208"/>
      <c r="GU33" s="213">
        <v>28</v>
      </c>
    </row>
    <row r="34" spans="1:203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31.376506024096379</v>
      </c>
      <c r="AO34">
        <v>6.5898332505656168</v>
      </c>
      <c r="AP34">
        <v>142.99869191198911</v>
      </c>
      <c r="AQ34">
        <v>43.074285468912365</v>
      </c>
      <c r="AR34">
        <v>5.9907575005141984</v>
      </c>
      <c r="AS34">
        <v>82.764167237754492</v>
      </c>
      <c r="AT34" t="e">
        <v>#DIV/0!</v>
      </c>
      <c r="AU34" t="e">
        <v>#DIV/0!</v>
      </c>
      <c r="AV34"/>
      <c r="AW34"/>
      <c r="FY34" s="213">
        <v>29</v>
      </c>
      <c r="FZ34">
        <v>0.58716112056924263</v>
      </c>
      <c r="GA34">
        <v>13.219389226002232</v>
      </c>
      <c r="GB34">
        <v>6.4183486314778584</v>
      </c>
      <c r="GC34">
        <v>1.0155829094419531</v>
      </c>
      <c r="GD34">
        <v>1.3063155647540636</v>
      </c>
      <c r="GE34">
        <v>1.0680769124232219</v>
      </c>
      <c r="GF34">
        <v>0</v>
      </c>
      <c r="GG34">
        <v>5.8616658487995661</v>
      </c>
      <c r="GH34">
        <v>8.165780953568003</v>
      </c>
      <c r="GI34">
        <v>3.8907111994681638</v>
      </c>
      <c r="GJ34"/>
      <c r="GK34"/>
      <c r="GL34"/>
      <c r="GM34"/>
      <c r="GN34" s="208"/>
      <c r="GO34" s="208"/>
      <c r="GP34" s="208"/>
      <c r="GQ34" s="208"/>
      <c r="GR34" s="208"/>
      <c r="GS34" s="208"/>
      <c r="GT34" s="208"/>
      <c r="GU34" s="213">
        <v>29</v>
      </c>
    </row>
    <row r="35" spans="1:203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25.737360154905339</v>
      </c>
      <c r="AO35">
        <v>7.1237131029771108</v>
      </c>
      <c r="AP35">
        <v>356.05771035717908</v>
      </c>
      <c r="AQ35">
        <v>49.772194824076827</v>
      </c>
      <c r="AR35">
        <v>6.5846453626070698</v>
      </c>
      <c r="AS35">
        <v>80.890609322461088</v>
      </c>
      <c r="AT35" t="e">
        <v>#DIV/0!</v>
      </c>
      <c r="AU35" t="e">
        <v>#DIV/0!</v>
      </c>
      <c r="AV35"/>
      <c r="AW35"/>
      <c r="FY35" s="213">
        <v>30</v>
      </c>
      <c r="FZ35">
        <v>0</v>
      </c>
      <c r="GA35">
        <v>14.951109221408231</v>
      </c>
      <c r="GB35">
        <v>7.4756940485599621</v>
      </c>
      <c r="GC35">
        <v>0.61725169575072358</v>
      </c>
      <c r="GD35">
        <v>0.5418191232794668</v>
      </c>
      <c r="GE35">
        <v>0.13554204459380273</v>
      </c>
      <c r="GF35">
        <v>0</v>
      </c>
      <c r="GG35">
        <v>4.0766958033527283</v>
      </c>
      <c r="GH35">
        <v>5.7051623244525604</v>
      </c>
      <c r="GI35">
        <v>3.1184361517695205</v>
      </c>
      <c r="GJ35"/>
      <c r="GK35"/>
      <c r="GL35"/>
      <c r="GM35"/>
      <c r="GN35" s="208"/>
      <c r="GO35" s="208"/>
      <c r="GP35" s="208"/>
      <c r="GQ35" s="208"/>
      <c r="GR35" s="208"/>
      <c r="GS35" s="208"/>
      <c r="GT35" s="208"/>
      <c r="GU35" s="213">
        <v>30</v>
      </c>
    </row>
    <row r="36" spans="1:203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1.8156463984709309E-3</v>
      </c>
      <c r="H36" s="59">
        <f t="shared" ref="H36:AK36" si="18">(1-($A$43/100))*($A$39*(H35^$A$41))</f>
        <v>1.15313E-2</v>
      </c>
      <c r="I36" s="59">
        <f t="shared" si="18"/>
        <v>7.3236110182017297E-2</v>
      </c>
      <c r="J36" s="59">
        <f t="shared" si="18"/>
        <v>0.21595370395129135</v>
      </c>
      <c r="K36" s="59">
        <f t="shared" si="18"/>
        <v>0.46512776829954805</v>
      </c>
      <c r="L36" s="59">
        <f t="shared" si="18"/>
        <v>0.84339548649291773</v>
      </c>
      <c r="M36" s="59">
        <f t="shared" si="18"/>
        <v>1.3715374031368122</v>
      </c>
      <c r="N36" s="59">
        <f t="shared" si="18"/>
        <v>2.0689726212277471</v>
      </c>
      <c r="O36" s="59">
        <f t="shared" si="18"/>
        <v>2.9540596886648949</v>
      </c>
      <c r="P36" s="59">
        <f t="shared" si="18"/>
        <v>4.0442970220427874</v>
      </c>
      <c r="Q36" s="59">
        <f t="shared" si="18"/>
        <v>5.3564649931760897</v>
      </c>
      <c r="R36" s="59">
        <f t="shared" si="18"/>
        <v>6.9067313280301672</v>
      </c>
      <c r="S36" s="59">
        <f t="shared" si="18"/>
        <v>8.7107320401763371</v>
      </c>
      <c r="T36" s="59">
        <f t="shared" si="18"/>
        <v>10.783635296383494</v>
      </c>
      <c r="U36" s="59">
        <f t="shared" si="18"/>
        <v>13.140192940241995</v>
      </c>
      <c r="V36" s="59">
        <f t="shared" si="18"/>
        <v>15.794782826216199</v>
      </c>
      <c r="W36" s="59">
        <f t="shared" si="18"/>
        <v>18.761444142752168</v>
      </c>
      <c r="X36" s="59">
        <f t="shared" si="18"/>
        <v>22.053907275344272</v>
      </c>
      <c r="Y36" s="59">
        <f t="shared" si="18"/>
        <v>25.685619341716023</v>
      </c>
      <c r="Z36" s="59">
        <f t="shared" si="18"/>
        <v>29.669766243653644</v>
      </c>
      <c r="AA36" s="59">
        <f t="shared" si="18"/>
        <v>34.019291877443351</v>
      </c>
      <c r="AB36" s="59">
        <f t="shared" si="18"/>
        <v>38.746914998997923</v>
      </c>
      <c r="AC36" s="59">
        <f t="shared" si="18"/>
        <v>43.865144132683035</v>
      </c>
      <c r="AD36" s="59">
        <f t="shared" si="18"/>
        <v>49.386290832891866</v>
      </c>
      <c r="AE36" s="59">
        <f t="shared" si="18"/>
        <v>55.322481546779947</v>
      </c>
      <c r="AF36" s="59">
        <f t="shared" si="18"/>
        <v>61.685668279953298</v>
      </c>
      <c r="AG36" s="59">
        <f t="shared" si="18"/>
        <v>68.487638230609974</v>
      </c>
      <c r="AH36" s="59">
        <f t="shared" si="18"/>
        <v>75.740022529057185</v>
      </c>
      <c r="AI36" s="59">
        <f t="shared" si="18"/>
        <v>83.454304196797253</v>
      </c>
      <c r="AJ36" s="59">
        <f t="shared" si="18"/>
        <v>91.64182542111466</v>
      </c>
      <c r="AK36" s="59">
        <f t="shared" si="18"/>
        <v>100.31379422630621</v>
      </c>
      <c r="AL36" s="42"/>
      <c r="AM36" s="43">
        <v>20</v>
      </c>
      <c r="AN36">
        <v>25.615336345381525</v>
      </c>
      <c r="AO36">
        <v>5.4724049341373959</v>
      </c>
      <c r="AP36">
        <v>280.52155474555184</v>
      </c>
      <c r="AQ36">
        <v>35.06121039267267</v>
      </c>
      <c r="AR36">
        <v>5.0291848473479348</v>
      </c>
      <c r="AS36">
        <v>70.673015202253637</v>
      </c>
      <c r="AT36" t="e">
        <v>#DIV/0!</v>
      </c>
      <c r="AU36" t="e">
        <v>#DIV/0!</v>
      </c>
      <c r="AV36"/>
      <c r="AW36"/>
      <c r="FY36" s="213">
        <v>31</v>
      </c>
      <c r="FZ36">
        <v>0.58716112056924263</v>
      </c>
      <c r="GA36">
        <v>19.384497877950611</v>
      </c>
      <c r="GB36">
        <v>9.6877706717848504</v>
      </c>
      <c r="GC36">
        <v>0.15497525338245066</v>
      </c>
      <c r="GD36">
        <v>1.6790165638271521</v>
      </c>
      <c r="GE36">
        <v>3.7484237876292998</v>
      </c>
      <c r="GF36">
        <v>0.95469624988012047</v>
      </c>
      <c r="GG36">
        <v>5.4380509296355397</v>
      </c>
      <c r="GH36">
        <v>7.8361757794559974</v>
      </c>
      <c r="GI36">
        <v>5.039614035432626</v>
      </c>
      <c r="GJ36"/>
      <c r="GK36"/>
      <c r="GL36"/>
      <c r="GM36"/>
      <c r="GN36" s="208"/>
      <c r="GO36" s="208"/>
      <c r="GP36" s="208"/>
      <c r="GQ36" s="208"/>
      <c r="GR36" s="208"/>
      <c r="GS36" s="208"/>
      <c r="GT36" s="208"/>
      <c r="GU36" s="213">
        <v>31</v>
      </c>
    </row>
    <row r="37" spans="1:203" s="7" customFormat="1">
      <c r="A37" s="9" t="s">
        <v>46</v>
      </c>
      <c r="B37" s="57"/>
      <c r="C37" s="48" t="s">
        <v>38</v>
      </c>
      <c r="D37" s="49">
        <f t="shared" ref="D37:D42" si="19">IF(SUM(G37:AK37)&lt;0.0001, 0, SUM(G37:AK37))</f>
        <v>2.8374108693579538</v>
      </c>
      <c r="E37" s="107">
        <f t="shared" ref="E37:E46" si="20">+D37/D21</f>
        <v>0.45398573909727263</v>
      </c>
      <c r="F37" s="18"/>
      <c r="G37" s="49">
        <f t="shared" ref="G37:G43" si="21">G21*G$36</f>
        <v>0</v>
      </c>
      <c r="H37" s="49">
        <f t="shared" ref="H37:AK40" si="22">H21*H$36</f>
        <v>0</v>
      </c>
      <c r="I37" s="49">
        <f t="shared" si="22"/>
        <v>3.8143807386467339E-2</v>
      </c>
      <c r="J37" s="49">
        <f t="shared" si="22"/>
        <v>0.2249517749492618</v>
      </c>
      <c r="K37" s="49">
        <f t="shared" si="22"/>
        <v>1.6957783219254354</v>
      </c>
      <c r="L37" s="49">
        <f t="shared" si="22"/>
        <v>0.87853696509678914</v>
      </c>
      <c r="M37" s="49">
        <f t="shared" si="22"/>
        <v>0</v>
      </c>
      <c r="N37" s="49">
        <f t="shared" si="22"/>
        <v>0</v>
      </c>
      <c r="O37" s="49">
        <f t="shared" si="22"/>
        <v>0</v>
      </c>
      <c r="P37" s="49">
        <f t="shared" si="22"/>
        <v>0</v>
      </c>
      <c r="Q37" s="49">
        <f t="shared" si="22"/>
        <v>0</v>
      </c>
      <c r="R37" s="49">
        <f t="shared" si="22"/>
        <v>0</v>
      </c>
      <c r="S37" s="49">
        <f t="shared" si="22"/>
        <v>0</v>
      </c>
      <c r="T37" s="49">
        <f t="shared" si="22"/>
        <v>0</v>
      </c>
      <c r="U37" s="49">
        <f t="shared" si="22"/>
        <v>0</v>
      </c>
      <c r="V37" s="49">
        <f t="shared" si="22"/>
        <v>0</v>
      </c>
      <c r="W37" s="49">
        <f t="shared" si="22"/>
        <v>0</v>
      </c>
      <c r="X37" s="49">
        <f t="shared" si="22"/>
        <v>0</v>
      </c>
      <c r="Y37" s="49">
        <f t="shared" si="22"/>
        <v>0</v>
      </c>
      <c r="Z37" s="49">
        <f t="shared" si="22"/>
        <v>0</v>
      </c>
      <c r="AA37" s="49">
        <f t="shared" si="22"/>
        <v>0</v>
      </c>
      <c r="AB37" s="49">
        <f t="shared" si="22"/>
        <v>0</v>
      </c>
      <c r="AC37" s="49">
        <f t="shared" si="22"/>
        <v>0</v>
      </c>
      <c r="AD37" s="49">
        <f t="shared" si="22"/>
        <v>0</v>
      </c>
      <c r="AE37" s="49">
        <f t="shared" si="22"/>
        <v>0</v>
      </c>
      <c r="AF37" s="49">
        <f t="shared" si="22"/>
        <v>0</v>
      </c>
      <c r="AG37" s="49">
        <f t="shared" si="22"/>
        <v>0</v>
      </c>
      <c r="AH37" s="49">
        <f t="shared" si="22"/>
        <v>0</v>
      </c>
      <c r="AI37" s="49">
        <f t="shared" si="22"/>
        <v>0</v>
      </c>
      <c r="AJ37" s="49">
        <f t="shared" si="22"/>
        <v>0</v>
      </c>
      <c r="AK37" s="49">
        <f t="shared" si="22"/>
        <v>0</v>
      </c>
      <c r="AL37" s="42"/>
      <c r="AM37" s="43">
        <v>21</v>
      </c>
      <c r="AN37">
        <v>39.005217297762485</v>
      </c>
      <c r="AO37">
        <v>8.0066028985991551</v>
      </c>
      <c r="AP37">
        <v>214.95496195615522</v>
      </c>
      <c r="AQ37">
        <v>53.184196956826185</v>
      </c>
      <c r="AR37">
        <v>7.3330011786768061</v>
      </c>
      <c r="AS37">
        <v>94.985589425054542</v>
      </c>
      <c r="AT37" t="e">
        <v>#DIV/0!</v>
      </c>
      <c r="AU37" t="e">
        <v>#DIV/0!</v>
      </c>
      <c r="AV37"/>
      <c r="AW37"/>
      <c r="FY37" s="213">
        <v>32</v>
      </c>
      <c r="FZ37">
        <v>1.596276202757001</v>
      </c>
      <c r="GA37">
        <v>19.413339810677417</v>
      </c>
      <c r="GB37">
        <v>8.7479768075751085</v>
      </c>
      <c r="GC37">
        <v>2.4981727174436923</v>
      </c>
      <c r="GD37">
        <v>3.38060741136358</v>
      </c>
      <c r="GE37">
        <v>2.9597447712240781</v>
      </c>
      <c r="GF37">
        <v>0</v>
      </c>
      <c r="GG37">
        <v>7.646635894246403</v>
      </c>
      <c r="GH37">
        <v>10.626399582683446</v>
      </c>
      <c r="GI37">
        <v>6.1634594243067617</v>
      </c>
      <c r="GJ37"/>
      <c r="GK37"/>
      <c r="GL37"/>
      <c r="GM37"/>
      <c r="GN37" s="208"/>
      <c r="GO37" s="208"/>
      <c r="GP37" s="208"/>
      <c r="GQ37" s="208"/>
      <c r="GR37" s="208"/>
      <c r="GS37" s="208"/>
      <c r="GT37" s="208"/>
      <c r="GU37" s="213">
        <v>32</v>
      </c>
    </row>
    <row r="38" spans="1:203" s="7" customFormat="1">
      <c r="A38" s="9" t="s">
        <v>47</v>
      </c>
      <c r="B38" s="57"/>
      <c r="C38" s="48" t="s">
        <v>39</v>
      </c>
      <c r="D38" s="49">
        <f t="shared" si="19"/>
        <v>18.247376379818792</v>
      </c>
      <c r="E38" s="107">
        <f t="shared" si="20"/>
        <v>0.39812457555968278</v>
      </c>
      <c r="F38" s="18"/>
      <c r="G38" s="49">
        <f t="shared" si="21"/>
        <v>0</v>
      </c>
      <c r="H38" s="49">
        <f t="shared" si="22"/>
        <v>0</v>
      </c>
      <c r="I38" s="49">
        <f t="shared" si="22"/>
        <v>3.8143807386467339E-2</v>
      </c>
      <c r="J38" s="49">
        <f t="shared" si="22"/>
        <v>4.2740837240359744</v>
      </c>
      <c r="K38" s="49">
        <f t="shared" si="22"/>
        <v>10.901432069520657</v>
      </c>
      <c r="L38" s="49">
        <f t="shared" si="22"/>
        <v>0.87853696509678914</v>
      </c>
      <c r="M38" s="49">
        <f t="shared" si="22"/>
        <v>0</v>
      </c>
      <c r="N38" s="49">
        <f t="shared" si="22"/>
        <v>2.1551798137789029</v>
      </c>
      <c r="O38" s="49">
        <f t="shared" si="22"/>
        <v>0</v>
      </c>
      <c r="P38" s="49">
        <f t="shared" si="22"/>
        <v>0</v>
      </c>
      <c r="Q38" s="49">
        <f t="shared" si="22"/>
        <v>0</v>
      </c>
      <c r="R38" s="49">
        <f t="shared" si="22"/>
        <v>0</v>
      </c>
      <c r="S38" s="49">
        <f t="shared" si="22"/>
        <v>0</v>
      </c>
      <c r="T38" s="49">
        <f t="shared" si="22"/>
        <v>0</v>
      </c>
      <c r="U38" s="49">
        <f t="shared" si="22"/>
        <v>0</v>
      </c>
      <c r="V38" s="49">
        <f t="shared" si="22"/>
        <v>0</v>
      </c>
      <c r="W38" s="49">
        <f t="shared" si="22"/>
        <v>0</v>
      </c>
      <c r="X38" s="49">
        <f t="shared" si="22"/>
        <v>0</v>
      </c>
      <c r="Y38" s="49">
        <f t="shared" si="22"/>
        <v>0</v>
      </c>
      <c r="Z38" s="49">
        <f t="shared" si="22"/>
        <v>0</v>
      </c>
      <c r="AA38" s="49">
        <f t="shared" si="22"/>
        <v>0</v>
      </c>
      <c r="AB38" s="49">
        <f t="shared" si="22"/>
        <v>0</v>
      </c>
      <c r="AC38" s="49">
        <f t="shared" si="22"/>
        <v>0</v>
      </c>
      <c r="AD38" s="49">
        <f t="shared" si="22"/>
        <v>0</v>
      </c>
      <c r="AE38" s="49">
        <f t="shared" si="22"/>
        <v>0</v>
      </c>
      <c r="AF38" s="49">
        <f t="shared" si="22"/>
        <v>0</v>
      </c>
      <c r="AG38" s="49">
        <f t="shared" si="22"/>
        <v>0</v>
      </c>
      <c r="AH38" s="49">
        <f t="shared" si="22"/>
        <v>0</v>
      </c>
      <c r="AI38" s="49">
        <f t="shared" si="22"/>
        <v>0</v>
      </c>
      <c r="AJ38" s="49">
        <f t="shared" si="22"/>
        <v>0</v>
      </c>
      <c r="AK38" s="49">
        <f t="shared" si="22"/>
        <v>0</v>
      </c>
      <c r="AL38" s="42"/>
      <c r="AM38" s="43">
        <v>22</v>
      </c>
      <c r="AN38">
        <v>25.796216475095783</v>
      </c>
      <c r="AO38">
        <v>7.372580958903133</v>
      </c>
      <c r="AP38">
        <v>390.31889359925799</v>
      </c>
      <c r="AQ38">
        <v>51.963232529903017</v>
      </c>
      <c r="AR38">
        <v>6.7566175971349685</v>
      </c>
      <c r="AS38">
        <v>83.715151581555034</v>
      </c>
      <c r="AT38" t="e">
        <v>#DIV/0!</v>
      </c>
      <c r="AU38" t="e">
        <v>#DIV/0!</v>
      </c>
      <c r="AV38"/>
      <c r="AW38"/>
      <c r="FY38" s="213">
        <v>33</v>
      </c>
      <c r="FZ38">
        <v>2.1834373233262436</v>
      </c>
      <c r="GA38">
        <v>17.790620044283507</v>
      </c>
      <c r="GB38">
        <v>7.8835259733341392</v>
      </c>
      <c r="GC38">
        <v>1.0082031354713601</v>
      </c>
      <c r="GD38">
        <v>1.4682045789997287</v>
      </c>
      <c r="GE38">
        <v>1.988652418090544</v>
      </c>
      <c r="GF38">
        <v>0.95469624988012047</v>
      </c>
      <c r="GG38">
        <v>5.3003446341667706</v>
      </c>
      <c r="GH38">
        <v>7.3214527859596146</v>
      </c>
      <c r="GI38">
        <v>4.546342980167168</v>
      </c>
      <c r="GJ38"/>
      <c r="GK38"/>
      <c r="GL38"/>
      <c r="GM38"/>
      <c r="GN38" s="208"/>
      <c r="GO38" s="208"/>
      <c r="GP38" s="208"/>
      <c r="GQ38" s="208"/>
      <c r="GR38" s="208"/>
      <c r="GS38" s="208"/>
      <c r="GT38" s="208"/>
      <c r="GU38" s="213">
        <v>33</v>
      </c>
    </row>
    <row r="39" spans="1:203" s="7" customFormat="1">
      <c r="A39" s="114">
        <v>1.21E-2</v>
      </c>
      <c r="B39" s="57"/>
      <c r="C39" s="48" t="s">
        <v>40</v>
      </c>
      <c r="D39" s="49">
        <f t="shared" si="19"/>
        <v>16.603933469367494</v>
      </c>
      <c r="E39" s="107">
        <f t="shared" si="20"/>
        <v>0.38877502757543403</v>
      </c>
      <c r="F39" s="18"/>
      <c r="G39" s="49">
        <f t="shared" si="21"/>
        <v>0</v>
      </c>
      <c r="H39" s="49">
        <f t="shared" si="22"/>
        <v>0</v>
      </c>
      <c r="I39" s="49">
        <f t="shared" si="22"/>
        <v>0</v>
      </c>
      <c r="J39" s="49">
        <f t="shared" si="22"/>
        <v>4.2740837240359744</v>
      </c>
      <c r="K39" s="49">
        <f t="shared" si="22"/>
        <v>10.174669931552614</v>
      </c>
      <c r="L39" s="49">
        <f t="shared" si="22"/>
        <v>0</v>
      </c>
      <c r="M39" s="49">
        <f t="shared" si="22"/>
        <v>0</v>
      </c>
      <c r="N39" s="49">
        <f t="shared" si="22"/>
        <v>2.1551798137789029</v>
      </c>
      <c r="O39" s="49">
        <f t="shared" si="22"/>
        <v>0</v>
      </c>
      <c r="P39" s="49">
        <f t="shared" si="22"/>
        <v>0</v>
      </c>
      <c r="Q39" s="49">
        <f t="shared" si="22"/>
        <v>0</v>
      </c>
      <c r="R39" s="49">
        <f t="shared" si="22"/>
        <v>0</v>
      </c>
      <c r="S39" s="49">
        <f t="shared" si="22"/>
        <v>0</v>
      </c>
      <c r="T39" s="49">
        <f t="shared" si="22"/>
        <v>0</v>
      </c>
      <c r="U39" s="49">
        <f t="shared" si="22"/>
        <v>0</v>
      </c>
      <c r="V39" s="49">
        <f t="shared" si="22"/>
        <v>0</v>
      </c>
      <c r="W39" s="49">
        <f t="shared" si="22"/>
        <v>0</v>
      </c>
      <c r="X39" s="49">
        <f t="shared" si="22"/>
        <v>0</v>
      </c>
      <c r="Y39" s="49">
        <f t="shared" si="22"/>
        <v>0</v>
      </c>
      <c r="Z39" s="49">
        <f t="shared" si="22"/>
        <v>0</v>
      </c>
      <c r="AA39" s="49">
        <f t="shared" si="22"/>
        <v>0</v>
      </c>
      <c r="AB39" s="49">
        <f t="shared" si="22"/>
        <v>0</v>
      </c>
      <c r="AC39" s="49">
        <f t="shared" si="22"/>
        <v>0</v>
      </c>
      <c r="AD39" s="49">
        <f t="shared" si="22"/>
        <v>0</v>
      </c>
      <c r="AE39" s="49">
        <f t="shared" si="22"/>
        <v>0</v>
      </c>
      <c r="AF39" s="49">
        <f t="shared" si="22"/>
        <v>0</v>
      </c>
      <c r="AG39" s="49">
        <f t="shared" si="22"/>
        <v>0</v>
      </c>
      <c r="AH39" s="49">
        <f t="shared" si="22"/>
        <v>0</v>
      </c>
      <c r="AI39" s="49">
        <f t="shared" si="22"/>
        <v>0</v>
      </c>
      <c r="AJ39" s="49">
        <f t="shared" si="22"/>
        <v>0</v>
      </c>
      <c r="AK39" s="49">
        <f t="shared" si="22"/>
        <v>0</v>
      </c>
      <c r="AL39" s="42"/>
      <c r="AM39" s="43">
        <v>23</v>
      </c>
      <c r="AN39">
        <v>26.000171045429664</v>
      </c>
      <c r="AO39">
        <v>5.883111999593762</v>
      </c>
      <c r="AP39">
        <v>84.796888180685542</v>
      </c>
      <c r="AQ39">
        <v>42.785076638339035</v>
      </c>
      <c r="AR39">
        <v>5.4025549068537222</v>
      </c>
      <c r="AS39">
        <v>60.726611535206743</v>
      </c>
      <c r="AT39" t="e">
        <v>#DIV/0!</v>
      </c>
      <c r="AU39" t="e">
        <v>#DIV/0!</v>
      </c>
      <c r="AV39"/>
      <c r="AW39"/>
      <c r="FY39" s="213">
        <v>34</v>
      </c>
      <c r="FZ39">
        <v>0.58716112056924263</v>
      </c>
      <c r="GA39">
        <v>15.067398017455714</v>
      </c>
      <c r="GB39">
        <v>7.5363448093175158</v>
      </c>
      <c r="GC39">
        <v>1.5809996066777399</v>
      </c>
      <c r="GD39">
        <v>2.2414295151574972</v>
      </c>
      <c r="GE39">
        <v>2.0816818641205512</v>
      </c>
      <c r="GF39">
        <v>0</v>
      </c>
      <c r="GG39">
        <v>5.9667345517475345</v>
      </c>
      <c r="GH39">
        <v>8.1900011180998522</v>
      </c>
      <c r="GI39">
        <v>4.6475443816375535</v>
      </c>
      <c r="GJ39"/>
      <c r="GK39"/>
      <c r="GL39"/>
      <c r="GM39"/>
      <c r="GN39" s="208"/>
      <c r="GO39" s="208"/>
      <c r="GP39" s="208"/>
      <c r="GQ39" s="208"/>
      <c r="GR39" s="208"/>
      <c r="GS39" s="208"/>
      <c r="GT39" s="208"/>
      <c r="GU39" s="213">
        <v>34</v>
      </c>
    </row>
    <row r="40" spans="1:203" s="7" customFormat="1">
      <c r="A40" s="9" t="s">
        <v>48</v>
      </c>
      <c r="B40" s="57"/>
      <c r="C40" s="48" t="s">
        <v>41</v>
      </c>
      <c r="D40" s="49">
        <f t="shared" si="19"/>
        <v>4.1480159171175881</v>
      </c>
      <c r="E40" s="107">
        <f t="shared" si="20"/>
        <v>7.4134752561250516E-2</v>
      </c>
      <c r="F40" s="18"/>
      <c r="G40" s="49">
        <f t="shared" si="21"/>
        <v>0</v>
      </c>
      <c r="H40" s="49">
        <f t="shared" si="22"/>
        <v>6.0058854166666668E-2</v>
      </c>
      <c r="I40" s="49">
        <f t="shared" si="22"/>
        <v>3.5255776255777671</v>
      </c>
      <c r="J40" s="49">
        <f t="shared" si="22"/>
        <v>0.56237943737315466</v>
      </c>
      <c r="K40" s="49">
        <f t="shared" si="22"/>
        <v>0</v>
      </c>
      <c r="L40" s="49">
        <f t="shared" si="22"/>
        <v>0</v>
      </c>
      <c r="M40" s="49">
        <f t="shared" si="22"/>
        <v>0</v>
      </c>
      <c r="N40" s="49">
        <f t="shared" si="22"/>
        <v>0</v>
      </c>
      <c r="O40" s="49">
        <f t="shared" si="22"/>
        <v>0</v>
      </c>
      <c r="P40" s="49">
        <f t="shared" si="22"/>
        <v>0</v>
      </c>
      <c r="Q40" s="49">
        <f t="shared" si="22"/>
        <v>0</v>
      </c>
      <c r="R40" s="49">
        <f t="shared" si="22"/>
        <v>0</v>
      </c>
      <c r="S40" s="49">
        <f t="shared" si="22"/>
        <v>0</v>
      </c>
      <c r="T40" s="49">
        <f t="shared" si="22"/>
        <v>0</v>
      </c>
      <c r="U40" s="49">
        <f t="shared" si="22"/>
        <v>0</v>
      </c>
      <c r="V40" s="49">
        <f t="shared" si="22"/>
        <v>0</v>
      </c>
      <c r="W40" s="49">
        <f t="shared" si="22"/>
        <v>0</v>
      </c>
      <c r="X40" s="49">
        <f t="shared" si="22"/>
        <v>0</v>
      </c>
      <c r="Y40" s="49">
        <f t="shared" si="22"/>
        <v>0</v>
      </c>
      <c r="Z40" s="49">
        <f t="shared" si="22"/>
        <v>0</v>
      </c>
      <c r="AA40" s="49">
        <f t="shared" si="22"/>
        <v>0</v>
      </c>
      <c r="AB40" s="49">
        <f t="shared" si="22"/>
        <v>0</v>
      </c>
      <c r="AC40" s="49">
        <f t="shared" si="22"/>
        <v>0</v>
      </c>
      <c r="AD40" s="49">
        <f t="shared" si="22"/>
        <v>0</v>
      </c>
      <c r="AE40" s="49">
        <f t="shared" si="22"/>
        <v>0</v>
      </c>
      <c r="AF40" s="49">
        <f t="shared" si="22"/>
        <v>0</v>
      </c>
      <c r="AG40" s="49">
        <f t="shared" si="22"/>
        <v>0</v>
      </c>
      <c r="AH40" s="49">
        <f t="shared" si="22"/>
        <v>0</v>
      </c>
      <c r="AI40" s="49">
        <f t="shared" si="22"/>
        <v>0</v>
      </c>
      <c r="AJ40" s="49">
        <f t="shared" si="22"/>
        <v>0</v>
      </c>
      <c r="AK40" s="49">
        <f t="shared" si="22"/>
        <v>0</v>
      </c>
      <c r="AL40" s="42"/>
      <c r="AM40" s="43">
        <v>24</v>
      </c>
      <c r="AN40">
        <v>36.90327380952381</v>
      </c>
      <c r="AO40">
        <v>9.2611471597690862</v>
      </c>
      <c r="AP40">
        <v>190.90987751371162</v>
      </c>
      <c r="AQ40">
        <v>58.715649959751332</v>
      </c>
      <c r="AR40">
        <v>8.4734959615585606</v>
      </c>
      <c r="AS40">
        <v>113.08251234408509</v>
      </c>
      <c r="AT40" t="e">
        <v>#DIV/0!</v>
      </c>
      <c r="AU40" t="e">
        <v>#DIV/0!</v>
      </c>
      <c r="AV40"/>
      <c r="AW40"/>
      <c r="FY40" s="213">
        <v>35</v>
      </c>
      <c r="FZ40">
        <v>2.1834373233262436</v>
      </c>
      <c r="GA40">
        <v>13.914405419540159</v>
      </c>
      <c r="GB40">
        <v>5.8710151454546677</v>
      </c>
      <c r="GC40">
        <v>1.6180750572514906</v>
      </c>
      <c r="GD40">
        <v>2.328666471080072</v>
      </c>
      <c r="GE40">
        <v>2.7892907966578626</v>
      </c>
      <c r="GF40">
        <v>0.95469624988012047</v>
      </c>
      <c r="GG40">
        <v>5.1431026767584997</v>
      </c>
      <c r="GH40">
        <v>7.2170533002903205</v>
      </c>
      <c r="GI40">
        <v>4.6678520856655874</v>
      </c>
      <c r="GJ40"/>
      <c r="GK40"/>
      <c r="GL40"/>
      <c r="GM40"/>
      <c r="GN40" s="208"/>
      <c r="GO40" s="208"/>
      <c r="GP40" s="208"/>
      <c r="GQ40" s="208"/>
      <c r="GR40" s="208"/>
      <c r="GS40" s="208"/>
      <c r="GT40" s="208"/>
      <c r="GU40" s="213">
        <v>35</v>
      </c>
    </row>
    <row r="41" spans="1:203" s="7" customFormat="1">
      <c r="A41" s="114">
        <v>2.6669999999999998</v>
      </c>
      <c r="B41" s="57"/>
      <c r="C41" s="48" t="s">
        <v>42</v>
      </c>
      <c r="D41" s="49">
        <f t="shared" si="19"/>
        <v>9.6172889473487242</v>
      </c>
      <c r="E41" s="107">
        <f t="shared" si="20"/>
        <v>0.15082422806577231</v>
      </c>
      <c r="F41" s="18"/>
      <c r="G41" s="49">
        <f t="shared" si="21"/>
        <v>1.8912983317405528E-3</v>
      </c>
      <c r="H41" s="49">
        <f t="shared" ref="H41:AK43" si="23">H25*H$36</f>
        <v>7.2070624999999999E-2</v>
      </c>
      <c r="I41" s="49">
        <f t="shared" si="23"/>
        <v>3.6400090477371689</v>
      </c>
      <c r="J41" s="49">
        <f t="shared" si="23"/>
        <v>0.56237943737315466</v>
      </c>
      <c r="K41" s="49">
        <f t="shared" si="23"/>
        <v>0</v>
      </c>
      <c r="L41" s="49">
        <f t="shared" si="23"/>
        <v>1.7570739301935783</v>
      </c>
      <c r="M41" s="49">
        <f t="shared" si="23"/>
        <v>1.4286847949341792</v>
      </c>
      <c r="N41" s="49">
        <f t="shared" si="23"/>
        <v>2.1551798137789029</v>
      </c>
      <c r="O41" s="49">
        <f t="shared" si="23"/>
        <v>0</v>
      </c>
      <c r="P41" s="49">
        <f t="shared" si="23"/>
        <v>0</v>
      </c>
      <c r="Q41" s="49">
        <f t="shared" si="23"/>
        <v>0</v>
      </c>
      <c r="R41" s="49">
        <f t="shared" si="23"/>
        <v>0</v>
      </c>
      <c r="S41" s="49">
        <f t="shared" si="23"/>
        <v>0</v>
      </c>
      <c r="T41" s="49">
        <f t="shared" si="23"/>
        <v>0</v>
      </c>
      <c r="U41" s="49">
        <f t="shared" si="23"/>
        <v>0</v>
      </c>
      <c r="V41" s="49">
        <f t="shared" si="23"/>
        <v>0</v>
      </c>
      <c r="W41" s="49">
        <f t="shared" si="23"/>
        <v>0</v>
      </c>
      <c r="X41" s="49">
        <f t="shared" si="23"/>
        <v>0</v>
      </c>
      <c r="Y41" s="49">
        <f t="shared" si="23"/>
        <v>0</v>
      </c>
      <c r="Z41" s="49">
        <f t="shared" si="23"/>
        <v>0</v>
      </c>
      <c r="AA41" s="49">
        <f t="shared" si="23"/>
        <v>0</v>
      </c>
      <c r="AB41" s="49">
        <f t="shared" si="23"/>
        <v>0</v>
      </c>
      <c r="AC41" s="49">
        <f t="shared" si="23"/>
        <v>0</v>
      </c>
      <c r="AD41" s="49">
        <f t="shared" si="23"/>
        <v>0</v>
      </c>
      <c r="AE41" s="49">
        <f t="shared" si="23"/>
        <v>0</v>
      </c>
      <c r="AF41" s="49">
        <f t="shared" si="23"/>
        <v>0</v>
      </c>
      <c r="AG41" s="49">
        <f t="shared" si="23"/>
        <v>0</v>
      </c>
      <c r="AH41" s="49">
        <f t="shared" si="23"/>
        <v>0</v>
      </c>
      <c r="AI41" s="49">
        <f t="shared" si="23"/>
        <v>0</v>
      </c>
      <c r="AJ41" s="49">
        <f t="shared" si="23"/>
        <v>0</v>
      </c>
      <c r="AK41" s="49">
        <f t="shared" si="23"/>
        <v>0</v>
      </c>
      <c r="AL41" s="42"/>
      <c r="AM41" s="43">
        <v>25</v>
      </c>
      <c r="AN41">
        <v>29.058959771763568</v>
      </c>
      <c r="AO41">
        <v>8.203880130628912</v>
      </c>
      <c r="AP41">
        <v>209.59062350065213</v>
      </c>
      <c r="AQ41">
        <v>55.557511048637508</v>
      </c>
      <c r="AR41">
        <v>7.5666153877450686</v>
      </c>
      <c r="AS41">
        <v>95.155859209325229</v>
      </c>
      <c r="AT41" t="e">
        <v>#DIV/0!</v>
      </c>
      <c r="AU41" t="e">
        <v>#DIV/0!</v>
      </c>
      <c r="AV41"/>
      <c r="AW41"/>
      <c r="FY41" s="213">
        <v>36</v>
      </c>
      <c r="FZ41">
        <v>2.7705984438954863</v>
      </c>
      <c r="GA41">
        <v>16.903008991504489</v>
      </c>
      <c r="GB41">
        <v>7.4274935905284938</v>
      </c>
      <c r="GC41">
        <v>0.93809528275072762</v>
      </c>
      <c r="GD41">
        <v>2.0316574610514957</v>
      </c>
      <c r="GE41">
        <v>2.6577318309872413</v>
      </c>
      <c r="GF41">
        <v>0</v>
      </c>
      <c r="GG41">
        <v>1.0387794419432002</v>
      </c>
      <c r="GH41">
        <v>1.3704749208501465</v>
      </c>
      <c r="GI41">
        <v>3.7419929638870739</v>
      </c>
      <c r="GJ41"/>
      <c r="GK41"/>
      <c r="GL41"/>
      <c r="GM41"/>
      <c r="GN41" s="208"/>
      <c r="GO41" s="208"/>
      <c r="GP41" s="208"/>
      <c r="GQ41" s="208"/>
      <c r="GR41" s="208"/>
      <c r="GS41" s="208"/>
      <c r="GT41" s="208"/>
      <c r="GU41" s="213">
        <v>36</v>
      </c>
    </row>
    <row r="42" spans="1:203" s="7" customFormat="1">
      <c r="A42" s="9" t="s">
        <v>49</v>
      </c>
      <c r="B42" s="57"/>
      <c r="C42" s="48" t="s">
        <v>118</v>
      </c>
      <c r="D42" s="49">
        <f t="shared" si="19"/>
        <v>6.8979578251653155</v>
      </c>
      <c r="E42" s="107">
        <f t="shared" si="20"/>
        <v>0.77906347201867099</v>
      </c>
      <c r="F42" s="18"/>
      <c r="G42" s="49">
        <f t="shared" si="21"/>
        <v>1.8912983317405528E-3</v>
      </c>
      <c r="H42" s="49">
        <f t="shared" si="23"/>
        <v>1.2011770833333331E-2</v>
      </c>
      <c r="I42" s="49">
        <f t="shared" si="23"/>
        <v>0.11443142215940202</v>
      </c>
      <c r="J42" s="49">
        <f t="shared" si="23"/>
        <v>0</v>
      </c>
      <c r="K42" s="49">
        <f t="shared" si="23"/>
        <v>0</v>
      </c>
      <c r="L42" s="49">
        <f t="shared" si="23"/>
        <v>1.7570739301935783</v>
      </c>
      <c r="M42" s="49">
        <f t="shared" si="23"/>
        <v>2.8573695898683584</v>
      </c>
      <c r="N42" s="49">
        <f t="shared" si="23"/>
        <v>2.1551798137789029</v>
      </c>
      <c r="O42" s="49">
        <f t="shared" si="23"/>
        <v>0</v>
      </c>
      <c r="P42" s="49">
        <f t="shared" si="23"/>
        <v>0</v>
      </c>
      <c r="Q42" s="49">
        <f t="shared" si="23"/>
        <v>0</v>
      </c>
      <c r="R42" s="49">
        <f t="shared" si="23"/>
        <v>0</v>
      </c>
      <c r="S42" s="49">
        <f t="shared" si="23"/>
        <v>0</v>
      </c>
      <c r="T42" s="49">
        <f t="shared" si="23"/>
        <v>0</v>
      </c>
      <c r="U42" s="49">
        <f t="shared" si="23"/>
        <v>0</v>
      </c>
      <c r="V42" s="49">
        <f t="shared" si="23"/>
        <v>0</v>
      </c>
      <c r="W42" s="49">
        <f t="shared" si="23"/>
        <v>0</v>
      </c>
      <c r="X42" s="49">
        <f t="shared" si="23"/>
        <v>0</v>
      </c>
      <c r="Y42" s="49">
        <f t="shared" si="23"/>
        <v>0</v>
      </c>
      <c r="Z42" s="49">
        <f t="shared" si="23"/>
        <v>0</v>
      </c>
      <c r="AA42" s="49">
        <f t="shared" si="23"/>
        <v>0</v>
      </c>
      <c r="AB42" s="49">
        <f t="shared" si="23"/>
        <v>0</v>
      </c>
      <c r="AC42" s="49">
        <f t="shared" si="23"/>
        <v>0</v>
      </c>
      <c r="AD42" s="49">
        <f t="shared" si="23"/>
        <v>0</v>
      </c>
      <c r="AE42" s="49">
        <f t="shared" si="23"/>
        <v>0</v>
      </c>
      <c r="AF42" s="49">
        <f t="shared" si="23"/>
        <v>0</v>
      </c>
      <c r="AG42" s="49">
        <f t="shared" si="23"/>
        <v>0</v>
      </c>
      <c r="AH42" s="49">
        <f t="shared" si="23"/>
        <v>0</v>
      </c>
      <c r="AI42" s="49">
        <f t="shared" si="23"/>
        <v>0</v>
      </c>
      <c r="AJ42" s="49">
        <f t="shared" si="23"/>
        <v>0</v>
      </c>
      <c r="AK42" s="49">
        <f t="shared" si="23"/>
        <v>0</v>
      </c>
      <c r="AL42" s="42"/>
      <c r="AM42" s="43">
        <v>26</v>
      </c>
      <c r="AN42">
        <v>30.157823617952925</v>
      </c>
      <c r="AO42">
        <v>7.0269847627811117</v>
      </c>
      <c r="AP42">
        <v>351.04644263715812</v>
      </c>
      <c r="AQ42">
        <v>44.276051706075393</v>
      </c>
      <c r="AR42">
        <v>6.4967105078834333</v>
      </c>
      <c r="AS42">
        <v>93.648468495971841</v>
      </c>
      <c r="AT42" t="e">
        <v>#DIV/0!</v>
      </c>
      <c r="AU42" t="e">
        <v>#DIV/0!</v>
      </c>
      <c r="AV42"/>
      <c r="AW42"/>
      <c r="FY42" s="213">
        <v>37</v>
      </c>
      <c r="FZ42">
        <v>2.7705984438954863</v>
      </c>
      <c r="GA42">
        <v>17.150884842857579</v>
      </c>
      <c r="GB42">
        <v>7.6496526176012463</v>
      </c>
      <c r="GC42">
        <v>0.38005835948553379</v>
      </c>
      <c r="GD42">
        <v>1.9107472785128321</v>
      </c>
      <c r="GE42">
        <v>3.5743382405631321</v>
      </c>
      <c r="GF42">
        <v>0.47734812494006024</v>
      </c>
      <c r="GG42">
        <v>2.6102719741219484</v>
      </c>
      <c r="GH42">
        <v>3.5499287049172779</v>
      </c>
      <c r="GI42">
        <v>4.1534252348817002</v>
      </c>
      <c r="GJ42"/>
      <c r="GK42"/>
      <c r="GL42"/>
      <c r="GM42"/>
      <c r="GN42" s="208"/>
      <c r="GO42" s="208"/>
      <c r="GP42" s="208"/>
      <c r="GQ42" s="208"/>
      <c r="GR42" s="208"/>
      <c r="GS42" s="208"/>
      <c r="GT42" s="208"/>
      <c r="GU42" s="213">
        <v>37</v>
      </c>
    </row>
    <row r="43" spans="1:203" s="7" customFormat="1">
      <c r="A43" s="95">
        <v>4.7</v>
      </c>
      <c r="B43" s="1"/>
      <c r="C43" s="48" t="s">
        <v>119</v>
      </c>
      <c r="D43" s="49">
        <f>IF(SUM(G43:AK43)&lt;0.0001, 0, SUM(G43:AK43))</f>
        <v>1.4286847949341792</v>
      </c>
      <c r="E43" s="107">
        <f t="shared" si="20"/>
        <v>1.3715374031368122</v>
      </c>
      <c r="F43" s="18"/>
      <c r="G43" s="49">
        <f t="shared" si="21"/>
        <v>0</v>
      </c>
      <c r="H43" s="49">
        <f t="shared" si="23"/>
        <v>0</v>
      </c>
      <c r="I43" s="49">
        <f t="shared" si="23"/>
        <v>0</v>
      </c>
      <c r="J43" s="49">
        <f t="shared" si="23"/>
        <v>0</v>
      </c>
      <c r="K43" s="49">
        <f t="shared" si="23"/>
        <v>0</v>
      </c>
      <c r="L43" s="49">
        <f t="shared" si="23"/>
        <v>0</v>
      </c>
      <c r="M43" s="49">
        <f t="shared" si="23"/>
        <v>1.4286847949341792</v>
      </c>
      <c r="N43" s="49">
        <f t="shared" si="23"/>
        <v>0</v>
      </c>
      <c r="O43" s="49">
        <f t="shared" si="23"/>
        <v>0</v>
      </c>
      <c r="P43" s="49">
        <f t="shared" si="23"/>
        <v>0</v>
      </c>
      <c r="Q43" s="49">
        <f t="shared" si="23"/>
        <v>0</v>
      </c>
      <c r="R43" s="49">
        <f t="shared" si="23"/>
        <v>0</v>
      </c>
      <c r="S43" s="49">
        <f t="shared" si="23"/>
        <v>0</v>
      </c>
      <c r="T43" s="49">
        <f t="shared" si="23"/>
        <v>0</v>
      </c>
      <c r="U43" s="49">
        <f t="shared" si="23"/>
        <v>0</v>
      </c>
      <c r="V43" s="49">
        <f t="shared" si="23"/>
        <v>0</v>
      </c>
      <c r="W43" s="49">
        <f t="shared" si="23"/>
        <v>0</v>
      </c>
      <c r="X43" s="49">
        <f t="shared" si="23"/>
        <v>0</v>
      </c>
      <c r="Y43" s="49">
        <f t="shared" si="23"/>
        <v>0</v>
      </c>
      <c r="Z43" s="49">
        <f t="shared" si="23"/>
        <v>0</v>
      </c>
      <c r="AA43" s="49">
        <f t="shared" si="23"/>
        <v>0</v>
      </c>
      <c r="AB43" s="49">
        <f t="shared" si="23"/>
        <v>0</v>
      </c>
      <c r="AC43" s="49">
        <f t="shared" si="23"/>
        <v>0</v>
      </c>
      <c r="AD43" s="49">
        <f t="shared" si="23"/>
        <v>0</v>
      </c>
      <c r="AE43" s="49">
        <f t="shared" si="23"/>
        <v>0</v>
      </c>
      <c r="AF43" s="49">
        <f t="shared" si="23"/>
        <v>0</v>
      </c>
      <c r="AG43" s="49">
        <f t="shared" si="23"/>
        <v>0</v>
      </c>
      <c r="AH43" s="49">
        <f t="shared" si="23"/>
        <v>0</v>
      </c>
      <c r="AI43" s="49">
        <f t="shared" si="23"/>
        <v>0</v>
      </c>
      <c r="AJ43" s="49">
        <f t="shared" si="23"/>
        <v>0</v>
      </c>
      <c r="AK43" s="49">
        <f t="shared" si="23"/>
        <v>0</v>
      </c>
      <c r="AL43" s="42"/>
      <c r="AM43" s="43">
        <v>27</v>
      </c>
      <c r="AN43">
        <v>36.950243296667779</v>
      </c>
      <c r="AO43">
        <v>7.6576666346554045</v>
      </c>
      <c r="AP43">
        <v>375.29295215174182</v>
      </c>
      <c r="AQ43">
        <v>49.877871909140907</v>
      </c>
      <c r="AR43">
        <v>7.0157863932733964</v>
      </c>
      <c r="AS43">
        <v>111.67513883796855</v>
      </c>
      <c r="AT43" t="e">
        <v>#DIV/0!</v>
      </c>
      <c r="AU43" t="e">
        <v>#DIV/0!</v>
      </c>
      <c r="AV43"/>
      <c r="AW43"/>
      <c r="FY43" s="213">
        <v>38</v>
      </c>
      <c r="FZ43">
        <v>3.192552405514002</v>
      </c>
      <c r="GA43">
        <v>19.021894985761961</v>
      </c>
      <c r="GB43">
        <v>7.6496526176012463</v>
      </c>
      <c r="GC43">
        <v>2.0358962750754199</v>
      </c>
      <c r="GD43">
        <v>2.22502232441451</v>
      </c>
      <c r="GE43">
        <v>1.335515446279125</v>
      </c>
      <c r="GF43">
        <v>0</v>
      </c>
      <c r="GG43">
        <v>1.2236488308140425</v>
      </c>
      <c r="GH43">
        <v>1.6162904615070524</v>
      </c>
      <c r="GI43">
        <v>3.9195697326297116</v>
      </c>
      <c r="GJ43"/>
      <c r="GK43"/>
      <c r="GL43"/>
      <c r="GM43"/>
      <c r="GN43" s="208"/>
      <c r="GO43" s="208"/>
      <c r="GP43" s="208"/>
      <c r="GQ43" s="208"/>
      <c r="GR43" s="208"/>
      <c r="GS43" s="208"/>
      <c r="GT43" s="208"/>
      <c r="GU43" s="213">
        <v>38</v>
      </c>
    </row>
    <row r="44" spans="1:203" s="7" customFormat="1">
      <c r="A44" s="4"/>
      <c r="B44" s="1"/>
      <c r="C44" s="48" t="s">
        <v>120</v>
      </c>
      <c r="D44" s="49">
        <f>IF(SUM(G44:AK44)&lt;0.0001, 0, SUM(G44:AK44))</f>
        <v>3.9809197466485959</v>
      </c>
      <c r="E44" s="107">
        <f t="shared" si="20"/>
        <v>0.52733769586057222</v>
      </c>
      <c r="F44" s="18"/>
      <c r="G44" s="49">
        <f>G28*G36</f>
        <v>0</v>
      </c>
      <c r="H44" s="49">
        <f t="shared" ref="H44:AK44" si="24">H28*H36</f>
        <v>0</v>
      </c>
      <c r="I44" s="49">
        <f t="shared" si="24"/>
        <v>0.25736109121673939</v>
      </c>
      <c r="J44" s="49">
        <f t="shared" si="24"/>
        <v>0.64641314640592473</v>
      </c>
      <c r="K44" s="49">
        <f t="shared" si="24"/>
        <v>0</v>
      </c>
      <c r="L44" s="49">
        <f t="shared" si="24"/>
        <v>0</v>
      </c>
      <c r="M44" s="49">
        <f t="shared" si="24"/>
        <v>0</v>
      </c>
      <c r="N44" s="49">
        <f t="shared" si="24"/>
        <v>0</v>
      </c>
      <c r="O44" s="49">
        <f t="shared" si="24"/>
        <v>3.0771455090259319</v>
      </c>
      <c r="P44" s="49">
        <f t="shared" si="24"/>
        <v>0</v>
      </c>
      <c r="Q44" s="49">
        <f t="shared" si="24"/>
        <v>0</v>
      </c>
      <c r="R44" s="49">
        <f t="shared" si="24"/>
        <v>0</v>
      </c>
      <c r="S44" s="49">
        <f t="shared" si="24"/>
        <v>0</v>
      </c>
      <c r="T44" s="49">
        <f t="shared" si="24"/>
        <v>0</v>
      </c>
      <c r="U44" s="49">
        <f t="shared" si="24"/>
        <v>0</v>
      </c>
      <c r="V44" s="49">
        <f t="shared" si="24"/>
        <v>0</v>
      </c>
      <c r="W44" s="49">
        <f t="shared" si="24"/>
        <v>0</v>
      </c>
      <c r="X44" s="49">
        <f t="shared" si="24"/>
        <v>0</v>
      </c>
      <c r="Y44" s="49">
        <f t="shared" si="24"/>
        <v>0</v>
      </c>
      <c r="Z44" s="49">
        <f t="shared" si="24"/>
        <v>0</v>
      </c>
      <c r="AA44" s="49">
        <f t="shared" si="24"/>
        <v>0</v>
      </c>
      <c r="AB44" s="49">
        <f t="shared" si="24"/>
        <v>0</v>
      </c>
      <c r="AC44" s="49">
        <f t="shared" si="24"/>
        <v>0</v>
      </c>
      <c r="AD44" s="49">
        <f t="shared" si="24"/>
        <v>0</v>
      </c>
      <c r="AE44" s="49">
        <f t="shared" si="24"/>
        <v>0</v>
      </c>
      <c r="AF44" s="49">
        <f t="shared" si="24"/>
        <v>0</v>
      </c>
      <c r="AG44" s="49">
        <f t="shared" si="24"/>
        <v>0</v>
      </c>
      <c r="AH44" s="49">
        <f t="shared" si="24"/>
        <v>0</v>
      </c>
      <c r="AI44" s="49">
        <f t="shared" si="24"/>
        <v>0</v>
      </c>
      <c r="AJ44" s="49">
        <f t="shared" si="24"/>
        <v>0</v>
      </c>
      <c r="AK44" s="49">
        <f t="shared" si="24"/>
        <v>0</v>
      </c>
      <c r="AL44" s="42"/>
      <c r="AM44" s="43">
        <v>28</v>
      </c>
      <c r="AN44">
        <v>36.840142177907033</v>
      </c>
      <c r="AO44">
        <v>6.4728068868391064</v>
      </c>
      <c r="AP44">
        <v>98.702404362933166</v>
      </c>
      <c r="AQ44">
        <v>43.732981674641657</v>
      </c>
      <c r="AR44">
        <v>5.9929124388452477</v>
      </c>
      <c r="AS44">
        <v>89.067098880144258</v>
      </c>
      <c r="AT44" t="e">
        <v>#DIV/0!</v>
      </c>
      <c r="AU44" t="e">
        <v>#DIV/0!</v>
      </c>
      <c r="AV44"/>
      <c r="AW44"/>
      <c r="FY44" s="213">
        <v>39</v>
      </c>
      <c r="FZ44">
        <v>1.7614833617077283</v>
      </c>
      <c r="GA44">
        <v>12.599438128424557</v>
      </c>
      <c r="GB44">
        <v>6.2867480327449607</v>
      </c>
      <c r="GC44">
        <v>1.8700279414578662</v>
      </c>
      <c r="GD44">
        <v>2.9560577427911903</v>
      </c>
      <c r="GE44">
        <v>3.960036678518648</v>
      </c>
      <c r="GF44">
        <v>1.432044374820181</v>
      </c>
      <c r="GG44">
        <v>6.504457803041312</v>
      </c>
      <c r="GH44">
        <v>9.3480667552937575</v>
      </c>
      <c r="GI44">
        <v>5.4956401654515723</v>
      </c>
      <c r="GJ44"/>
      <c r="GK44"/>
      <c r="GL44"/>
      <c r="GM44"/>
      <c r="GN44" s="208"/>
      <c r="GO44" s="208"/>
      <c r="GP44" s="208"/>
      <c r="GQ44" s="208"/>
      <c r="GR44" s="208"/>
      <c r="GS44" s="208"/>
      <c r="GT44" s="208"/>
      <c r="GU44" s="213">
        <v>39</v>
      </c>
    </row>
    <row r="45" spans="1:203" s="7" customFormat="1">
      <c r="A45" s="4"/>
      <c r="B45" s="1"/>
      <c r="C45" s="48" t="s">
        <v>121</v>
      </c>
      <c r="D45" s="49">
        <f>IF(SUM(G45:AK45)&lt;0.0001, 0, SUM(G45:AK45))</f>
        <v>3.9809197466485959</v>
      </c>
      <c r="E45" s="107">
        <f t="shared" si="20"/>
        <v>0.52733769586057222</v>
      </c>
      <c r="F45" s="18"/>
      <c r="G45" s="49">
        <f>G29*G36</f>
        <v>0</v>
      </c>
      <c r="H45" s="49">
        <f t="shared" ref="H45:AK45" si="25">H29*H36</f>
        <v>0</v>
      </c>
      <c r="I45" s="49">
        <f t="shared" si="25"/>
        <v>0.25736109121673939</v>
      </c>
      <c r="J45" s="49">
        <f t="shared" si="25"/>
        <v>0.64641314640592473</v>
      </c>
      <c r="K45" s="49">
        <f t="shared" si="25"/>
        <v>0</v>
      </c>
      <c r="L45" s="49">
        <f t="shared" si="25"/>
        <v>0</v>
      </c>
      <c r="M45" s="49">
        <f t="shared" si="25"/>
        <v>0</v>
      </c>
      <c r="N45" s="49">
        <f t="shared" si="25"/>
        <v>0</v>
      </c>
      <c r="O45" s="49">
        <f t="shared" si="25"/>
        <v>3.0771455090259319</v>
      </c>
      <c r="P45" s="49">
        <f t="shared" si="25"/>
        <v>0</v>
      </c>
      <c r="Q45" s="49">
        <f t="shared" si="25"/>
        <v>0</v>
      </c>
      <c r="R45" s="49">
        <f t="shared" si="25"/>
        <v>0</v>
      </c>
      <c r="S45" s="49">
        <f t="shared" si="25"/>
        <v>0</v>
      </c>
      <c r="T45" s="49">
        <f t="shared" si="25"/>
        <v>0</v>
      </c>
      <c r="U45" s="49">
        <f t="shared" si="25"/>
        <v>0</v>
      </c>
      <c r="V45" s="49">
        <f t="shared" si="25"/>
        <v>0</v>
      </c>
      <c r="W45" s="49">
        <f t="shared" si="25"/>
        <v>0</v>
      </c>
      <c r="X45" s="49">
        <f t="shared" si="25"/>
        <v>0</v>
      </c>
      <c r="Y45" s="49">
        <f t="shared" si="25"/>
        <v>0</v>
      </c>
      <c r="Z45" s="49">
        <f t="shared" si="25"/>
        <v>0</v>
      </c>
      <c r="AA45" s="49">
        <f t="shared" si="25"/>
        <v>0</v>
      </c>
      <c r="AB45" s="49">
        <f t="shared" si="25"/>
        <v>0</v>
      </c>
      <c r="AC45" s="49">
        <f t="shared" si="25"/>
        <v>0</v>
      </c>
      <c r="AD45" s="49">
        <f t="shared" si="25"/>
        <v>0</v>
      </c>
      <c r="AE45" s="49">
        <f t="shared" si="25"/>
        <v>0</v>
      </c>
      <c r="AF45" s="49">
        <f t="shared" si="25"/>
        <v>0</v>
      </c>
      <c r="AG45" s="49">
        <f t="shared" si="25"/>
        <v>0</v>
      </c>
      <c r="AH45" s="49">
        <f t="shared" si="25"/>
        <v>0</v>
      </c>
      <c r="AI45" s="49">
        <f t="shared" si="25"/>
        <v>0</v>
      </c>
      <c r="AJ45" s="49">
        <f t="shared" si="25"/>
        <v>0</v>
      </c>
      <c r="AK45" s="49">
        <f t="shared" si="25"/>
        <v>0</v>
      </c>
      <c r="AL45" s="42"/>
      <c r="AM45" s="43">
        <v>29</v>
      </c>
      <c r="AN45">
        <v>17.241909963334457</v>
      </c>
      <c r="AO45">
        <v>6.2093025263634569</v>
      </c>
      <c r="AP45">
        <v>345.5945441801224</v>
      </c>
      <c r="AQ45">
        <v>41.533032366504308</v>
      </c>
      <c r="AR45">
        <v>5.699091749371628</v>
      </c>
      <c r="AS45">
        <v>52.994242205295826</v>
      </c>
      <c r="AT45" t="e">
        <v>#DIV/0!</v>
      </c>
      <c r="AU45" t="e">
        <v>#DIV/0!</v>
      </c>
      <c r="AV45"/>
      <c r="AW45"/>
      <c r="FY45" s="213">
        <v>40</v>
      </c>
      <c r="FZ45">
        <v>0</v>
      </c>
      <c r="GA45">
        <v>20.990236262941547</v>
      </c>
      <c r="GB45">
        <v>10.316289675499895</v>
      </c>
      <c r="GC45">
        <v>1.4778593518102259</v>
      </c>
      <c r="GD45">
        <v>2.3797642180700596</v>
      </c>
      <c r="GE45">
        <v>3.4038842659969175</v>
      </c>
      <c r="GF45">
        <v>1.432044374820181</v>
      </c>
      <c r="GG45">
        <v>9.0079910205292144</v>
      </c>
      <c r="GH45">
        <v>12.757413037686881</v>
      </c>
      <c r="GI45">
        <v>6.5123427579626352</v>
      </c>
      <c r="GJ45"/>
      <c r="GK45"/>
      <c r="GL45"/>
      <c r="GM45"/>
      <c r="GN45" s="208"/>
      <c r="GO45" s="208"/>
      <c r="GP45" s="208"/>
      <c r="GQ45" s="208"/>
      <c r="GR45" s="208"/>
      <c r="GS45" s="208"/>
      <c r="GT45" s="208"/>
      <c r="GU45" s="213">
        <v>40</v>
      </c>
    </row>
    <row r="46" spans="1:203" s="7" customFormat="1">
      <c r="A46" s="4"/>
      <c r="B46" s="1"/>
      <c r="C46" s="48" t="s">
        <v>122</v>
      </c>
      <c r="D46" s="49">
        <f>IF(SUM(G46:AK46)&lt;0.0001, 0, SUM(G46:AK46))</f>
        <v>6.8936475655313885</v>
      </c>
      <c r="E46" s="107">
        <f t="shared" si="20"/>
        <v>0.2841242236667092</v>
      </c>
      <c r="F46" s="18"/>
      <c r="G46" s="49">
        <f>G30*G36</f>
        <v>3.7825966634811057E-4</v>
      </c>
      <c r="H46" s="49">
        <f t="shared" ref="H46:AK46" si="26">H30*H36</f>
        <v>1.4414125E-2</v>
      </c>
      <c r="I46" s="49">
        <f t="shared" si="26"/>
        <v>0.7871027892680752</v>
      </c>
      <c r="J46" s="49">
        <f t="shared" si="26"/>
        <v>1.1415656165528631</v>
      </c>
      <c r="K46" s="49">
        <f t="shared" si="26"/>
        <v>2.3740896506956095</v>
      </c>
      <c r="L46" s="49">
        <f t="shared" si="26"/>
        <v>0.52712217905807346</v>
      </c>
      <c r="M46" s="49">
        <f t="shared" si="26"/>
        <v>0.57147391797367164</v>
      </c>
      <c r="N46" s="49">
        <f t="shared" si="26"/>
        <v>0.8620719255115612</v>
      </c>
      <c r="O46" s="49">
        <f t="shared" si="26"/>
        <v>0.6154291018051864</v>
      </c>
      <c r="P46" s="49">
        <f t="shared" si="26"/>
        <v>0</v>
      </c>
      <c r="Q46" s="49">
        <f t="shared" si="26"/>
        <v>0</v>
      </c>
      <c r="R46" s="49">
        <f t="shared" si="26"/>
        <v>0</v>
      </c>
      <c r="S46" s="49">
        <f t="shared" si="26"/>
        <v>0</v>
      </c>
      <c r="T46" s="49">
        <f t="shared" si="26"/>
        <v>0</v>
      </c>
      <c r="U46" s="49">
        <f t="shared" si="26"/>
        <v>0</v>
      </c>
      <c r="V46" s="49">
        <f t="shared" si="26"/>
        <v>0</v>
      </c>
      <c r="W46" s="49">
        <f t="shared" si="26"/>
        <v>0</v>
      </c>
      <c r="X46" s="49">
        <f t="shared" si="26"/>
        <v>0</v>
      </c>
      <c r="Y46" s="49">
        <f t="shared" si="26"/>
        <v>0</v>
      </c>
      <c r="Z46" s="49">
        <f t="shared" si="26"/>
        <v>0</v>
      </c>
      <c r="AA46" s="49">
        <f t="shared" si="26"/>
        <v>0</v>
      </c>
      <c r="AB46" s="49">
        <f t="shared" si="26"/>
        <v>0</v>
      </c>
      <c r="AC46" s="49">
        <f t="shared" si="26"/>
        <v>0</v>
      </c>
      <c r="AD46" s="49">
        <f t="shared" si="26"/>
        <v>0</v>
      </c>
      <c r="AE46" s="49">
        <f t="shared" si="26"/>
        <v>0</v>
      </c>
      <c r="AF46" s="49">
        <f t="shared" si="26"/>
        <v>0</v>
      </c>
      <c r="AG46" s="49">
        <f t="shared" si="26"/>
        <v>0</v>
      </c>
      <c r="AH46" s="49">
        <f t="shared" si="26"/>
        <v>0</v>
      </c>
      <c r="AI46" s="49">
        <f t="shared" si="26"/>
        <v>0</v>
      </c>
      <c r="AJ46" s="49">
        <f t="shared" si="26"/>
        <v>0</v>
      </c>
      <c r="AK46" s="49">
        <f t="shared" si="26"/>
        <v>0</v>
      </c>
      <c r="AL46" s="42"/>
      <c r="AM46" s="43">
        <v>30</v>
      </c>
      <c r="AN46">
        <v>17.463636153810643</v>
      </c>
      <c r="AO46">
        <v>4.9108549123219607</v>
      </c>
      <c r="AP46">
        <v>284.15434403226584</v>
      </c>
      <c r="AQ46">
        <v>36.621710413166994</v>
      </c>
      <c r="AR46">
        <v>4.4644135566563286</v>
      </c>
      <c r="AS46">
        <v>51.571965101336261</v>
      </c>
      <c r="AT46" t="e">
        <v>#DIV/0!</v>
      </c>
      <c r="AU46" t="e">
        <v>#DIV/0!</v>
      </c>
      <c r="AV46"/>
      <c r="AW46"/>
      <c r="FY46" s="213">
        <v>41</v>
      </c>
      <c r="FZ46">
        <v>3.3577595644647293</v>
      </c>
      <c r="GA46">
        <v>22.543621727428025</v>
      </c>
      <c r="GB46">
        <v>10.200060623354624</v>
      </c>
      <c r="GC46">
        <v>2.139036529942933</v>
      </c>
      <c r="GD46">
        <v>2.429501598635917</v>
      </c>
      <c r="GE46">
        <v>1.5896549185640192</v>
      </c>
      <c r="GF46">
        <v>0</v>
      </c>
      <c r="GG46">
        <v>3.785087657847841</v>
      </c>
      <c r="GH46">
        <v>5.3187643612714997</v>
      </c>
      <c r="GI46">
        <v>5.3579765709312772</v>
      </c>
      <c r="GJ46"/>
      <c r="GK46"/>
      <c r="GL46"/>
      <c r="GM46"/>
      <c r="GN46" s="208"/>
      <c r="GO46" s="208"/>
      <c r="GP46" s="208"/>
      <c r="GQ46" s="208"/>
      <c r="GR46" s="208"/>
      <c r="GS46" s="208"/>
      <c r="GT46" s="208"/>
      <c r="GU46" s="213">
        <v>41</v>
      </c>
    </row>
    <row r="47" spans="1:203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23.953219487143976</v>
      </c>
      <c r="AO47">
        <v>7.9955532501925095</v>
      </c>
      <c r="AP47">
        <v>390.06577677767598</v>
      </c>
      <c r="AQ47">
        <v>54.51038226954789</v>
      </c>
      <c r="AR47">
        <v>7.322956043761673</v>
      </c>
      <c r="AS47">
        <v>93.300530392161846</v>
      </c>
      <c r="AT47" t="e">
        <v>#DIV/0!</v>
      </c>
      <c r="AU47" t="e">
        <v>#DIV/0!</v>
      </c>
      <c r="AV47"/>
      <c r="AW47"/>
      <c r="FY47" s="213">
        <v>42</v>
      </c>
      <c r="FZ47">
        <v>2.1834373233262436</v>
      </c>
      <c r="GA47">
        <v>23.42009198007997</v>
      </c>
      <c r="GB47">
        <v>10.598363489264258</v>
      </c>
      <c r="GC47">
        <v>1.0155829094419531</v>
      </c>
      <c r="GD47">
        <v>1.4069456792769004</v>
      </c>
      <c r="GE47">
        <v>2.1457933482540001</v>
      </c>
      <c r="GF47">
        <v>1.432044374820181</v>
      </c>
      <c r="GG47">
        <v>5.9431365884085166</v>
      </c>
      <c r="GH47">
        <v>8.5037385876853691</v>
      </c>
      <c r="GI47">
        <v>5.5362194759637626</v>
      </c>
      <c r="GJ47"/>
      <c r="GK47"/>
      <c r="GL47"/>
      <c r="GM47"/>
      <c r="GN47" s="208"/>
      <c r="GO47" s="208"/>
      <c r="GP47" s="208"/>
      <c r="GQ47" s="208"/>
      <c r="GR47" s="208"/>
      <c r="GS47" s="208"/>
      <c r="GT47" s="208"/>
      <c r="GU47" s="213">
        <v>42</v>
      </c>
    </row>
    <row r="48" spans="1:203" s="7" customFormat="1">
      <c r="A48" s="4"/>
      <c r="B48" s="1"/>
      <c r="C48" s="60" t="s">
        <v>50</v>
      </c>
      <c r="D48" s="53">
        <f>AVERAGE(D37:D47)</f>
        <v>7.4636155261938626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42.377326630001129</v>
      </c>
      <c r="AO48">
        <v>9.6425850529124197</v>
      </c>
      <c r="AP48">
        <v>293.19346432832327</v>
      </c>
      <c r="AQ48">
        <v>63.032612622277483</v>
      </c>
      <c r="AR48">
        <v>8.7659864117385631</v>
      </c>
      <c r="AS48">
        <v>111.08974682141452</v>
      </c>
      <c r="AT48" t="e">
        <v>#DIV/0!</v>
      </c>
      <c r="AU48" t="e">
        <v>#DIV/0!</v>
      </c>
      <c r="AV48"/>
      <c r="AW48"/>
      <c r="FY48" s="213">
        <v>43</v>
      </c>
      <c r="FZ48">
        <v>0.58716112056924263</v>
      </c>
      <c r="GA48">
        <v>20.984630818050999</v>
      </c>
      <c r="GB48">
        <v>10.583607822551757</v>
      </c>
      <c r="GC48">
        <v>1.8626481674872735</v>
      </c>
      <c r="GD48">
        <v>2.6844005729941101</v>
      </c>
      <c r="GE48">
        <v>3.1245003528106672</v>
      </c>
      <c r="GF48">
        <v>0.95469624988012047</v>
      </c>
      <c r="GG48">
        <v>0.71856317204106601</v>
      </c>
      <c r="GH48">
        <v>0.94872765327768138</v>
      </c>
      <c r="GI48">
        <v>4.6640265855573091</v>
      </c>
      <c r="GJ48"/>
      <c r="GK48"/>
      <c r="GL48"/>
      <c r="GM48"/>
      <c r="GN48" s="208"/>
      <c r="GO48" s="208"/>
      <c r="GP48" s="208"/>
      <c r="GQ48" s="208"/>
      <c r="GR48" s="208"/>
      <c r="GS48" s="208"/>
      <c r="GT48" s="208"/>
      <c r="GU48" s="213">
        <v>43</v>
      </c>
    </row>
    <row r="49" spans="1:203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28.7480333897165</v>
      </c>
      <c r="AO49">
        <v>7.0658637174651258</v>
      </c>
      <c r="AP49">
        <v>159.23016498240958</v>
      </c>
      <c r="AQ49">
        <v>50.445480123679197</v>
      </c>
      <c r="AR49">
        <v>6.4777837412822343</v>
      </c>
      <c r="AS49">
        <v>71.103264470311458</v>
      </c>
      <c r="AT49" t="e">
        <v>#DIV/0!</v>
      </c>
      <c r="AU49" t="e">
        <v>#DIV/0!</v>
      </c>
      <c r="AV49"/>
      <c r="AW49"/>
      <c r="FY49" s="213">
        <v>44</v>
      </c>
      <c r="FZ49">
        <v>3.3577595644647293</v>
      </c>
      <c r="GA49">
        <v>17.93533624790042</v>
      </c>
      <c r="GB49">
        <v>8.0909927311956711</v>
      </c>
      <c r="GC49">
        <v>0.92455288473654584</v>
      </c>
      <c r="GD49">
        <v>2.2290337402650668</v>
      </c>
      <c r="GE49">
        <v>3.960036678518648</v>
      </c>
      <c r="GF49">
        <v>1.432044374820181</v>
      </c>
      <c r="GG49">
        <v>5.4380509296355397</v>
      </c>
      <c r="GH49">
        <v>7.8361757794559974</v>
      </c>
      <c r="GI49">
        <v>5.5008934085013257</v>
      </c>
      <c r="GJ49"/>
      <c r="GK49"/>
      <c r="GL49"/>
      <c r="GM49"/>
      <c r="GN49" s="208"/>
      <c r="GO49" s="208"/>
      <c r="GP49" s="208"/>
      <c r="GQ49" s="208"/>
      <c r="GR49" s="208"/>
      <c r="GS49" s="208"/>
      <c r="GT49" s="208"/>
      <c r="GU49" s="213">
        <v>44</v>
      </c>
    </row>
    <row r="50" spans="1:203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28.202466475095797</v>
      </c>
      <c r="AO50">
        <v>7.1715513506320274</v>
      </c>
      <c r="AP50">
        <v>364.15266312212589</v>
      </c>
      <c r="AQ50">
        <v>47.899294984783197</v>
      </c>
      <c r="AR50">
        <v>6.5738634077975986</v>
      </c>
      <c r="AS50">
        <v>77.654446404442098</v>
      </c>
      <c r="AT50" t="e">
        <v>#DIV/0!</v>
      </c>
      <c r="AU50" t="e">
        <v>#DIV/0!</v>
      </c>
      <c r="AV50"/>
      <c r="AW50"/>
      <c r="FY50" s="213">
        <v>45</v>
      </c>
      <c r="FZ50">
        <v>2.7705984438954863</v>
      </c>
      <c r="GA50">
        <v>11.03231615989187</v>
      </c>
      <c r="GB50">
        <v>4.5468113129792833</v>
      </c>
      <c r="GC50">
        <v>0.86798743003009515</v>
      </c>
      <c r="GD50">
        <v>1.5441747662970955</v>
      </c>
      <c r="GE50">
        <v>2.365034873398232</v>
      </c>
      <c r="GF50">
        <v>0.95469624988012047</v>
      </c>
      <c r="GG50">
        <v>7.1162822184483332</v>
      </c>
      <c r="GH50">
        <v>10.156211986047284</v>
      </c>
      <c r="GI50">
        <v>4.3727626460891056</v>
      </c>
      <c r="GJ50"/>
      <c r="GK50"/>
      <c r="GL50"/>
      <c r="GM50"/>
      <c r="GN50" s="208"/>
      <c r="GO50" s="208"/>
      <c r="GP50" s="208"/>
      <c r="GQ50" s="208"/>
      <c r="GR50" s="208"/>
      <c r="GS50" s="208"/>
      <c r="GT50" s="208"/>
      <c r="GU50" s="213">
        <v>45</v>
      </c>
    </row>
    <row r="51" spans="1:203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22.907738095238095</v>
      </c>
      <c r="AO51">
        <v>7.4153420340036007</v>
      </c>
      <c r="AP51">
        <v>210.72612184071392</v>
      </c>
      <c r="AQ51">
        <v>46.687594525905027</v>
      </c>
      <c r="AR51">
        <v>6.7954913017717571</v>
      </c>
      <c r="AS51">
        <v>72.772414502868799</v>
      </c>
      <c r="AT51" t="e">
        <v>#DIV/0!</v>
      </c>
      <c r="AU51" t="e">
        <v>#DIV/0!</v>
      </c>
      <c r="AV51"/>
      <c r="AW51"/>
      <c r="FY51" s="213">
        <v>46</v>
      </c>
      <c r="FZ51">
        <v>1.596276202757001</v>
      </c>
      <c r="GA51">
        <v>24.407245583888859</v>
      </c>
      <c r="GB51">
        <v>11.324635262983307</v>
      </c>
      <c r="GC51">
        <v>1.3302638723983682</v>
      </c>
      <c r="GD51">
        <v>1.9905615930092064</v>
      </c>
      <c r="GE51">
        <v>2.2521218558550165</v>
      </c>
      <c r="GF51">
        <v>0.47734812494006024</v>
      </c>
      <c r="GG51">
        <v>4.6885202187597494</v>
      </c>
      <c r="GH51">
        <v>6.5133075552060884</v>
      </c>
      <c r="GI51">
        <v>5.3623612552349664</v>
      </c>
      <c r="GJ51"/>
      <c r="GK51"/>
      <c r="GL51"/>
      <c r="GM51"/>
      <c r="GN51" s="208"/>
      <c r="GO51" s="208"/>
      <c r="GP51" s="208"/>
      <c r="GQ51" s="208"/>
      <c r="GR51" s="208"/>
      <c r="GS51" s="208"/>
      <c r="GT51" s="208"/>
      <c r="GU51" s="213">
        <v>46</v>
      </c>
    </row>
    <row r="52" spans="1:203" s="7" customFormat="1">
      <c r="A52" s="4"/>
      <c r="B52" s="36"/>
      <c r="C52" s="48" t="s">
        <v>38</v>
      </c>
      <c r="D52" s="49">
        <f>SUM(G52:AK52)</f>
        <v>0.90658454446239878</v>
      </c>
      <c r="E52" s="19">
        <f>F374</f>
        <v>1.1833748052870831E-2</v>
      </c>
      <c r="F52" s="8"/>
      <c r="G52" s="49">
        <f>$E$52*$E$21*G37</f>
        <v>0</v>
      </c>
      <c r="H52" s="49">
        <f t="shared" ref="H52:AK52" si="27">$E$52*$E$21*H37</f>
        <v>0</v>
      </c>
      <c r="I52" s="49">
        <f t="shared" si="27"/>
        <v>1.2187373572494574E-2</v>
      </c>
      <c r="J52" s="49">
        <f t="shared" si="27"/>
        <v>7.1874610977482933E-2</v>
      </c>
      <c r="K52" s="49">
        <f t="shared" si="27"/>
        <v>0.5418201622100135</v>
      </c>
      <c r="L52" s="49">
        <f t="shared" si="27"/>
        <v>0.28070239770240779</v>
      </c>
      <c r="M52" s="49">
        <f t="shared" si="27"/>
        <v>0</v>
      </c>
      <c r="N52" s="49">
        <f t="shared" si="27"/>
        <v>0</v>
      </c>
      <c r="O52" s="49">
        <f t="shared" si="27"/>
        <v>0</v>
      </c>
      <c r="P52" s="49">
        <f t="shared" si="27"/>
        <v>0</v>
      </c>
      <c r="Q52" s="49">
        <f t="shared" si="27"/>
        <v>0</v>
      </c>
      <c r="R52" s="49">
        <f t="shared" si="27"/>
        <v>0</v>
      </c>
      <c r="S52" s="49">
        <f t="shared" si="27"/>
        <v>0</v>
      </c>
      <c r="T52" s="49">
        <f t="shared" si="27"/>
        <v>0</v>
      </c>
      <c r="U52" s="49">
        <f t="shared" si="27"/>
        <v>0</v>
      </c>
      <c r="V52" s="49">
        <f t="shared" si="27"/>
        <v>0</v>
      </c>
      <c r="W52" s="49">
        <f t="shared" si="27"/>
        <v>0</v>
      </c>
      <c r="X52" s="49">
        <f t="shared" si="27"/>
        <v>0</v>
      </c>
      <c r="Y52" s="49">
        <f t="shared" si="27"/>
        <v>0</v>
      </c>
      <c r="Z52" s="49">
        <f t="shared" si="27"/>
        <v>0</v>
      </c>
      <c r="AA52" s="49">
        <f t="shared" si="27"/>
        <v>0</v>
      </c>
      <c r="AB52" s="49">
        <f t="shared" si="27"/>
        <v>0</v>
      </c>
      <c r="AC52" s="49">
        <f t="shared" si="27"/>
        <v>0</v>
      </c>
      <c r="AD52" s="49">
        <f t="shared" si="27"/>
        <v>0</v>
      </c>
      <c r="AE52" s="49">
        <f t="shared" si="27"/>
        <v>0</v>
      </c>
      <c r="AF52" s="49">
        <f t="shared" si="27"/>
        <v>0</v>
      </c>
      <c r="AG52" s="49">
        <f t="shared" si="27"/>
        <v>0</v>
      </c>
      <c r="AH52" s="49">
        <f t="shared" si="27"/>
        <v>0</v>
      </c>
      <c r="AI52" s="49">
        <f t="shared" si="27"/>
        <v>0</v>
      </c>
      <c r="AJ52" s="49">
        <f t="shared" si="27"/>
        <v>0</v>
      </c>
      <c r="AK52" s="49">
        <f t="shared" si="27"/>
        <v>0</v>
      </c>
      <c r="AL52" s="42"/>
      <c r="AM52" s="43">
        <v>36</v>
      </c>
      <c r="AN52">
        <v>26.567085666145694</v>
      </c>
      <c r="AO52">
        <v>5.663049979650042</v>
      </c>
      <c r="AP52">
        <v>55.216888002175317</v>
      </c>
      <c r="AQ52">
        <v>38.879832927398354</v>
      </c>
      <c r="AR52">
        <v>5.2567697959460968</v>
      </c>
      <c r="AS52">
        <v>76.604387082469003</v>
      </c>
      <c r="AT52" t="e">
        <v>#DIV/0!</v>
      </c>
      <c r="AU52" t="e">
        <v>#DIV/0!</v>
      </c>
      <c r="AV52"/>
      <c r="AW52"/>
      <c r="FY52" s="213">
        <v>47</v>
      </c>
      <c r="FZ52">
        <v>3.192552405514002</v>
      </c>
      <c r="GA52">
        <v>25.252900231683473</v>
      </c>
      <c r="GB52">
        <v>10.623171344001166</v>
      </c>
      <c r="GC52">
        <v>1.0082031354713601</v>
      </c>
      <c r="GD52">
        <v>2.4854464684492203</v>
      </c>
      <c r="GE52">
        <v>4.0570352206400866</v>
      </c>
      <c r="GF52">
        <v>0.95469624988012047</v>
      </c>
      <c r="GG52">
        <v>4.5817814621257051</v>
      </c>
      <c r="GH52">
        <v>6.3727251326819321</v>
      </c>
      <c r="GI52">
        <v>5.9553102991872553</v>
      </c>
      <c r="GJ52"/>
      <c r="GK52"/>
      <c r="GL52"/>
      <c r="GM52"/>
      <c r="GN52" s="208"/>
      <c r="GO52" s="208"/>
      <c r="GP52" s="208"/>
      <c r="GQ52" s="208"/>
      <c r="GR52" s="208"/>
      <c r="GS52" s="208"/>
      <c r="GT52" s="208"/>
      <c r="GU52" s="213">
        <v>47</v>
      </c>
    </row>
    <row r="53" spans="1:203" s="7" customFormat="1">
      <c r="A53" s="4"/>
      <c r="B53" s="36"/>
      <c r="C53" s="48" t="s">
        <v>39</v>
      </c>
      <c r="D53" s="49">
        <f t="shared" ref="D53:D61" si="28">SUM(G53:AK53)</f>
        <v>0</v>
      </c>
      <c r="E53" s="19">
        <f>F375</f>
        <v>0</v>
      </c>
      <c r="F53" s="8"/>
      <c r="G53" s="49">
        <f>$E$53*$E$22*G38</f>
        <v>0</v>
      </c>
      <c r="H53" s="49">
        <f t="shared" ref="H53:AK53" si="29">$E$53*$E$22*H38</f>
        <v>0</v>
      </c>
      <c r="I53" s="49">
        <f t="shared" si="29"/>
        <v>0</v>
      </c>
      <c r="J53" s="49">
        <f t="shared" si="29"/>
        <v>0</v>
      </c>
      <c r="K53" s="49">
        <f t="shared" si="29"/>
        <v>0</v>
      </c>
      <c r="L53" s="49">
        <f t="shared" si="29"/>
        <v>0</v>
      </c>
      <c r="M53" s="49">
        <f t="shared" si="29"/>
        <v>0</v>
      </c>
      <c r="N53" s="49">
        <f t="shared" si="29"/>
        <v>0</v>
      </c>
      <c r="O53" s="49">
        <f t="shared" si="29"/>
        <v>0</v>
      </c>
      <c r="P53" s="49">
        <f t="shared" si="29"/>
        <v>0</v>
      </c>
      <c r="Q53" s="49">
        <f t="shared" si="29"/>
        <v>0</v>
      </c>
      <c r="R53" s="49">
        <f t="shared" si="29"/>
        <v>0</v>
      </c>
      <c r="S53" s="49">
        <f t="shared" si="29"/>
        <v>0</v>
      </c>
      <c r="T53" s="49">
        <f t="shared" si="29"/>
        <v>0</v>
      </c>
      <c r="U53" s="49">
        <f t="shared" si="29"/>
        <v>0</v>
      </c>
      <c r="V53" s="49">
        <f t="shared" si="29"/>
        <v>0</v>
      </c>
      <c r="W53" s="49">
        <f t="shared" si="29"/>
        <v>0</v>
      </c>
      <c r="X53" s="49">
        <f t="shared" si="29"/>
        <v>0</v>
      </c>
      <c r="Y53" s="49">
        <f t="shared" si="29"/>
        <v>0</v>
      </c>
      <c r="Z53" s="49">
        <f t="shared" si="29"/>
        <v>0</v>
      </c>
      <c r="AA53" s="49">
        <f t="shared" si="29"/>
        <v>0</v>
      </c>
      <c r="AB53" s="49">
        <f t="shared" si="29"/>
        <v>0</v>
      </c>
      <c r="AC53" s="49">
        <f t="shared" si="29"/>
        <v>0</v>
      </c>
      <c r="AD53" s="49">
        <f t="shared" si="29"/>
        <v>0</v>
      </c>
      <c r="AE53" s="49">
        <f t="shared" si="29"/>
        <v>0</v>
      </c>
      <c r="AF53" s="49">
        <f t="shared" si="29"/>
        <v>0</v>
      </c>
      <c r="AG53" s="49">
        <f t="shared" si="29"/>
        <v>0</v>
      </c>
      <c r="AH53" s="49">
        <f t="shared" si="29"/>
        <v>0</v>
      </c>
      <c r="AI53" s="49">
        <f t="shared" si="29"/>
        <v>0</v>
      </c>
      <c r="AJ53" s="49">
        <f t="shared" si="29"/>
        <v>0</v>
      </c>
      <c r="AK53" s="49">
        <f t="shared" si="29"/>
        <v>0</v>
      </c>
      <c r="AL53" s="42"/>
      <c r="AM53" s="43">
        <v>37</v>
      </c>
      <c r="AN53">
        <v>24.065579642049308</v>
      </c>
      <c r="AO53">
        <v>6.2879084351495909</v>
      </c>
      <c r="AP53">
        <v>88.463080831481278</v>
      </c>
      <c r="AQ53">
        <v>44.227253821776799</v>
      </c>
      <c r="AR53">
        <v>5.8248229373093228</v>
      </c>
      <c r="AS53">
        <v>66.926372709707792</v>
      </c>
      <c r="AT53" t="e">
        <v>#DIV/0!</v>
      </c>
      <c r="AU53" t="e">
        <v>#DIV/0!</v>
      </c>
      <c r="AV53"/>
      <c r="AW53"/>
      <c r="FY53" s="213">
        <v>48</v>
      </c>
      <c r="FZ53">
        <v>2.1834373233262436</v>
      </c>
      <c r="GA53">
        <v>13.337142057853484</v>
      </c>
      <c r="GB53">
        <v>5.7160219434272097</v>
      </c>
      <c r="GC53">
        <v>2.1133839017666447</v>
      </c>
      <c r="GD53">
        <v>3.7686671758712182</v>
      </c>
      <c r="GE53">
        <v>4.938743683075316</v>
      </c>
      <c r="GF53">
        <v>0.95469624988012047</v>
      </c>
      <c r="GG53">
        <v>3.6766788475277208</v>
      </c>
      <c r="GH53">
        <v>5.061819680755038</v>
      </c>
      <c r="GI53">
        <v>5.1186071020332466</v>
      </c>
      <c r="GJ53"/>
      <c r="GK53"/>
      <c r="GL53"/>
      <c r="GM53"/>
      <c r="GN53" s="208"/>
      <c r="GO53" s="208"/>
      <c r="GP53" s="208"/>
      <c r="GQ53" s="208"/>
      <c r="GR53" s="208"/>
      <c r="GS53" s="208"/>
      <c r="GT53" s="208"/>
      <c r="GU53" s="213">
        <v>48</v>
      </c>
    </row>
    <row r="54" spans="1:203" s="7" customFormat="1">
      <c r="A54" s="4"/>
      <c r="B54" s="36"/>
      <c r="C54" s="48" t="s">
        <v>40</v>
      </c>
      <c r="D54" s="49">
        <f t="shared" si="28"/>
        <v>0</v>
      </c>
      <c r="E54" s="19">
        <f t="shared" ref="E54:E61" si="30">F376</f>
        <v>0</v>
      </c>
      <c r="F54" s="8"/>
      <c r="G54" s="49">
        <f>$E$54*$E$23*G39</f>
        <v>0</v>
      </c>
      <c r="H54" s="49">
        <f t="shared" ref="H54:AK54" si="31">$E$54*$E$23*H39</f>
        <v>0</v>
      </c>
      <c r="I54" s="49">
        <f t="shared" si="31"/>
        <v>0</v>
      </c>
      <c r="J54" s="49">
        <f t="shared" si="31"/>
        <v>0</v>
      </c>
      <c r="K54" s="49">
        <f t="shared" si="31"/>
        <v>0</v>
      </c>
      <c r="L54" s="49">
        <f t="shared" si="31"/>
        <v>0</v>
      </c>
      <c r="M54" s="49">
        <f t="shared" si="31"/>
        <v>0</v>
      </c>
      <c r="N54" s="49">
        <f t="shared" si="31"/>
        <v>0</v>
      </c>
      <c r="O54" s="49">
        <f t="shared" si="31"/>
        <v>0</v>
      </c>
      <c r="P54" s="49">
        <f t="shared" si="31"/>
        <v>0</v>
      </c>
      <c r="Q54" s="49">
        <f t="shared" si="31"/>
        <v>0</v>
      </c>
      <c r="R54" s="49">
        <f t="shared" si="31"/>
        <v>0</v>
      </c>
      <c r="S54" s="49">
        <f t="shared" si="31"/>
        <v>0</v>
      </c>
      <c r="T54" s="49">
        <f t="shared" si="31"/>
        <v>0</v>
      </c>
      <c r="U54" s="49">
        <f t="shared" si="31"/>
        <v>0</v>
      </c>
      <c r="V54" s="49">
        <f t="shared" si="31"/>
        <v>0</v>
      </c>
      <c r="W54" s="49">
        <f t="shared" si="31"/>
        <v>0</v>
      </c>
      <c r="X54" s="49">
        <f t="shared" si="31"/>
        <v>0</v>
      </c>
      <c r="Y54" s="49">
        <f t="shared" si="31"/>
        <v>0</v>
      </c>
      <c r="Z54" s="49">
        <f t="shared" si="31"/>
        <v>0</v>
      </c>
      <c r="AA54" s="49">
        <f t="shared" si="31"/>
        <v>0</v>
      </c>
      <c r="AB54" s="49">
        <f t="shared" si="31"/>
        <v>0</v>
      </c>
      <c r="AC54" s="49">
        <f t="shared" si="31"/>
        <v>0</v>
      </c>
      <c r="AD54" s="49">
        <f t="shared" si="31"/>
        <v>0</v>
      </c>
      <c r="AE54" s="49">
        <f t="shared" si="31"/>
        <v>0</v>
      </c>
      <c r="AF54" s="49">
        <f t="shared" si="31"/>
        <v>0</v>
      </c>
      <c r="AG54" s="49">
        <f t="shared" si="31"/>
        <v>0</v>
      </c>
      <c r="AH54" s="49">
        <f t="shared" si="31"/>
        <v>0</v>
      </c>
      <c r="AI54" s="49">
        <f t="shared" si="31"/>
        <v>0</v>
      </c>
      <c r="AJ54" s="49">
        <f t="shared" si="31"/>
        <v>0</v>
      </c>
      <c r="AK54" s="49">
        <f t="shared" si="31"/>
        <v>0</v>
      </c>
      <c r="AL54" s="42"/>
      <c r="AM54" s="43">
        <v>38</v>
      </c>
      <c r="AN54">
        <v>34.881123426382047</v>
      </c>
      <c r="AO54">
        <v>5.9483646507782089</v>
      </c>
      <c r="AP54">
        <v>133.07138613076791</v>
      </c>
      <c r="AQ54">
        <v>42.220043079597062</v>
      </c>
      <c r="AR54">
        <v>5.4076042279801886</v>
      </c>
      <c r="AS54">
        <v>89.519989805767111</v>
      </c>
      <c r="AT54" t="e">
        <v>#DIV/0!</v>
      </c>
      <c r="AU54" t="e">
        <v>#DIV/0!</v>
      </c>
      <c r="AV54"/>
      <c r="AW54"/>
      <c r="FY54" s="213">
        <v>49</v>
      </c>
      <c r="FZ54">
        <v>3.3577595644647293</v>
      </c>
      <c r="GA54">
        <v>16.66178809568834</v>
      </c>
      <c r="GB54">
        <v>7.2616488289094034</v>
      </c>
      <c r="GC54">
        <v>1.9071033920316176</v>
      </c>
      <c r="GD54">
        <v>1.8186392945745802</v>
      </c>
      <c r="GE54">
        <v>1.0042749862177514</v>
      </c>
      <c r="GF54">
        <v>0.47734812494006024</v>
      </c>
      <c r="GG54">
        <v>3.9716271004047594</v>
      </c>
      <c r="GH54">
        <v>5.6809421599207131</v>
      </c>
      <c r="GI54">
        <v>4.4291113231017309</v>
      </c>
      <c r="GJ54"/>
      <c r="GK54"/>
      <c r="GL54"/>
      <c r="GM54"/>
      <c r="GN54" s="208"/>
      <c r="GO54" s="208"/>
      <c r="GP54" s="208"/>
      <c r="GQ54" s="208"/>
      <c r="GR54" s="208"/>
      <c r="GS54" s="208"/>
      <c r="GT54" s="208"/>
      <c r="GU54" s="213">
        <v>49</v>
      </c>
    </row>
    <row r="55" spans="1:203" s="7" customFormat="1">
      <c r="A55" s="4"/>
      <c r="B55" s="36"/>
      <c r="C55" s="48" t="s">
        <v>41</v>
      </c>
      <c r="D55" s="49">
        <f t="shared" si="28"/>
        <v>46.514355951018125</v>
      </c>
      <c r="E55" s="19">
        <f t="shared" si="30"/>
        <v>0.40048713202745284</v>
      </c>
      <c r="F55" s="8"/>
      <c r="G55" s="49">
        <f>$E$55*$E$24*G40</f>
        <v>0</v>
      </c>
      <c r="H55" s="49">
        <f t="shared" ref="H55:AK55" si="32">$E$55*$E$24*H40</f>
        <v>0.67347835122577437</v>
      </c>
      <c r="I55" s="49">
        <f t="shared" si="32"/>
        <v>39.53455721621831</v>
      </c>
      <c r="J55" s="49">
        <f t="shared" si="32"/>
        <v>6.3063203835740422</v>
      </c>
      <c r="K55" s="49">
        <f t="shared" si="32"/>
        <v>0</v>
      </c>
      <c r="L55" s="49">
        <f t="shared" si="32"/>
        <v>0</v>
      </c>
      <c r="M55" s="49">
        <f t="shared" si="32"/>
        <v>0</v>
      </c>
      <c r="N55" s="49">
        <f t="shared" si="32"/>
        <v>0</v>
      </c>
      <c r="O55" s="49">
        <f t="shared" si="32"/>
        <v>0</v>
      </c>
      <c r="P55" s="49">
        <f t="shared" si="32"/>
        <v>0</v>
      </c>
      <c r="Q55" s="49">
        <f t="shared" si="32"/>
        <v>0</v>
      </c>
      <c r="R55" s="49">
        <f t="shared" si="32"/>
        <v>0</v>
      </c>
      <c r="S55" s="49">
        <f t="shared" si="32"/>
        <v>0</v>
      </c>
      <c r="T55" s="49">
        <f t="shared" si="32"/>
        <v>0</v>
      </c>
      <c r="U55" s="49">
        <f t="shared" si="32"/>
        <v>0</v>
      </c>
      <c r="V55" s="49">
        <f t="shared" si="32"/>
        <v>0</v>
      </c>
      <c r="W55" s="49">
        <f t="shared" si="32"/>
        <v>0</v>
      </c>
      <c r="X55" s="49">
        <f t="shared" si="32"/>
        <v>0</v>
      </c>
      <c r="Y55" s="49">
        <f t="shared" si="32"/>
        <v>0</v>
      </c>
      <c r="Z55" s="49">
        <f t="shared" si="32"/>
        <v>0</v>
      </c>
      <c r="AA55" s="49">
        <f t="shared" si="32"/>
        <v>0</v>
      </c>
      <c r="AB55" s="49">
        <f t="shared" si="32"/>
        <v>0</v>
      </c>
      <c r="AC55" s="49">
        <f t="shared" si="32"/>
        <v>0</v>
      </c>
      <c r="AD55" s="49">
        <f t="shared" si="32"/>
        <v>0</v>
      </c>
      <c r="AE55" s="49">
        <f t="shared" si="32"/>
        <v>0</v>
      </c>
      <c r="AF55" s="49">
        <f t="shared" si="32"/>
        <v>0</v>
      </c>
      <c r="AG55" s="49">
        <f t="shared" si="32"/>
        <v>0</v>
      </c>
      <c r="AH55" s="49">
        <f t="shared" si="32"/>
        <v>0</v>
      </c>
      <c r="AI55" s="49">
        <f t="shared" si="32"/>
        <v>0</v>
      </c>
      <c r="AJ55" s="49">
        <f t="shared" si="32"/>
        <v>0</v>
      </c>
      <c r="AK55" s="49">
        <f t="shared" si="32"/>
        <v>0</v>
      </c>
      <c r="AL55" s="42"/>
      <c r="AM55" s="43">
        <v>39</v>
      </c>
      <c r="AN55">
        <v>30.124999999999993</v>
      </c>
      <c r="AO55">
        <v>8.631914832338591</v>
      </c>
      <c r="AP55">
        <v>415.26865150143396</v>
      </c>
      <c r="AQ55">
        <v>52.214000984251783</v>
      </c>
      <c r="AR55">
        <v>8.0100091147041699</v>
      </c>
      <c r="AS55">
        <v>94.520086872408314</v>
      </c>
      <c r="AT55" t="e">
        <v>#DIV/0!</v>
      </c>
      <c r="AU55" t="e">
        <v>#DIV/0!</v>
      </c>
      <c r="AV55"/>
      <c r="AW55"/>
      <c r="FY55" s="213">
        <v>50</v>
      </c>
      <c r="FZ55">
        <v>2.7705984438954863</v>
      </c>
      <c r="GA55">
        <v>14.82659164679694</v>
      </c>
      <c r="GB55">
        <v>6.2838901863847028</v>
      </c>
      <c r="GC55">
        <v>2.2474369831643211</v>
      </c>
      <c r="GD55">
        <v>3.3805191251021238</v>
      </c>
      <c r="GE55">
        <v>3.6421092628600333</v>
      </c>
      <c r="GF55">
        <v>0.47734812494006024</v>
      </c>
      <c r="GG55">
        <v>1.8917088020808825</v>
      </c>
      <c r="GH55">
        <v>2.6012010516395971</v>
      </c>
      <c r="GI55">
        <v>4.5558957770604405</v>
      </c>
      <c r="GJ55"/>
      <c r="GK55"/>
      <c r="GL55"/>
      <c r="GM55"/>
      <c r="GN55" s="208"/>
      <c r="GO55" s="208"/>
      <c r="GP55" s="208"/>
      <c r="GQ55" s="208"/>
      <c r="GR55" s="208"/>
      <c r="GS55" s="208"/>
      <c r="GT55" s="208"/>
      <c r="GU55" s="213">
        <v>50</v>
      </c>
    </row>
    <row r="56" spans="1:203" s="7" customFormat="1">
      <c r="A56" s="4"/>
      <c r="B56" s="36"/>
      <c r="C56" s="48" t="s">
        <v>42</v>
      </c>
      <c r="D56" s="49">
        <f t="shared" si="28"/>
        <v>21.593617631408332</v>
      </c>
      <c r="E56" s="19">
        <f t="shared" si="30"/>
        <v>9.3553814687390061E-2</v>
      </c>
      <c r="F56" s="8"/>
      <c r="G56" s="49">
        <f>$E$56*$E$25*G41</f>
        <v>4.2465161675094157E-3</v>
      </c>
      <c r="H56" s="49">
        <f t="shared" ref="H56:AK56" si="33">$E$56*$E$25*H41</f>
        <v>0.16181956549570517</v>
      </c>
      <c r="I56" s="49">
        <f t="shared" si="33"/>
        <v>8.1728815658982299</v>
      </c>
      <c r="J56" s="49">
        <f t="shared" si="33"/>
        <v>1.2627058000321632</v>
      </c>
      <c r="K56" s="49">
        <f t="shared" si="33"/>
        <v>0</v>
      </c>
      <c r="L56" s="49">
        <f t="shared" si="33"/>
        <v>3.9451432525769801</v>
      </c>
      <c r="M56" s="49">
        <f t="shared" si="33"/>
        <v>3.2078139012471381</v>
      </c>
      <c r="N56" s="49">
        <f t="shared" si="33"/>
        <v>4.8390070299906078</v>
      </c>
      <c r="O56" s="49">
        <f t="shared" si="33"/>
        <v>0</v>
      </c>
      <c r="P56" s="49">
        <f t="shared" si="33"/>
        <v>0</v>
      </c>
      <c r="Q56" s="49">
        <f t="shared" si="33"/>
        <v>0</v>
      </c>
      <c r="R56" s="49">
        <f t="shared" si="33"/>
        <v>0</v>
      </c>
      <c r="S56" s="49">
        <f t="shared" si="33"/>
        <v>0</v>
      </c>
      <c r="T56" s="49">
        <f t="shared" si="33"/>
        <v>0</v>
      </c>
      <c r="U56" s="49">
        <f t="shared" si="33"/>
        <v>0</v>
      </c>
      <c r="V56" s="49">
        <f t="shared" si="33"/>
        <v>0</v>
      </c>
      <c r="W56" s="49">
        <f t="shared" si="33"/>
        <v>0</v>
      </c>
      <c r="X56" s="49">
        <f t="shared" si="33"/>
        <v>0</v>
      </c>
      <c r="Y56" s="49">
        <f t="shared" si="33"/>
        <v>0</v>
      </c>
      <c r="Z56" s="49">
        <f t="shared" si="33"/>
        <v>0</v>
      </c>
      <c r="AA56" s="49">
        <f t="shared" si="33"/>
        <v>0</v>
      </c>
      <c r="AB56" s="49">
        <f t="shared" si="33"/>
        <v>0</v>
      </c>
      <c r="AC56" s="49">
        <f t="shared" si="33"/>
        <v>0</v>
      </c>
      <c r="AD56" s="49">
        <f t="shared" si="33"/>
        <v>0</v>
      </c>
      <c r="AE56" s="49">
        <f t="shared" si="33"/>
        <v>0</v>
      </c>
      <c r="AF56" s="49">
        <f t="shared" si="33"/>
        <v>0</v>
      </c>
      <c r="AG56" s="49">
        <f t="shared" si="33"/>
        <v>0</v>
      </c>
      <c r="AH56" s="49">
        <f t="shared" si="33"/>
        <v>0</v>
      </c>
      <c r="AI56" s="49">
        <f t="shared" si="33"/>
        <v>0</v>
      </c>
      <c r="AJ56" s="49">
        <f t="shared" si="33"/>
        <v>0</v>
      </c>
      <c r="AK56" s="49">
        <f t="shared" si="33"/>
        <v>0</v>
      </c>
      <c r="AL56" s="42"/>
      <c r="AM56" s="43">
        <v>40</v>
      </c>
      <c r="AN56">
        <v>29.08565996333445</v>
      </c>
      <c r="AO56">
        <v>10.527823772709704</v>
      </c>
      <c r="AP56">
        <v>549.70814407369892</v>
      </c>
      <c r="AQ56">
        <v>68.277824965317549</v>
      </c>
      <c r="AR56">
        <v>9.5707488842815494</v>
      </c>
      <c r="AS56">
        <v>104.67980917925908</v>
      </c>
      <c r="AT56" t="e">
        <v>#DIV/0!</v>
      </c>
      <c r="AU56" t="e">
        <v>#DIV/0!</v>
      </c>
      <c r="AV56"/>
      <c r="AW56"/>
      <c r="FY56" s="213">
        <v>51</v>
      </c>
      <c r="FZ56">
        <v>2.1834373233262436</v>
      </c>
      <c r="GA56">
        <v>18.471594995840945</v>
      </c>
      <c r="GB56">
        <v>8.4044528614859697</v>
      </c>
      <c r="GC56">
        <v>2.2866320093547912</v>
      </c>
      <c r="GD56">
        <v>4.3016583764337302</v>
      </c>
      <c r="GE56">
        <v>5.1636696183674244</v>
      </c>
      <c r="GF56">
        <v>0</v>
      </c>
      <c r="GG56">
        <v>3.8901563607958103</v>
      </c>
      <c r="GH56">
        <v>5.3429845258033488</v>
      </c>
      <c r="GI56">
        <v>5.9171483296735126</v>
      </c>
      <c r="GJ56"/>
      <c r="GK56"/>
      <c r="GL56"/>
      <c r="GM56"/>
      <c r="GN56" s="208"/>
      <c r="GO56" s="208"/>
      <c r="GP56" s="208"/>
      <c r="GQ56" s="208"/>
      <c r="GR56" s="208"/>
      <c r="GS56" s="208"/>
      <c r="GT56" s="208"/>
      <c r="GU56" s="213">
        <v>51</v>
      </c>
    </row>
    <row r="57" spans="1:203" s="7" customFormat="1">
      <c r="A57" s="4"/>
      <c r="B57" s="36"/>
      <c r="C57" s="48" t="s">
        <v>118</v>
      </c>
      <c r="D57" s="49">
        <f t="shared" si="28"/>
        <v>4.6389567325234733</v>
      </c>
      <c r="E57" s="19">
        <f t="shared" si="30"/>
        <v>1.4010658571293334E-2</v>
      </c>
      <c r="F57" s="8"/>
      <c r="G57" s="49">
        <f>$E$57*$E$26*G42</f>
        <v>1.2719200887587308E-3</v>
      </c>
      <c r="H57" s="49">
        <f t="shared" ref="H57:AK57" si="34">$E$57*$E$26*H42</f>
        <v>8.0780553591577389E-3</v>
      </c>
      <c r="I57" s="49">
        <f t="shared" si="34"/>
        <v>7.6956460113739772E-2</v>
      </c>
      <c r="J57" s="49">
        <f t="shared" si="34"/>
        <v>0</v>
      </c>
      <c r="K57" s="49">
        <f t="shared" si="34"/>
        <v>0</v>
      </c>
      <c r="L57" s="49">
        <f t="shared" si="34"/>
        <v>1.1816526201822106</v>
      </c>
      <c r="M57" s="49">
        <f t="shared" si="34"/>
        <v>1.9216142273108177</v>
      </c>
      <c r="N57" s="49">
        <f t="shared" si="34"/>
        <v>1.4493834494687883</v>
      </c>
      <c r="O57" s="49">
        <f t="shared" si="34"/>
        <v>0</v>
      </c>
      <c r="P57" s="49">
        <f t="shared" si="34"/>
        <v>0</v>
      </c>
      <c r="Q57" s="49">
        <f t="shared" si="34"/>
        <v>0</v>
      </c>
      <c r="R57" s="49">
        <f t="shared" si="34"/>
        <v>0</v>
      </c>
      <c r="S57" s="49">
        <f t="shared" si="34"/>
        <v>0</v>
      </c>
      <c r="T57" s="49">
        <f t="shared" si="34"/>
        <v>0</v>
      </c>
      <c r="U57" s="49">
        <f t="shared" si="34"/>
        <v>0</v>
      </c>
      <c r="V57" s="49">
        <f t="shared" si="34"/>
        <v>0</v>
      </c>
      <c r="W57" s="49">
        <f t="shared" si="34"/>
        <v>0</v>
      </c>
      <c r="X57" s="49">
        <f t="shared" si="34"/>
        <v>0</v>
      </c>
      <c r="Y57" s="49">
        <f t="shared" si="34"/>
        <v>0</v>
      </c>
      <c r="Z57" s="49">
        <f t="shared" si="34"/>
        <v>0</v>
      </c>
      <c r="AA57" s="49">
        <f t="shared" si="34"/>
        <v>0</v>
      </c>
      <c r="AB57" s="49">
        <f t="shared" si="34"/>
        <v>0</v>
      </c>
      <c r="AC57" s="49">
        <f t="shared" si="34"/>
        <v>0</v>
      </c>
      <c r="AD57" s="49">
        <f t="shared" si="34"/>
        <v>0</v>
      </c>
      <c r="AE57" s="49">
        <f t="shared" si="34"/>
        <v>0</v>
      </c>
      <c r="AF57" s="49">
        <f t="shared" si="34"/>
        <v>0</v>
      </c>
      <c r="AG57" s="49">
        <f t="shared" si="34"/>
        <v>0</v>
      </c>
      <c r="AH57" s="49">
        <f t="shared" si="34"/>
        <v>0</v>
      </c>
      <c r="AI57" s="49">
        <f t="shared" si="34"/>
        <v>0</v>
      </c>
      <c r="AJ57" s="49">
        <f t="shared" si="34"/>
        <v>0</v>
      </c>
      <c r="AK57" s="49">
        <f t="shared" si="34"/>
        <v>0</v>
      </c>
      <c r="AL57" s="42"/>
      <c r="AM57" s="43">
        <v>41</v>
      </c>
      <c r="AN57">
        <v>37.419678714859437</v>
      </c>
      <c r="AO57">
        <v>8.1990748652099814</v>
      </c>
      <c r="AP57">
        <v>162.18058840527789</v>
      </c>
      <c r="AQ57">
        <v>56.721463552440866</v>
      </c>
      <c r="AR57">
        <v>7.6165182354963443</v>
      </c>
      <c r="AS57">
        <v>101.5027760820161</v>
      </c>
      <c r="AT57" t="e">
        <v>#DIV/0!</v>
      </c>
      <c r="AU57" t="e">
        <v>#DIV/0!</v>
      </c>
      <c r="AV57"/>
      <c r="AW57"/>
      <c r="FY57" s="213">
        <v>52</v>
      </c>
      <c r="FZ57">
        <v>1.596276202757001</v>
      </c>
      <c r="GA57">
        <v>18.610470618181946</v>
      </c>
      <c r="GB57">
        <v>8.433717305717586</v>
      </c>
      <c r="GC57">
        <v>0.84233480185380649</v>
      </c>
      <c r="GD57">
        <v>1.4330032175873495</v>
      </c>
      <c r="GE57">
        <v>2.175020868078537</v>
      </c>
      <c r="GF57">
        <v>0.95469624988012047</v>
      </c>
      <c r="GG57">
        <v>7.011213515500363</v>
      </c>
      <c r="GH57">
        <v>10.131991821515435</v>
      </c>
      <c r="GI57">
        <v>5.0302777931036813</v>
      </c>
      <c r="GJ57"/>
      <c r="GK57"/>
      <c r="GL57"/>
      <c r="GM57"/>
      <c r="GN57" s="208"/>
      <c r="GO57" s="208"/>
      <c r="GP57" s="208"/>
      <c r="GQ57" s="208"/>
      <c r="GR57" s="208"/>
      <c r="GS57" s="208"/>
      <c r="GT57" s="208"/>
      <c r="GU57" s="213">
        <v>52</v>
      </c>
    </row>
    <row r="58" spans="1:203" s="7" customFormat="1">
      <c r="A58" s="4"/>
      <c r="B58" s="1"/>
      <c r="C58" s="48" t="s">
        <v>119</v>
      </c>
      <c r="D58" s="49">
        <f t="shared" si="28"/>
        <v>0</v>
      </c>
      <c r="E58" s="19">
        <f t="shared" si="30"/>
        <v>0</v>
      </c>
      <c r="F58" s="8"/>
      <c r="G58" s="49">
        <f>$E$58*$E$27*G43</f>
        <v>0</v>
      </c>
      <c r="H58" s="49">
        <f t="shared" ref="H58:AK58" si="35">$E$58*$E$27*H43</f>
        <v>0</v>
      </c>
      <c r="I58" s="49">
        <f t="shared" si="35"/>
        <v>0</v>
      </c>
      <c r="J58" s="49">
        <f t="shared" si="35"/>
        <v>0</v>
      </c>
      <c r="K58" s="49">
        <f t="shared" si="35"/>
        <v>0</v>
      </c>
      <c r="L58" s="49">
        <f t="shared" si="35"/>
        <v>0</v>
      </c>
      <c r="M58" s="49">
        <f t="shared" si="35"/>
        <v>0</v>
      </c>
      <c r="N58" s="49">
        <f t="shared" si="35"/>
        <v>0</v>
      </c>
      <c r="O58" s="49">
        <f t="shared" si="35"/>
        <v>0</v>
      </c>
      <c r="P58" s="49">
        <f t="shared" si="35"/>
        <v>0</v>
      </c>
      <c r="Q58" s="49">
        <f t="shared" si="35"/>
        <v>0</v>
      </c>
      <c r="R58" s="49">
        <f t="shared" si="35"/>
        <v>0</v>
      </c>
      <c r="S58" s="49">
        <f t="shared" si="35"/>
        <v>0</v>
      </c>
      <c r="T58" s="49">
        <f t="shared" si="35"/>
        <v>0</v>
      </c>
      <c r="U58" s="49">
        <f t="shared" si="35"/>
        <v>0</v>
      </c>
      <c r="V58" s="49">
        <f t="shared" si="35"/>
        <v>0</v>
      </c>
      <c r="W58" s="49">
        <f t="shared" si="35"/>
        <v>0</v>
      </c>
      <c r="X58" s="49">
        <f t="shared" si="35"/>
        <v>0</v>
      </c>
      <c r="Y58" s="49">
        <f t="shared" si="35"/>
        <v>0</v>
      </c>
      <c r="Z58" s="49">
        <f t="shared" si="35"/>
        <v>0</v>
      </c>
      <c r="AA58" s="49">
        <f t="shared" si="35"/>
        <v>0</v>
      </c>
      <c r="AB58" s="49">
        <f t="shared" si="35"/>
        <v>0</v>
      </c>
      <c r="AC58" s="49">
        <f t="shared" si="35"/>
        <v>0</v>
      </c>
      <c r="AD58" s="49">
        <f t="shared" si="35"/>
        <v>0</v>
      </c>
      <c r="AE58" s="49">
        <f t="shared" si="35"/>
        <v>0</v>
      </c>
      <c r="AF58" s="49">
        <f t="shared" si="35"/>
        <v>0</v>
      </c>
      <c r="AG58" s="49">
        <f t="shared" si="35"/>
        <v>0</v>
      </c>
      <c r="AH58" s="49">
        <f t="shared" si="35"/>
        <v>0</v>
      </c>
      <c r="AI58" s="49">
        <f t="shared" si="35"/>
        <v>0</v>
      </c>
      <c r="AJ58" s="49">
        <f t="shared" si="35"/>
        <v>0</v>
      </c>
      <c r="AK58" s="49">
        <f t="shared" si="35"/>
        <v>0</v>
      </c>
      <c r="AL58" s="42"/>
      <c r="AM58" s="43">
        <v>42</v>
      </c>
      <c r="AN58">
        <v>27.506123426382043</v>
      </c>
      <c r="AO58">
        <v>8.8249549497522004</v>
      </c>
      <c r="AP58">
        <v>196.42153490237612</v>
      </c>
      <c r="AQ58">
        <v>62.185353756521152</v>
      </c>
      <c r="AR58">
        <v>8.0769575888159384</v>
      </c>
      <c r="AS58">
        <v>90.696859881768034</v>
      </c>
      <c r="AT58" t="e">
        <v>#DIV/0!</v>
      </c>
      <c r="AU58" t="e">
        <v>#DIV/0!</v>
      </c>
      <c r="AV58"/>
      <c r="AW58"/>
      <c r="FY58" s="213">
        <v>53</v>
      </c>
      <c r="FZ58">
        <v>1.596276202757001</v>
      </c>
      <c r="GA58">
        <v>17.616345253086898</v>
      </c>
      <c r="GB58">
        <v>7.7454103103135008</v>
      </c>
      <c r="GC58">
        <v>1.2527762457071427</v>
      </c>
      <c r="GD58">
        <v>1.5894357120586089</v>
      </c>
      <c r="GE58">
        <v>1.2677444239822235</v>
      </c>
      <c r="GF58">
        <v>0</v>
      </c>
      <c r="GG58">
        <v>3.1153576328949253</v>
      </c>
      <c r="GH58">
        <v>4.2174915131466495</v>
      </c>
      <c r="GI58">
        <v>3.8032763752221719</v>
      </c>
      <c r="GJ58"/>
      <c r="GK58"/>
      <c r="GL58"/>
      <c r="GM58"/>
      <c r="GN58" s="208"/>
      <c r="GO58" s="208"/>
      <c r="GP58" s="208"/>
      <c r="GQ58" s="208"/>
      <c r="GR58" s="208"/>
      <c r="GS58" s="208"/>
      <c r="GT58" s="208"/>
      <c r="GU58" s="213">
        <v>53</v>
      </c>
    </row>
    <row r="59" spans="1:203" s="7" customFormat="1">
      <c r="A59" s="4"/>
      <c r="B59" s="1"/>
      <c r="C59" s="48" t="s">
        <v>120</v>
      </c>
      <c r="D59" s="49">
        <f t="shared" si="28"/>
        <v>52.450991928074615</v>
      </c>
      <c r="E59" s="19">
        <f t="shared" si="30"/>
        <v>0.33783580542089914</v>
      </c>
      <c r="F59" s="8"/>
      <c r="G59" s="49">
        <f>$E$59*$E$28*G44</f>
        <v>0</v>
      </c>
      <c r="H59" s="49">
        <f t="shared" ref="H59:AK59" si="36">$E$59*$E$28*H44</f>
        <v>0</v>
      </c>
      <c r="I59" s="49">
        <f t="shared" si="36"/>
        <v>3.390885869873137</v>
      </c>
      <c r="J59" s="49">
        <f t="shared" si="36"/>
        <v>8.5168787320774229</v>
      </c>
      <c r="K59" s="49">
        <f t="shared" si="36"/>
        <v>0</v>
      </c>
      <c r="L59" s="49">
        <f t="shared" si="36"/>
        <v>0</v>
      </c>
      <c r="M59" s="49">
        <f t="shared" si="36"/>
        <v>0</v>
      </c>
      <c r="N59" s="49">
        <f t="shared" si="36"/>
        <v>0</v>
      </c>
      <c r="O59" s="49">
        <f t="shared" si="36"/>
        <v>40.543227326124054</v>
      </c>
      <c r="P59" s="49">
        <f t="shared" si="36"/>
        <v>0</v>
      </c>
      <c r="Q59" s="49">
        <f t="shared" si="36"/>
        <v>0</v>
      </c>
      <c r="R59" s="49">
        <f t="shared" si="36"/>
        <v>0</v>
      </c>
      <c r="S59" s="49">
        <f t="shared" si="36"/>
        <v>0</v>
      </c>
      <c r="T59" s="49">
        <f t="shared" si="36"/>
        <v>0</v>
      </c>
      <c r="U59" s="49">
        <f t="shared" si="36"/>
        <v>0</v>
      </c>
      <c r="V59" s="49">
        <f t="shared" si="36"/>
        <v>0</v>
      </c>
      <c r="W59" s="49">
        <f t="shared" si="36"/>
        <v>0</v>
      </c>
      <c r="X59" s="49">
        <f t="shared" si="36"/>
        <v>0</v>
      </c>
      <c r="Y59" s="49">
        <f t="shared" si="36"/>
        <v>0</v>
      </c>
      <c r="Z59" s="49">
        <f t="shared" si="36"/>
        <v>0</v>
      </c>
      <c r="AA59" s="49">
        <f t="shared" si="36"/>
        <v>0</v>
      </c>
      <c r="AB59" s="49">
        <f t="shared" si="36"/>
        <v>0</v>
      </c>
      <c r="AC59" s="49">
        <f t="shared" si="36"/>
        <v>0</v>
      </c>
      <c r="AD59" s="49">
        <f t="shared" si="36"/>
        <v>0</v>
      </c>
      <c r="AE59" s="49">
        <f t="shared" si="36"/>
        <v>0</v>
      </c>
      <c r="AF59" s="49">
        <f t="shared" si="36"/>
        <v>0</v>
      </c>
      <c r="AG59" s="49">
        <f t="shared" si="36"/>
        <v>0</v>
      </c>
      <c r="AH59" s="49">
        <f t="shared" si="36"/>
        <v>0</v>
      </c>
      <c r="AI59" s="49">
        <f t="shared" si="36"/>
        <v>0</v>
      </c>
      <c r="AJ59" s="49">
        <f t="shared" si="36"/>
        <v>0</v>
      </c>
      <c r="AK59" s="49">
        <f t="shared" si="36"/>
        <v>0</v>
      </c>
      <c r="AL59" s="42"/>
      <c r="AM59" s="43">
        <v>43</v>
      </c>
      <c r="AN59">
        <v>38.668993296667793</v>
      </c>
      <c r="AO59">
        <v>7.035713184347439</v>
      </c>
      <c r="AP59">
        <v>329.70825883551191</v>
      </c>
      <c r="AQ59">
        <v>47.112962515220225</v>
      </c>
      <c r="AR59">
        <v>6.4503741657207021</v>
      </c>
      <c r="AS59">
        <v>90.144575064695758</v>
      </c>
      <c r="AT59" t="e">
        <v>#DIV/0!</v>
      </c>
      <c r="AU59" t="e">
        <v>#DIV/0!</v>
      </c>
      <c r="AV59"/>
      <c r="AW59"/>
      <c r="FY59" s="213">
        <v>54</v>
      </c>
      <c r="FZ59">
        <v>5.3759897288402456</v>
      </c>
      <c r="GA59">
        <v>22.185187874080263</v>
      </c>
      <c r="GB59">
        <v>8.257636864381988</v>
      </c>
      <c r="GC59">
        <v>1.2527762457071427</v>
      </c>
      <c r="GD59">
        <v>1.5222738111188525</v>
      </c>
      <c r="GE59">
        <v>1.1358479347201231</v>
      </c>
      <c r="GF59">
        <v>0</v>
      </c>
      <c r="GG59">
        <v>2.50520327117398</v>
      </c>
      <c r="GH59">
        <v>3.5257085403854296</v>
      </c>
      <c r="GI59">
        <v>4.3850507483283669</v>
      </c>
      <c r="GJ59"/>
      <c r="GK59"/>
      <c r="GL59"/>
      <c r="GM59"/>
      <c r="GN59" s="208"/>
      <c r="GO59" s="208"/>
      <c r="GP59" s="208"/>
      <c r="GQ59" s="208"/>
      <c r="GR59" s="208"/>
      <c r="GS59" s="208"/>
      <c r="GT59" s="208"/>
      <c r="GU59" s="213">
        <v>54</v>
      </c>
    </row>
    <row r="60" spans="1:203" s="7" customFormat="1">
      <c r="A60" s="4"/>
      <c r="B60" s="1"/>
      <c r="C60" s="48" t="s">
        <v>121</v>
      </c>
      <c r="D60" s="49">
        <f t="shared" si="28"/>
        <v>0</v>
      </c>
      <c r="E60" s="19">
        <f t="shared" si="30"/>
        <v>0</v>
      </c>
      <c r="F60" s="8"/>
      <c r="G60" s="49">
        <f>$E$60*$E$29*G45</f>
        <v>0</v>
      </c>
      <c r="H60" s="49">
        <f t="shared" ref="H60:AK60" si="37">$E$60*$E$29*H45</f>
        <v>0</v>
      </c>
      <c r="I60" s="49">
        <f t="shared" si="37"/>
        <v>0</v>
      </c>
      <c r="J60" s="49">
        <f t="shared" si="37"/>
        <v>0</v>
      </c>
      <c r="K60" s="49">
        <f t="shared" si="37"/>
        <v>0</v>
      </c>
      <c r="L60" s="49">
        <f t="shared" si="37"/>
        <v>0</v>
      </c>
      <c r="M60" s="49">
        <f t="shared" si="37"/>
        <v>0</v>
      </c>
      <c r="N60" s="49">
        <f t="shared" si="37"/>
        <v>0</v>
      </c>
      <c r="O60" s="49">
        <f t="shared" si="37"/>
        <v>0</v>
      </c>
      <c r="P60" s="49">
        <f t="shared" si="37"/>
        <v>0</v>
      </c>
      <c r="Q60" s="49">
        <f t="shared" si="37"/>
        <v>0</v>
      </c>
      <c r="R60" s="49">
        <f t="shared" si="37"/>
        <v>0</v>
      </c>
      <c r="S60" s="49">
        <f t="shared" si="37"/>
        <v>0</v>
      </c>
      <c r="T60" s="49">
        <f t="shared" si="37"/>
        <v>0</v>
      </c>
      <c r="U60" s="49">
        <f t="shared" si="37"/>
        <v>0</v>
      </c>
      <c r="V60" s="49">
        <f t="shared" si="37"/>
        <v>0</v>
      </c>
      <c r="W60" s="49">
        <f t="shared" si="37"/>
        <v>0</v>
      </c>
      <c r="X60" s="49">
        <f t="shared" si="37"/>
        <v>0</v>
      </c>
      <c r="Y60" s="49">
        <f t="shared" si="37"/>
        <v>0</v>
      </c>
      <c r="Z60" s="49">
        <f t="shared" si="37"/>
        <v>0</v>
      </c>
      <c r="AA60" s="49">
        <f t="shared" si="37"/>
        <v>0</v>
      </c>
      <c r="AB60" s="49">
        <f t="shared" si="37"/>
        <v>0</v>
      </c>
      <c r="AC60" s="49">
        <f t="shared" si="37"/>
        <v>0</v>
      </c>
      <c r="AD60" s="49">
        <f t="shared" si="37"/>
        <v>0</v>
      </c>
      <c r="AE60" s="49">
        <f t="shared" si="37"/>
        <v>0</v>
      </c>
      <c r="AF60" s="49">
        <f t="shared" si="37"/>
        <v>0</v>
      </c>
      <c r="AG60" s="49">
        <f t="shared" si="37"/>
        <v>0</v>
      </c>
      <c r="AH60" s="49">
        <f t="shared" si="37"/>
        <v>0</v>
      </c>
      <c r="AI60" s="49">
        <f t="shared" si="37"/>
        <v>0</v>
      </c>
      <c r="AJ60" s="49">
        <f t="shared" si="37"/>
        <v>0</v>
      </c>
      <c r="AK60" s="49">
        <f t="shared" si="37"/>
        <v>0</v>
      </c>
      <c r="AL60" s="42"/>
      <c r="AM60" s="43">
        <v>44</v>
      </c>
      <c r="AN60">
        <v>26.505302820477304</v>
      </c>
      <c r="AO60">
        <v>8.5773990933478572</v>
      </c>
      <c r="AP60">
        <v>201.64952920990828</v>
      </c>
      <c r="AQ60">
        <v>56.704876339494128</v>
      </c>
      <c r="AR60">
        <v>7.9604493519853232</v>
      </c>
      <c r="AS60">
        <v>82.163062414562461</v>
      </c>
      <c r="AT60" t="e">
        <v>#DIV/0!</v>
      </c>
      <c r="AU60" t="e">
        <v>#DIV/0!</v>
      </c>
      <c r="AV60"/>
      <c r="AW60"/>
      <c r="FY60" s="213">
        <v>55</v>
      </c>
      <c r="FZ60">
        <v>0</v>
      </c>
      <c r="GA60">
        <v>17.166402188456786</v>
      </c>
      <c r="GB60">
        <v>8.648561896935373</v>
      </c>
      <c r="GC60">
        <v>2.4280648647230603</v>
      </c>
      <c r="GD60">
        <v>3.2694069073262302</v>
      </c>
      <c r="GE60">
        <v>3.4331117858214535</v>
      </c>
      <c r="GF60">
        <v>0.95469624988012047</v>
      </c>
      <c r="GG60">
        <v>2.3967944608538589</v>
      </c>
      <c r="GH60">
        <v>3.2687638598689679</v>
      </c>
      <c r="GI60">
        <v>4.869087920342257</v>
      </c>
      <c r="GJ60"/>
      <c r="GK60"/>
      <c r="GL60"/>
      <c r="GM60"/>
      <c r="GN60" s="208"/>
      <c r="GO60" s="208"/>
      <c r="GP60" s="208"/>
      <c r="GQ60" s="208"/>
      <c r="GR60" s="208"/>
      <c r="GS60" s="208"/>
      <c r="GT60" s="208"/>
      <c r="GU60" s="213">
        <v>55</v>
      </c>
    </row>
    <row r="61" spans="1:203" s="7" customFormat="1">
      <c r="A61" s="4"/>
      <c r="B61" s="1"/>
      <c r="C61" s="48" t="s">
        <v>122</v>
      </c>
      <c r="D61" s="49">
        <f t="shared" si="28"/>
        <v>0</v>
      </c>
      <c r="E61" s="19">
        <f t="shared" si="30"/>
        <v>0</v>
      </c>
      <c r="F61" s="8"/>
      <c r="G61" s="49">
        <f>$E$61*$E$30*G46</f>
        <v>0</v>
      </c>
      <c r="H61" s="49">
        <f t="shared" ref="H61:AK61" si="38">$E$61*$E$30*H46</f>
        <v>0</v>
      </c>
      <c r="I61" s="49">
        <f t="shared" si="38"/>
        <v>0</v>
      </c>
      <c r="J61" s="49">
        <f t="shared" si="38"/>
        <v>0</v>
      </c>
      <c r="K61" s="49">
        <f t="shared" si="38"/>
        <v>0</v>
      </c>
      <c r="L61" s="49">
        <f t="shared" si="38"/>
        <v>0</v>
      </c>
      <c r="M61" s="49">
        <f t="shared" si="38"/>
        <v>0</v>
      </c>
      <c r="N61" s="49">
        <f t="shared" si="38"/>
        <v>0</v>
      </c>
      <c r="O61" s="49">
        <f t="shared" si="38"/>
        <v>0</v>
      </c>
      <c r="P61" s="49">
        <f t="shared" si="38"/>
        <v>0</v>
      </c>
      <c r="Q61" s="49">
        <f t="shared" si="38"/>
        <v>0</v>
      </c>
      <c r="R61" s="49">
        <f t="shared" si="38"/>
        <v>0</v>
      </c>
      <c r="S61" s="49">
        <f t="shared" si="38"/>
        <v>0</v>
      </c>
      <c r="T61" s="49">
        <f t="shared" si="38"/>
        <v>0</v>
      </c>
      <c r="U61" s="49">
        <f t="shared" si="38"/>
        <v>0</v>
      </c>
      <c r="V61" s="49">
        <f t="shared" si="38"/>
        <v>0</v>
      </c>
      <c r="W61" s="49">
        <f t="shared" si="38"/>
        <v>0</v>
      </c>
      <c r="X61" s="49">
        <f t="shared" si="38"/>
        <v>0</v>
      </c>
      <c r="Y61" s="49">
        <f t="shared" si="38"/>
        <v>0</v>
      </c>
      <c r="Z61" s="49">
        <f t="shared" si="38"/>
        <v>0</v>
      </c>
      <c r="AA61" s="49">
        <f t="shared" si="38"/>
        <v>0</v>
      </c>
      <c r="AB61" s="49">
        <f t="shared" si="38"/>
        <v>0</v>
      </c>
      <c r="AC61" s="49">
        <f t="shared" si="38"/>
        <v>0</v>
      </c>
      <c r="AD61" s="49">
        <f t="shared" si="38"/>
        <v>0</v>
      </c>
      <c r="AE61" s="49">
        <f t="shared" si="38"/>
        <v>0</v>
      </c>
      <c r="AF61" s="49">
        <f t="shared" si="38"/>
        <v>0</v>
      </c>
      <c r="AG61" s="49">
        <f t="shared" si="38"/>
        <v>0</v>
      </c>
      <c r="AH61" s="49">
        <f t="shared" si="38"/>
        <v>0</v>
      </c>
      <c r="AI61" s="49">
        <f t="shared" si="38"/>
        <v>0</v>
      </c>
      <c r="AJ61" s="49">
        <f t="shared" si="38"/>
        <v>0</v>
      </c>
      <c r="AK61" s="49">
        <f t="shared" si="38"/>
        <v>0</v>
      </c>
      <c r="AL61" s="42"/>
      <c r="AM61" s="43">
        <v>45</v>
      </c>
      <c r="AN61">
        <v>20.483716475095786</v>
      </c>
      <c r="AO61">
        <v>6.9611701649809232</v>
      </c>
      <c r="AP61">
        <v>228.58499828552931</v>
      </c>
      <c r="AQ61">
        <v>45.726876086956914</v>
      </c>
      <c r="AR61">
        <v>6.4368790553378066</v>
      </c>
      <c r="AS61">
        <v>73.917322155705364</v>
      </c>
      <c r="AT61" t="e">
        <v>#DIV/0!</v>
      </c>
      <c r="AU61" t="e">
        <v>#DIV/0!</v>
      </c>
      <c r="AV61"/>
      <c r="AW61"/>
      <c r="FY61" s="213">
        <v>56</v>
      </c>
      <c r="FZ61">
        <v>2.1834373233262436</v>
      </c>
      <c r="GA61">
        <v>21.566477743735945</v>
      </c>
      <c r="GB61">
        <v>9.747685458476461</v>
      </c>
      <c r="GC61">
        <v>1.0082031354713601</v>
      </c>
      <c r="GD61">
        <v>1.9598659431593388</v>
      </c>
      <c r="GE61">
        <v>2.4072379140340496</v>
      </c>
      <c r="GF61">
        <v>0</v>
      </c>
      <c r="GG61">
        <v>7.4348284346643911</v>
      </c>
      <c r="GH61">
        <v>10.461596995627442</v>
      </c>
      <c r="GI61">
        <v>5.7550614006392076</v>
      </c>
      <c r="GJ61"/>
      <c r="GK61"/>
      <c r="GL61"/>
      <c r="GM61"/>
      <c r="GN61" s="208"/>
      <c r="GO61" s="208"/>
      <c r="GP61" s="208"/>
      <c r="GQ61" s="208"/>
      <c r="GR61" s="208"/>
      <c r="GS61" s="208"/>
      <c r="GT61" s="208"/>
      <c r="GU61" s="213">
        <v>56</v>
      </c>
    </row>
    <row r="62" spans="1:203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35.853602628906422</v>
      </c>
      <c r="AO62">
        <v>8.2902742810382719</v>
      </c>
      <c r="AP62">
        <v>183.27819752244625</v>
      </c>
      <c r="AQ62">
        <v>59.94264152503262</v>
      </c>
      <c r="AR62">
        <v>7.5366129827620645</v>
      </c>
      <c r="AS62">
        <v>112.45499921703066</v>
      </c>
      <c r="AT62" t="e">
        <v>#DIV/0!</v>
      </c>
      <c r="AU62" t="e">
        <v>#DIV/0!</v>
      </c>
      <c r="AV62"/>
      <c r="AW62"/>
      <c r="FY62" s="213">
        <v>57</v>
      </c>
      <c r="FZ62">
        <v>2.1834373233262436</v>
      </c>
      <c r="GA62">
        <v>16.778076891735822</v>
      </c>
      <c r="GB62">
        <v>7.3222995896669554</v>
      </c>
      <c r="GC62">
        <v>1.4704795778396331</v>
      </c>
      <c r="GD62">
        <v>1.6648884303897677</v>
      </c>
      <c r="GE62">
        <v>1.0813759739942308</v>
      </c>
      <c r="GF62">
        <v>0</v>
      </c>
      <c r="GG62">
        <v>7.4348284346643911</v>
      </c>
      <c r="GH62">
        <v>10.461596995627442</v>
      </c>
      <c r="GI62">
        <v>4.8619459765993716</v>
      </c>
      <c r="GJ62"/>
      <c r="GK62"/>
      <c r="GL62"/>
      <c r="GM62"/>
      <c r="GN62" s="208"/>
      <c r="GO62" s="208"/>
      <c r="GP62" s="208"/>
      <c r="GQ62" s="208"/>
      <c r="GR62" s="208"/>
      <c r="GS62" s="208"/>
      <c r="GT62" s="208"/>
      <c r="GU62" s="213">
        <v>57</v>
      </c>
    </row>
    <row r="63" spans="1:203" s="7" customFormat="1">
      <c r="A63" s="4"/>
      <c r="B63" s="1"/>
      <c r="C63" s="52" t="s">
        <v>53</v>
      </c>
      <c r="D63" s="53">
        <f>SUM(D52:D62)</f>
        <v>126.10450678748694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30.00314723590585</v>
      </c>
      <c r="AO63">
        <v>9.3981503136340443</v>
      </c>
      <c r="AP63">
        <v>207.62091734255426</v>
      </c>
      <c r="AQ63">
        <v>64.483821949634333</v>
      </c>
      <c r="AR63">
        <v>8.5437730123945848</v>
      </c>
      <c r="AS63">
        <v>92.708484234865509</v>
      </c>
      <c r="AT63" t="e">
        <v>#DIV/0!</v>
      </c>
      <c r="AU63" t="e">
        <v>#DIV/0!</v>
      </c>
      <c r="AV63"/>
      <c r="AW63"/>
      <c r="FY63" s="213">
        <v>58</v>
      </c>
      <c r="FZ63">
        <v>0</v>
      </c>
      <c r="GA63">
        <v>11.330059015053376</v>
      </c>
      <c r="GB63">
        <v>5.5530984256696616</v>
      </c>
      <c r="GC63">
        <v>2.6457681968555504</v>
      </c>
      <c r="GD63">
        <v>3.070509683801534</v>
      </c>
      <c r="GE63">
        <v>2.3942623932227689</v>
      </c>
      <c r="GF63">
        <v>0.47734812494006024</v>
      </c>
      <c r="GG63">
        <v>4.6885202187597494</v>
      </c>
      <c r="GH63">
        <v>6.5133075552060884</v>
      </c>
      <c r="GI63">
        <v>4.398158004304566</v>
      </c>
      <c r="GJ63"/>
      <c r="GK63"/>
      <c r="GL63"/>
      <c r="GM63"/>
      <c r="GN63" s="208"/>
      <c r="GO63" s="208"/>
      <c r="GP63" s="208"/>
      <c r="GQ63" s="208"/>
      <c r="GR63" s="208"/>
      <c r="GS63" s="208"/>
      <c r="GT63" s="208"/>
      <c r="GU63" s="213">
        <v>58</v>
      </c>
    </row>
    <row r="64" spans="1:203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33.799860154905339</v>
      </c>
      <c r="AO64">
        <v>7.9339285501833059</v>
      </c>
      <c r="AP64">
        <v>194.71349090797608</v>
      </c>
      <c r="AQ64">
        <v>46.869197965516243</v>
      </c>
      <c r="AR64">
        <v>7.2669335892078548</v>
      </c>
      <c r="AS64">
        <v>93.065373210294695</v>
      </c>
      <c r="AT64" t="e">
        <v>#DIV/0!</v>
      </c>
      <c r="AU64" t="e">
        <v>#DIV/0!</v>
      </c>
      <c r="AV64"/>
      <c r="AW64"/>
      <c r="FY64" s="213">
        <v>59</v>
      </c>
      <c r="FZ64">
        <v>4.9540357672217299</v>
      </c>
      <c r="GA64">
        <v>24.613165030257544</v>
      </c>
      <c r="GB64">
        <v>10.389297988268273</v>
      </c>
      <c r="GC64">
        <v>1.0721483641484035</v>
      </c>
      <c r="GD64">
        <v>1.5091856084028898</v>
      </c>
      <c r="GE64">
        <v>1.6826703817622763</v>
      </c>
      <c r="GF64">
        <v>0.47734812494006024</v>
      </c>
      <c r="GG64">
        <v>3.4648713879457071</v>
      </c>
      <c r="GH64">
        <v>4.8970170936990343</v>
      </c>
      <c r="GI64">
        <v>5.1790787758761159</v>
      </c>
      <c r="GJ64"/>
      <c r="GK64"/>
      <c r="GL64"/>
      <c r="GM64"/>
      <c r="GN64" s="208"/>
      <c r="GO64" s="208"/>
      <c r="GP64" s="208"/>
      <c r="GQ64" s="208"/>
      <c r="GR64" s="208"/>
      <c r="GS64" s="208"/>
      <c r="GT64" s="208"/>
      <c r="GU64" s="213">
        <v>59</v>
      </c>
    </row>
    <row r="65" spans="1:203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33.174210594430264</v>
      </c>
      <c r="AO65">
        <v>6.8469911287884573</v>
      </c>
      <c r="AP65">
        <v>167.85207304247652</v>
      </c>
      <c r="AQ65">
        <v>46.570242870253679</v>
      </c>
      <c r="AR65">
        <v>6.3873512023858687</v>
      </c>
      <c r="AS65">
        <v>80.412510003855076</v>
      </c>
      <c r="AT65" t="e">
        <v>#DIV/0!</v>
      </c>
      <c r="AU65" t="e">
        <v>#DIV/0!</v>
      </c>
      <c r="AV65"/>
      <c r="AW65"/>
      <c r="FY65" s="213">
        <v>60</v>
      </c>
      <c r="FZ65">
        <v>1.596276202757001</v>
      </c>
      <c r="GA65">
        <v>22.5564340699901</v>
      </c>
      <c r="GB65">
        <v>10.340298158669579</v>
      </c>
      <c r="GC65">
        <v>1.0600381339862968</v>
      </c>
      <c r="GD65">
        <v>3.1182147778240412</v>
      </c>
      <c r="GE65">
        <v>4.9643256475681499</v>
      </c>
      <c r="GF65">
        <v>0.47734812494006024</v>
      </c>
      <c r="GG65">
        <v>6.7162652626233239</v>
      </c>
      <c r="GH65">
        <v>9.5128693423497594</v>
      </c>
      <c r="GI65">
        <v>6.4009380332107932</v>
      </c>
      <c r="GJ65"/>
      <c r="GK65"/>
      <c r="GL65"/>
      <c r="GM65"/>
      <c r="GN65" s="208"/>
      <c r="GO65" s="208"/>
      <c r="GP65" s="208"/>
      <c r="GQ65" s="208"/>
      <c r="GR65" s="208"/>
      <c r="GS65" s="208"/>
      <c r="GT65" s="208"/>
      <c r="GU65" s="213">
        <v>60</v>
      </c>
    </row>
    <row r="66" spans="1:203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38.226943488238668</v>
      </c>
      <c r="AO66">
        <v>6.9877973773321971</v>
      </c>
      <c r="AP66">
        <v>144.67516109577252</v>
      </c>
      <c r="AQ66">
        <v>42.677299403924586</v>
      </c>
      <c r="AR66">
        <v>6.4610856120207822</v>
      </c>
      <c r="AS66">
        <v>85.061850849320223</v>
      </c>
      <c r="AT66" t="e">
        <v>#DIV/0!</v>
      </c>
      <c r="AU66" t="e">
        <v>#DIV/0!</v>
      </c>
      <c r="AV66"/>
      <c r="AW66"/>
      <c r="FY66" s="213">
        <v>61</v>
      </c>
      <c r="FZ66">
        <v>0.58716112056924263</v>
      </c>
      <c r="GA66">
        <v>12.990980672748165</v>
      </c>
      <c r="GB66">
        <v>6.3927414051737239</v>
      </c>
      <c r="GC66">
        <v>0.45016621220616626</v>
      </c>
      <c r="GD66">
        <v>0.79814356520216401</v>
      </c>
      <c r="GE66">
        <v>0.9149050783511965</v>
      </c>
      <c r="GF66">
        <v>0</v>
      </c>
      <c r="GG66">
        <v>4.3699740025436906</v>
      </c>
      <c r="GH66">
        <v>6.2079225456259284</v>
      </c>
      <c r="GI66">
        <v>3.1973858237889798</v>
      </c>
      <c r="GJ66"/>
      <c r="GK66"/>
      <c r="GL66"/>
      <c r="GM66"/>
      <c r="GN66" s="208"/>
      <c r="GO66" s="208"/>
      <c r="GP66" s="208"/>
      <c r="GQ66" s="208"/>
      <c r="GR66" s="208"/>
      <c r="GS66" s="208"/>
      <c r="GT66" s="208"/>
      <c r="GU66" s="213">
        <v>61</v>
      </c>
    </row>
    <row r="67" spans="1:203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40.31178284566839</v>
      </c>
      <c r="AO67">
        <v>9.061333425777363</v>
      </c>
      <c r="AP67">
        <v>184.51022243991824</v>
      </c>
      <c r="AQ67">
        <v>55.96173440108177</v>
      </c>
      <c r="AR67">
        <v>8.2918471124751782</v>
      </c>
      <c r="AS67">
        <v>106.49973444581931</v>
      </c>
      <c r="AT67" t="e">
        <v>#DIV/0!</v>
      </c>
      <c r="AU67" t="e">
        <v>#DIV/0!</v>
      </c>
      <c r="AV67"/>
      <c r="AW67"/>
      <c r="FY67" s="213">
        <v>62</v>
      </c>
      <c r="FZ67">
        <v>1.596276202757001</v>
      </c>
      <c r="GA67">
        <v>10.240892993562859</v>
      </c>
      <c r="GB67">
        <v>4.1434359776998164</v>
      </c>
      <c r="GC67">
        <v>1.4448269496633444</v>
      </c>
      <c r="GD67">
        <v>1.8293689578742356</v>
      </c>
      <c r="GE67">
        <v>2.3358073535736952</v>
      </c>
      <c r="GF67">
        <v>1.432044374820181</v>
      </c>
      <c r="GG67">
        <v>7.8038778516546747</v>
      </c>
      <c r="GH67">
        <v>10.730799068352736</v>
      </c>
      <c r="GI67">
        <v>4.4198110934614174</v>
      </c>
      <c r="GJ67"/>
      <c r="GK67"/>
      <c r="GL67"/>
      <c r="GM67"/>
      <c r="GN67" s="208"/>
      <c r="GO67" s="208"/>
      <c r="GP67" s="208"/>
      <c r="GQ67" s="208"/>
      <c r="GR67" s="208"/>
      <c r="GS67" s="208"/>
      <c r="GT67" s="208"/>
      <c r="GU67" s="213">
        <v>62</v>
      </c>
    </row>
    <row r="68" spans="1:203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28.168993296667782</v>
      </c>
      <c r="AO68">
        <v>8.0583892006213453</v>
      </c>
      <c r="AP68">
        <v>248.41816355521922</v>
      </c>
      <c r="AQ68">
        <v>56.219002394175824</v>
      </c>
      <c r="AR68">
        <v>7.3258083642012224</v>
      </c>
      <c r="AS68">
        <v>86.98433634593313</v>
      </c>
      <c r="AT68" t="e">
        <v>#DIV/0!</v>
      </c>
      <c r="AU68" t="e">
        <v>#DIV/0!</v>
      </c>
      <c r="AV68"/>
      <c r="AW68"/>
      <c r="FY68" s="213">
        <v>63</v>
      </c>
      <c r="FZ68">
        <v>4.3668746466524873</v>
      </c>
      <c r="GA68">
        <v>9.6283281824287261</v>
      </c>
      <c r="GB68">
        <v>2.8872607393382363</v>
      </c>
      <c r="GC68">
        <v>1.0082031354713601</v>
      </c>
      <c r="GD68">
        <v>2.0184320708233936</v>
      </c>
      <c r="GE68">
        <v>2.5258353417251405</v>
      </c>
      <c r="GF68">
        <v>0</v>
      </c>
      <c r="GG68">
        <v>3.7288521019880223</v>
      </c>
      <c r="GH68">
        <v>5.1419990018924828</v>
      </c>
      <c r="GI68">
        <v>3.4946980485122743</v>
      </c>
      <c r="GJ68"/>
      <c r="GK68"/>
      <c r="GL68"/>
      <c r="GM68"/>
      <c r="GN68" s="208"/>
      <c r="GO68" s="208"/>
      <c r="GP68" s="208"/>
      <c r="GQ68" s="208"/>
      <c r="GR68" s="208"/>
      <c r="GS68" s="208"/>
      <c r="GT68" s="208"/>
      <c r="GU68" s="213">
        <v>63</v>
      </c>
    </row>
    <row r="69" spans="1:203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27.374435962239762</v>
      </c>
      <c r="AO69">
        <v>5.9051311670541731</v>
      </c>
      <c r="AP69">
        <v>125.78545724581429</v>
      </c>
      <c r="AQ69">
        <v>42.204113669169118</v>
      </c>
      <c r="AR69">
        <v>5.3683010609583386</v>
      </c>
      <c r="AS69">
        <v>76.270348523156471</v>
      </c>
      <c r="AT69" t="e">
        <v>#DIV/0!</v>
      </c>
      <c r="AU69" t="e">
        <v>#DIV/0!</v>
      </c>
      <c r="AV69"/>
      <c r="AW69"/>
      <c r="FY69" s="213">
        <v>64</v>
      </c>
      <c r="FZ69">
        <v>1.1743222411384853</v>
      </c>
      <c r="GA69">
        <v>13.518596116967508</v>
      </c>
      <c r="GB69">
        <v>6.6616582953600352</v>
      </c>
      <c r="GC69">
        <v>2.4280648647230603</v>
      </c>
      <c r="GD69">
        <v>2.5936768606723506</v>
      </c>
      <c r="GE69">
        <v>1.4710574908729277</v>
      </c>
      <c r="GF69">
        <v>0</v>
      </c>
      <c r="GG69">
        <v>5.0380339738105313</v>
      </c>
      <c r="GH69">
        <v>7.1928331357584732</v>
      </c>
      <c r="GI69">
        <v>4.542972322856258</v>
      </c>
      <c r="GJ69"/>
      <c r="GK69"/>
      <c r="GL69"/>
      <c r="GM69"/>
      <c r="GN69" s="208"/>
      <c r="GO69" s="208"/>
      <c r="GP69" s="208"/>
      <c r="GQ69" s="208"/>
      <c r="GR69" s="208"/>
      <c r="GS69" s="208"/>
      <c r="GT69" s="208"/>
      <c r="GU69" s="213">
        <v>64</v>
      </c>
    </row>
    <row r="70" spans="1:203" s="7" customFormat="1">
      <c r="A70" s="4"/>
      <c r="B70" s="66"/>
      <c r="C70" s="71">
        <f t="shared" ref="C70:C79" si="39">C4</f>
        <v>39646</v>
      </c>
      <c r="D70" s="72">
        <f t="shared" ref="D70:D75" si="40">SUM(G70:AK70)</f>
        <v>6.2499999999999991</v>
      </c>
      <c r="E70" s="64"/>
      <c r="F70" s="64"/>
      <c r="G70" s="18">
        <f>AVERAGE(E228:E237)</f>
        <v>0</v>
      </c>
      <c r="H70" s="18">
        <f t="shared" ref="H70:AK70" si="41">AVERAGE(F228:F237)</f>
        <v>0</v>
      </c>
      <c r="I70" s="18">
        <f t="shared" si="41"/>
        <v>0</v>
      </c>
      <c r="J70" s="18">
        <f t="shared" si="41"/>
        <v>2.083333333333333</v>
      </c>
      <c r="K70" s="18">
        <f t="shared" si="41"/>
        <v>4.1666666666666661</v>
      </c>
      <c r="L70" s="18">
        <f t="shared" si="41"/>
        <v>0</v>
      </c>
      <c r="M70" s="18">
        <f t="shared" si="41"/>
        <v>0</v>
      </c>
      <c r="N70" s="18">
        <f t="shared" si="41"/>
        <v>0</v>
      </c>
      <c r="O70" s="18">
        <f t="shared" si="41"/>
        <v>0</v>
      </c>
      <c r="P70" s="18">
        <f t="shared" si="41"/>
        <v>0</v>
      </c>
      <c r="Q70" s="18">
        <f t="shared" si="41"/>
        <v>0</v>
      </c>
      <c r="R70" s="18">
        <f t="shared" si="41"/>
        <v>0</v>
      </c>
      <c r="S70" s="18">
        <f t="shared" si="41"/>
        <v>0</v>
      </c>
      <c r="T70" s="18">
        <f t="shared" si="41"/>
        <v>0</v>
      </c>
      <c r="U70" s="18">
        <f t="shared" si="41"/>
        <v>0</v>
      </c>
      <c r="V70" s="18">
        <f t="shared" si="41"/>
        <v>0</v>
      </c>
      <c r="W70" s="18">
        <f t="shared" si="41"/>
        <v>0</v>
      </c>
      <c r="X70" s="18">
        <f t="shared" si="41"/>
        <v>0</v>
      </c>
      <c r="Y70" s="18">
        <f t="shared" si="41"/>
        <v>0</v>
      </c>
      <c r="Z70" s="18">
        <f t="shared" si="41"/>
        <v>0</v>
      </c>
      <c r="AA70" s="18">
        <f t="shared" si="41"/>
        <v>0</v>
      </c>
      <c r="AB70" s="18">
        <f t="shared" si="41"/>
        <v>0</v>
      </c>
      <c r="AC70" s="18">
        <f t="shared" si="41"/>
        <v>0</v>
      </c>
      <c r="AD70" s="18">
        <f t="shared" si="41"/>
        <v>0</v>
      </c>
      <c r="AE70" s="18">
        <f t="shared" si="41"/>
        <v>0</v>
      </c>
      <c r="AF70" s="18">
        <f t="shared" si="41"/>
        <v>0</v>
      </c>
      <c r="AG70" s="18">
        <f t="shared" si="41"/>
        <v>0</v>
      </c>
      <c r="AH70" s="18">
        <f t="shared" si="41"/>
        <v>0</v>
      </c>
      <c r="AI70" s="18">
        <f t="shared" si="41"/>
        <v>0</v>
      </c>
      <c r="AJ70" s="18">
        <f t="shared" si="41"/>
        <v>0</v>
      </c>
      <c r="AK70" s="18">
        <f t="shared" si="41"/>
        <v>0</v>
      </c>
      <c r="AL70" s="2"/>
      <c r="AM70" s="43">
        <v>54</v>
      </c>
      <c r="AN70">
        <v>25.538058844573698</v>
      </c>
      <c r="AO70">
        <v>6.7920207957278436</v>
      </c>
      <c r="AP70">
        <v>111.86232037910095</v>
      </c>
      <c r="AQ70">
        <v>50.145675018736398</v>
      </c>
      <c r="AR70">
        <v>6.2288356306119796</v>
      </c>
      <c r="AS70">
        <v>79.720547570526534</v>
      </c>
      <c r="AT70" t="e">
        <v>#DIV/0!</v>
      </c>
      <c r="AU70" t="e">
        <v>#DIV/0!</v>
      </c>
      <c r="AV70"/>
      <c r="AW70"/>
      <c r="FY70" s="213">
        <v>65</v>
      </c>
      <c r="FZ70">
        <v>3.192552405514002</v>
      </c>
      <c r="GA70">
        <v>27.204385476622356</v>
      </c>
      <c r="GB70">
        <v>11.66158074728342</v>
      </c>
      <c r="GC70">
        <v>1.3228840984277752</v>
      </c>
      <c r="GD70">
        <v>1.6433722227702625</v>
      </c>
      <c r="GE70">
        <v>1.2677444239822235</v>
      </c>
      <c r="GF70">
        <v>0</v>
      </c>
      <c r="GG70">
        <v>3.8339208049359907</v>
      </c>
      <c r="GH70">
        <v>5.1662191664243302</v>
      </c>
      <c r="GI70">
        <v>5.1878131855224181</v>
      </c>
      <c r="GJ70"/>
      <c r="GK70"/>
      <c r="GL70"/>
      <c r="GM70"/>
      <c r="GN70" s="208"/>
      <c r="GO70" s="208"/>
      <c r="GP70" s="208"/>
      <c r="GQ70" s="208"/>
      <c r="GR70" s="208"/>
      <c r="GS70" s="208"/>
      <c r="GT70" s="208"/>
      <c r="GU70" s="213">
        <v>65</v>
      </c>
    </row>
    <row r="71" spans="1:203" s="7" customFormat="1">
      <c r="A71" s="4"/>
      <c r="B71" s="66"/>
      <c r="C71" s="71">
        <f t="shared" si="39"/>
        <v>39673</v>
      </c>
      <c r="D71" s="72">
        <f t="shared" si="40"/>
        <v>6.2499999999999991</v>
      </c>
      <c r="E71" s="64"/>
      <c r="F71" s="64"/>
      <c r="G71" s="18">
        <f>AVERAGE(E238:E247)</f>
        <v>0</v>
      </c>
      <c r="H71" s="18">
        <f t="shared" ref="H71:AK71" si="42">AVERAGE(F238:F247)</f>
        <v>0</v>
      </c>
      <c r="I71" s="18">
        <f t="shared" si="42"/>
        <v>1.0416666666666665</v>
      </c>
      <c r="J71" s="18">
        <f t="shared" si="42"/>
        <v>0</v>
      </c>
      <c r="K71" s="18">
        <f t="shared" si="42"/>
        <v>3.125</v>
      </c>
      <c r="L71" s="18">
        <f t="shared" si="42"/>
        <v>2.083333333333333</v>
      </c>
      <c r="M71" s="18">
        <f t="shared" si="42"/>
        <v>0</v>
      </c>
      <c r="N71" s="18">
        <f t="shared" si="42"/>
        <v>0</v>
      </c>
      <c r="O71" s="18">
        <f t="shared" si="42"/>
        <v>0</v>
      </c>
      <c r="P71" s="18">
        <f t="shared" si="42"/>
        <v>0</v>
      </c>
      <c r="Q71" s="18">
        <f t="shared" si="42"/>
        <v>0</v>
      </c>
      <c r="R71" s="18">
        <f t="shared" si="42"/>
        <v>0</v>
      </c>
      <c r="S71" s="18">
        <f t="shared" si="42"/>
        <v>0</v>
      </c>
      <c r="T71" s="18">
        <f t="shared" si="42"/>
        <v>0</v>
      </c>
      <c r="U71" s="18">
        <f t="shared" si="42"/>
        <v>0</v>
      </c>
      <c r="V71" s="18">
        <f t="shared" si="42"/>
        <v>0</v>
      </c>
      <c r="W71" s="18">
        <f t="shared" si="42"/>
        <v>0</v>
      </c>
      <c r="X71" s="18">
        <f t="shared" si="42"/>
        <v>0</v>
      </c>
      <c r="Y71" s="18">
        <f t="shared" si="42"/>
        <v>0</v>
      </c>
      <c r="Z71" s="18">
        <f t="shared" si="42"/>
        <v>0</v>
      </c>
      <c r="AA71" s="18">
        <f t="shared" si="42"/>
        <v>0</v>
      </c>
      <c r="AB71" s="18">
        <f t="shared" si="42"/>
        <v>0</v>
      </c>
      <c r="AC71" s="18">
        <f t="shared" si="42"/>
        <v>0</v>
      </c>
      <c r="AD71" s="18">
        <f t="shared" si="42"/>
        <v>0</v>
      </c>
      <c r="AE71" s="18">
        <f t="shared" si="42"/>
        <v>0</v>
      </c>
      <c r="AF71" s="18">
        <f t="shared" si="42"/>
        <v>0</v>
      </c>
      <c r="AG71" s="18">
        <f t="shared" si="42"/>
        <v>0</v>
      </c>
      <c r="AH71" s="18">
        <f t="shared" si="42"/>
        <v>0</v>
      </c>
      <c r="AI71" s="18">
        <f t="shared" si="42"/>
        <v>0</v>
      </c>
      <c r="AJ71" s="18">
        <f t="shared" si="42"/>
        <v>0</v>
      </c>
      <c r="AK71" s="18">
        <f t="shared" si="42"/>
        <v>0</v>
      </c>
      <c r="AL71" s="2"/>
      <c r="AM71" s="43">
        <v>55</v>
      </c>
      <c r="AN71">
        <v>37.639966475095783</v>
      </c>
      <c r="AO71">
        <v>7.4919687467974274</v>
      </c>
      <c r="AP71">
        <v>352.99057279665544</v>
      </c>
      <c r="AQ71">
        <v>46.434890134208111</v>
      </c>
      <c r="AR71">
        <v>6.8108806789067504</v>
      </c>
      <c r="AS71">
        <v>91.664829831183866</v>
      </c>
      <c r="AT71" t="e">
        <v>#DIV/0!</v>
      </c>
      <c r="AU71" t="e">
        <v>#DIV/0!</v>
      </c>
      <c r="AV71"/>
      <c r="AW71"/>
      <c r="FY71" s="213">
        <v>66</v>
      </c>
      <c r="FZ71">
        <v>0</v>
      </c>
      <c r="GA71">
        <v>13.180870528952129</v>
      </c>
      <c r="GB71">
        <v>6.5374355299833891</v>
      </c>
      <c r="GC71">
        <v>0.45016621220616626</v>
      </c>
      <c r="GD71">
        <v>2.4228769398010161</v>
      </c>
      <c r="GE71">
        <v>4.2178356889669955</v>
      </c>
      <c r="GF71">
        <v>0</v>
      </c>
      <c r="GG71">
        <v>4.4767127591777358</v>
      </c>
      <c r="GH71">
        <v>6.3485049681500838</v>
      </c>
      <c r="GI71">
        <v>4.2722472193436385</v>
      </c>
      <c r="GJ71"/>
      <c r="GK71"/>
      <c r="GL71"/>
      <c r="GM71"/>
      <c r="GN71" s="208"/>
      <c r="GO71" s="208"/>
      <c r="GP71" s="208"/>
      <c r="GQ71" s="208"/>
      <c r="GR71" s="208"/>
      <c r="GS71" s="208"/>
      <c r="GT71" s="208"/>
      <c r="GU71" s="213">
        <v>66</v>
      </c>
    </row>
    <row r="72" spans="1:203" s="7" customFormat="1">
      <c r="A72" s="4"/>
      <c r="B72" s="66"/>
      <c r="C72" s="71">
        <f t="shared" si="39"/>
        <v>39714</v>
      </c>
      <c r="D72" s="72">
        <f t="shared" si="40"/>
        <v>85.416666666666657</v>
      </c>
      <c r="E72" s="64"/>
      <c r="F72" s="64"/>
      <c r="G72" s="18">
        <f>AVERAGE(E248:E257)</f>
        <v>0</v>
      </c>
      <c r="H72" s="18">
        <f t="shared" ref="H72:AK72" si="43">AVERAGE(F248:F257)</f>
        <v>0</v>
      </c>
      <c r="I72" s="18">
        <f t="shared" si="43"/>
        <v>0</v>
      </c>
      <c r="J72" s="18">
        <f t="shared" si="43"/>
        <v>39.583333333333329</v>
      </c>
      <c r="K72" s="18">
        <f t="shared" si="43"/>
        <v>43.75</v>
      </c>
      <c r="L72" s="18">
        <f t="shared" si="43"/>
        <v>0</v>
      </c>
      <c r="M72" s="18">
        <f t="shared" si="43"/>
        <v>0</v>
      </c>
      <c r="N72" s="18">
        <f t="shared" si="43"/>
        <v>2.083333333333333</v>
      </c>
      <c r="O72" s="18">
        <f t="shared" si="43"/>
        <v>0</v>
      </c>
      <c r="P72" s="18">
        <f t="shared" si="43"/>
        <v>0</v>
      </c>
      <c r="Q72" s="18">
        <f t="shared" si="43"/>
        <v>0</v>
      </c>
      <c r="R72" s="18">
        <f t="shared" si="43"/>
        <v>0</v>
      </c>
      <c r="S72" s="18">
        <f t="shared" si="43"/>
        <v>0</v>
      </c>
      <c r="T72" s="18">
        <f t="shared" si="43"/>
        <v>0</v>
      </c>
      <c r="U72" s="18">
        <f t="shared" si="43"/>
        <v>0</v>
      </c>
      <c r="V72" s="18">
        <f t="shared" si="43"/>
        <v>0</v>
      </c>
      <c r="W72" s="18">
        <f t="shared" si="43"/>
        <v>0</v>
      </c>
      <c r="X72" s="18">
        <f t="shared" si="43"/>
        <v>0</v>
      </c>
      <c r="Y72" s="18">
        <f t="shared" si="43"/>
        <v>0</v>
      </c>
      <c r="Z72" s="18">
        <f t="shared" si="43"/>
        <v>0</v>
      </c>
      <c r="AA72" s="18">
        <f t="shared" si="43"/>
        <v>0</v>
      </c>
      <c r="AB72" s="18">
        <f t="shared" si="43"/>
        <v>0</v>
      </c>
      <c r="AC72" s="18">
        <f t="shared" si="43"/>
        <v>0</v>
      </c>
      <c r="AD72" s="18">
        <f t="shared" si="43"/>
        <v>0</v>
      </c>
      <c r="AE72" s="18">
        <f t="shared" si="43"/>
        <v>0</v>
      </c>
      <c r="AF72" s="18">
        <f t="shared" si="43"/>
        <v>0</v>
      </c>
      <c r="AG72" s="18">
        <f t="shared" si="43"/>
        <v>0</v>
      </c>
      <c r="AH72" s="18">
        <f t="shared" si="43"/>
        <v>0</v>
      </c>
      <c r="AI72" s="18">
        <f t="shared" si="43"/>
        <v>0</v>
      </c>
      <c r="AJ72" s="18">
        <f t="shared" si="43"/>
        <v>0</v>
      </c>
      <c r="AK72" s="18">
        <f t="shared" si="43"/>
        <v>0</v>
      </c>
      <c r="AL72" s="2"/>
      <c r="AM72" s="43">
        <v>56</v>
      </c>
      <c r="AN72">
        <v>25.770183772858264</v>
      </c>
      <c r="AO72">
        <v>9.1485885162235991</v>
      </c>
      <c r="AP72">
        <v>226.07642728280888</v>
      </c>
      <c r="AQ72">
        <v>62.52439434913444</v>
      </c>
      <c r="AR72">
        <v>8.3711699219717577</v>
      </c>
      <c r="AS72">
        <v>93.348073696861647</v>
      </c>
      <c r="AT72" t="e">
        <v>#DIV/0!</v>
      </c>
      <c r="AU72" t="e">
        <v>#DIV/0!</v>
      </c>
      <c r="AV72"/>
      <c r="AW72"/>
      <c r="FY72" s="213">
        <v>67</v>
      </c>
      <c r="FZ72">
        <v>3.944920685033972</v>
      </c>
      <c r="GA72">
        <v>19.809051393841923</v>
      </c>
      <c r="GB72">
        <v>8.949664475214842</v>
      </c>
      <c r="GC72">
        <v>1.2972314702514867</v>
      </c>
      <c r="GD72">
        <v>1.2239315710743903</v>
      </c>
      <c r="GE72">
        <v>1.042818488690116</v>
      </c>
      <c r="GF72">
        <v>0.95469624988012047</v>
      </c>
      <c r="GG72">
        <v>3.5716101445797515</v>
      </c>
      <c r="GH72">
        <v>5.0375995162231906</v>
      </c>
      <c r="GI72">
        <v>4.5552469156170741</v>
      </c>
      <c r="GJ72"/>
      <c r="GK72"/>
      <c r="GL72"/>
      <c r="GM72"/>
      <c r="GN72" s="208"/>
      <c r="GO72" s="208"/>
      <c r="GP72" s="208"/>
      <c r="GQ72" s="208"/>
      <c r="GR72" s="208"/>
      <c r="GS72" s="208"/>
      <c r="GT72" s="208"/>
      <c r="GU72" s="213">
        <v>67</v>
      </c>
    </row>
    <row r="73" spans="1:203" s="7" customFormat="1">
      <c r="A73" s="4"/>
      <c r="B73" s="66"/>
      <c r="C73" s="71">
        <f t="shared" si="39"/>
        <v>39747</v>
      </c>
      <c r="D73" s="72">
        <f t="shared" si="40"/>
        <v>0</v>
      </c>
      <c r="E73" s="64"/>
      <c r="F73" s="64"/>
      <c r="G73" s="18">
        <f>AVERAGE(E258:E267)</f>
        <v>0</v>
      </c>
      <c r="H73" s="18">
        <f t="shared" ref="H73:AK73" si="44">AVERAGE(F258:F267)</f>
        <v>0</v>
      </c>
      <c r="I73" s="18">
        <f t="shared" si="44"/>
        <v>0</v>
      </c>
      <c r="J73" s="18">
        <f t="shared" si="44"/>
        <v>0</v>
      </c>
      <c r="K73" s="18">
        <f t="shared" si="44"/>
        <v>0</v>
      </c>
      <c r="L73" s="18">
        <f t="shared" si="44"/>
        <v>0</v>
      </c>
      <c r="M73" s="18">
        <f t="shared" si="44"/>
        <v>0</v>
      </c>
      <c r="N73" s="18">
        <f t="shared" si="44"/>
        <v>0</v>
      </c>
      <c r="O73" s="18">
        <f t="shared" si="44"/>
        <v>0</v>
      </c>
      <c r="P73" s="18">
        <f t="shared" si="44"/>
        <v>0</v>
      </c>
      <c r="Q73" s="18">
        <f t="shared" si="44"/>
        <v>0</v>
      </c>
      <c r="R73" s="18">
        <f t="shared" si="44"/>
        <v>0</v>
      </c>
      <c r="S73" s="18">
        <f t="shared" si="44"/>
        <v>0</v>
      </c>
      <c r="T73" s="18">
        <f t="shared" si="44"/>
        <v>0</v>
      </c>
      <c r="U73" s="18">
        <f t="shared" si="44"/>
        <v>0</v>
      </c>
      <c r="V73" s="18">
        <f t="shared" si="44"/>
        <v>0</v>
      </c>
      <c r="W73" s="18">
        <f t="shared" si="44"/>
        <v>0</v>
      </c>
      <c r="X73" s="18">
        <f t="shared" si="44"/>
        <v>0</v>
      </c>
      <c r="Y73" s="18">
        <f t="shared" si="44"/>
        <v>0</v>
      </c>
      <c r="Z73" s="18">
        <f t="shared" si="44"/>
        <v>0</v>
      </c>
      <c r="AA73" s="18">
        <f t="shared" si="44"/>
        <v>0</v>
      </c>
      <c r="AB73" s="18">
        <f t="shared" si="44"/>
        <v>0</v>
      </c>
      <c r="AC73" s="18">
        <f t="shared" si="44"/>
        <v>0</v>
      </c>
      <c r="AD73" s="18">
        <f t="shared" si="44"/>
        <v>0</v>
      </c>
      <c r="AE73" s="18">
        <f t="shared" si="44"/>
        <v>0</v>
      </c>
      <c r="AF73" s="18">
        <f t="shared" si="44"/>
        <v>0</v>
      </c>
      <c r="AG73" s="18">
        <f t="shared" si="44"/>
        <v>0</v>
      </c>
      <c r="AH73" s="18">
        <f t="shared" si="44"/>
        <v>0</v>
      </c>
      <c r="AI73" s="18">
        <f t="shared" si="44"/>
        <v>0</v>
      </c>
      <c r="AJ73" s="18">
        <f t="shared" si="44"/>
        <v>0</v>
      </c>
      <c r="AK73" s="18">
        <f t="shared" si="44"/>
        <v>0</v>
      </c>
      <c r="AL73" s="2"/>
      <c r="AM73" s="43">
        <v>57</v>
      </c>
      <c r="AN73">
        <v>28.749350439524932</v>
      </c>
      <c r="AO73">
        <v>7.708849687799729</v>
      </c>
      <c r="AP73">
        <v>230.01513457641263</v>
      </c>
      <c r="AQ73">
        <v>53.258929193843855</v>
      </c>
      <c r="AR73">
        <v>7.0623164415864199</v>
      </c>
      <c r="AS73">
        <v>95.960698812556117</v>
      </c>
      <c r="AT73" t="e">
        <v>#DIV/0!</v>
      </c>
      <c r="AU73" t="e">
        <v>#DIV/0!</v>
      </c>
      <c r="AV73"/>
      <c r="AW73"/>
      <c r="FY73" s="213">
        <v>68</v>
      </c>
      <c r="FZ73">
        <v>1.596276202757001</v>
      </c>
      <c r="GA73">
        <v>13.220853261806003</v>
      </c>
      <c r="GB73">
        <v>5.6553711826696578</v>
      </c>
      <c r="GC73">
        <v>1.3228840984277752</v>
      </c>
      <c r="GD73">
        <v>2.3276980426998444</v>
      </c>
      <c r="GE73">
        <v>2.6577318309872413</v>
      </c>
      <c r="GF73">
        <v>0</v>
      </c>
      <c r="GG73">
        <v>1.8917088020808825</v>
      </c>
      <c r="GH73">
        <v>2.6012010516395971</v>
      </c>
      <c r="GI73">
        <v>3.4758622167453046</v>
      </c>
      <c r="GJ73"/>
      <c r="GK73"/>
      <c r="GL73"/>
      <c r="GM73"/>
      <c r="GN73" s="208"/>
      <c r="GO73" s="208"/>
      <c r="GP73" s="208"/>
      <c r="GQ73" s="208"/>
      <c r="GR73" s="208"/>
      <c r="GS73" s="208"/>
      <c r="GT73" s="208"/>
      <c r="GU73" s="213">
        <v>68</v>
      </c>
    </row>
    <row r="74" spans="1:203" s="7" customFormat="1">
      <c r="A74" s="4"/>
      <c r="B74" s="66"/>
      <c r="C74" s="71">
        <f t="shared" si="39"/>
        <v>39775</v>
      </c>
      <c r="D74" s="72">
        <f t="shared" si="40"/>
        <v>111.9047619047619</v>
      </c>
      <c r="E74" s="64"/>
      <c r="F74" s="64"/>
      <c r="G74" s="18">
        <f>AVERAGE(E268:E277)</f>
        <v>0</v>
      </c>
      <c r="H74" s="18">
        <f t="shared" ref="H74:AK74" si="45">AVERAGE(F268:F277)</f>
        <v>10.416666666666668</v>
      </c>
      <c r="I74" s="18">
        <f t="shared" si="45"/>
        <v>96.279761904761898</v>
      </c>
      <c r="J74" s="18">
        <f t="shared" si="45"/>
        <v>5.2083333333333339</v>
      </c>
      <c r="K74" s="18">
        <f t="shared" si="45"/>
        <v>0</v>
      </c>
      <c r="L74" s="18">
        <f t="shared" si="45"/>
        <v>0</v>
      </c>
      <c r="M74" s="18">
        <f t="shared" si="45"/>
        <v>0</v>
      </c>
      <c r="N74" s="18">
        <f t="shared" si="45"/>
        <v>0</v>
      </c>
      <c r="O74" s="18">
        <f t="shared" si="45"/>
        <v>0</v>
      </c>
      <c r="P74" s="18">
        <f t="shared" si="45"/>
        <v>0</v>
      </c>
      <c r="Q74" s="18">
        <f t="shared" si="45"/>
        <v>0</v>
      </c>
      <c r="R74" s="18">
        <f t="shared" si="45"/>
        <v>0</v>
      </c>
      <c r="S74" s="18">
        <f t="shared" si="45"/>
        <v>0</v>
      </c>
      <c r="T74" s="18">
        <f t="shared" si="45"/>
        <v>0</v>
      </c>
      <c r="U74" s="18">
        <f t="shared" si="45"/>
        <v>0</v>
      </c>
      <c r="V74" s="18">
        <f t="shared" si="45"/>
        <v>0</v>
      </c>
      <c r="W74" s="18">
        <f t="shared" si="45"/>
        <v>0</v>
      </c>
      <c r="X74" s="18">
        <f t="shared" si="45"/>
        <v>0</v>
      </c>
      <c r="Y74" s="18">
        <f t="shared" si="45"/>
        <v>0</v>
      </c>
      <c r="Z74" s="18">
        <f t="shared" si="45"/>
        <v>0</v>
      </c>
      <c r="AA74" s="18">
        <f t="shared" si="45"/>
        <v>0</v>
      </c>
      <c r="AB74" s="18">
        <f t="shared" si="45"/>
        <v>0</v>
      </c>
      <c r="AC74" s="18">
        <f t="shared" si="45"/>
        <v>0</v>
      </c>
      <c r="AD74" s="18">
        <f t="shared" si="45"/>
        <v>0</v>
      </c>
      <c r="AE74" s="18">
        <f t="shared" si="45"/>
        <v>0</v>
      </c>
      <c r="AF74" s="18">
        <f t="shared" si="45"/>
        <v>0</v>
      </c>
      <c r="AG74" s="18">
        <f t="shared" si="45"/>
        <v>0</v>
      </c>
      <c r="AH74" s="18">
        <f t="shared" si="45"/>
        <v>0</v>
      </c>
      <c r="AI74" s="18">
        <f t="shared" si="45"/>
        <v>0</v>
      </c>
      <c r="AJ74" s="18">
        <f t="shared" si="45"/>
        <v>0</v>
      </c>
      <c r="AK74" s="18">
        <f t="shared" si="45"/>
        <v>0</v>
      </c>
      <c r="AL74" s="2"/>
      <c r="AM74" s="43">
        <v>58</v>
      </c>
      <c r="AN74">
        <v>38.81640024795405</v>
      </c>
      <c r="AO74">
        <v>6.9135723884490785</v>
      </c>
      <c r="AP74">
        <v>346.46974222122242</v>
      </c>
      <c r="AQ74">
        <v>41.071031617813347</v>
      </c>
      <c r="AR74">
        <v>6.2850658076809793</v>
      </c>
      <c r="AS74">
        <v>84.649351252677604</v>
      </c>
      <c r="AT74" t="e">
        <v>#DIV/0!</v>
      </c>
      <c r="AU74" t="e">
        <v>#DIV/0!</v>
      </c>
      <c r="AV74"/>
      <c r="AW74"/>
      <c r="FY74" s="213">
        <v>69</v>
      </c>
      <c r="FZ74">
        <v>2.1834373233262436</v>
      </c>
      <c r="GA74">
        <v>15.342444259100597</v>
      </c>
      <c r="GB74">
        <v>6.7362019537615794</v>
      </c>
      <c r="GC74">
        <v>0.84233480185380649</v>
      </c>
      <c r="GD74">
        <v>2.7917569498324522</v>
      </c>
      <c r="GE74">
        <v>4.6424151529863549</v>
      </c>
      <c r="GF74">
        <v>0.47734812494006024</v>
      </c>
      <c r="GG74">
        <v>2.2917257579058905</v>
      </c>
      <c r="GH74">
        <v>3.2445436953371196</v>
      </c>
      <c r="GI74">
        <v>4.3665547535023972</v>
      </c>
      <c r="GJ74"/>
      <c r="GK74"/>
      <c r="GL74"/>
      <c r="GM74"/>
      <c r="GN74" s="208"/>
      <c r="GO74" s="208"/>
      <c r="GP74" s="208"/>
      <c r="GQ74" s="208"/>
      <c r="GR74" s="208"/>
      <c r="GS74" s="208"/>
      <c r="GT74" s="208"/>
      <c r="GU74" s="213">
        <v>69</v>
      </c>
    </row>
    <row r="75" spans="1:203" s="7" customFormat="1">
      <c r="A75" s="4"/>
      <c r="B75" s="66"/>
      <c r="C75" s="71">
        <f t="shared" si="39"/>
        <v>39799</v>
      </c>
      <c r="D75" s="72">
        <f t="shared" si="40"/>
        <v>15.624999999999996</v>
      </c>
      <c r="E75" s="64"/>
      <c r="F75" s="64"/>
      <c r="G75" s="18">
        <f>AVERAGE(E278:E287)</f>
        <v>2.083333333333333</v>
      </c>
      <c r="H75" s="18">
        <f t="shared" ref="H75:AK75" si="46">AVERAGE(F278:F287)</f>
        <v>2.083333333333333</v>
      </c>
      <c r="I75" s="18">
        <f t="shared" si="46"/>
        <v>3.125</v>
      </c>
      <c r="J75" s="18">
        <f t="shared" si="46"/>
        <v>0</v>
      </c>
      <c r="K75" s="18">
        <f t="shared" si="46"/>
        <v>0</v>
      </c>
      <c r="L75" s="18">
        <f t="shared" si="46"/>
        <v>4.1666666666666661</v>
      </c>
      <c r="M75" s="18">
        <f t="shared" si="46"/>
        <v>2.083333333333333</v>
      </c>
      <c r="N75" s="18">
        <f t="shared" si="46"/>
        <v>2.083333333333333</v>
      </c>
      <c r="O75" s="18">
        <f t="shared" si="46"/>
        <v>0</v>
      </c>
      <c r="P75" s="18">
        <f t="shared" si="46"/>
        <v>0</v>
      </c>
      <c r="Q75" s="18">
        <f t="shared" si="46"/>
        <v>0</v>
      </c>
      <c r="R75" s="18">
        <f t="shared" si="46"/>
        <v>0</v>
      </c>
      <c r="S75" s="18">
        <f t="shared" si="46"/>
        <v>0</v>
      </c>
      <c r="T75" s="18">
        <f t="shared" si="46"/>
        <v>0</v>
      </c>
      <c r="U75" s="18">
        <f t="shared" si="46"/>
        <v>0</v>
      </c>
      <c r="V75" s="18">
        <f t="shared" si="46"/>
        <v>0</v>
      </c>
      <c r="W75" s="18">
        <f t="shared" si="46"/>
        <v>0</v>
      </c>
      <c r="X75" s="18">
        <f t="shared" si="46"/>
        <v>0</v>
      </c>
      <c r="Y75" s="18">
        <f t="shared" si="46"/>
        <v>0</v>
      </c>
      <c r="Z75" s="18">
        <f t="shared" si="46"/>
        <v>0</v>
      </c>
      <c r="AA75" s="18">
        <f t="shared" si="46"/>
        <v>0</v>
      </c>
      <c r="AB75" s="18">
        <f t="shared" si="46"/>
        <v>0</v>
      </c>
      <c r="AC75" s="18">
        <f t="shared" si="46"/>
        <v>0</v>
      </c>
      <c r="AD75" s="18">
        <f t="shared" si="46"/>
        <v>0</v>
      </c>
      <c r="AE75" s="18">
        <f t="shared" si="46"/>
        <v>0</v>
      </c>
      <c r="AF75" s="18">
        <f t="shared" si="46"/>
        <v>0</v>
      </c>
      <c r="AG75" s="18">
        <f t="shared" si="46"/>
        <v>0</v>
      </c>
      <c r="AH75" s="18">
        <f t="shared" si="46"/>
        <v>0</v>
      </c>
      <c r="AI75" s="18">
        <f t="shared" si="46"/>
        <v>0</v>
      </c>
      <c r="AJ75" s="18">
        <f t="shared" si="46"/>
        <v>0</v>
      </c>
      <c r="AK75" s="18">
        <f t="shared" si="46"/>
        <v>0</v>
      </c>
      <c r="AL75" s="2"/>
      <c r="AM75" s="43">
        <v>59</v>
      </c>
      <c r="AN75">
        <v>25.695693488238668</v>
      </c>
      <c r="AO75">
        <v>7.9529263200360107</v>
      </c>
      <c r="AP75">
        <v>139.03150331759184</v>
      </c>
      <c r="AQ75">
        <v>58.238818522522031</v>
      </c>
      <c r="AR75">
        <v>7.3927468307927358</v>
      </c>
      <c r="AS75">
        <v>78.698396675408404</v>
      </c>
      <c r="AT75" t="e">
        <v>#DIV/0!</v>
      </c>
      <c r="AU75" t="e">
        <v>#DIV/0!</v>
      </c>
      <c r="AV75"/>
      <c r="AW75"/>
      <c r="FY75" s="213">
        <v>70</v>
      </c>
      <c r="FZ75">
        <v>0.58716112056924263</v>
      </c>
      <c r="GA75">
        <v>6.7089611929636899</v>
      </c>
      <c r="GB75">
        <v>3.3037929981957546</v>
      </c>
      <c r="GC75">
        <v>0.83495502788321374</v>
      </c>
      <c r="GD75">
        <v>1.7351438455829533</v>
      </c>
      <c r="GE75">
        <v>2.5099068834716127</v>
      </c>
      <c r="GF75">
        <v>0.47734812494006024</v>
      </c>
      <c r="GG75">
        <v>1.6799013424988689</v>
      </c>
      <c r="GH75">
        <v>2.436398464583593</v>
      </c>
      <c r="GI75">
        <v>2.4874824621891314</v>
      </c>
      <c r="GJ75"/>
      <c r="GK75"/>
      <c r="GL75"/>
      <c r="GM75"/>
      <c r="GN75" s="208"/>
      <c r="GO75" s="208"/>
      <c r="GP75" s="208"/>
      <c r="GQ75" s="208"/>
      <c r="GR75" s="208"/>
      <c r="GS75" s="208"/>
      <c r="GT75" s="208"/>
      <c r="GU75" s="213">
        <v>70</v>
      </c>
    </row>
    <row r="76" spans="1:203" s="7" customFormat="1">
      <c r="A76" s="4"/>
      <c r="B76" s="66"/>
      <c r="C76" s="71">
        <f t="shared" si="39"/>
        <v>39847</v>
      </c>
      <c r="D76" s="72">
        <f>SUM(G76:AK76)</f>
        <v>2.083333333333333</v>
      </c>
      <c r="E76" s="64"/>
      <c r="F76" s="64"/>
      <c r="G76" s="18">
        <f>AVERAGE(E288:E297)</f>
        <v>0</v>
      </c>
      <c r="H76" s="18">
        <f t="shared" ref="H76:AK76" si="47">AVERAGE(F288:F297)</f>
        <v>0</v>
      </c>
      <c r="I76" s="18">
        <f t="shared" si="47"/>
        <v>0</v>
      </c>
      <c r="J76" s="18">
        <f t="shared" si="47"/>
        <v>0</v>
      </c>
      <c r="K76" s="18">
        <f t="shared" si="47"/>
        <v>0</v>
      </c>
      <c r="L76" s="18">
        <f t="shared" si="47"/>
        <v>0</v>
      </c>
      <c r="M76" s="18">
        <f t="shared" si="47"/>
        <v>2.083333333333333</v>
      </c>
      <c r="N76" s="18">
        <f t="shared" si="47"/>
        <v>0</v>
      </c>
      <c r="O76" s="18">
        <f t="shared" si="47"/>
        <v>0</v>
      </c>
      <c r="P76" s="18">
        <f t="shared" si="47"/>
        <v>0</v>
      </c>
      <c r="Q76" s="18">
        <f t="shared" si="47"/>
        <v>0</v>
      </c>
      <c r="R76" s="18">
        <f t="shared" si="47"/>
        <v>0</v>
      </c>
      <c r="S76" s="18">
        <f t="shared" si="47"/>
        <v>0</v>
      </c>
      <c r="T76" s="18">
        <f t="shared" si="47"/>
        <v>0</v>
      </c>
      <c r="U76" s="18">
        <f t="shared" si="47"/>
        <v>0</v>
      </c>
      <c r="V76" s="18">
        <f t="shared" si="47"/>
        <v>0</v>
      </c>
      <c r="W76" s="18">
        <f t="shared" si="47"/>
        <v>0</v>
      </c>
      <c r="X76" s="18">
        <f t="shared" si="47"/>
        <v>0</v>
      </c>
      <c r="Y76" s="18">
        <f t="shared" si="47"/>
        <v>0</v>
      </c>
      <c r="Z76" s="18">
        <f t="shared" si="47"/>
        <v>0</v>
      </c>
      <c r="AA76" s="18">
        <f t="shared" si="47"/>
        <v>0</v>
      </c>
      <c r="AB76" s="18">
        <f t="shared" si="47"/>
        <v>0</v>
      </c>
      <c r="AC76" s="18">
        <f t="shared" si="47"/>
        <v>0</v>
      </c>
      <c r="AD76" s="18">
        <f t="shared" si="47"/>
        <v>0</v>
      </c>
      <c r="AE76" s="18">
        <f t="shared" si="47"/>
        <v>0</v>
      </c>
      <c r="AF76" s="18">
        <f t="shared" si="47"/>
        <v>0</v>
      </c>
      <c r="AG76" s="18">
        <f t="shared" si="47"/>
        <v>0</v>
      </c>
      <c r="AH76" s="18">
        <f t="shared" si="47"/>
        <v>0</v>
      </c>
      <c r="AI76" s="18">
        <f t="shared" si="47"/>
        <v>0</v>
      </c>
      <c r="AJ76" s="18">
        <f t="shared" si="47"/>
        <v>0</v>
      </c>
      <c r="AK76" s="18">
        <f t="shared" si="47"/>
        <v>0</v>
      </c>
      <c r="AL76" s="2"/>
      <c r="AM76" s="43">
        <v>60</v>
      </c>
      <c r="AN76">
        <v>34.522321428571431</v>
      </c>
      <c r="AO76">
        <v>10.125799954334221</v>
      </c>
      <c r="AP76">
        <v>265.08969279263954</v>
      </c>
      <c r="AQ76">
        <v>66.743007753919116</v>
      </c>
      <c r="AR76">
        <v>9.2052726857583806</v>
      </c>
      <c r="AS76">
        <v>115.88495466848144</v>
      </c>
      <c r="AT76" t="e">
        <v>#DIV/0!</v>
      </c>
      <c r="AU76" t="e">
        <v>#DIV/0!</v>
      </c>
      <c r="AV76"/>
      <c r="AW76"/>
      <c r="FY76" s="213">
        <v>71</v>
      </c>
      <c r="FZ76">
        <v>0</v>
      </c>
      <c r="GA76">
        <v>10.864598604824058</v>
      </c>
      <c r="GB76">
        <v>5.4573407329574062</v>
      </c>
      <c r="GC76">
        <v>2.5756603441349175</v>
      </c>
      <c r="GD76">
        <v>2.6986316362632889</v>
      </c>
      <c r="GE76">
        <v>1.4577584293019186</v>
      </c>
      <c r="GF76">
        <v>0</v>
      </c>
      <c r="GG76">
        <v>5.5431196325835081</v>
      </c>
      <c r="GH76">
        <v>7.8603959439878439</v>
      </c>
      <c r="GI76">
        <v>4.2583967437410664</v>
      </c>
      <c r="GJ76"/>
      <c r="GK76"/>
      <c r="GL76"/>
      <c r="GM76"/>
      <c r="GN76" s="208"/>
      <c r="GO76" s="208"/>
      <c r="GP76" s="208"/>
      <c r="GQ76" s="208"/>
      <c r="GR76" s="208"/>
      <c r="GS76" s="208"/>
      <c r="GT76" s="208"/>
      <c r="GU76" s="213">
        <v>71</v>
      </c>
    </row>
    <row r="77" spans="1:203" s="7" customFormat="1">
      <c r="A77" s="4"/>
      <c r="B77" s="66"/>
      <c r="C77" s="71">
        <f t="shared" si="39"/>
        <v>39910</v>
      </c>
      <c r="D77" s="72">
        <f>SUM(G77:AK77)</f>
        <v>0</v>
      </c>
      <c r="E77" s="64"/>
      <c r="F77" s="64"/>
      <c r="G77" s="18">
        <f>AVERAGE(E298:E307)</f>
        <v>0</v>
      </c>
      <c r="H77" s="18">
        <f t="shared" ref="H77:AK77" si="48">AVERAGE(F298:F307)</f>
        <v>0</v>
      </c>
      <c r="I77" s="18">
        <f t="shared" si="48"/>
        <v>0</v>
      </c>
      <c r="J77" s="18">
        <f t="shared" si="48"/>
        <v>0</v>
      </c>
      <c r="K77" s="18">
        <f t="shared" si="48"/>
        <v>0</v>
      </c>
      <c r="L77" s="18">
        <f t="shared" si="48"/>
        <v>0</v>
      </c>
      <c r="M77" s="18">
        <f t="shared" si="48"/>
        <v>0</v>
      </c>
      <c r="N77" s="18">
        <f t="shared" si="48"/>
        <v>0</v>
      </c>
      <c r="O77" s="18">
        <f t="shared" si="48"/>
        <v>0</v>
      </c>
      <c r="P77" s="18">
        <f t="shared" si="48"/>
        <v>0</v>
      </c>
      <c r="Q77" s="18">
        <f t="shared" si="48"/>
        <v>0</v>
      </c>
      <c r="R77" s="18">
        <f t="shared" si="48"/>
        <v>0</v>
      </c>
      <c r="S77" s="18">
        <f t="shared" si="48"/>
        <v>0</v>
      </c>
      <c r="T77" s="18">
        <f t="shared" si="48"/>
        <v>0</v>
      </c>
      <c r="U77" s="18">
        <f t="shared" si="48"/>
        <v>0</v>
      </c>
      <c r="V77" s="18">
        <f t="shared" si="48"/>
        <v>0</v>
      </c>
      <c r="W77" s="18">
        <f t="shared" si="48"/>
        <v>0</v>
      </c>
      <c r="X77" s="18">
        <f t="shared" si="48"/>
        <v>0</v>
      </c>
      <c r="Y77" s="18">
        <f t="shared" si="48"/>
        <v>0</v>
      </c>
      <c r="Z77" s="18">
        <f t="shared" si="48"/>
        <v>0</v>
      </c>
      <c r="AA77" s="18">
        <f t="shared" si="48"/>
        <v>0</v>
      </c>
      <c r="AB77" s="18">
        <f t="shared" si="48"/>
        <v>0</v>
      </c>
      <c r="AC77" s="18">
        <f t="shared" si="48"/>
        <v>0</v>
      </c>
      <c r="AD77" s="18">
        <f t="shared" si="48"/>
        <v>0</v>
      </c>
      <c r="AE77" s="18">
        <f t="shared" si="48"/>
        <v>0</v>
      </c>
      <c r="AF77" s="18">
        <f t="shared" si="48"/>
        <v>0</v>
      </c>
      <c r="AG77" s="18">
        <f t="shared" si="48"/>
        <v>0</v>
      </c>
      <c r="AH77" s="18">
        <f t="shared" si="48"/>
        <v>0</v>
      </c>
      <c r="AI77" s="18">
        <f t="shared" si="48"/>
        <v>0</v>
      </c>
      <c r="AJ77" s="18">
        <f t="shared" si="48"/>
        <v>0</v>
      </c>
      <c r="AK77" s="18">
        <f t="shared" si="48"/>
        <v>0</v>
      </c>
      <c r="AL77" s="2"/>
      <c r="AM77" s="43">
        <v>61</v>
      </c>
      <c r="AN77">
        <v>19.992730569239189</v>
      </c>
      <c r="AO77">
        <v>5.0795217891044153</v>
      </c>
      <c r="AP77">
        <v>272.84164165580626</v>
      </c>
      <c r="AQ77">
        <v>35.909380426209253</v>
      </c>
      <c r="AR77">
        <v>4.6720183518634073</v>
      </c>
      <c r="AS77">
        <v>49.33937980837225</v>
      </c>
      <c r="AT77" t="e">
        <v>#DIV/0!</v>
      </c>
      <c r="AU77" t="e">
        <v>#DIV/0!</v>
      </c>
      <c r="AV77"/>
      <c r="AW77"/>
      <c r="FY77" s="213">
        <v>72</v>
      </c>
      <c r="FZ77">
        <v>4.7888286082710039</v>
      </c>
      <c r="GA77">
        <v>26.157907191022844</v>
      </c>
      <c r="GB77">
        <v>10.228525696019016</v>
      </c>
      <c r="GC77">
        <v>0.60987192178013072</v>
      </c>
      <c r="GD77">
        <v>2.2216581119571259</v>
      </c>
      <c r="GE77">
        <v>3.549093799661776</v>
      </c>
      <c r="GF77">
        <v>0</v>
      </c>
      <c r="GG77">
        <v>6.7162652626233239</v>
      </c>
      <c r="GH77">
        <v>9.5128693423497594</v>
      </c>
      <c r="GI77">
        <v>6.1225690480999679</v>
      </c>
      <c r="GJ77"/>
      <c r="GK77"/>
      <c r="GL77"/>
      <c r="GM77"/>
      <c r="GN77" s="208"/>
      <c r="GO77" s="208"/>
      <c r="GP77" s="208"/>
      <c r="GQ77" s="208"/>
      <c r="GR77" s="208"/>
      <c r="GS77" s="208"/>
      <c r="GT77" s="208"/>
      <c r="GU77" s="213">
        <v>72</v>
      </c>
    </row>
    <row r="78" spans="1:203" s="7" customFormat="1">
      <c r="A78" s="4"/>
      <c r="B78" s="66"/>
      <c r="C78" s="71">
        <f t="shared" si="39"/>
        <v>39949</v>
      </c>
      <c r="D78" s="72">
        <f>SUM(G78:AK78)</f>
        <v>15.098180076628349</v>
      </c>
      <c r="E78" s="64"/>
      <c r="F78" s="64"/>
      <c r="G78" s="18">
        <f>AVERAGE(E308:E317)</f>
        <v>0</v>
      </c>
      <c r="H78" s="18">
        <f t="shared" ref="H78:AK78" si="49">AVERAGE(F308:F317)</f>
        <v>0</v>
      </c>
      <c r="I78" s="18">
        <f t="shared" si="49"/>
        <v>7.0282567049808424</v>
      </c>
      <c r="J78" s="18">
        <f t="shared" si="49"/>
        <v>5.9865900383141755</v>
      </c>
      <c r="K78" s="18">
        <f t="shared" si="49"/>
        <v>0</v>
      </c>
      <c r="L78" s="18">
        <f t="shared" si="49"/>
        <v>0</v>
      </c>
      <c r="M78" s="18">
        <f t="shared" si="49"/>
        <v>0</v>
      </c>
      <c r="N78" s="18">
        <f t="shared" si="49"/>
        <v>0</v>
      </c>
      <c r="O78" s="18">
        <f t="shared" si="49"/>
        <v>2.083333333333333</v>
      </c>
      <c r="P78" s="18">
        <f t="shared" si="49"/>
        <v>0</v>
      </c>
      <c r="Q78" s="18">
        <f t="shared" si="49"/>
        <v>0</v>
      </c>
      <c r="R78" s="18">
        <f t="shared" si="49"/>
        <v>0</v>
      </c>
      <c r="S78" s="18">
        <f t="shared" si="49"/>
        <v>0</v>
      </c>
      <c r="T78" s="18">
        <f t="shared" si="49"/>
        <v>0</v>
      </c>
      <c r="U78" s="18">
        <f t="shared" si="49"/>
        <v>0</v>
      </c>
      <c r="V78" s="18">
        <f t="shared" si="49"/>
        <v>0</v>
      </c>
      <c r="W78" s="18">
        <f t="shared" si="49"/>
        <v>0</v>
      </c>
      <c r="X78" s="18">
        <f t="shared" si="49"/>
        <v>0</v>
      </c>
      <c r="Y78" s="18">
        <f t="shared" si="49"/>
        <v>0</v>
      </c>
      <c r="Z78" s="18">
        <f t="shared" si="49"/>
        <v>0</v>
      </c>
      <c r="AA78" s="18">
        <f t="shared" si="49"/>
        <v>0</v>
      </c>
      <c r="AB78" s="18">
        <f t="shared" si="49"/>
        <v>0</v>
      </c>
      <c r="AC78" s="18">
        <f t="shared" si="49"/>
        <v>0</v>
      </c>
      <c r="AD78" s="18">
        <f t="shared" si="49"/>
        <v>0</v>
      </c>
      <c r="AE78" s="18">
        <f t="shared" si="49"/>
        <v>0</v>
      </c>
      <c r="AF78" s="18">
        <f t="shared" si="49"/>
        <v>0</v>
      </c>
      <c r="AG78" s="18">
        <f t="shared" si="49"/>
        <v>0</v>
      </c>
      <c r="AH78" s="18">
        <f t="shared" si="49"/>
        <v>0</v>
      </c>
      <c r="AI78" s="18">
        <f t="shared" si="49"/>
        <v>0</v>
      </c>
      <c r="AJ78" s="18">
        <f t="shared" si="49"/>
        <v>0</v>
      </c>
      <c r="AK78" s="18">
        <f t="shared" si="49"/>
        <v>0</v>
      </c>
      <c r="AL78" s="2"/>
      <c r="AM78" s="43">
        <v>62</v>
      </c>
      <c r="AN78">
        <v>29.000360019717618</v>
      </c>
      <c r="AO78">
        <v>6.9786364839732382</v>
      </c>
      <c r="AP78">
        <v>252.4788217606544</v>
      </c>
      <c r="AQ78">
        <v>45.977140823419958</v>
      </c>
      <c r="AR78">
        <v>6.3442149854302166</v>
      </c>
      <c r="AS78">
        <v>80.323520716790625</v>
      </c>
      <c r="AT78" t="e">
        <v>#DIV/0!</v>
      </c>
      <c r="AU78" t="e">
        <v>#DIV/0!</v>
      </c>
      <c r="AV78"/>
      <c r="AW78"/>
      <c r="FY78" s="213">
        <v>73</v>
      </c>
      <c r="FZ78">
        <v>0.58716112056924263</v>
      </c>
      <c r="GA78">
        <v>11.651852732312173</v>
      </c>
      <c r="GB78">
        <v>5.7650217730259037</v>
      </c>
      <c r="GC78">
        <v>1.1631783888538108</v>
      </c>
      <c r="GD78">
        <v>2.8792499603886426</v>
      </c>
      <c r="GE78">
        <v>4.0278216836473</v>
      </c>
      <c r="GF78">
        <v>0</v>
      </c>
      <c r="GG78">
        <v>2.5035332174879037</v>
      </c>
      <c r="GH78">
        <v>3.4093462823931233</v>
      </c>
      <c r="GI78">
        <v>3.8736493683387452</v>
      </c>
      <c r="GJ78"/>
      <c r="GK78"/>
      <c r="GL78"/>
      <c r="GM78"/>
      <c r="GN78" s="208"/>
      <c r="GO78" s="208"/>
      <c r="GP78" s="208"/>
      <c r="GQ78" s="208"/>
      <c r="GR78" s="208"/>
      <c r="GS78" s="208"/>
      <c r="GT78" s="208"/>
      <c r="GU78" s="213">
        <v>73</v>
      </c>
    </row>
    <row r="79" spans="1:203" s="7" customFormat="1">
      <c r="A79" s="4"/>
      <c r="B79" s="66"/>
      <c r="C79" s="71">
        <f t="shared" si="39"/>
        <v>39987</v>
      </c>
      <c r="D79" s="72">
        <f>SUM(G79:AK79)</f>
        <v>0</v>
      </c>
      <c r="E79" s="64"/>
      <c r="F79" s="64"/>
      <c r="G79" s="18">
        <f>AVERAGE(E318:E327)</f>
        <v>0</v>
      </c>
      <c r="H79" s="18">
        <f t="shared" ref="H79:AK79" si="50">AVERAGE(F318:F327)</f>
        <v>0</v>
      </c>
      <c r="I79" s="18">
        <f t="shared" si="50"/>
        <v>0</v>
      </c>
      <c r="J79" s="18">
        <f t="shared" si="50"/>
        <v>0</v>
      </c>
      <c r="K79" s="18">
        <f t="shared" si="50"/>
        <v>0</v>
      </c>
      <c r="L79" s="18">
        <f t="shared" si="50"/>
        <v>0</v>
      </c>
      <c r="M79" s="18">
        <f t="shared" si="50"/>
        <v>0</v>
      </c>
      <c r="N79" s="18">
        <f t="shared" si="50"/>
        <v>0</v>
      </c>
      <c r="O79" s="18">
        <f t="shared" si="50"/>
        <v>0</v>
      </c>
      <c r="P79" s="18">
        <f t="shared" si="50"/>
        <v>0</v>
      </c>
      <c r="Q79" s="18">
        <f t="shared" si="50"/>
        <v>0</v>
      </c>
      <c r="R79" s="18">
        <f t="shared" si="50"/>
        <v>0</v>
      </c>
      <c r="S79" s="18">
        <f t="shared" si="50"/>
        <v>0</v>
      </c>
      <c r="T79" s="18">
        <f t="shared" si="50"/>
        <v>0</v>
      </c>
      <c r="U79" s="18">
        <f t="shared" si="50"/>
        <v>0</v>
      </c>
      <c r="V79" s="18">
        <f t="shared" si="50"/>
        <v>0</v>
      </c>
      <c r="W79" s="18">
        <f t="shared" si="50"/>
        <v>0</v>
      </c>
      <c r="X79" s="18">
        <f t="shared" si="50"/>
        <v>0</v>
      </c>
      <c r="Y79" s="18">
        <f t="shared" si="50"/>
        <v>0</v>
      </c>
      <c r="Z79" s="18">
        <f t="shared" si="50"/>
        <v>0</v>
      </c>
      <c r="AA79" s="18">
        <f t="shared" si="50"/>
        <v>0</v>
      </c>
      <c r="AB79" s="18">
        <f t="shared" si="50"/>
        <v>0</v>
      </c>
      <c r="AC79" s="18">
        <f t="shared" si="50"/>
        <v>0</v>
      </c>
      <c r="AD79" s="18">
        <f t="shared" si="50"/>
        <v>0</v>
      </c>
      <c r="AE79" s="18">
        <f t="shared" si="50"/>
        <v>0</v>
      </c>
      <c r="AF79" s="18">
        <f t="shared" si="50"/>
        <v>0</v>
      </c>
      <c r="AG79" s="18">
        <f t="shared" si="50"/>
        <v>0</v>
      </c>
      <c r="AH79" s="18">
        <f t="shared" si="50"/>
        <v>0</v>
      </c>
      <c r="AI79" s="18">
        <f t="shared" si="50"/>
        <v>0</v>
      </c>
      <c r="AJ79" s="18">
        <f t="shared" si="50"/>
        <v>0</v>
      </c>
      <c r="AK79" s="18">
        <f t="shared" si="50"/>
        <v>0</v>
      </c>
      <c r="AL79" s="2"/>
      <c r="AM79" s="43">
        <v>63</v>
      </c>
      <c r="AN79">
        <v>21.697456080479551</v>
      </c>
      <c r="AO79">
        <v>5.3929520685042212</v>
      </c>
      <c r="AP79">
        <v>125.65158525884583</v>
      </c>
      <c r="AQ79">
        <v>34.800483268832124</v>
      </c>
      <c r="AR79">
        <v>5.0112262403589884</v>
      </c>
      <c r="AS79">
        <v>65.015604910117901</v>
      </c>
      <c r="AT79" t="e">
        <v>#DIV/0!</v>
      </c>
      <c r="AU79" t="e">
        <v>#DIV/0!</v>
      </c>
      <c r="AV79"/>
      <c r="AW79"/>
      <c r="FY79" s="213">
        <v>74</v>
      </c>
      <c r="FZ79">
        <v>0.58716112056924263</v>
      </c>
      <c r="GA79">
        <v>12.866048572979501</v>
      </c>
      <c r="GB79">
        <v>6.2875474043121846</v>
      </c>
      <c r="GC79">
        <v>0.75746740119198852</v>
      </c>
      <c r="GD79">
        <v>1.734095935092022</v>
      </c>
      <c r="GE79">
        <v>2.3358213364054454</v>
      </c>
      <c r="GF79">
        <v>0</v>
      </c>
      <c r="GG79">
        <v>6.0751433620676556</v>
      </c>
      <c r="GH79">
        <v>8.4469457986163121</v>
      </c>
      <c r="GI79">
        <v>4.1338993627214169</v>
      </c>
      <c r="GJ79"/>
      <c r="GK79"/>
      <c r="GL79"/>
      <c r="GM79"/>
      <c r="GN79" s="208"/>
      <c r="GO79" s="208"/>
      <c r="GP79" s="208"/>
      <c r="GQ79" s="208"/>
      <c r="GR79" s="208"/>
      <c r="GS79" s="208"/>
      <c r="GT79" s="208"/>
      <c r="GU79" s="213">
        <v>74</v>
      </c>
    </row>
    <row r="80" spans="1:203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37.261169678714865</v>
      </c>
      <c r="AO80">
        <v>7.0774564620445348</v>
      </c>
      <c r="AP80">
        <v>370.81689413656522</v>
      </c>
      <c r="AQ80">
        <v>44.621215302159627</v>
      </c>
      <c r="AR80">
        <v>6.5425938708501814</v>
      </c>
      <c r="AS80">
        <v>87.042959850425802</v>
      </c>
      <c r="AT80" t="e">
        <v>#DIV/0!</v>
      </c>
      <c r="AU80" t="e">
        <v>#DIV/0!</v>
      </c>
      <c r="AV80"/>
      <c r="AW80"/>
      <c r="FY80" s="213">
        <v>75</v>
      </c>
      <c r="FZ80">
        <v>5.3759897288402456</v>
      </c>
      <c r="GA80">
        <v>20.012265837173487</v>
      </c>
      <c r="GB80">
        <v>7.1556554564806394</v>
      </c>
      <c r="GC80">
        <v>0.68735954847135594</v>
      </c>
      <c r="GD80">
        <v>1.2131450267545414</v>
      </c>
      <c r="GE80">
        <v>1.3899874070050173</v>
      </c>
      <c r="GF80">
        <v>0</v>
      </c>
      <c r="GG80">
        <v>2.3967944608538589</v>
      </c>
      <c r="GH80">
        <v>3.2687638598689679</v>
      </c>
      <c r="GI80">
        <v>3.8840862123145108</v>
      </c>
      <c r="GJ80"/>
      <c r="GK80"/>
      <c r="GL80"/>
      <c r="GM80"/>
      <c r="GN80" s="208"/>
      <c r="GO80" s="208"/>
      <c r="GP80" s="208"/>
      <c r="GQ80" s="208"/>
      <c r="GR80" s="208"/>
      <c r="GS80" s="208"/>
      <c r="GT80" s="208"/>
      <c r="GU80" s="213">
        <v>75</v>
      </c>
    </row>
    <row r="81" spans="1:203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34.574679258907551</v>
      </c>
      <c r="AO81">
        <v>7.9940777328462049</v>
      </c>
      <c r="AP81">
        <v>161.36564503122855</v>
      </c>
      <c r="AQ81">
        <v>60.480472531482775</v>
      </c>
      <c r="AR81">
        <v>7.2673433934965503</v>
      </c>
      <c r="AS81">
        <v>87.523411320056582</v>
      </c>
      <c r="AT81" t="e">
        <v>#DIV/0!</v>
      </c>
      <c r="AU81" t="e">
        <v>#DIV/0!</v>
      </c>
      <c r="AV81"/>
      <c r="AW81"/>
      <c r="FY81" s="213">
        <v>76</v>
      </c>
      <c r="FZ81">
        <v>1.596276202757001</v>
      </c>
      <c r="GA81">
        <v>13.93418952338841</v>
      </c>
      <c r="GB81">
        <v>5.973287902454663</v>
      </c>
      <c r="GC81">
        <v>2.5756603441349175</v>
      </c>
      <c r="GD81">
        <v>2.4478520003764537</v>
      </c>
      <c r="GE81">
        <v>0.94583392940042799</v>
      </c>
      <c r="GF81">
        <v>0</v>
      </c>
      <c r="GG81">
        <v>1.5731625858648244</v>
      </c>
      <c r="GH81">
        <v>2.295816042059438</v>
      </c>
      <c r="GI81">
        <v>3.5354782952324855</v>
      </c>
      <c r="GJ81"/>
      <c r="GK81"/>
      <c r="GL81"/>
      <c r="GM81"/>
      <c r="GN81" s="208"/>
      <c r="GO81" s="208"/>
      <c r="GP81" s="208"/>
      <c r="GQ81" s="208"/>
      <c r="GR81" s="208"/>
      <c r="GS81" s="208"/>
      <c r="GT81" s="208"/>
      <c r="GU81" s="213">
        <v>76</v>
      </c>
    </row>
    <row r="82" spans="1:203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19.451816914620714</v>
      </c>
      <c r="AO82">
        <v>6.8545515018740613</v>
      </c>
      <c r="AP82">
        <v>292.21604381049673</v>
      </c>
      <c r="AQ82">
        <v>41.906649846581161</v>
      </c>
      <c r="AR82">
        <v>6.2314104562491455</v>
      </c>
      <c r="AS82">
        <v>68.502434479463588</v>
      </c>
      <c r="AT82" t="e">
        <v>#DIV/0!</v>
      </c>
      <c r="AU82" t="e">
        <v>#DIV/0!</v>
      </c>
      <c r="AV82"/>
      <c r="AW82"/>
      <c r="FY82" s="213">
        <v>77</v>
      </c>
      <c r="FZ82">
        <v>3.192552405514002</v>
      </c>
      <c r="GA82">
        <v>16.724357654835739</v>
      </c>
      <c r="GB82">
        <v>6.3481981650697374</v>
      </c>
      <c r="GC82">
        <v>1.2972314702514867</v>
      </c>
      <c r="GD82">
        <v>1.0649608026610946</v>
      </c>
      <c r="GE82">
        <v>0.42822501935106161</v>
      </c>
      <c r="GF82">
        <v>0.47734812494006024</v>
      </c>
      <c r="GG82">
        <v>2.6102719741219484</v>
      </c>
      <c r="GH82">
        <v>3.5499287049172779</v>
      </c>
      <c r="GI82">
        <v>3.3812490386638125</v>
      </c>
      <c r="GJ82"/>
      <c r="GK82"/>
      <c r="GL82"/>
      <c r="GM82"/>
      <c r="GN82" s="208"/>
      <c r="GO82" s="208"/>
      <c r="GP82" s="208"/>
      <c r="GQ82" s="208"/>
      <c r="GR82" s="208"/>
      <c r="GS82" s="208"/>
      <c r="GT82" s="208"/>
      <c r="GU82" s="213">
        <v>77</v>
      </c>
    </row>
    <row r="83" spans="1:203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28.099720309810664</v>
      </c>
      <c r="AO83">
        <v>6.8828429842981533</v>
      </c>
      <c r="AP83">
        <v>137.87766310820962</v>
      </c>
      <c r="AQ83">
        <v>50.386770910406867</v>
      </c>
      <c r="AR83">
        <v>6.4742150691631686</v>
      </c>
      <c r="AS83">
        <v>80.968382710620816</v>
      </c>
      <c r="AT83" t="e">
        <v>#DIV/0!</v>
      </c>
      <c r="AU83" t="e">
        <v>#DIV/0!</v>
      </c>
      <c r="AV83"/>
      <c r="AW83"/>
      <c r="FY83" s="213">
        <v>78</v>
      </c>
      <c r="FZ83">
        <v>0.58716112056924263</v>
      </c>
      <c r="GA83">
        <v>17.278521945663371</v>
      </c>
      <c r="GB83">
        <v>8.6135183624819529</v>
      </c>
      <c r="GC83">
        <v>0.22508310610308313</v>
      </c>
      <c r="GD83">
        <v>2.2920018134117672</v>
      </c>
      <c r="GE83">
        <v>4.8806261670177209</v>
      </c>
      <c r="GF83">
        <v>0.95469624988012047</v>
      </c>
      <c r="GG83">
        <v>5.0070664349758074</v>
      </c>
      <c r="GH83">
        <v>6.8186925647862466</v>
      </c>
      <c r="GI83">
        <v>4.9262969413158331</v>
      </c>
      <c r="GJ83"/>
      <c r="GK83"/>
      <c r="GL83"/>
      <c r="GM83"/>
      <c r="GN83" s="208"/>
      <c r="GO83" s="208"/>
      <c r="GP83" s="208"/>
      <c r="GQ83" s="208"/>
      <c r="GR83" s="208"/>
      <c r="GS83" s="208"/>
      <c r="GT83" s="208"/>
      <c r="GU83" s="213">
        <v>78</v>
      </c>
    </row>
    <row r="84" spans="1:203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26.622776821572</v>
      </c>
      <c r="AO84">
        <v>5.3715020018215771</v>
      </c>
      <c r="AP84">
        <v>114.93480173862238</v>
      </c>
      <c r="AQ84">
        <v>34.749586689813306</v>
      </c>
      <c r="AR84">
        <v>4.8831836380196165</v>
      </c>
      <c r="AS84">
        <v>75.834532021540994</v>
      </c>
      <c r="AT84" t="e">
        <v>#DIV/0!</v>
      </c>
      <c r="AU84" t="e">
        <v>#DIV/0!</v>
      </c>
      <c r="AV84"/>
      <c r="AW84"/>
      <c r="AX84" s="157" t="s">
        <v>111</v>
      </c>
      <c r="CJ84" s="157" t="s">
        <v>112</v>
      </c>
      <c r="FY84" s="213">
        <v>79</v>
      </c>
      <c r="FZ84">
        <v>4.3668746466524873</v>
      </c>
      <c r="GA84">
        <v>20.96535895876827</v>
      </c>
      <c r="GB84">
        <v>8.4023943866929365</v>
      </c>
      <c r="GC84">
        <v>1.6119124332079018</v>
      </c>
      <c r="GD84">
        <v>2.7329805067826483</v>
      </c>
      <c r="GE84">
        <v>3.0275157935209793</v>
      </c>
      <c r="GF84">
        <v>0</v>
      </c>
      <c r="GG84">
        <v>5.7549270921655209</v>
      </c>
      <c r="GH84">
        <v>8.0251985310438485</v>
      </c>
      <c r="GI84">
        <v>5.7456243541514453</v>
      </c>
      <c r="GJ84"/>
      <c r="GK84"/>
      <c r="GL84"/>
      <c r="GM84"/>
      <c r="GN84" s="208"/>
      <c r="GO84" s="208"/>
      <c r="GP84" s="208"/>
      <c r="GQ84" s="208"/>
      <c r="GR84" s="208"/>
      <c r="GS84" s="208"/>
      <c r="GT84" s="208"/>
      <c r="GU84" s="213">
        <v>79</v>
      </c>
    </row>
    <row r="85" spans="1:203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27.55440996333445</v>
      </c>
      <c r="AO85">
        <v>6.7640526788018889</v>
      </c>
      <c r="AP85">
        <v>114.79095038685048</v>
      </c>
      <c r="AQ85">
        <v>42.918762772546494</v>
      </c>
      <c r="AR85">
        <v>6.203410069770201</v>
      </c>
      <c r="AS85">
        <v>82.50485159084505</v>
      </c>
      <c r="AT85" t="e">
        <v>#DIV/0!</v>
      </c>
      <c r="AU85" t="e">
        <v>#DIV/0!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3">
        <v>80</v>
      </c>
      <c r="FZ85">
        <v>3.192552405514002</v>
      </c>
      <c r="GA85">
        <v>12.925913129089771</v>
      </c>
      <c r="GB85">
        <v>4.5154249964533495</v>
      </c>
      <c r="GC85">
        <v>2.3714994100166091</v>
      </c>
      <c r="GD85">
        <v>2.8157572277905691</v>
      </c>
      <c r="GE85">
        <v>2.3065938165809086</v>
      </c>
      <c r="GF85">
        <v>0.47734812494006024</v>
      </c>
      <c r="GG85">
        <v>10.792961065976053</v>
      </c>
      <c r="GH85">
        <v>15.218031666802325</v>
      </c>
      <c r="GI85">
        <v>5.8881959214967488</v>
      </c>
      <c r="GJ85"/>
      <c r="GK85"/>
      <c r="GL85"/>
      <c r="GM85"/>
      <c r="GN85" s="208"/>
      <c r="GO85" s="208"/>
      <c r="GP85" s="208"/>
      <c r="GQ85" s="208"/>
      <c r="GR85" s="208"/>
      <c r="GS85" s="208"/>
      <c r="GT85" s="208"/>
      <c r="GU85" s="213">
        <v>80</v>
      </c>
    </row>
    <row r="86" spans="1:203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18.380217297762478</v>
      </c>
      <c r="AO86">
        <v>3.8931246417923853</v>
      </c>
      <c r="AP86">
        <v>169.5018448369679</v>
      </c>
      <c r="AQ86">
        <v>22.761051462878122</v>
      </c>
      <c r="AR86">
        <v>3.5934754906706532</v>
      </c>
      <c r="AS86">
        <v>45.414652885217805</v>
      </c>
      <c r="AT86" t="e">
        <v>#DIV/0!</v>
      </c>
      <c r="AU86" t="e">
        <v>#DIV/0!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6" t="s">
        <v>123</v>
      </c>
      <c r="CX86" s="226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3">
        <v>81</v>
      </c>
      <c r="FZ86">
        <v>4.3668746466524873</v>
      </c>
      <c r="GA86">
        <v>26.638568141102141</v>
      </c>
      <c r="GB86">
        <v>11.417471711834018</v>
      </c>
      <c r="GC86">
        <v>0.66786954433865642</v>
      </c>
      <c r="GD86">
        <v>1.1398013996606673</v>
      </c>
      <c r="GE86">
        <v>1.2677444239822235</v>
      </c>
      <c r="GF86">
        <v>0</v>
      </c>
      <c r="GG86">
        <v>5.2498414333925441</v>
      </c>
      <c r="GH86">
        <v>7.3576357228144769</v>
      </c>
      <c r="GI86">
        <v>5.3755395838747777</v>
      </c>
      <c r="GJ86"/>
      <c r="GK86"/>
      <c r="GL86"/>
      <c r="GM86"/>
      <c r="GN86" s="208"/>
      <c r="GO86" s="208"/>
      <c r="GP86" s="208"/>
      <c r="GQ86" s="208"/>
      <c r="GR86" s="208"/>
      <c r="GS86" s="208"/>
      <c r="GT86" s="208"/>
      <c r="GU86" s="213">
        <v>81</v>
      </c>
    </row>
    <row r="87" spans="1:203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33.564073617952928</v>
      </c>
      <c r="AO87">
        <v>6.7271669041779756</v>
      </c>
      <c r="AP87">
        <v>358.49026142718503</v>
      </c>
      <c r="AQ87">
        <v>40.715902067794012</v>
      </c>
      <c r="AR87">
        <v>6.1156062765254324</v>
      </c>
      <c r="AS87">
        <v>91.722374152126434</v>
      </c>
      <c r="AT87" t="e">
        <v>#DIV/0!</v>
      </c>
      <c r="AU87" t="e">
        <v>#DIV/0!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3">
        <v>82</v>
      </c>
      <c r="FZ87">
        <v>2.7705984438954863</v>
      </c>
      <c r="GA87">
        <v>12.150007308359967</v>
      </c>
      <c r="GB87">
        <v>5.1109589405080085</v>
      </c>
      <c r="GC87">
        <v>1.7851605407960478</v>
      </c>
      <c r="GD87">
        <v>2.890766177192873</v>
      </c>
      <c r="GE87">
        <v>3.667353703761389</v>
      </c>
      <c r="GF87">
        <v>0.95469624988012047</v>
      </c>
      <c r="GG87">
        <v>1.0387794419432002</v>
      </c>
      <c r="GH87">
        <v>1.3704749208501465</v>
      </c>
      <c r="GI87">
        <v>3.8903446066675622</v>
      </c>
      <c r="GJ87"/>
      <c r="GK87"/>
      <c r="GL87"/>
      <c r="GM87"/>
      <c r="GN87" s="208"/>
      <c r="GO87" s="208"/>
      <c r="GP87" s="208"/>
      <c r="GQ87" s="208"/>
      <c r="GR87" s="208"/>
      <c r="GS87" s="208"/>
      <c r="GT87" s="208"/>
      <c r="GU87" s="213">
        <v>82</v>
      </c>
    </row>
    <row r="88" spans="1:203" s="7" customFormat="1">
      <c r="A88" s="128"/>
      <c r="B88" s="76">
        <f ca="1">IF(C88="", "", RAND())</f>
        <v>0.20915503769640265</v>
      </c>
      <c r="C88">
        <v>1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34.882440476190482</v>
      </c>
      <c r="AO88">
        <v>9.650976494277689</v>
      </c>
      <c r="AP88">
        <v>261.71222831243216</v>
      </c>
      <c r="AQ88">
        <v>69.907588981784954</v>
      </c>
      <c r="AR88">
        <v>8.7736149947978994</v>
      </c>
      <c r="AS88">
        <v>107.9596422447446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0.89148450376620847</v>
      </c>
      <c r="AZ88">
        <v>1</v>
      </c>
      <c r="BA88" s="129">
        <f>IF(AZ88="", "",$C$4)</f>
        <v>39646</v>
      </c>
      <c r="BB88" s="207">
        <v>0</v>
      </c>
      <c r="BC88" s="207">
        <v>0</v>
      </c>
      <c r="BD88" s="207">
        <v>0</v>
      </c>
      <c r="BE88" s="207">
        <v>0</v>
      </c>
      <c r="BF88" s="207">
        <v>0</v>
      </c>
      <c r="BG88" s="207">
        <v>0</v>
      </c>
      <c r="BH88" s="207">
        <v>0</v>
      </c>
      <c r="BI88" s="207">
        <v>0</v>
      </c>
      <c r="BJ88" s="207">
        <v>0</v>
      </c>
      <c r="BK88" s="207">
        <v>0</v>
      </c>
      <c r="BL88" s="207">
        <v>0</v>
      </c>
      <c r="BM88" s="207">
        <v>0</v>
      </c>
      <c r="BN88" s="207">
        <v>0</v>
      </c>
      <c r="BO88" s="207">
        <v>0</v>
      </c>
      <c r="BP88" s="207">
        <v>0</v>
      </c>
      <c r="BQ88" s="207">
        <v>0</v>
      </c>
      <c r="BR88" s="207">
        <v>0</v>
      </c>
      <c r="BS88" s="207">
        <v>0</v>
      </c>
      <c r="BT88" s="207">
        <v>0</v>
      </c>
      <c r="BU88" s="207">
        <v>0</v>
      </c>
      <c r="BV88" s="207">
        <v>0</v>
      </c>
      <c r="BW88" s="207">
        <v>0</v>
      </c>
      <c r="BX88" s="207">
        <v>0</v>
      </c>
      <c r="BY88" s="207">
        <v>0</v>
      </c>
      <c r="BZ88" s="207">
        <v>0</v>
      </c>
      <c r="CA88" s="207">
        <v>0</v>
      </c>
      <c r="CB88" s="207">
        <v>0</v>
      </c>
      <c r="CC88" s="207">
        <v>0</v>
      </c>
      <c r="CD88" s="207">
        <v>0</v>
      </c>
      <c r="CE88" s="207">
        <v>0</v>
      </c>
      <c r="CF88" s="207">
        <v>0</v>
      </c>
      <c r="CG88" s="147"/>
      <c r="CH88" s="176"/>
      <c r="CJ88" s="128"/>
      <c r="CK88" s="76">
        <f ca="1">IF(AZ88="", "", RAND())</f>
        <v>6.7164527417645781E-2</v>
      </c>
      <c r="CL88" s="179">
        <f>IF(AZ88="", "", AZ88)</f>
        <v>1</v>
      </c>
      <c r="CM88" s="180">
        <f>IF(AZ88="", "", BA88)</f>
        <v>39646</v>
      </c>
      <c r="CN88" s="208">
        <v>0</v>
      </c>
      <c r="CO88" s="208">
        <v>0</v>
      </c>
      <c r="CP88" s="208">
        <v>0</v>
      </c>
      <c r="CQ88" s="208">
        <v>0</v>
      </c>
      <c r="CR88" s="208">
        <v>0</v>
      </c>
      <c r="CS88" s="208">
        <v>0</v>
      </c>
      <c r="CT88" s="208">
        <v>0</v>
      </c>
      <c r="CU88" s="20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1">IF(DD88="", "", RAND())</f>
        <v>0.89374905674314031</v>
      </c>
      <c r="DD88">
        <f>IF(AZ88="", "", AZ88)</f>
        <v>1</v>
      </c>
      <c r="DE88" s="129">
        <f t="shared" ref="DE88:DE97" si="52">IF(DD88="", "", $C$4)</f>
        <v>39646</v>
      </c>
      <c r="DF88" s="161">
        <f t="shared" ref="DF88:DM88" si="53">IF($AZ88="", "", ((BB88*$CW88)+(CN88*$CX88))/$CZ88)</f>
        <v>0</v>
      </c>
      <c r="DG88" s="161">
        <f t="shared" si="53"/>
        <v>0</v>
      </c>
      <c r="DH88" s="161">
        <f t="shared" si="53"/>
        <v>0</v>
      </c>
      <c r="DI88" s="161">
        <f t="shared" si="53"/>
        <v>0</v>
      </c>
      <c r="DJ88" s="161">
        <f t="shared" si="53"/>
        <v>0</v>
      </c>
      <c r="DK88" s="161">
        <f t="shared" si="53"/>
        <v>0</v>
      </c>
      <c r="DL88" s="161">
        <f t="shared" si="53"/>
        <v>0</v>
      </c>
      <c r="DM88" s="161">
        <f t="shared" si="53"/>
        <v>0</v>
      </c>
      <c r="DN88" s="161">
        <f t="shared" ref="DN88:EJ88" si="54">IF($AZ88="", "", (BJ88*$CW88)/$CZ88)</f>
        <v>0</v>
      </c>
      <c r="DO88" s="161">
        <f t="shared" si="54"/>
        <v>0</v>
      </c>
      <c r="DP88" s="161">
        <f t="shared" si="54"/>
        <v>0</v>
      </c>
      <c r="DQ88" s="161">
        <f t="shared" si="54"/>
        <v>0</v>
      </c>
      <c r="DR88" s="161">
        <f t="shared" si="54"/>
        <v>0</v>
      </c>
      <c r="DS88" s="161">
        <f t="shared" si="54"/>
        <v>0</v>
      </c>
      <c r="DT88" s="161">
        <f t="shared" si="54"/>
        <v>0</v>
      </c>
      <c r="DU88" s="161">
        <f t="shared" si="54"/>
        <v>0</v>
      </c>
      <c r="DV88" s="161">
        <f t="shared" si="54"/>
        <v>0</v>
      </c>
      <c r="DW88" s="161">
        <f t="shared" si="54"/>
        <v>0</v>
      </c>
      <c r="DX88" s="161">
        <f t="shared" si="54"/>
        <v>0</v>
      </c>
      <c r="DY88" s="161">
        <f t="shared" si="54"/>
        <v>0</v>
      </c>
      <c r="DZ88" s="161">
        <f t="shared" si="54"/>
        <v>0</v>
      </c>
      <c r="EA88" s="161">
        <f t="shared" si="54"/>
        <v>0</v>
      </c>
      <c r="EB88" s="161">
        <f t="shared" si="54"/>
        <v>0</v>
      </c>
      <c r="EC88" s="161">
        <f t="shared" si="54"/>
        <v>0</v>
      </c>
      <c r="ED88" s="161">
        <f t="shared" si="54"/>
        <v>0</v>
      </c>
      <c r="EE88" s="161">
        <f t="shared" si="54"/>
        <v>0</v>
      </c>
      <c r="EF88" s="161">
        <f t="shared" si="54"/>
        <v>0</v>
      </c>
      <c r="EG88" s="161">
        <f t="shared" si="54"/>
        <v>0</v>
      </c>
      <c r="EH88" s="161">
        <f t="shared" si="54"/>
        <v>0</v>
      </c>
      <c r="EI88" s="161">
        <f t="shared" si="54"/>
        <v>0</v>
      </c>
      <c r="EJ88" s="161">
        <f t="shared" si="54"/>
        <v>0</v>
      </c>
      <c r="EK88" s="147">
        <f t="shared" ref="EK88:EK119" si="55">IF(DF88="", "", SUM(DF88:EJ88))</f>
        <v>0</v>
      </c>
      <c r="EL88" s="149"/>
      <c r="EN88" s="146"/>
      <c r="EO88" s="146"/>
      <c r="EP88" s="139">
        <f t="shared" ref="EP88:EP119" si="56">IF(DF88="", "", DF88*G$36)</f>
        <v>0</v>
      </c>
      <c r="EQ88" s="139">
        <f t="shared" ref="EQ88:EQ119" si="57">IF(DG88="", "", DG88*H$36)</f>
        <v>0</v>
      </c>
      <c r="ER88" s="139">
        <f t="shared" ref="ER88:ER119" si="58">IF(DH88="", "", DH88*I$36)</f>
        <v>0</v>
      </c>
      <c r="ES88" s="139">
        <f t="shared" ref="ES88:ES119" si="59">IF(DI88="", "", DI88*J$36)</f>
        <v>0</v>
      </c>
      <c r="ET88" s="139">
        <f t="shared" ref="ET88:ET119" si="60">IF(DJ88="", "", DJ88*K$36)</f>
        <v>0</v>
      </c>
      <c r="EU88" s="139">
        <f t="shared" ref="EU88:EU119" si="61">IF(DK88="", "", DK88*L$36)</f>
        <v>0</v>
      </c>
      <c r="EV88" s="139">
        <f t="shared" ref="EV88:EV119" si="62">IF(DL88="", "", DL88*M$36)</f>
        <v>0</v>
      </c>
      <c r="EW88" s="139">
        <f t="shared" ref="EW88:EW119" si="63">IF(DM88="", "", DM88*N$36)</f>
        <v>0</v>
      </c>
      <c r="EX88" s="139">
        <f t="shared" ref="EX88:EX119" si="64">IF(DN88="", "", DN88*O$36)</f>
        <v>0</v>
      </c>
      <c r="EY88" s="139">
        <f t="shared" ref="EY88:EY119" si="65">IF(DO88="", "", DO88*P$36)</f>
        <v>0</v>
      </c>
      <c r="EZ88" s="139">
        <f t="shared" ref="EZ88:EZ119" si="66">IF(DP88="", "", DP88*Q$36)</f>
        <v>0</v>
      </c>
      <c r="FA88" s="139">
        <f t="shared" ref="FA88:FA119" si="67">IF(DQ88="", "", DQ88*R$36)</f>
        <v>0</v>
      </c>
      <c r="FB88" s="139">
        <f t="shared" ref="FB88:FB119" si="68">IF(DR88="", "", DR88*S$36)</f>
        <v>0</v>
      </c>
      <c r="FC88" s="139">
        <f t="shared" ref="FC88:FC119" si="69">IF(DS88="", "", DS88*T$36)</f>
        <v>0</v>
      </c>
      <c r="FD88" s="139">
        <f t="shared" ref="FD88:FD119" si="70">IF(DT88="", "", DT88*U$36)</f>
        <v>0</v>
      </c>
      <c r="FE88" s="139">
        <f t="shared" ref="FE88:FE119" si="71">IF(DU88="", "", DU88*V$36)</f>
        <v>0</v>
      </c>
      <c r="FF88" s="139">
        <f t="shared" ref="FF88:FF119" si="72">IF(DV88="", "", DV88*W$36)</f>
        <v>0</v>
      </c>
      <c r="FG88" s="139">
        <f t="shared" ref="FG88:FG119" si="73">IF(DW88="", "", DW88*X$36)</f>
        <v>0</v>
      </c>
      <c r="FH88" s="139">
        <f t="shared" ref="FH88:FH119" si="74">IF(DX88="", "", DX88*Y$36)</f>
        <v>0</v>
      </c>
      <c r="FI88" s="139">
        <f t="shared" ref="FI88:FI119" si="75">IF(DY88="", "", DY88*Z$36)</f>
        <v>0</v>
      </c>
      <c r="FJ88" s="139">
        <f t="shared" ref="FJ88:FJ119" si="76">IF(DZ88="", "", DZ88*AA$36)</f>
        <v>0</v>
      </c>
      <c r="FK88" s="139">
        <f t="shared" ref="FK88:FK119" si="77">IF(EA88="", "", EA88*AB$36)</f>
        <v>0</v>
      </c>
      <c r="FL88" s="139">
        <f t="shared" ref="FL88:FL119" si="78">IF(EB88="", "", EB88*AC$36)</f>
        <v>0</v>
      </c>
      <c r="FM88" s="139">
        <f t="shared" ref="FM88:FM119" si="79">IF(EC88="", "", EC88*AD$36)</f>
        <v>0</v>
      </c>
      <c r="FN88" s="139">
        <f t="shared" ref="FN88:FN119" si="80">IF(ED88="", "", ED88*AE$36)</f>
        <v>0</v>
      </c>
      <c r="FO88" s="139">
        <f t="shared" ref="FO88:FO119" si="81">IF(EE88="", "", EE88*AF$36)</f>
        <v>0</v>
      </c>
      <c r="FP88" s="139">
        <f t="shared" ref="FP88:FP119" si="82">IF(EF88="", "", EF88*AG$36)</f>
        <v>0</v>
      </c>
      <c r="FQ88" s="139">
        <f t="shared" ref="FQ88:FQ119" si="83">IF(EG88="", "", EG88*AH$36)</f>
        <v>0</v>
      </c>
      <c r="FR88" s="139">
        <f t="shared" ref="FR88:FR119" si="84">IF(EH88="", "", EH88*AI$36)</f>
        <v>0</v>
      </c>
      <c r="FS88" s="139">
        <f t="shared" ref="FS88:FS119" si="85">IF(EI88="", "", EI88*AJ$36)</f>
        <v>0</v>
      </c>
      <c r="FT88" s="139">
        <f t="shared" ref="FT88:FT119" si="86">IF(EJ88="", "", EJ88*AK$36)</f>
        <v>0</v>
      </c>
      <c r="FU88" s="148">
        <f t="shared" ref="FU88:FU119" si="87">IF(EP88="","",SUM(EP88:FT88))</f>
        <v>0</v>
      </c>
      <c r="FV88" s="149"/>
      <c r="FY88" s="213">
        <v>83</v>
      </c>
      <c r="FZ88">
        <v>0.58716112056924263</v>
      </c>
      <c r="GA88">
        <v>16.851580232484157</v>
      </c>
      <c r="GB88">
        <v>8.3986737712641677</v>
      </c>
      <c r="GC88">
        <v>2.1133839017666447</v>
      </c>
      <c r="GD88">
        <v>1.6586511965303732</v>
      </c>
      <c r="GE88">
        <v>6.7771022296901365E-2</v>
      </c>
      <c r="GF88">
        <v>0</v>
      </c>
      <c r="GG88">
        <v>1.9984475587149273</v>
      </c>
      <c r="GH88">
        <v>2.7417834741637517</v>
      </c>
      <c r="GI88">
        <v>3.5965011286104778</v>
      </c>
      <c r="GJ88"/>
      <c r="GK88"/>
      <c r="GL88"/>
      <c r="GM88"/>
      <c r="GN88" s="208"/>
      <c r="GO88" s="208"/>
      <c r="GP88" s="208"/>
      <c r="GQ88" s="208"/>
      <c r="GR88" s="208"/>
      <c r="GS88" s="208"/>
      <c r="GT88" s="208"/>
      <c r="GU88" s="213">
        <v>83</v>
      </c>
    </row>
    <row r="89" spans="1:203" s="7" customFormat="1">
      <c r="A89" s="115"/>
      <c r="B89" s="76">
        <f ca="1">IF(C89="", "", RAND())</f>
        <v>0.16493289742599648</v>
      </c>
      <c r="C89">
        <v>9</v>
      </c>
      <c r="D89">
        <v>39646</v>
      </c>
      <c r="E89">
        <v>0</v>
      </c>
      <c r="F89">
        <v>0</v>
      </c>
      <c r="G89">
        <v>0</v>
      </c>
      <c r="H89">
        <v>10.416666666666666</v>
      </c>
      <c r="I89">
        <v>20.833333333333332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25.5410171061916</v>
      </c>
      <c r="AO89">
        <v>5.9714344330303053</v>
      </c>
      <c r="AP89">
        <v>239.51668534854701</v>
      </c>
      <c r="AQ89">
        <v>35.860814527016842</v>
      </c>
      <c r="AR89">
        <v>5.4828480281596699</v>
      </c>
      <c r="AS89">
        <v>67.354492461566508</v>
      </c>
      <c r="AT89" t="e">
        <v>#DIV/0!</v>
      </c>
      <c r="AU89" t="e">
        <v>#DIV/0!</v>
      </c>
      <c r="AV89"/>
      <c r="AW89"/>
      <c r="AX89" s="150"/>
      <c r="AY89" s="76">
        <f t="shared" ref="AY89:AY151" ca="1" si="88">IF(AZ89="", "", RAND())</f>
        <v>0.95579517989152629</v>
      </c>
      <c r="AZ89">
        <v>2</v>
      </c>
      <c r="BA89" s="129">
        <f t="shared" ref="BA89:BA97" si="89">IF(AZ89="", "",$C$4)</f>
        <v>39646</v>
      </c>
      <c r="BB89" s="207">
        <v>0</v>
      </c>
      <c r="BC89" s="207">
        <v>0</v>
      </c>
      <c r="BD89" s="207">
        <v>0</v>
      </c>
      <c r="BE89" s="207">
        <v>0</v>
      </c>
      <c r="BF89" s="207">
        <v>0</v>
      </c>
      <c r="BG89" s="207">
        <v>0</v>
      </c>
      <c r="BH89" s="207">
        <v>0</v>
      </c>
      <c r="BI89" s="207">
        <v>0</v>
      </c>
      <c r="BJ89" s="207">
        <v>0</v>
      </c>
      <c r="BK89" s="207">
        <v>0</v>
      </c>
      <c r="BL89" s="207">
        <v>0</v>
      </c>
      <c r="BM89" s="207">
        <v>0</v>
      </c>
      <c r="BN89" s="207">
        <v>0</v>
      </c>
      <c r="BO89" s="207">
        <v>0</v>
      </c>
      <c r="BP89" s="207">
        <v>0</v>
      </c>
      <c r="BQ89" s="207">
        <v>0</v>
      </c>
      <c r="BR89" s="207">
        <v>0</v>
      </c>
      <c r="BS89" s="207">
        <v>0</v>
      </c>
      <c r="BT89" s="207">
        <v>0</v>
      </c>
      <c r="BU89" s="207">
        <v>0</v>
      </c>
      <c r="BV89" s="207">
        <v>0</v>
      </c>
      <c r="BW89" s="207">
        <v>0</v>
      </c>
      <c r="BX89" s="207">
        <v>0</v>
      </c>
      <c r="BY89" s="207">
        <v>0</v>
      </c>
      <c r="BZ89" s="207">
        <v>0</v>
      </c>
      <c r="CA89" s="207">
        <v>0</v>
      </c>
      <c r="CB89" s="207">
        <v>0</v>
      </c>
      <c r="CC89" s="207">
        <v>0</v>
      </c>
      <c r="CD89" s="207">
        <v>0</v>
      </c>
      <c r="CE89" s="207">
        <v>0</v>
      </c>
      <c r="CF89" s="207">
        <v>0</v>
      </c>
      <c r="CG89" s="147"/>
      <c r="CH89" s="176"/>
      <c r="CJ89" s="150"/>
      <c r="CK89" s="76">
        <f t="shared" ref="CK89:CK152" ca="1" si="90">IF(AZ89="", "", RAND())</f>
        <v>0.76704059466380681</v>
      </c>
      <c r="CL89" s="179">
        <f t="shared" ref="CL89:CL152" si="91">IF(AZ89="", "", AZ89)</f>
        <v>2</v>
      </c>
      <c r="CM89" s="180">
        <f t="shared" ref="CM89:CM152" si="92">IF(AZ89="", "", BA89)</f>
        <v>39646</v>
      </c>
      <c r="CN89" s="208">
        <v>0</v>
      </c>
      <c r="CO89" s="208">
        <v>0</v>
      </c>
      <c r="CP89" s="208">
        <v>0</v>
      </c>
      <c r="CQ89" s="208">
        <v>0</v>
      </c>
      <c r="CR89" s="208">
        <v>0</v>
      </c>
      <c r="CS89" s="208">
        <v>0</v>
      </c>
      <c r="CT89" s="208">
        <v>0</v>
      </c>
      <c r="CU89" s="208">
        <v>0</v>
      </c>
      <c r="CW89">
        <v>1</v>
      </c>
      <c r="CX89">
        <f>2/1</f>
        <v>2</v>
      </c>
      <c r="CY89" s="158"/>
      <c r="CZ89" s="177">
        <f t="shared" ref="CZ89:CZ152" si="93">IF(AZ89="", "", $G$15)</f>
        <v>9.6000000000000002E-2</v>
      </c>
      <c r="DB89" s="150"/>
      <c r="DC89" s="76">
        <f t="shared" ca="1" si="51"/>
        <v>0.33142774281751519</v>
      </c>
      <c r="DD89">
        <f t="shared" ref="DD89:DD152" si="94">IF(AZ89="", "", AZ89)</f>
        <v>2</v>
      </c>
      <c r="DE89" s="129">
        <f t="shared" si="52"/>
        <v>39646</v>
      </c>
      <c r="DF89" s="161">
        <f t="shared" ref="DF89:DF152" si="95">IF($AZ89="", "", ((BB89*$CW89)+(CN89*$CX89))/$CZ89)</f>
        <v>0</v>
      </c>
      <c r="DG89" s="161">
        <f t="shared" ref="DG89:DG152" si="96">IF($AZ89="", "", ((BC89*$CW89)+(CO89*$CX89))/$CZ89)</f>
        <v>0</v>
      </c>
      <c r="DH89" s="161">
        <f t="shared" ref="DH89:DH152" si="97">IF($AZ89="", "", ((BD89*$CW89)+(CP89*$CX89))/$CZ89)</f>
        <v>0</v>
      </c>
      <c r="DI89" s="161">
        <f t="shared" ref="DI89:DI152" si="98">IF($AZ89="", "", ((BE89*$CW89)+(CQ89*$CX89))/$CZ89)</f>
        <v>0</v>
      </c>
      <c r="DJ89" s="161">
        <f t="shared" ref="DJ89:DJ152" si="99">IF($AZ89="", "", ((BF89*$CW89)+(CR89*$CX89))/$CZ89)</f>
        <v>0</v>
      </c>
      <c r="DK89" s="161">
        <f t="shared" ref="DK89:DK152" si="100">IF($AZ89="", "", ((BG89*$CW89)+(CS89*$CX89))/$CZ89)</f>
        <v>0</v>
      </c>
      <c r="DL89" s="161">
        <f t="shared" ref="DL89:DL152" si="101">IF($AZ89="", "", ((BH89*$CW89)+(CT89*$CX89))/$CZ89)</f>
        <v>0</v>
      </c>
      <c r="DM89" s="161">
        <f t="shared" ref="DM89:DM152" si="102">IF($AZ89="", "", ((BI89*$CW89)+(CU89*$CX89))/$CZ89)</f>
        <v>0</v>
      </c>
      <c r="DN89" s="161">
        <f t="shared" ref="DN89:DN152" si="103">IF($AZ89="", "", (BJ89*$CW89)/$CZ89)</f>
        <v>0</v>
      </c>
      <c r="DO89" s="161">
        <f t="shared" ref="DO89:DO152" si="104">IF($AZ89="", "", (BK89*$CW89)/$CZ89)</f>
        <v>0</v>
      </c>
      <c r="DP89" s="161">
        <f t="shared" ref="DP89:DP152" si="105">IF($AZ89="", "", (BL89*$CW89)/$CZ89)</f>
        <v>0</v>
      </c>
      <c r="DQ89" s="161">
        <f t="shared" ref="DQ89:DQ152" si="106">IF($AZ89="", "", (BM89*$CW89)/$CZ89)</f>
        <v>0</v>
      </c>
      <c r="DR89" s="161">
        <f t="shared" ref="DR89:DR152" si="107">IF($AZ89="", "", (BN89*$CW89)/$CZ89)</f>
        <v>0</v>
      </c>
      <c r="DS89" s="161">
        <f t="shared" ref="DS89:DS152" si="108">IF($AZ89="", "", (BO89*$CW89)/$CZ89)</f>
        <v>0</v>
      </c>
      <c r="DT89" s="161">
        <f t="shared" ref="DT89:DT152" si="109">IF($AZ89="", "", (BP89*$CW89)/$CZ89)</f>
        <v>0</v>
      </c>
      <c r="DU89" s="161">
        <f t="shared" ref="DU89:DU152" si="110">IF($AZ89="", "", (BQ89*$CW89)/$CZ89)</f>
        <v>0</v>
      </c>
      <c r="DV89" s="161">
        <f t="shared" ref="DV89:DV152" si="111">IF($AZ89="", "", (BR89*$CW89)/$CZ89)</f>
        <v>0</v>
      </c>
      <c r="DW89" s="161">
        <f t="shared" ref="DW89:DW152" si="112">IF($AZ89="", "", (BS89*$CW89)/$CZ89)</f>
        <v>0</v>
      </c>
      <c r="DX89" s="161">
        <f t="shared" ref="DX89:DX152" si="113">IF($AZ89="", "", (BT89*$CW89)/$CZ89)</f>
        <v>0</v>
      </c>
      <c r="DY89" s="161">
        <f t="shared" ref="DY89:DY152" si="114">IF($AZ89="", "", (BU89*$CW89)/$CZ89)</f>
        <v>0</v>
      </c>
      <c r="DZ89" s="161">
        <f t="shared" ref="DZ89:DZ152" si="115">IF($AZ89="", "", (BV89*$CW89)/$CZ89)</f>
        <v>0</v>
      </c>
      <c r="EA89" s="161">
        <f t="shared" ref="EA89:EA152" si="116">IF($AZ89="", "", (BW89*$CW89)/$CZ89)</f>
        <v>0</v>
      </c>
      <c r="EB89" s="161">
        <f t="shared" ref="EB89:EB152" si="117">IF($AZ89="", "", (BX89*$CW89)/$CZ89)</f>
        <v>0</v>
      </c>
      <c r="EC89" s="161">
        <f t="shared" ref="EC89:EC152" si="118">IF($AZ89="", "", (BY89*$CW89)/$CZ89)</f>
        <v>0</v>
      </c>
      <c r="ED89" s="161">
        <f t="shared" ref="ED89:ED152" si="119">IF($AZ89="", "", (BZ89*$CW89)/$CZ89)</f>
        <v>0</v>
      </c>
      <c r="EE89" s="161">
        <f t="shared" ref="EE89:EE152" si="120">IF($AZ89="", "", (CA89*$CW89)/$CZ89)</f>
        <v>0</v>
      </c>
      <c r="EF89" s="161">
        <f t="shared" ref="EF89:EF152" si="121">IF($AZ89="", "", (CB89*$CW89)/$CZ89)</f>
        <v>0</v>
      </c>
      <c r="EG89" s="161">
        <f t="shared" ref="EG89:EG152" si="122">IF($AZ89="", "", (CC89*$CW89)/$CZ89)</f>
        <v>0</v>
      </c>
      <c r="EH89" s="161">
        <f t="shared" ref="EH89:EH152" si="123">IF($AZ89="", "", (CD89*$CW89)/$CZ89)</f>
        <v>0</v>
      </c>
      <c r="EI89" s="161">
        <f t="shared" ref="EI89:EI152" si="124">IF($AZ89="", "", (CE89*$CW89)/$CZ89)</f>
        <v>0</v>
      </c>
      <c r="EJ89" s="161">
        <f t="shared" ref="EJ89:EJ152" si="125">IF($AZ89="", "", (CF89*$CW89)/$CZ89)</f>
        <v>0</v>
      </c>
      <c r="EK89" s="147">
        <f t="shared" si="55"/>
        <v>0</v>
      </c>
      <c r="EL89" s="149"/>
      <c r="EN89" s="150"/>
      <c r="EO89" s="150"/>
      <c r="EP89" s="139">
        <f t="shared" si="56"/>
        <v>0</v>
      </c>
      <c r="EQ89" s="139">
        <f t="shared" si="57"/>
        <v>0</v>
      </c>
      <c r="ER89" s="139">
        <f t="shared" si="58"/>
        <v>0</v>
      </c>
      <c r="ES89" s="139">
        <f t="shared" si="59"/>
        <v>0</v>
      </c>
      <c r="ET89" s="139">
        <f t="shared" si="60"/>
        <v>0</v>
      </c>
      <c r="EU89" s="139">
        <f t="shared" si="61"/>
        <v>0</v>
      </c>
      <c r="EV89" s="139">
        <f t="shared" si="62"/>
        <v>0</v>
      </c>
      <c r="EW89" s="139">
        <f t="shared" si="63"/>
        <v>0</v>
      </c>
      <c r="EX89" s="139">
        <f t="shared" si="64"/>
        <v>0</v>
      </c>
      <c r="EY89" s="139">
        <f t="shared" si="65"/>
        <v>0</v>
      </c>
      <c r="EZ89" s="139">
        <f t="shared" si="66"/>
        <v>0</v>
      </c>
      <c r="FA89" s="139">
        <f t="shared" si="67"/>
        <v>0</v>
      </c>
      <c r="FB89" s="139">
        <f t="shared" si="68"/>
        <v>0</v>
      </c>
      <c r="FC89" s="139">
        <f t="shared" si="69"/>
        <v>0</v>
      </c>
      <c r="FD89" s="139">
        <f t="shared" si="70"/>
        <v>0</v>
      </c>
      <c r="FE89" s="139">
        <f t="shared" si="71"/>
        <v>0</v>
      </c>
      <c r="FF89" s="139">
        <f t="shared" si="72"/>
        <v>0</v>
      </c>
      <c r="FG89" s="139">
        <f t="shared" si="73"/>
        <v>0</v>
      </c>
      <c r="FH89" s="139">
        <f t="shared" si="74"/>
        <v>0</v>
      </c>
      <c r="FI89" s="139">
        <f t="shared" si="75"/>
        <v>0</v>
      </c>
      <c r="FJ89" s="139">
        <f t="shared" si="76"/>
        <v>0</v>
      </c>
      <c r="FK89" s="139">
        <f t="shared" si="77"/>
        <v>0</v>
      </c>
      <c r="FL89" s="139">
        <f t="shared" si="78"/>
        <v>0</v>
      </c>
      <c r="FM89" s="139">
        <f t="shared" si="79"/>
        <v>0</v>
      </c>
      <c r="FN89" s="139">
        <f t="shared" si="80"/>
        <v>0</v>
      </c>
      <c r="FO89" s="139">
        <f t="shared" si="81"/>
        <v>0</v>
      </c>
      <c r="FP89" s="139">
        <f t="shared" si="82"/>
        <v>0</v>
      </c>
      <c r="FQ89" s="139">
        <f t="shared" si="83"/>
        <v>0</v>
      </c>
      <c r="FR89" s="139">
        <f t="shared" si="84"/>
        <v>0</v>
      </c>
      <c r="FS89" s="139">
        <f t="shared" si="85"/>
        <v>0</v>
      </c>
      <c r="FT89" s="139">
        <f t="shared" si="86"/>
        <v>0</v>
      </c>
      <c r="FU89" s="148">
        <f t="shared" si="87"/>
        <v>0</v>
      </c>
      <c r="FV89" s="149"/>
      <c r="FY89" s="213">
        <v>84</v>
      </c>
      <c r="FZ89">
        <v>0.58716112056924263</v>
      </c>
      <c r="GA89">
        <v>15.094153882590136</v>
      </c>
      <c r="GB89">
        <v>7.6006527880025514</v>
      </c>
      <c r="GC89">
        <v>2.8128536804001079</v>
      </c>
      <c r="GD89">
        <v>4.2064071877070202</v>
      </c>
      <c r="GE89">
        <v>4.4427476414273528</v>
      </c>
      <c r="GF89">
        <v>0.47734812494006024</v>
      </c>
      <c r="GG89">
        <v>2.2917257579058905</v>
      </c>
      <c r="GH89">
        <v>3.2445436953371196</v>
      </c>
      <c r="GI89">
        <v>5.2034032438109401</v>
      </c>
      <c r="GJ89"/>
      <c r="GK89"/>
      <c r="GL89"/>
      <c r="GM89"/>
      <c r="GN89" s="208"/>
      <c r="GO89" s="208"/>
      <c r="GP89" s="208"/>
      <c r="GQ89" s="208"/>
      <c r="GR89" s="208"/>
      <c r="GS89" s="208"/>
      <c r="GT89" s="208"/>
      <c r="GU89" s="213">
        <v>84</v>
      </c>
    </row>
    <row r="90" spans="1:203" s="7" customFormat="1">
      <c r="A90" s="115"/>
      <c r="B90" s="76">
        <f ca="1">IF(C90="", "", RAND())</f>
        <v>0.68140214102129915</v>
      </c>
      <c r="C90">
        <v>5</v>
      </c>
      <c r="D90">
        <v>39646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22.313356463621314</v>
      </c>
      <c r="AO90">
        <v>6.5405566246755287</v>
      </c>
      <c r="AP90">
        <v>323.76097948087522</v>
      </c>
      <c r="AQ90">
        <v>43.224130293955767</v>
      </c>
      <c r="AR90">
        <v>6.0002318387462381</v>
      </c>
      <c r="AS90">
        <v>71.872168772328152</v>
      </c>
      <c r="AT90" t="e">
        <v>#DIV/0!</v>
      </c>
      <c r="AU90" t="e">
        <v>#DIV/0!</v>
      </c>
      <c r="AV90"/>
      <c r="AW90"/>
      <c r="AX90" s="150"/>
      <c r="AY90" s="76">
        <f t="shared" ca="1" si="88"/>
        <v>0.15034243722470575</v>
      </c>
      <c r="AZ90">
        <v>3</v>
      </c>
      <c r="BA90" s="129">
        <f t="shared" si="89"/>
        <v>39646</v>
      </c>
      <c r="BB90" s="207">
        <v>0</v>
      </c>
      <c r="BC90" s="207">
        <v>0</v>
      </c>
      <c r="BD90" s="207">
        <v>0</v>
      </c>
      <c r="BE90" s="207">
        <v>0</v>
      </c>
      <c r="BF90" s="207">
        <v>0</v>
      </c>
      <c r="BG90" s="207">
        <v>0</v>
      </c>
      <c r="BH90" s="207">
        <v>0</v>
      </c>
      <c r="BI90" s="207">
        <v>0</v>
      </c>
      <c r="BJ90" s="207">
        <v>0</v>
      </c>
      <c r="BK90" s="207">
        <v>0</v>
      </c>
      <c r="BL90" s="207">
        <v>0</v>
      </c>
      <c r="BM90" s="207">
        <v>0</v>
      </c>
      <c r="BN90" s="207">
        <v>0</v>
      </c>
      <c r="BO90" s="207">
        <v>0</v>
      </c>
      <c r="BP90" s="207">
        <v>0</v>
      </c>
      <c r="BQ90" s="207">
        <v>0</v>
      </c>
      <c r="BR90" s="207">
        <v>0</v>
      </c>
      <c r="BS90" s="207">
        <v>0</v>
      </c>
      <c r="BT90" s="207">
        <v>0</v>
      </c>
      <c r="BU90" s="207">
        <v>0</v>
      </c>
      <c r="BV90" s="207">
        <v>0</v>
      </c>
      <c r="BW90" s="207">
        <v>0</v>
      </c>
      <c r="BX90" s="207">
        <v>0</v>
      </c>
      <c r="BY90" s="207">
        <v>0</v>
      </c>
      <c r="BZ90" s="207">
        <v>0</v>
      </c>
      <c r="CA90" s="207">
        <v>0</v>
      </c>
      <c r="CB90" s="207">
        <v>0</v>
      </c>
      <c r="CC90" s="207">
        <v>0</v>
      </c>
      <c r="CD90" s="207">
        <v>0</v>
      </c>
      <c r="CE90" s="207">
        <v>0</v>
      </c>
      <c r="CF90" s="207">
        <v>0</v>
      </c>
      <c r="CG90" s="147"/>
      <c r="CH90" s="176"/>
      <c r="CJ90" s="150"/>
      <c r="CK90" s="76">
        <f t="shared" ca="1" si="90"/>
        <v>0.33574668777544336</v>
      </c>
      <c r="CL90" s="179">
        <f t="shared" si="91"/>
        <v>3</v>
      </c>
      <c r="CM90" s="180">
        <f t="shared" si="92"/>
        <v>39646</v>
      </c>
      <c r="CN90" s="208">
        <v>0</v>
      </c>
      <c r="CO90" s="208">
        <v>0</v>
      </c>
      <c r="CP90" s="208">
        <v>0</v>
      </c>
      <c r="CQ90" s="208">
        <v>0</v>
      </c>
      <c r="CR90" s="208">
        <v>0</v>
      </c>
      <c r="CS90" s="208">
        <v>0</v>
      </c>
      <c r="CT90" s="208">
        <v>0</v>
      </c>
      <c r="CU90" s="208">
        <v>0</v>
      </c>
      <c r="CW90">
        <v>1</v>
      </c>
      <c r="CX90">
        <v>1</v>
      </c>
      <c r="CY90" s="158"/>
      <c r="CZ90" s="177">
        <f t="shared" si="93"/>
        <v>9.6000000000000002E-2</v>
      </c>
      <c r="DB90" s="150"/>
      <c r="DC90" s="76">
        <f t="shared" ca="1" si="51"/>
        <v>0.40207732633375315</v>
      </c>
      <c r="DD90">
        <f t="shared" si="94"/>
        <v>3</v>
      </c>
      <c r="DE90" s="129">
        <f t="shared" si="52"/>
        <v>39646</v>
      </c>
      <c r="DF90" s="161">
        <f t="shared" si="95"/>
        <v>0</v>
      </c>
      <c r="DG90" s="161">
        <f t="shared" si="96"/>
        <v>0</v>
      </c>
      <c r="DH90" s="161">
        <f t="shared" si="97"/>
        <v>0</v>
      </c>
      <c r="DI90" s="161">
        <f t="shared" si="98"/>
        <v>0</v>
      </c>
      <c r="DJ90" s="161">
        <f t="shared" si="99"/>
        <v>0</v>
      </c>
      <c r="DK90" s="161">
        <f t="shared" si="100"/>
        <v>0</v>
      </c>
      <c r="DL90" s="161">
        <f t="shared" si="101"/>
        <v>0</v>
      </c>
      <c r="DM90" s="161">
        <f t="shared" si="102"/>
        <v>0</v>
      </c>
      <c r="DN90" s="161">
        <f t="shared" si="103"/>
        <v>0</v>
      </c>
      <c r="DO90" s="161">
        <f t="shared" si="104"/>
        <v>0</v>
      </c>
      <c r="DP90" s="161">
        <f t="shared" si="105"/>
        <v>0</v>
      </c>
      <c r="DQ90" s="161">
        <f t="shared" si="106"/>
        <v>0</v>
      </c>
      <c r="DR90" s="161">
        <f t="shared" si="107"/>
        <v>0</v>
      </c>
      <c r="DS90" s="161">
        <f t="shared" si="108"/>
        <v>0</v>
      </c>
      <c r="DT90" s="161">
        <f t="shared" si="109"/>
        <v>0</v>
      </c>
      <c r="DU90" s="161">
        <f t="shared" si="110"/>
        <v>0</v>
      </c>
      <c r="DV90" s="161">
        <f t="shared" si="111"/>
        <v>0</v>
      </c>
      <c r="DW90" s="161">
        <f t="shared" si="112"/>
        <v>0</v>
      </c>
      <c r="DX90" s="161">
        <f t="shared" si="113"/>
        <v>0</v>
      </c>
      <c r="DY90" s="161">
        <f t="shared" si="114"/>
        <v>0</v>
      </c>
      <c r="DZ90" s="161">
        <f t="shared" si="115"/>
        <v>0</v>
      </c>
      <c r="EA90" s="161">
        <f t="shared" si="116"/>
        <v>0</v>
      </c>
      <c r="EB90" s="161">
        <f t="shared" si="117"/>
        <v>0</v>
      </c>
      <c r="EC90" s="161">
        <f t="shared" si="118"/>
        <v>0</v>
      </c>
      <c r="ED90" s="161">
        <f t="shared" si="119"/>
        <v>0</v>
      </c>
      <c r="EE90" s="161">
        <f t="shared" si="120"/>
        <v>0</v>
      </c>
      <c r="EF90" s="161">
        <f t="shared" si="121"/>
        <v>0</v>
      </c>
      <c r="EG90" s="161">
        <f t="shared" si="122"/>
        <v>0</v>
      </c>
      <c r="EH90" s="161">
        <f t="shared" si="123"/>
        <v>0</v>
      </c>
      <c r="EI90" s="161">
        <f t="shared" si="124"/>
        <v>0</v>
      </c>
      <c r="EJ90" s="161">
        <f t="shared" si="125"/>
        <v>0</v>
      </c>
      <c r="EK90" s="147">
        <f t="shared" si="55"/>
        <v>0</v>
      </c>
      <c r="EL90" s="149"/>
      <c r="EN90" s="150"/>
      <c r="EO90" s="150"/>
      <c r="EP90" s="139">
        <f t="shared" si="56"/>
        <v>0</v>
      </c>
      <c r="EQ90" s="139">
        <f t="shared" si="57"/>
        <v>0</v>
      </c>
      <c r="ER90" s="139">
        <f t="shared" si="58"/>
        <v>0</v>
      </c>
      <c r="ES90" s="139">
        <f t="shared" si="59"/>
        <v>0</v>
      </c>
      <c r="ET90" s="139">
        <f t="shared" si="60"/>
        <v>0</v>
      </c>
      <c r="EU90" s="139">
        <f t="shared" si="61"/>
        <v>0</v>
      </c>
      <c r="EV90" s="139">
        <f t="shared" si="62"/>
        <v>0</v>
      </c>
      <c r="EW90" s="139">
        <f t="shared" si="63"/>
        <v>0</v>
      </c>
      <c r="EX90" s="139">
        <f t="shared" si="64"/>
        <v>0</v>
      </c>
      <c r="EY90" s="139">
        <f t="shared" si="65"/>
        <v>0</v>
      </c>
      <c r="EZ90" s="139">
        <f t="shared" si="66"/>
        <v>0</v>
      </c>
      <c r="FA90" s="139">
        <f t="shared" si="67"/>
        <v>0</v>
      </c>
      <c r="FB90" s="139">
        <f t="shared" si="68"/>
        <v>0</v>
      </c>
      <c r="FC90" s="139">
        <f t="shared" si="69"/>
        <v>0</v>
      </c>
      <c r="FD90" s="139">
        <f t="shared" si="70"/>
        <v>0</v>
      </c>
      <c r="FE90" s="139">
        <f t="shared" si="71"/>
        <v>0</v>
      </c>
      <c r="FF90" s="139">
        <f t="shared" si="72"/>
        <v>0</v>
      </c>
      <c r="FG90" s="139">
        <f t="shared" si="73"/>
        <v>0</v>
      </c>
      <c r="FH90" s="139">
        <f t="shared" si="74"/>
        <v>0</v>
      </c>
      <c r="FI90" s="139">
        <f t="shared" si="75"/>
        <v>0</v>
      </c>
      <c r="FJ90" s="139">
        <f t="shared" si="76"/>
        <v>0</v>
      </c>
      <c r="FK90" s="139">
        <f t="shared" si="77"/>
        <v>0</v>
      </c>
      <c r="FL90" s="139">
        <f t="shared" si="78"/>
        <v>0</v>
      </c>
      <c r="FM90" s="139">
        <f t="shared" si="79"/>
        <v>0</v>
      </c>
      <c r="FN90" s="139">
        <f t="shared" si="80"/>
        <v>0</v>
      </c>
      <c r="FO90" s="139">
        <f t="shared" si="81"/>
        <v>0</v>
      </c>
      <c r="FP90" s="139">
        <f t="shared" si="82"/>
        <v>0</v>
      </c>
      <c r="FQ90" s="139">
        <f t="shared" si="83"/>
        <v>0</v>
      </c>
      <c r="FR90" s="139">
        <f t="shared" si="84"/>
        <v>0</v>
      </c>
      <c r="FS90" s="139">
        <f t="shared" si="85"/>
        <v>0</v>
      </c>
      <c r="FT90" s="139">
        <f t="shared" si="86"/>
        <v>0</v>
      </c>
      <c r="FU90" s="148">
        <f t="shared" si="87"/>
        <v>0</v>
      </c>
      <c r="FV90" s="149"/>
      <c r="FY90" s="213">
        <v>85</v>
      </c>
      <c r="FZ90">
        <v>3.7797135260832437</v>
      </c>
      <c r="GA90">
        <v>17.318602397925392</v>
      </c>
      <c r="GB90">
        <v>6.7391231976231216</v>
      </c>
      <c r="GC90">
        <v>3.4693004023413012</v>
      </c>
      <c r="GD90">
        <v>4.3777737310127458</v>
      </c>
      <c r="GE90">
        <v>3.7643522458828276</v>
      </c>
      <c r="GF90">
        <v>0.47734812494006024</v>
      </c>
      <c r="GG90">
        <v>3.2530639283636935</v>
      </c>
      <c r="GH90">
        <v>4.7322145066430314</v>
      </c>
      <c r="GI90">
        <v>5.7777001079620209</v>
      </c>
      <c r="GJ90"/>
      <c r="GK90"/>
      <c r="GL90"/>
      <c r="GM90"/>
      <c r="GN90" s="208"/>
      <c r="GO90" s="208"/>
      <c r="GP90" s="208"/>
      <c r="GQ90" s="208"/>
      <c r="GR90" s="208"/>
      <c r="GS90" s="208"/>
      <c r="GT90" s="208"/>
      <c r="GU90" s="213">
        <v>85</v>
      </c>
    </row>
    <row r="91" spans="1:203" s="7" customFormat="1">
      <c r="A91" s="77"/>
      <c r="B91" s="76">
        <f ca="1">IF(C91="", "", RAND())</f>
        <v>0.97951996738513736</v>
      </c>
      <c r="C91">
        <v>4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19.543240284619593</v>
      </c>
      <c r="AO91">
        <v>5.9809006469038097</v>
      </c>
      <c r="AP91">
        <v>82.29424091377453</v>
      </c>
      <c r="AQ91">
        <v>45.384047537762626</v>
      </c>
      <c r="AR91">
        <v>5.4914536771355857</v>
      </c>
      <c r="AS91">
        <v>64.512746030572046</v>
      </c>
      <c r="AT91" t="e">
        <v>#DIV/0!</v>
      </c>
      <c r="AU91" t="e">
        <v>#DIV/0!</v>
      </c>
      <c r="AV91"/>
      <c r="AW91"/>
      <c r="AX91" s="151"/>
      <c r="AY91" s="76">
        <f t="shared" ca="1" si="88"/>
        <v>0.72272029632636436</v>
      </c>
      <c r="AZ91">
        <v>4</v>
      </c>
      <c r="BA91" s="129">
        <f t="shared" si="89"/>
        <v>39646</v>
      </c>
      <c r="BB91" s="207">
        <v>0</v>
      </c>
      <c r="BC91" s="207">
        <v>0</v>
      </c>
      <c r="BD91" s="207">
        <v>0</v>
      </c>
      <c r="BE91" s="207">
        <v>0</v>
      </c>
      <c r="BF91" s="207">
        <v>0</v>
      </c>
      <c r="BG91" s="207">
        <v>0</v>
      </c>
      <c r="BH91" s="207">
        <v>0</v>
      </c>
      <c r="BI91" s="207">
        <v>0</v>
      </c>
      <c r="BJ91" s="207">
        <v>0</v>
      </c>
      <c r="BK91" s="207">
        <v>0</v>
      </c>
      <c r="BL91" s="207">
        <v>0</v>
      </c>
      <c r="BM91" s="207">
        <v>0</v>
      </c>
      <c r="BN91" s="207">
        <v>0</v>
      </c>
      <c r="BO91" s="207">
        <v>0</v>
      </c>
      <c r="BP91" s="207">
        <v>0</v>
      </c>
      <c r="BQ91" s="207">
        <v>0</v>
      </c>
      <c r="BR91" s="207">
        <v>0</v>
      </c>
      <c r="BS91" s="207">
        <v>0</v>
      </c>
      <c r="BT91" s="207">
        <v>0</v>
      </c>
      <c r="BU91" s="207">
        <v>0</v>
      </c>
      <c r="BV91" s="207">
        <v>0</v>
      </c>
      <c r="BW91" s="207">
        <v>0</v>
      </c>
      <c r="BX91" s="207">
        <v>0</v>
      </c>
      <c r="BY91" s="207">
        <v>0</v>
      </c>
      <c r="BZ91" s="207">
        <v>0</v>
      </c>
      <c r="CA91" s="207">
        <v>0</v>
      </c>
      <c r="CB91" s="207">
        <v>0</v>
      </c>
      <c r="CC91" s="207">
        <v>0</v>
      </c>
      <c r="CD91" s="207">
        <v>0</v>
      </c>
      <c r="CE91" s="207">
        <v>0</v>
      </c>
      <c r="CF91" s="207">
        <v>0</v>
      </c>
      <c r="CG91" s="147"/>
      <c r="CH91" s="176"/>
      <c r="CJ91" s="151"/>
      <c r="CK91" s="76">
        <f t="shared" ca="1" si="90"/>
        <v>0.71612789009667388</v>
      </c>
      <c r="CL91" s="179">
        <f t="shared" si="91"/>
        <v>4</v>
      </c>
      <c r="CM91" s="180">
        <f t="shared" si="92"/>
        <v>39646</v>
      </c>
      <c r="CN91" s="208">
        <v>0</v>
      </c>
      <c r="CO91" s="208">
        <v>0</v>
      </c>
      <c r="CP91" s="208">
        <v>0</v>
      </c>
      <c r="CQ91" s="208">
        <v>0</v>
      </c>
      <c r="CR91" s="208">
        <v>0</v>
      </c>
      <c r="CS91" s="208">
        <v>0</v>
      </c>
      <c r="CT91" s="208">
        <v>0</v>
      </c>
      <c r="CU91" s="208">
        <v>0</v>
      </c>
      <c r="CW91">
        <v>1</v>
      </c>
      <c r="CX91">
        <v>1</v>
      </c>
      <c r="CY91" s="158"/>
      <c r="CZ91" s="177">
        <f t="shared" si="93"/>
        <v>9.6000000000000002E-2</v>
      </c>
      <c r="DB91" s="151"/>
      <c r="DC91" s="76">
        <f t="shared" ca="1" si="51"/>
        <v>0.12010856976913775</v>
      </c>
      <c r="DD91">
        <f t="shared" si="94"/>
        <v>4</v>
      </c>
      <c r="DE91" s="129">
        <f t="shared" si="52"/>
        <v>39646</v>
      </c>
      <c r="DF91" s="161">
        <f t="shared" si="95"/>
        <v>0</v>
      </c>
      <c r="DG91" s="161">
        <f t="shared" si="96"/>
        <v>0</v>
      </c>
      <c r="DH91" s="161">
        <f t="shared" si="97"/>
        <v>0</v>
      </c>
      <c r="DI91" s="161">
        <f t="shared" si="98"/>
        <v>0</v>
      </c>
      <c r="DJ91" s="161">
        <f t="shared" si="99"/>
        <v>0</v>
      </c>
      <c r="DK91" s="161">
        <f t="shared" si="100"/>
        <v>0</v>
      </c>
      <c r="DL91" s="161">
        <f t="shared" si="101"/>
        <v>0</v>
      </c>
      <c r="DM91" s="161">
        <f t="shared" si="102"/>
        <v>0</v>
      </c>
      <c r="DN91" s="161">
        <f t="shared" si="103"/>
        <v>0</v>
      </c>
      <c r="DO91" s="161">
        <f t="shared" si="104"/>
        <v>0</v>
      </c>
      <c r="DP91" s="161">
        <f t="shared" si="105"/>
        <v>0</v>
      </c>
      <c r="DQ91" s="161">
        <f t="shared" si="106"/>
        <v>0</v>
      </c>
      <c r="DR91" s="161">
        <f t="shared" si="107"/>
        <v>0</v>
      </c>
      <c r="DS91" s="161">
        <f t="shared" si="108"/>
        <v>0</v>
      </c>
      <c r="DT91" s="161">
        <f t="shared" si="109"/>
        <v>0</v>
      </c>
      <c r="DU91" s="161">
        <f t="shared" si="110"/>
        <v>0</v>
      </c>
      <c r="DV91" s="161">
        <f t="shared" si="111"/>
        <v>0</v>
      </c>
      <c r="DW91" s="161">
        <f t="shared" si="112"/>
        <v>0</v>
      </c>
      <c r="DX91" s="161">
        <f t="shared" si="113"/>
        <v>0</v>
      </c>
      <c r="DY91" s="161">
        <f t="shared" si="114"/>
        <v>0</v>
      </c>
      <c r="DZ91" s="161">
        <f t="shared" si="115"/>
        <v>0</v>
      </c>
      <c r="EA91" s="161">
        <f t="shared" si="116"/>
        <v>0</v>
      </c>
      <c r="EB91" s="161">
        <f t="shared" si="117"/>
        <v>0</v>
      </c>
      <c r="EC91" s="161">
        <f t="shared" si="118"/>
        <v>0</v>
      </c>
      <c r="ED91" s="161">
        <f t="shared" si="119"/>
        <v>0</v>
      </c>
      <c r="EE91" s="161">
        <f t="shared" si="120"/>
        <v>0</v>
      </c>
      <c r="EF91" s="161">
        <f t="shared" si="121"/>
        <v>0</v>
      </c>
      <c r="EG91" s="161">
        <f t="shared" si="122"/>
        <v>0</v>
      </c>
      <c r="EH91" s="161">
        <f t="shared" si="123"/>
        <v>0</v>
      </c>
      <c r="EI91" s="161">
        <f t="shared" si="124"/>
        <v>0</v>
      </c>
      <c r="EJ91" s="161">
        <f t="shared" si="125"/>
        <v>0</v>
      </c>
      <c r="EK91" s="147">
        <f t="shared" si="55"/>
        <v>0</v>
      </c>
      <c r="EL91" s="149"/>
      <c r="EN91" s="151"/>
      <c r="EO91" s="151"/>
      <c r="EP91" s="139">
        <f t="shared" si="56"/>
        <v>0</v>
      </c>
      <c r="EQ91" s="139">
        <f t="shared" si="57"/>
        <v>0</v>
      </c>
      <c r="ER91" s="139">
        <f t="shared" si="58"/>
        <v>0</v>
      </c>
      <c r="ES91" s="139">
        <f t="shared" si="59"/>
        <v>0</v>
      </c>
      <c r="ET91" s="139">
        <f t="shared" si="60"/>
        <v>0</v>
      </c>
      <c r="EU91" s="139">
        <f t="shared" si="61"/>
        <v>0</v>
      </c>
      <c r="EV91" s="139">
        <f t="shared" si="62"/>
        <v>0</v>
      </c>
      <c r="EW91" s="139">
        <f t="shared" si="63"/>
        <v>0</v>
      </c>
      <c r="EX91" s="139">
        <f t="shared" si="64"/>
        <v>0</v>
      </c>
      <c r="EY91" s="139">
        <f t="shared" si="65"/>
        <v>0</v>
      </c>
      <c r="EZ91" s="139">
        <f t="shared" si="66"/>
        <v>0</v>
      </c>
      <c r="FA91" s="139">
        <f t="shared" si="67"/>
        <v>0</v>
      </c>
      <c r="FB91" s="139">
        <f t="shared" si="68"/>
        <v>0</v>
      </c>
      <c r="FC91" s="139">
        <f t="shared" si="69"/>
        <v>0</v>
      </c>
      <c r="FD91" s="139">
        <f t="shared" si="70"/>
        <v>0</v>
      </c>
      <c r="FE91" s="139">
        <f t="shared" si="71"/>
        <v>0</v>
      </c>
      <c r="FF91" s="139">
        <f t="shared" si="72"/>
        <v>0</v>
      </c>
      <c r="FG91" s="139">
        <f t="shared" si="73"/>
        <v>0</v>
      </c>
      <c r="FH91" s="139">
        <f t="shared" si="74"/>
        <v>0</v>
      </c>
      <c r="FI91" s="139">
        <f t="shared" si="75"/>
        <v>0</v>
      </c>
      <c r="FJ91" s="139">
        <f t="shared" si="76"/>
        <v>0</v>
      </c>
      <c r="FK91" s="139">
        <f t="shared" si="77"/>
        <v>0</v>
      </c>
      <c r="FL91" s="139">
        <f t="shared" si="78"/>
        <v>0</v>
      </c>
      <c r="FM91" s="139">
        <f t="shared" si="79"/>
        <v>0</v>
      </c>
      <c r="FN91" s="139">
        <f t="shared" si="80"/>
        <v>0</v>
      </c>
      <c r="FO91" s="139">
        <f t="shared" si="81"/>
        <v>0</v>
      </c>
      <c r="FP91" s="139">
        <f t="shared" si="82"/>
        <v>0</v>
      </c>
      <c r="FQ91" s="139">
        <f t="shared" si="83"/>
        <v>0</v>
      </c>
      <c r="FR91" s="139">
        <f t="shared" si="84"/>
        <v>0</v>
      </c>
      <c r="FS91" s="139">
        <f t="shared" si="85"/>
        <v>0</v>
      </c>
      <c r="FT91" s="139">
        <f t="shared" si="86"/>
        <v>0</v>
      </c>
      <c r="FU91" s="148">
        <f t="shared" si="87"/>
        <v>0</v>
      </c>
      <c r="FV91" s="149"/>
      <c r="FY91" s="213">
        <v>86</v>
      </c>
      <c r="FZ91">
        <v>1.596276202757001</v>
      </c>
      <c r="GA91">
        <v>20.1040892459663</v>
      </c>
      <c r="GB91">
        <v>9.0972798438860494</v>
      </c>
      <c r="GC91">
        <v>3.2111848940913368</v>
      </c>
      <c r="GD91">
        <v>4.0294194139475827</v>
      </c>
      <c r="GE91">
        <v>3.1594122827830793</v>
      </c>
      <c r="GF91">
        <v>0</v>
      </c>
      <c r="GG91">
        <v>3.358132631311662</v>
      </c>
      <c r="GH91">
        <v>4.7564346711748797</v>
      </c>
      <c r="GI91">
        <v>5.6149420981253932</v>
      </c>
      <c r="GJ91"/>
      <c r="GK91"/>
      <c r="GL91"/>
      <c r="GM91"/>
      <c r="GN91" s="208"/>
      <c r="GO91" s="208"/>
      <c r="GP91" s="208"/>
      <c r="GQ91" s="208"/>
      <c r="GR91" s="208"/>
      <c r="GS91" s="208"/>
      <c r="GT91" s="208"/>
      <c r="GU91" s="213">
        <v>86</v>
      </c>
    </row>
    <row r="92" spans="1:203" s="7" customFormat="1">
      <c r="A92" s="77"/>
      <c r="B92" s="76">
        <f ca="1">IF(C92="", "", RAND())</f>
        <v>0.4760235452988022</v>
      </c>
      <c r="C92">
        <v>10</v>
      </c>
      <c r="D92">
        <v>39646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32.705357142857146</v>
      </c>
      <c r="AO92">
        <v>5.4994464511123367</v>
      </c>
      <c r="AP92">
        <v>156.04381645295285</v>
      </c>
      <c r="AQ92">
        <v>34.87755682566862</v>
      </c>
      <c r="AR92">
        <v>4.999496773738489</v>
      </c>
      <c r="AS92">
        <v>87.949146472386772</v>
      </c>
      <c r="AT92" t="e">
        <v>#DIV/0!</v>
      </c>
      <c r="AU92" t="e">
        <v>#DIV/0!</v>
      </c>
      <c r="AV92"/>
      <c r="AW92"/>
      <c r="AX92" s="151"/>
      <c r="AY92" s="76">
        <f t="shared" ca="1" si="88"/>
        <v>1.2776720229442873E-2</v>
      </c>
      <c r="AZ92">
        <v>5</v>
      </c>
      <c r="BA92" s="129">
        <f t="shared" si="89"/>
        <v>39646</v>
      </c>
      <c r="BB92" s="207">
        <v>0</v>
      </c>
      <c r="BC92" s="207">
        <v>0</v>
      </c>
      <c r="BD92" s="207">
        <v>0</v>
      </c>
      <c r="BE92" s="207">
        <v>0</v>
      </c>
      <c r="BF92" s="207">
        <v>0</v>
      </c>
      <c r="BG92" s="207">
        <v>0</v>
      </c>
      <c r="BH92" s="207">
        <v>0</v>
      </c>
      <c r="BI92" s="207">
        <v>0</v>
      </c>
      <c r="BJ92" s="207">
        <v>0</v>
      </c>
      <c r="BK92" s="207">
        <v>0</v>
      </c>
      <c r="BL92" s="207">
        <v>0</v>
      </c>
      <c r="BM92" s="207">
        <v>0</v>
      </c>
      <c r="BN92" s="207">
        <v>0</v>
      </c>
      <c r="BO92" s="207">
        <v>0</v>
      </c>
      <c r="BP92" s="207">
        <v>0</v>
      </c>
      <c r="BQ92" s="207">
        <v>0</v>
      </c>
      <c r="BR92" s="207">
        <v>0</v>
      </c>
      <c r="BS92" s="207">
        <v>0</v>
      </c>
      <c r="BT92" s="207">
        <v>0</v>
      </c>
      <c r="BU92" s="207">
        <v>0</v>
      </c>
      <c r="BV92" s="207">
        <v>0</v>
      </c>
      <c r="BW92" s="207">
        <v>0</v>
      </c>
      <c r="BX92" s="207">
        <v>0</v>
      </c>
      <c r="BY92" s="207">
        <v>0</v>
      </c>
      <c r="BZ92" s="207">
        <v>0</v>
      </c>
      <c r="CA92" s="207">
        <v>0</v>
      </c>
      <c r="CB92" s="207">
        <v>0</v>
      </c>
      <c r="CC92" s="207">
        <v>0</v>
      </c>
      <c r="CD92" s="207">
        <v>0</v>
      </c>
      <c r="CE92" s="207">
        <v>0</v>
      </c>
      <c r="CF92" s="207">
        <v>0</v>
      </c>
      <c r="CG92" s="147"/>
      <c r="CH92" s="176"/>
      <c r="CJ92" s="151"/>
      <c r="CK92" s="76">
        <f t="shared" ca="1" si="90"/>
        <v>0.67128707067197513</v>
      </c>
      <c r="CL92" s="179">
        <f t="shared" si="91"/>
        <v>5</v>
      </c>
      <c r="CM92" s="180">
        <f t="shared" si="92"/>
        <v>39646</v>
      </c>
      <c r="CN92" s="208">
        <v>0</v>
      </c>
      <c r="CO92" s="208">
        <v>0</v>
      </c>
      <c r="CP92" s="208">
        <v>0</v>
      </c>
      <c r="CQ92" s="208">
        <v>0</v>
      </c>
      <c r="CR92" s="208">
        <v>0</v>
      </c>
      <c r="CS92" s="208">
        <v>0</v>
      </c>
      <c r="CT92" s="208">
        <v>0</v>
      </c>
      <c r="CU92" s="208">
        <v>0</v>
      </c>
      <c r="CW92">
        <v>1</v>
      </c>
      <c r="CX92">
        <v>1</v>
      </c>
      <c r="CY92" s="158"/>
      <c r="CZ92" s="177">
        <f t="shared" si="93"/>
        <v>9.6000000000000002E-2</v>
      </c>
      <c r="DB92" s="151"/>
      <c r="DC92" s="76">
        <f t="shared" ca="1" si="51"/>
        <v>0.95806790450271984</v>
      </c>
      <c r="DD92">
        <f t="shared" si="94"/>
        <v>5</v>
      </c>
      <c r="DE92" s="129">
        <f t="shared" si="52"/>
        <v>39646</v>
      </c>
      <c r="DF92" s="161">
        <f t="shared" si="95"/>
        <v>0</v>
      </c>
      <c r="DG92" s="161">
        <f t="shared" si="96"/>
        <v>0</v>
      </c>
      <c r="DH92" s="161">
        <f t="shared" si="97"/>
        <v>0</v>
      </c>
      <c r="DI92" s="161">
        <f t="shared" si="98"/>
        <v>0</v>
      </c>
      <c r="DJ92" s="161">
        <f t="shared" si="99"/>
        <v>0</v>
      </c>
      <c r="DK92" s="161">
        <f t="shared" si="100"/>
        <v>0</v>
      </c>
      <c r="DL92" s="161">
        <f t="shared" si="101"/>
        <v>0</v>
      </c>
      <c r="DM92" s="161">
        <f t="shared" si="102"/>
        <v>0</v>
      </c>
      <c r="DN92" s="161">
        <f t="shared" si="103"/>
        <v>0</v>
      </c>
      <c r="DO92" s="161">
        <f t="shared" si="104"/>
        <v>0</v>
      </c>
      <c r="DP92" s="161">
        <f t="shared" si="105"/>
        <v>0</v>
      </c>
      <c r="DQ92" s="161">
        <f t="shared" si="106"/>
        <v>0</v>
      </c>
      <c r="DR92" s="161">
        <f t="shared" si="107"/>
        <v>0</v>
      </c>
      <c r="DS92" s="161">
        <f t="shared" si="108"/>
        <v>0</v>
      </c>
      <c r="DT92" s="161">
        <f t="shared" si="109"/>
        <v>0</v>
      </c>
      <c r="DU92" s="161">
        <f t="shared" si="110"/>
        <v>0</v>
      </c>
      <c r="DV92" s="161">
        <f t="shared" si="111"/>
        <v>0</v>
      </c>
      <c r="DW92" s="161">
        <f t="shared" si="112"/>
        <v>0</v>
      </c>
      <c r="DX92" s="161">
        <f t="shared" si="113"/>
        <v>0</v>
      </c>
      <c r="DY92" s="161">
        <f t="shared" si="114"/>
        <v>0</v>
      </c>
      <c r="DZ92" s="161">
        <f t="shared" si="115"/>
        <v>0</v>
      </c>
      <c r="EA92" s="161">
        <f t="shared" si="116"/>
        <v>0</v>
      </c>
      <c r="EB92" s="161">
        <f t="shared" si="117"/>
        <v>0</v>
      </c>
      <c r="EC92" s="161">
        <f t="shared" si="118"/>
        <v>0</v>
      </c>
      <c r="ED92" s="161">
        <f t="shared" si="119"/>
        <v>0</v>
      </c>
      <c r="EE92" s="161">
        <f t="shared" si="120"/>
        <v>0</v>
      </c>
      <c r="EF92" s="161">
        <f t="shared" si="121"/>
        <v>0</v>
      </c>
      <c r="EG92" s="161">
        <f t="shared" si="122"/>
        <v>0</v>
      </c>
      <c r="EH92" s="161">
        <f t="shared" si="123"/>
        <v>0</v>
      </c>
      <c r="EI92" s="161">
        <f t="shared" si="124"/>
        <v>0</v>
      </c>
      <c r="EJ92" s="161">
        <f t="shared" si="125"/>
        <v>0</v>
      </c>
      <c r="EK92" s="147">
        <f t="shared" si="55"/>
        <v>0</v>
      </c>
      <c r="EL92" s="149"/>
      <c r="EN92" s="151"/>
      <c r="EO92" s="151"/>
      <c r="EP92" s="139">
        <f t="shared" si="56"/>
        <v>0</v>
      </c>
      <c r="EQ92" s="139">
        <f t="shared" si="57"/>
        <v>0</v>
      </c>
      <c r="ER92" s="139">
        <f t="shared" si="58"/>
        <v>0</v>
      </c>
      <c r="ES92" s="139">
        <f t="shared" si="59"/>
        <v>0</v>
      </c>
      <c r="ET92" s="139">
        <f t="shared" si="60"/>
        <v>0</v>
      </c>
      <c r="EU92" s="139">
        <f t="shared" si="61"/>
        <v>0</v>
      </c>
      <c r="EV92" s="139">
        <f t="shared" si="62"/>
        <v>0</v>
      </c>
      <c r="EW92" s="139">
        <f t="shared" si="63"/>
        <v>0</v>
      </c>
      <c r="EX92" s="139">
        <f t="shared" si="64"/>
        <v>0</v>
      </c>
      <c r="EY92" s="139">
        <f t="shared" si="65"/>
        <v>0</v>
      </c>
      <c r="EZ92" s="139">
        <f t="shared" si="66"/>
        <v>0</v>
      </c>
      <c r="FA92" s="139">
        <f t="shared" si="67"/>
        <v>0</v>
      </c>
      <c r="FB92" s="139">
        <f t="shared" si="68"/>
        <v>0</v>
      </c>
      <c r="FC92" s="139">
        <f t="shared" si="69"/>
        <v>0</v>
      </c>
      <c r="FD92" s="139">
        <f t="shared" si="70"/>
        <v>0</v>
      </c>
      <c r="FE92" s="139">
        <f t="shared" si="71"/>
        <v>0</v>
      </c>
      <c r="FF92" s="139">
        <f t="shared" si="72"/>
        <v>0</v>
      </c>
      <c r="FG92" s="139">
        <f t="shared" si="73"/>
        <v>0</v>
      </c>
      <c r="FH92" s="139">
        <f t="shared" si="74"/>
        <v>0</v>
      </c>
      <c r="FI92" s="139">
        <f t="shared" si="75"/>
        <v>0</v>
      </c>
      <c r="FJ92" s="139">
        <f t="shared" si="76"/>
        <v>0</v>
      </c>
      <c r="FK92" s="139">
        <f t="shared" si="77"/>
        <v>0</v>
      </c>
      <c r="FL92" s="139">
        <f t="shared" si="78"/>
        <v>0</v>
      </c>
      <c r="FM92" s="139">
        <f t="shared" si="79"/>
        <v>0</v>
      </c>
      <c r="FN92" s="139">
        <f t="shared" si="80"/>
        <v>0</v>
      </c>
      <c r="FO92" s="139">
        <f t="shared" si="81"/>
        <v>0</v>
      </c>
      <c r="FP92" s="139">
        <f t="shared" si="82"/>
        <v>0</v>
      </c>
      <c r="FQ92" s="139">
        <f t="shared" si="83"/>
        <v>0</v>
      </c>
      <c r="FR92" s="139">
        <f t="shared" si="84"/>
        <v>0</v>
      </c>
      <c r="FS92" s="139">
        <f t="shared" si="85"/>
        <v>0</v>
      </c>
      <c r="FT92" s="139">
        <f t="shared" si="86"/>
        <v>0</v>
      </c>
      <c r="FU92" s="148">
        <f t="shared" si="87"/>
        <v>0</v>
      </c>
      <c r="FV92" s="149"/>
      <c r="FY92" s="213">
        <v>87</v>
      </c>
      <c r="FZ92">
        <v>0.58716112056924263</v>
      </c>
      <c r="GA92">
        <v>14.691470538139461</v>
      </c>
      <c r="GB92">
        <v>7.4369298986777785</v>
      </c>
      <c r="GC92">
        <v>0.91244265457443907</v>
      </c>
      <c r="GD92">
        <v>0.76892022101274637</v>
      </c>
      <c r="GE92">
        <v>0.7209079941083204</v>
      </c>
      <c r="GF92">
        <v>0.95469624988012047</v>
      </c>
      <c r="GG92">
        <v>3.9699570467186831</v>
      </c>
      <c r="GH92">
        <v>5.5645799019284059</v>
      </c>
      <c r="GI92">
        <v>3.4724396447516686</v>
      </c>
      <c r="GJ92"/>
      <c r="GK92"/>
      <c r="GL92"/>
      <c r="GM92"/>
      <c r="GN92" s="208"/>
      <c r="GO92" s="208"/>
      <c r="GP92" s="208"/>
      <c r="GQ92" s="208"/>
      <c r="GR92" s="208"/>
      <c r="GS92" s="208"/>
      <c r="GT92" s="208"/>
      <c r="GU92" s="213">
        <v>87</v>
      </c>
    </row>
    <row r="93" spans="1:203" s="7" customFormat="1">
      <c r="A93" s="77"/>
      <c r="B93" s="76">
        <f ca="1">IF(C93="", "", RAND())</f>
        <v>0.43922384956772076</v>
      </c>
      <c r="C93">
        <v>7</v>
      </c>
      <c r="D93">
        <v>39646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23.510520118239782</v>
      </c>
      <c r="AO93">
        <v>5.2898894651308392</v>
      </c>
      <c r="AP93">
        <v>141.782395073614</v>
      </c>
      <c r="AQ93">
        <v>39.074323360326218</v>
      </c>
      <c r="AR93">
        <v>4.8089904228462164</v>
      </c>
      <c r="AS93">
        <v>59.210965363078721</v>
      </c>
      <c r="AT93" t="e">
        <v>#DIV/0!</v>
      </c>
      <c r="AU93" t="e">
        <v>#DIV/0!</v>
      </c>
      <c r="AV93"/>
      <c r="AW93"/>
      <c r="AX93" s="151"/>
      <c r="AY93" s="76">
        <f t="shared" ca="1" si="88"/>
        <v>0.1113562490500275</v>
      </c>
      <c r="AZ93">
        <v>6</v>
      </c>
      <c r="BA93" s="129">
        <f t="shared" si="89"/>
        <v>39646</v>
      </c>
      <c r="BB93" s="207">
        <v>0</v>
      </c>
      <c r="BC93" s="207">
        <v>0</v>
      </c>
      <c r="BD93" s="207">
        <v>0</v>
      </c>
      <c r="BE93" s="207">
        <v>0</v>
      </c>
      <c r="BF93" s="207">
        <v>0</v>
      </c>
      <c r="BG93" s="207">
        <v>0</v>
      </c>
      <c r="BH93" s="207">
        <v>0</v>
      </c>
      <c r="BI93" s="207">
        <v>0</v>
      </c>
      <c r="BJ93" s="207">
        <v>0</v>
      </c>
      <c r="BK93" s="207">
        <v>0</v>
      </c>
      <c r="BL93" s="207">
        <v>0</v>
      </c>
      <c r="BM93" s="207">
        <v>0</v>
      </c>
      <c r="BN93" s="207">
        <v>0</v>
      </c>
      <c r="BO93" s="207">
        <v>0</v>
      </c>
      <c r="BP93" s="207">
        <v>0</v>
      </c>
      <c r="BQ93" s="207">
        <v>0</v>
      </c>
      <c r="BR93" s="207">
        <v>0</v>
      </c>
      <c r="BS93" s="207">
        <v>0</v>
      </c>
      <c r="BT93" s="207">
        <v>0</v>
      </c>
      <c r="BU93" s="207">
        <v>0</v>
      </c>
      <c r="BV93" s="207">
        <v>0</v>
      </c>
      <c r="BW93" s="207">
        <v>0</v>
      </c>
      <c r="BX93" s="207">
        <v>0</v>
      </c>
      <c r="BY93" s="207">
        <v>0</v>
      </c>
      <c r="BZ93" s="207">
        <v>0</v>
      </c>
      <c r="CA93" s="207">
        <v>0</v>
      </c>
      <c r="CB93" s="207">
        <v>0</v>
      </c>
      <c r="CC93" s="207">
        <v>0</v>
      </c>
      <c r="CD93" s="207">
        <v>0</v>
      </c>
      <c r="CE93" s="207">
        <v>0</v>
      </c>
      <c r="CF93" s="207">
        <v>0</v>
      </c>
      <c r="CG93" s="147"/>
      <c r="CH93" s="176"/>
      <c r="CJ93" s="151"/>
      <c r="CK93" s="76">
        <f t="shared" ca="1" si="90"/>
        <v>0.48933520666321151</v>
      </c>
      <c r="CL93" s="179">
        <f t="shared" si="91"/>
        <v>6</v>
      </c>
      <c r="CM93" s="180">
        <f t="shared" si="92"/>
        <v>39646</v>
      </c>
      <c r="CN93" s="208">
        <v>0</v>
      </c>
      <c r="CO93" s="208">
        <v>0</v>
      </c>
      <c r="CP93" s="208">
        <v>0</v>
      </c>
      <c r="CQ93" s="208">
        <v>0</v>
      </c>
      <c r="CR93" s="208">
        <v>0</v>
      </c>
      <c r="CS93" s="208">
        <v>0</v>
      </c>
      <c r="CT93" s="208">
        <v>0</v>
      </c>
      <c r="CU93" s="208">
        <v>0</v>
      </c>
      <c r="CW93">
        <v>1</v>
      </c>
      <c r="CX93">
        <v>2</v>
      </c>
      <c r="CY93" s="159"/>
      <c r="CZ93" s="177">
        <f t="shared" si="93"/>
        <v>9.6000000000000002E-2</v>
      </c>
      <c r="DB93" s="151"/>
      <c r="DC93" s="76">
        <f t="shared" ca="1" si="51"/>
        <v>0.55205217889072156</v>
      </c>
      <c r="DD93">
        <f t="shared" si="94"/>
        <v>6</v>
      </c>
      <c r="DE93" s="129">
        <f t="shared" si="52"/>
        <v>39646</v>
      </c>
      <c r="DF93" s="161">
        <f t="shared" si="95"/>
        <v>0</v>
      </c>
      <c r="DG93" s="161">
        <f t="shared" si="96"/>
        <v>0</v>
      </c>
      <c r="DH93" s="161">
        <f t="shared" si="97"/>
        <v>0</v>
      </c>
      <c r="DI93" s="161">
        <f t="shared" si="98"/>
        <v>0</v>
      </c>
      <c r="DJ93" s="161">
        <f t="shared" si="99"/>
        <v>0</v>
      </c>
      <c r="DK93" s="161">
        <f t="shared" si="100"/>
        <v>0</v>
      </c>
      <c r="DL93" s="161">
        <f t="shared" si="101"/>
        <v>0</v>
      </c>
      <c r="DM93" s="161">
        <f t="shared" si="102"/>
        <v>0</v>
      </c>
      <c r="DN93" s="161">
        <f t="shared" si="103"/>
        <v>0</v>
      </c>
      <c r="DO93" s="161">
        <f t="shared" si="104"/>
        <v>0</v>
      </c>
      <c r="DP93" s="161">
        <f t="shared" si="105"/>
        <v>0</v>
      </c>
      <c r="DQ93" s="161">
        <f t="shared" si="106"/>
        <v>0</v>
      </c>
      <c r="DR93" s="161">
        <f t="shared" si="107"/>
        <v>0</v>
      </c>
      <c r="DS93" s="161">
        <f t="shared" si="108"/>
        <v>0</v>
      </c>
      <c r="DT93" s="161">
        <f t="shared" si="109"/>
        <v>0</v>
      </c>
      <c r="DU93" s="161">
        <f t="shared" si="110"/>
        <v>0</v>
      </c>
      <c r="DV93" s="161">
        <f t="shared" si="111"/>
        <v>0</v>
      </c>
      <c r="DW93" s="161">
        <f t="shared" si="112"/>
        <v>0</v>
      </c>
      <c r="DX93" s="161">
        <f t="shared" si="113"/>
        <v>0</v>
      </c>
      <c r="DY93" s="161">
        <f t="shared" si="114"/>
        <v>0</v>
      </c>
      <c r="DZ93" s="161">
        <f t="shared" si="115"/>
        <v>0</v>
      </c>
      <c r="EA93" s="161">
        <f t="shared" si="116"/>
        <v>0</v>
      </c>
      <c r="EB93" s="161">
        <f t="shared" si="117"/>
        <v>0</v>
      </c>
      <c r="EC93" s="161">
        <f t="shared" si="118"/>
        <v>0</v>
      </c>
      <c r="ED93" s="161">
        <f t="shared" si="119"/>
        <v>0</v>
      </c>
      <c r="EE93" s="161">
        <f t="shared" si="120"/>
        <v>0</v>
      </c>
      <c r="EF93" s="161">
        <f t="shared" si="121"/>
        <v>0</v>
      </c>
      <c r="EG93" s="161">
        <f t="shared" si="122"/>
        <v>0</v>
      </c>
      <c r="EH93" s="161">
        <f t="shared" si="123"/>
        <v>0</v>
      </c>
      <c r="EI93" s="161">
        <f t="shared" si="124"/>
        <v>0</v>
      </c>
      <c r="EJ93" s="161">
        <f t="shared" si="125"/>
        <v>0</v>
      </c>
      <c r="EK93" s="147">
        <f t="shared" si="55"/>
        <v>0</v>
      </c>
      <c r="EL93" s="149"/>
      <c r="EN93" s="151"/>
      <c r="EO93" s="151"/>
      <c r="EP93" s="139">
        <f t="shared" si="56"/>
        <v>0</v>
      </c>
      <c r="EQ93" s="139">
        <f t="shared" si="57"/>
        <v>0</v>
      </c>
      <c r="ER93" s="139">
        <f t="shared" si="58"/>
        <v>0</v>
      </c>
      <c r="ES93" s="139">
        <f t="shared" si="59"/>
        <v>0</v>
      </c>
      <c r="ET93" s="139">
        <f t="shared" si="60"/>
        <v>0</v>
      </c>
      <c r="EU93" s="139">
        <f t="shared" si="61"/>
        <v>0</v>
      </c>
      <c r="EV93" s="139">
        <f t="shared" si="62"/>
        <v>0</v>
      </c>
      <c r="EW93" s="139">
        <f t="shared" si="63"/>
        <v>0</v>
      </c>
      <c r="EX93" s="139">
        <f t="shared" si="64"/>
        <v>0</v>
      </c>
      <c r="EY93" s="139">
        <f t="shared" si="65"/>
        <v>0</v>
      </c>
      <c r="EZ93" s="139">
        <f t="shared" si="66"/>
        <v>0</v>
      </c>
      <c r="FA93" s="139">
        <f t="shared" si="67"/>
        <v>0</v>
      </c>
      <c r="FB93" s="139">
        <f t="shared" si="68"/>
        <v>0</v>
      </c>
      <c r="FC93" s="139">
        <f t="shared" si="69"/>
        <v>0</v>
      </c>
      <c r="FD93" s="139">
        <f t="shared" si="70"/>
        <v>0</v>
      </c>
      <c r="FE93" s="139">
        <f t="shared" si="71"/>
        <v>0</v>
      </c>
      <c r="FF93" s="139">
        <f t="shared" si="72"/>
        <v>0</v>
      </c>
      <c r="FG93" s="139">
        <f t="shared" si="73"/>
        <v>0</v>
      </c>
      <c r="FH93" s="139">
        <f t="shared" si="74"/>
        <v>0</v>
      </c>
      <c r="FI93" s="139">
        <f t="shared" si="75"/>
        <v>0</v>
      </c>
      <c r="FJ93" s="139">
        <f t="shared" si="76"/>
        <v>0</v>
      </c>
      <c r="FK93" s="139">
        <f t="shared" si="77"/>
        <v>0</v>
      </c>
      <c r="FL93" s="139">
        <f t="shared" si="78"/>
        <v>0</v>
      </c>
      <c r="FM93" s="139">
        <f t="shared" si="79"/>
        <v>0</v>
      </c>
      <c r="FN93" s="139">
        <f t="shared" si="80"/>
        <v>0</v>
      </c>
      <c r="FO93" s="139">
        <f t="shared" si="81"/>
        <v>0</v>
      </c>
      <c r="FP93" s="139">
        <f t="shared" si="82"/>
        <v>0</v>
      </c>
      <c r="FQ93" s="139">
        <f t="shared" si="83"/>
        <v>0</v>
      </c>
      <c r="FR93" s="139">
        <f t="shared" si="84"/>
        <v>0</v>
      </c>
      <c r="FS93" s="139">
        <f t="shared" si="85"/>
        <v>0</v>
      </c>
      <c r="FT93" s="139">
        <f t="shared" si="86"/>
        <v>0</v>
      </c>
      <c r="FU93" s="148">
        <f t="shared" si="87"/>
        <v>0</v>
      </c>
      <c r="FV93" s="149"/>
      <c r="FY93" s="213">
        <v>88</v>
      </c>
      <c r="FZ93">
        <v>2.7705984438954863</v>
      </c>
      <c r="GA93">
        <v>11.342969077023602</v>
      </c>
      <c r="GB93">
        <v>4.7010051434395166</v>
      </c>
      <c r="GC93">
        <v>1.7150526880754156</v>
      </c>
      <c r="GD93">
        <v>2.0034309857524022</v>
      </c>
      <c r="GE93">
        <v>1.9753533565195354</v>
      </c>
      <c r="GF93">
        <v>0.95469624988012047</v>
      </c>
      <c r="GG93">
        <v>5.8616658487995661</v>
      </c>
      <c r="GH93">
        <v>8.165780953568003</v>
      </c>
      <c r="GI93">
        <v>4.3294618575771038</v>
      </c>
      <c r="GJ93"/>
      <c r="GK93"/>
      <c r="GL93"/>
      <c r="GM93"/>
      <c r="GN93" s="208"/>
      <c r="GO93" s="208"/>
      <c r="GP93" s="208"/>
      <c r="GQ93" s="208"/>
      <c r="GR93" s="208"/>
      <c r="GS93" s="208"/>
      <c r="GT93" s="208"/>
      <c r="GU93" s="213">
        <v>88</v>
      </c>
    </row>
    <row r="94" spans="1:203" s="7" customFormat="1">
      <c r="A94" s="77"/>
      <c r="B94" s="76">
        <f ca="1">IF(C94="", "", RAND())</f>
        <v>0.74845532607211318</v>
      </c>
      <c r="C94">
        <v>6</v>
      </c>
      <c r="D94">
        <v>39646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29.205546117145094</v>
      </c>
      <c r="AO94">
        <v>7.5869893098161381</v>
      </c>
      <c r="AP94">
        <v>336.64261137640545</v>
      </c>
      <c r="AQ94">
        <v>51.583664706205148</v>
      </c>
      <c r="AR94">
        <v>6.9515342797831554</v>
      </c>
      <c r="AS94">
        <v>76.501531857456285</v>
      </c>
      <c r="AT94" t="e">
        <v>#DIV/0!</v>
      </c>
      <c r="AU94" t="e">
        <v>#DIV/0!</v>
      </c>
      <c r="AV94"/>
      <c r="AW94"/>
      <c r="AX94" s="151"/>
      <c r="AY94" s="76">
        <f t="shared" ca="1" si="88"/>
        <v>0.3958406502693208</v>
      </c>
      <c r="AZ94">
        <v>7</v>
      </c>
      <c r="BA94" s="129">
        <f t="shared" si="89"/>
        <v>39646</v>
      </c>
      <c r="BB94" s="207">
        <v>0</v>
      </c>
      <c r="BC94" s="207">
        <v>0</v>
      </c>
      <c r="BD94" s="207">
        <v>0</v>
      </c>
      <c r="BE94" s="207">
        <v>0</v>
      </c>
      <c r="BF94" s="207">
        <v>0</v>
      </c>
      <c r="BG94" s="207">
        <v>0</v>
      </c>
      <c r="BH94" s="207">
        <v>0</v>
      </c>
      <c r="BI94" s="207">
        <v>0</v>
      </c>
      <c r="BJ94" s="207">
        <v>0</v>
      </c>
      <c r="BK94" s="207">
        <v>0</v>
      </c>
      <c r="BL94" s="207">
        <v>0</v>
      </c>
      <c r="BM94" s="207">
        <v>0</v>
      </c>
      <c r="BN94" s="207">
        <v>0</v>
      </c>
      <c r="BO94" s="207">
        <v>0</v>
      </c>
      <c r="BP94" s="207">
        <v>0</v>
      </c>
      <c r="BQ94" s="207">
        <v>0</v>
      </c>
      <c r="BR94" s="207">
        <v>0</v>
      </c>
      <c r="BS94" s="207">
        <v>0</v>
      </c>
      <c r="BT94" s="207">
        <v>0</v>
      </c>
      <c r="BU94" s="207">
        <v>0</v>
      </c>
      <c r="BV94" s="207">
        <v>0</v>
      </c>
      <c r="BW94" s="207">
        <v>0</v>
      </c>
      <c r="BX94" s="207">
        <v>0</v>
      </c>
      <c r="BY94" s="207">
        <v>0</v>
      </c>
      <c r="BZ94" s="207">
        <v>0</v>
      </c>
      <c r="CA94" s="207">
        <v>0</v>
      </c>
      <c r="CB94" s="207">
        <v>0</v>
      </c>
      <c r="CC94" s="207">
        <v>0</v>
      </c>
      <c r="CD94" s="207">
        <v>0</v>
      </c>
      <c r="CE94" s="207">
        <v>0</v>
      </c>
      <c r="CF94" s="207">
        <v>0</v>
      </c>
      <c r="CG94" s="147"/>
      <c r="CH94" s="176"/>
      <c r="CJ94" s="151"/>
      <c r="CK94" s="76">
        <f t="shared" ca="1" si="90"/>
        <v>0.25518563896590241</v>
      </c>
      <c r="CL94" s="179">
        <f t="shared" si="91"/>
        <v>7</v>
      </c>
      <c r="CM94" s="180">
        <f t="shared" si="92"/>
        <v>39646</v>
      </c>
      <c r="CN94" s="208">
        <v>0</v>
      </c>
      <c r="CO94" s="208">
        <v>0</v>
      </c>
      <c r="CP94" s="208">
        <v>0</v>
      </c>
      <c r="CQ94" s="208">
        <v>0</v>
      </c>
      <c r="CR94" s="208">
        <v>0</v>
      </c>
      <c r="CS94" s="208">
        <v>0</v>
      </c>
      <c r="CT94" s="208">
        <v>0</v>
      </c>
      <c r="CU94" s="208">
        <v>0</v>
      </c>
      <c r="CV94" s="160"/>
      <c r="CW94">
        <v>1</v>
      </c>
      <c r="CX94">
        <v>2</v>
      </c>
      <c r="CY94" s="164"/>
      <c r="CZ94" s="177">
        <f t="shared" si="93"/>
        <v>9.6000000000000002E-2</v>
      </c>
      <c r="DB94" s="151"/>
      <c r="DC94" s="76">
        <f t="shared" ca="1" si="51"/>
        <v>7.4196249312086238E-3</v>
      </c>
      <c r="DD94">
        <f t="shared" si="94"/>
        <v>7</v>
      </c>
      <c r="DE94" s="129">
        <f t="shared" si="52"/>
        <v>39646</v>
      </c>
      <c r="DF94" s="161">
        <f t="shared" si="95"/>
        <v>0</v>
      </c>
      <c r="DG94" s="161">
        <f t="shared" si="96"/>
        <v>0</v>
      </c>
      <c r="DH94" s="161">
        <f t="shared" si="97"/>
        <v>0</v>
      </c>
      <c r="DI94" s="161">
        <f t="shared" si="98"/>
        <v>0</v>
      </c>
      <c r="DJ94" s="161">
        <f t="shared" si="99"/>
        <v>0</v>
      </c>
      <c r="DK94" s="161">
        <f t="shared" si="100"/>
        <v>0</v>
      </c>
      <c r="DL94" s="161">
        <f t="shared" si="101"/>
        <v>0</v>
      </c>
      <c r="DM94" s="161">
        <f t="shared" si="102"/>
        <v>0</v>
      </c>
      <c r="DN94" s="161">
        <f t="shared" si="103"/>
        <v>0</v>
      </c>
      <c r="DO94" s="161">
        <f t="shared" si="104"/>
        <v>0</v>
      </c>
      <c r="DP94" s="161">
        <f t="shared" si="105"/>
        <v>0</v>
      </c>
      <c r="DQ94" s="161">
        <f t="shared" si="106"/>
        <v>0</v>
      </c>
      <c r="DR94" s="161">
        <f t="shared" si="107"/>
        <v>0</v>
      </c>
      <c r="DS94" s="161">
        <f t="shared" si="108"/>
        <v>0</v>
      </c>
      <c r="DT94" s="161">
        <f t="shared" si="109"/>
        <v>0</v>
      </c>
      <c r="DU94" s="161">
        <f t="shared" si="110"/>
        <v>0</v>
      </c>
      <c r="DV94" s="161">
        <f t="shared" si="111"/>
        <v>0</v>
      </c>
      <c r="DW94" s="161">
        <f t="shared" si="112"/>
        <v>0</v>
      </c>
      <c r="DX94" s="161">
        <f t="shared" si="113"/>
        <v>0</v>
      </c>
      <c r="DY94" s="161">
        <f t="shared" si="114"/>
        <v>0</v>
      </c>
      <c r="DZ94" s="161">
        <f t="shared" si="115"/>
        <v>0</v>
      </c>
      <c r="EA94" s="161">
        <f t="shared" si="116"/>
        <v>0</v>
      </c>
      <c r="EB94" s="161">
        <f t="shared" si="117"/>
        <v>0</v>
      </c>
      <c r="EC94" s="161">
        <f t="shared" si="118"/>
        <v>0</v>
      </c>
      <c r="ED94" s="161">
        <f t="shared" si="119"/>
        <v>0</v>
      </c>
      <c r="EE94" s="161">
        <f t="shared" si="120"/>
        <v>0</v>
      </c>
      <c r="EF94" s="161">
        <f t="shared" si="121"/>
        <v>0</v>
      </c>
      <c r="EG94" s="161">
        <f t="shared" si="122"/>
        <v>0</v>
      </c>
      <c r="EH94" s="161">
        <f t="shared" si="123"/>
        <v>0</v>
      </c>
      <c r="EI94" s="161">
        <f t="shared" si="124"/>
        <v>0</v>
      </c>
      <c r="EJ94" s="161">
        <f t="shared" si="125"/>
        <v>0</v>
      </c>
      <c r="EK94" s="147">
        <f t="shared" si="55"/>
        <v>0</v>
      </c>
      <c r="EL94" s="149"/>
      <c r="EN94" s="151"/>
      <c r="EO94" s="151"/>
      <c r="EP94" s="139">
        <f t="shared" si="56"/>
        <v>0</v>
      </c>
      <c r="EQ94" s="139">
        <f t="shared" si="57"/>
        <v>0</v>
      </c>
      <c r="ER94" s="139">
        <f t="shared" si="58"/>
        <v>0</v>
      </c>
      <c r="ES94" s="139">
        <f t="shared" si="59"/>
        <v>0</v>
      </c>
      <c r="ET94" s="139">
        <f t="shared" si="60"/>
        <v>0</v>
      </c>
      <c r="EU94" s="139">
        <f t="shared" si="61"/>
        <v>0</v>
      </c>
      <c r="EV94" s="139">
        <f t="shared" si="62"/>
        <v>0</v>
      </c>
      <c r="EW94" s="139">
        <f t="shared" si="63"/>
        <v>0</v>
      </c>
      <c r="EX94" s="139">
        <f t="shared" si="64"/>
        <v>0</v>
      </c>
      <c r="EY94" s="139">
        <f t="shared" si="65"/>
        <v>0</v>
      </c>
      <c r="EZ94" s="139">
        <f t="shared" si="66"/>
        <v>0</v>
      </c>
      <c r="FA94" s="139">
        <f t="shared" si="67"/>
        <v>0</v>
      </c>
      <c r="FB94" s="139">
        <f t="shared" si="68"/>
        <v>0</v>
      </c>
      <c r="FC94" s="139">
        <f t="shared" si="69"/>
        <v>0</v>
      </c>
      <c r="FD94" s="139">
        <f t="shared" si="70"/>
        <v>0</v>
      </c>
      <c r="FE94" s="139">
        <f t="shared" si="71"/>
        <v>0</v>
      </c>
      <c r="FF94" s="139">
        <f t="shared" si="72"/>
        <v>0</v>
      </c>
      <c r="FG94" s="139">
        <f t="shared" si="73"/>
        <v>0</v>
      </c>
      <c r="FH94" s="139">
        <f t="shared" si="74"/>
        <v>0</v>
      </c>
      <c r="FI94" s="139">
        <f t="shared" si="75"/>
        <v>0</v>
      </c>
      <c r="FJ94" s="139">
        <f t="shared" si="76"/>
        <v>0</v>
      </c>
      <c r="FK94" s="139">
        <f t="shared" si="77"/>
        <v>0</v>
      </c>
      <c r="FL94" s="139">
        <f t="shared" si="78"/>
        <v>0</v>
      </c>
      <c r="FM94" s="139">
        <f t="shared" si="79"/>
        <v>0</v>
      </c>
      <c r="FN94" s="139">
        <f t="shared" si="80"/>
        <v>0</v>
      </c>
      <c r="FO94" s="139">
        <f t="shared" si="81"/>
        <v>0</v>
      </c>
      <c r="FP94" s="139">
        <f t="shared" si="82"/>
        <v>0</v>
      </c>
      <c r="FQ94" s="139">
        <f t="shared" si="83"/>
        <v>0</v>
      </c>
      <c r="FR94" s="139">
        <f t="shared" si="84"/>
        <v>0</v>
      </c>
      <c r="FS94" s="139">
        <f t="shared" si="85"/>
        <v>0</v>
      </c>
      <c r="FT94" s="139">
        <f t="shared" si="86"/>
        <v>0</v>
      </c>
      <c r="FU94" s="148">
        <f t="shared" si="87"/>
        <v>0</v>
      </c>
      <c r="FV94" s="149"/>
      <c r="FY94" s="213">
        <v>89</v>
      </c>
      <c r="FZ94">
        <v>3.192552405514002</v>
      </c>
      <c r="GA94">
        <v>15.518805117889594</v>
      </c>
      <c r="GB94">
        <v>5.8702157738874421</v>
      </c>
      <c r="GC94">
        <v>1.9327560202079057</v>
      </c>
      <c r="GD94">
        <v>3.0228104069492745</v>
      </c>
      <c r="GE94">
        <v>3.7005503196773564</v>
      </c>
      <c r="GF94">
        <v>0.95469624988012047</v>
      </c>
      <c r="GG94">
        <v>7.011213515500363</v>
      </c>
      <c r="GH94">
        <v>10.131991821515435</v>
      </c>
      <c r="GI94">
        <v>5.6140013792410119</v>
      </c>
      <c r="GJ94"/>
      <c r="GK94"/>
      <c r="GL94"/>
      <c r="GM94"/>
      <c r="GN94" s="208"/>
      <c r="GO94" s="208"/>
      <c r="GP94" s="208"/>
      <c r="GQ94" s="208"/>
      <c r="GR94" s="208"/>
      <c r="GS94" s="208"/>
      <c r="GT94" s="208"/>
      <c r="GU94" s="213">
        <v>89</v>
      </c>
    </row>
    <row r="95" spans="1:203" s="7" customFormat="1">
      <c r="A95" s="77"/>
      <c r="B95" s="76">
        <f ca="1">IF(C95="", "", RAND())</f>
        <v>0.34732539383488081</v>
      </c>
      <c r="C95">
        <v>8</v>
      </c>
      <c r="D95">
        <v>39646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35.428656951286257</v>
      </c>
      <c r="AO95">
        <v>8.9699004487238643</v>
      </c>
      <c r="AP95">
        <v>199.1277582491453</v>
      </c>
      <c r="AQ95">
        <v>60.632786702986031</v>
      </c>
      <c r="AR95">
        <v>8.2629974951041163</v>
      </c>
      <c r="AS95">
        <v>101.9970208928159</v>
      </c>
      <c r="AT95" t="e">
        <v>#DIV/0!</v>
      </c>
      <c r="AU95" t="e">
        <v>#DIV/0!</v>
      </c>
      <c r="AV95"/>
      <c r="AW95"/>
      <c r="AX95" s="151"/>
      <c r="AY95" s="76">
        <f t="shared" ca="1" si="88"/>
        <v>0.70172507426219877</v>
      </c>
      <c r="AZ95">
        <v>8</v>
      </c>
      <c r="BA95" s="129">
        <f t="shared" si="89"/>
        <v>39646</v>
      </c>
      <c r="BB95" s="207">
        <v>0</v>
      </c>
      <c r="BC95" s="207">
        <v>0</v>
      </c>
      <c r="BD95" s="207">
        <v>0</v>
      </c>
      <c r="BE95" s="207">
        <v>0</v>
      </c>
      <c r="BF95" s="207">
        <v>0</v>
      </c>
      <c r="BG95" s="207">
        <v>0</v>
      </c>
      <c r="BH95" s="207">
        <v>0</v>
      </c>
      <c r="BI95" s="207">
        <v>0</v>
      </c>
      <c r="BJ95" s="207">
        <v>0</v>
      </c>
      <c r="BK95" s="207">
        <v>0</v>
      </c>
      <c r="BL95" s="207">
        <v>0</v>
      </c>
      <c r="BM95" s="207">
        <v>0</v>
      </c>
      <c r="BN95" s="207">
        <v>0</v>
      </c>
      <c r="BO95" s="207">
        <v>0</v>
      </c>
      <c r="BP95" s="207">
        <v>0</v>
      </c>
      <c r="BQ95" s="207">
        <v>0</v>
      </c>
      <c r="BR95" s="207">
        <v>0</v>
      </c>
      <c r="BS95" s="207">
        <v>0</v>
      </c>
      <c r="BT95" s="207">
        <v>0</v>
      </c>
      <c r="BU95" s="207">
        <v>0</v>
      </c>
      <c r="BV95" s="207">
        <v>0</v>
      </c>
      <c r="BW95" s="207">
        <v>0</v>
      </c>
      <c r="BX95" s="207">
        <v>0</v>
      </c>
      <c r="BY95" s="207">
        <v>0</v>
      </c>
      <c r="BZ95" s="207">
        <v>0</v>
      </c>
      <c r="CA95" s="207">
        <v>0</v>
      </c>
      <c r="CB95" s="207">
        <v>0</v>
      </c>
      <c r="CC95" s="207">
        <v>0</v>
      </c>
      <c r="CD95" s="207">
        <v>0</v>
      </c>
      <c r="CE95" s="207">
        <v>0</v>
      </c>
      <c r="CF95" s="207">
        <v>0</v>
      </c>
      <c r="CG95" s="147"/>
      <c r="CH95" s="176"/>
      <c r="CJ95" s="151"/>
      <c r="CK95" s="76">
        <f t="shared" ca="1" si="90"/>
        <v>3.1189882143608294E-2</v>
      </c>
      <c r="CL95" s="179">
        <f t="shared" si="91"/>
        <v>8</v>
      </c>
      <c r="CM95" s="180">
        <f t="shared" si="92"/>
        <v>39646</v>
      </c>
      <c r="CN95" s="208">
        <v>0</v>
      </c>
      <c r="CO95" s="208">
        <v>0</v>
      </c>
      <c r="CP95" s="208">
        <v>0</v>
      </c>
      <c r="CQ95" s="208">
        <v>0</v>
      </c>
      <c r="CR95" s="208">
        <v>0</v>
      </c>
      <c r="CS95" s="208">
        <v>0</v>
      </c>
      <c r="CT95" s="208">
        <v>0</v>
      </c>
      <c r="CU95" s="208">
        <v>0</v>
      </c>
      <c r="CV95" s="160"/>
      <c r="CW95">
        <v>1</v>
      </c>
      <c r="CX95">
        <v>2</v>
      </c>
      <c r="CY95" s="164"/>
      <c r="CZ95" s="177">
        <f t="shared" si="93"/>
        <v>9.6000000000000002E-2</v>
      </c>
      <c r="DB95" s="151"/>
      <c r="DC95" s="76">
        <f t="shared" ca="1" si="51"/>
        <v>0.92910683574079056</v>
      </c>
      <c r="DD95">
        <f t="shared" si="94"/>
        <v>8</v>
      </c>
      <c r="DE95" s="129">
        <f t="shared" si="52"/>
        <v>39646</v>
      </c>
      <c r="DF95" s="161">
        <f t="shared" si="95"/>
        <v>0</v>
      </c>
      <c r="DG95" s="161">
        <f t="shared" si="96"/>
        <v>0</v>
      </c>
      <c r="DH95" s="161">
        <f t="shared" si="97"/>
        <v>0</v>
      </c>
      <c r="DI95" s="161">
        <f t="shared" si="98"/>
        <v>0</v>
      </c>
      <c r="DJ95" s="161">
        <f t="shared" si="99"/>
        <v>0</v>
      </c>
      <c r="DK95" s="161">
        <f t="shared" si="100"/>
        <v>0</v>
      </c>
      <c r="DL95" s="161">
        <f t="shared" si="101"/>
        <v>0</v>
      </c>
      <c r="DM95" s="161">
        <f t="shared" si="102"/>
        <v>0</v>
      </c>
      <c r="DN95" s="161">
        <f t="shared" si="103"/>
        <v>0</v>
      </c>
      <c r="DO95" s="161">
        <f t="shared" si="104"/>
        <v>0</v>
      </c>
      <c r="DP95" s="161">
        <f t="shared" si="105"/>
        <v>0</v>
      </c>
      <c r="DQ95" s="161">
        <f t="shared" si="106"/>
        <v>0</v>
      </c>
      <c r="DR95" s="161">
        <f t="shared" si="107"/>
        <v>0</v>
      </c>
      <c r="DS95" s="161">
        <f t="shared" si="108"/>
        <v>0</v>
      </c>
      <c r="DT95" s="161">
        <f t="shared" si="109"/>
        <v>0</v>
      </c>
      <c r="DU95" s="161">
        <f t="shared" si="110"/>
        <v>0</v>
      </c>
      <c r="DV95" s="161">
        <f t="shared" si="111"/>
        <v>0</v>
      </c>
      <c r="DW95" s="161">
        <f t="shared" si="112"/>
        <v>0</v>
      </c>
      <c r="DX95" s="161">
        <f t="shared" si="113"/>
        <v>0</v>
      </c>
      <c r="DY95" s="161">
        <f t="shared" si="114"/>
        <v>0</v>
      </c>
      <c r="DZ95" s="161">
        <f t="shared" si="115"/>
        <v>0</v>
      </c>
      <c r="EA95" s="161">
        <f t="shared" si="116"/>
        <v>0</v>
      </c>
      <c r="EB95" s="161">
        <f t="shared" si="117"/>
        <v>0</v>
      </c>
      <c r="EC95" s="161">
        <f t="shared" si="118"/>
        <v>0</v>
      </c>
      <c r="ED95" s="161">
        <f t="shared" si="119"/>
        <v>0</v>
      </c>
      <c r="EE95" s="161">
        <f t="shared" si="120"/>
        <v>0</v>
      </c>
      <c r="EF95" s="161">
        <f t="shared" si="121"/>
        <v>0</v>
      </c>
      <c r="EG95" s="161">
        <f t="shared" si="122"/>
        <v>0</v>
      </c>
      <c r="EH95" s="161">
        <f t="shared" si="123"/>
        <v>0</v>
      </c>
      <c r="EI95" s="161">
        <f t="shared" si="124"/>
        <v>0</v>
      </c>
      <c r="EJ95" s="161">
        <f t="shared" si="125"/>
        <v>0</v>
      </c>
      <c r="EK95" s="147">
        <f t="shared" si="55"/>
        <v>0</v>
      </c>
      <c r="EL95" s="149"/>
      <c r="EN95" s="151"/>
      <c r="EO95" s="151"/>
      <c r="EP95" s="139">
        <f t="shared" si="56"/>
        <v>0</v>
      </c>
      <c r="EQ95" s="139">
        <f t="shared" si="57"/>
        <v>0</v>
      </c>
      <c r="ER95" s="139">
        <f t="shared" si="58"/>
        <v>0</v>
      </c>
      <c r="ES95" s="139">
        <f t="shared" si="59"/>
        <v>0</v>
      </c>
      <c r="ET95" s="139">
        <f t="shared" si="60"/>
        <v>0</v>
      </c>
      <c r="EU95" s="139">
        <f t="shared" si="61"/>
        <v>0</v>
      </c>
      <c r="EV95" s="139">
        <f t="shared" si="62"/>
        <v>0</v>
      </c>
      <c r="EW95" s="139">
        <f t="shared" si="63"/>
        <v>0</v>
      </c>
      <c r="EX95" s="139">
        <f t="shared" si="64"/>
        <v>0</v>
      </c>
      <c r="EY95" s="139">
        <f t="shared" si="65"/>
        <v>0</v>
      </c>
      <c r="EZ95" s="139">
        <f t="shared" si="66"/>
        <v>0</v>
      </c>
      <c r="FA95" s="139">
        <f t="shared" si="67"/>
        <v>0</v>
      </c>
      <c r="FB95" s="139">
        <f t="shared" si="68"/>
        <v>0</v>
      </c>
      <c r="FC95" s="139">
        <f t="shared" si="69"/>
        <v>0</v>
      </c>
      <c r="FD95" s="139">
        <f t="shared" si="70"/>
        <v>0</v>
      </c>
      <c r="FE95" s="139">
        <f t="shared" si="71"/>
        <v>0</v>
      </c>
      <c r="FF95" s="139">
        <f t="shared" si="72"/>
        <v>0</v>
      </c>
      <c r="FG95" s="139">
        <f t="shared" si="73"/>
        <v>0</v>
      </c>
      <c r="FH95" s="139">
        <f t="shared" si="74"/>
        <v>0</v>
      </c>
      <c r="FI95" s="139">
        <f t="shared" si="75"/>
        <v>0</v>
      </c>
      <c r="FJ95" s="139">
        <f t="shared" si="76"/>
        <v>0</v>
      </c>
      <c r="FK95" s="139">
        <f t="shared" si="77"/>
        <v>0</v>
      </c>
      <c r="FL95" s="139">
        <f t="shared" si="78"/>
        <v>0</v>
      </c>
      <c r="FM95" s="139">
        <f t="shared" si="79"/>
        <v>0</v>
      </c>
      <c r="FN95" s="139">
        <f t="shared" si="80"/>
        <v>0</v>
      </c>
      <c r="FO95" s="139">
        <f t="shared" si="81"/>
        <v>0</v>
      </c>
      <c r="FP95" s="139">
        <f t="shared" si="82"/>
        <v>0</v>
      </c>
      <c r="FQ95" s="139">
        <f t="shared" si="83"/>
        <v>0</v>
      </c>
      <c r="FR95" s="139">
        <f t="shared" si="84"/>
        <v>0</v>
      </c>
      <c r="FS95" s="139">
        <f t="shared" si="85"/>
        <v>0</v>
      </c>
      <c r="FT95" s="139">
        <f t="shared" si="86"/>
        <v>0</v>
      </c>
      <c r="FU95" s="148">
        <f t="shared" si="87"/>
        <v>0</v>
      </c>
      <c r="FV95" s="149"/>
      <c r="FY95" s="213">
        <v>90</v>
      </c>
      <c r="FZ95">
        <v>3.192552405514002</v>
      </c>
      <c r="GA95">
        <v>18.968078029453725</v>
      </c>
      <c r="GB95">
        <v>7.6678820105491292</v>
      </c>
      <c r="GC95">
        <v>1.1752886190159173</v>
      </c>
      <c r="GD95">
        <v>1.6885669685433231</v>
      </c>
      <c r="GE95">
        <v>2.1786664234102395</v>
      </c>
      <c r="GF95">
        <v>0.95469624988012047</v>
      </c>
      <c r="GG95">
        <v>3.7834176041617651</v>
      </c>
      <c r="GH95">
        <v>5.2024021032791943</v>
      </c>
      <c r="GI95">
        <v>4.4452350863965249</v>
      </c>
      <c r="GJ95"/>
      <c r="GK95"/>
      <c r="GL95"/>
      <c r="GM95"/>
      <c r="GN95" s="208"/>
      <c r="GO95" s="208"/>
      <c r="GP95" s="208"/>
      <c r="GQ95" s="208"/>
      <c r="GR95" s="208"/>
      <c r="GS95" s="208"/>
      <c r="GT95" s="208"/>
      <c r="GU95" s="213">
        <v>90</v>
      </c>
    </row>
    <row r="96" spans="1:203" s="7" customFormat="1">
      <c r="A96" s="77"/>
      <c r="B96" s="76">
        <f ca="1">IF(C96="", "", RAND())</f>
        <v>3.7009180890100524E-2</v>
      </c>
      <c r="C96">
        <v>3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32.817802820477311</v>
      </c>
      <c r="AO96">
        <v>9.4676247731973255</v>
      </c>
      <c r="AP96">
        <v>409.92950420002023</v>
      </c>
      <c r="AQ96">
        <v>60.504277764660401</v>
      </c>
      <c r="AR96">
        <v>8.6069316119975685</v>
      </c>
      <c r="AS96">
        <v>98.343093603441645</v>
      </c>
      <c r="AT96" t="e">
        <v>#DIV/0!</v>
      </c>
      <c r="AU96" t="e">
        <v>#DIV/0!</v>
      </c>
      <c r="AV96"/>
      <c r="AW96"/>
      <c r="AX96" s="151"/>
      <c r="AY96" s="76">
        <f t="shared" ca="1" si="88"/>
        <v>0.36589561855306663</v>
      </c>
      <c r="AZ96">
        <v>9</v>
      </c>
      <c r="BA96" s="129">
        <f t="shared" si="89"/>
        <v>39646</v>
      </c>
      <c r="BB96" s="207">
        <v>0</v>
      </c>
      <c r="BC96" s="207">
        <v>0</v>
      </c>
      <c r="BD96" s="207">
        <v>0</v>
      </c>
      <c r="BE96" s="207">
        <v>0</v>
      </c>
      <c r="BF96" s="207">
        <v>0</v>
      </c>
      <c r="BG96" s="207">
        <v>0</v>
      </c>
      <c r="BH96" s="207">
        <v>0</v>
      </c>
      <c r="BI96" s="207">
        <v>0</v>
      </c>
      <c r="BJ96" s="207">
        <v>0</v>
      </c>
      <c r="BK96" s="207">
        <v>0</v>
      </c>
      <c r="BL96" s="207">
        <v>0</v>
      </c>
      <c r="BM96" s="207">
        <v>0</v>
      </c>
      <c r="BN96" s="207">
        <v>0</v>
      </c>
      <c r="BO96" s="207">
        <v>0</v>
      </c>
      <c r="BP96" s="207">
        <v>0</v>
      </c>
      <c r="BQ96" s="207">
        <v>0</v>
      </c>
      <c r="BR96" s="207">
        <v>0</v>
      </c>
      <c r="BS96" s="207">
        <v>0</v>
      </c>
      <c r="BT96" s="207">
        <v>0</v>
      </c>
      <c r="BU96" s="207">
        <v>0</v>
      </c>
      <c r="BV96" s="207">
        <v>0</v>
      </c>
      <c r="BW96" s="207">
        <v>0</v>
      </c>
      <c r="BX96" s="207">
        <v>0</v>
      </c>
      <c r="BY96" s="207">
        <v>0</v>
      </c>
      <c r="BZ96" s="207">
        <v>0</v>
      </c>
      <c r="CA96" s="207">
        <v>0</v>
      </c>
      <c r="CB96" s="207">
        <v>0</v>
      </c>
      <c r="CC96" s="207">
        <v>0</v>
      </c>
      <c r="CD96" s="207">
        <v>0</v>
      </c>
      <c r="CE96" s="207">
        <v>0</v>
      </c>
      <c r="CF96" s="207">
        <v>0</v>
      </c>
      <c r="CG96" s="147"/>
      <c r="CH96" s="176"/>
      <c r="CJ96" s="151"/>
      <c r="CK96" s="76">
        <f t="shared" ca="1" si="90"/>
        <v>0.38207625746109652</v>
      </c>
      <c r="CL96" s="179">
        <f t="shared" si="91"/>
        <v>9</v>
      </c>
      <c r="CM96" s="180">
        <f t="shared" si="92"/>
        <v>39646</v>
      </c>
      <c r="CN96" s="208">
        <v>0</v>
      </c>
      <c r="CO96" s="208">
        <v>0</v>
      </c>
      <c r="CP96" s="208">
        <v>0</v>
      </c>
      <c r="CQ96" s="208">
        <v>1</v>
      </c>
      <c r="CR96" s="208">
        <v>2</v>
      </c>
      <c r="CS96" s="208">
        <v>0</v>
      </c>
      <c r="CT96" s="208">
        <v>0</v>
      </c>
      <c r="CU96" s="208">
        <v>0</v>
      </c>
      <c r="CV96" s="160"/>
      <c r="CW96">
        <v>1</v>
      </c>
      <c r="CX96">
        <v>1</v>
      </c>
      <c r="CY96" s="164"/>
      <c r="CZ96" s="177">
        <f t="shared" si="93"/>
        <v>9.6000000000000002E-2</v>
      </c>
      <c r="DB96" s="151"/>
      <c r="DC96" s="76">
        <f t="shared" ca="1" si="51"/>
        <v>0.57563068766236825</v>
      </c>
      <c r="DD96">
        <f t="shared" si="94"/>
        <v>9</v>
      </c>
      <c r="DE96" s="129">
        <f t="shared" si="52"/>
        <v>39646</v>
      </c>
      <c r="DF96" s="161">
        <f t="shared" si="95"/>
        <v>0</v>
      </c>
      <c r="DG96" s="161">
        <f t="shared" si="96"/>
        <v>0</v>
      </c>
      <c r="DH96" s="161">
        <f t="shared" si="97"/>
        <v>0</v>
      </c>
      <c r="DI96" s="161">
        <f t="shared" si="98"/>
        <v>10.416666666666666</v>
      </c>
      <c r="DJ96" s="161">
        <f t="shared" si="99"/>
        <v>20.833333333333332</v>
      </c>
      <c r="DK96" s="161">
        <f t="shared" si="100"/>
        <v>0</v>
      </c>
      <c r="DL96" s="161">
        <f t="shared" si="101"/>
        <v>0</v>
      </c>
      <c r="DM96" s="161">
        <f t="shared" si="102"/>
        <v>0</v>
      </c>
      <c r="DN96" s="161">
        <f t="shared" si="103"/>
        <v>0</v>
      </c>
      <c r="DO96" s="161">
        <f t="shared" si="104"/>
        <v>0</v>
      </c>
      <c r="DP96" s="161">
        <f t="shared" si="105"/>
        <v>0</v>
      </c>
      <c r="DQ96" s="161">
        <f t="shared" si="106"/>
        <v>0</v>
      </c>
      <c r="DR96" s="161">
        <f t="shared" si="107"/>
        <v>0</v>
      </c>
      <c r="DS96" s="161">
        <f t="shared" si="108"/>
        <v>0</v>
      </c>
      <c r="DT96" s="161">
        <f t="shared" si="109"/>
        <v>0</v>
      </c>
      <c r="DU96" s="161">
        <f t="shared" si="110"/>
        <v>0</v>
      </c>
      <c r="DV96" s="161">
        <f t="shared" si="111"/>
        <v>0</v>
      </c>
      <c r="DW96" s="161">
        <f t="shared" si="112"/>
        <v>0</v>
      </c>
      <c r="DX96" s="161">
        <f t="shared" si="113"/>
        <v>0</v>
      </c>
      <c r="DY96" s="161">
        <f t="shared" si="114"/>
        <v>0</v>
      </c>
      <c r="DZ96" s="161">
        <f t="shared" si="115"/>
        <v>0</v>
      </c>
      <c r="EA96" s="161">
        <f t="shared" si="116"/>
        <v>0</v>
      </c>
      <c r="EB96" s="161">
        <f t="shared" si="117"/>
        <v>0</v>
      </c>
      <c r="EC96" s="161">
        <f t="shared" si="118"/>
        <v>0</v>
      </c>
      <c r="ED96" s="161">
        <f t="shared" si="119"/>
        <v>0</v>
      </c>
      <c r="EE96" s="161">
        <f t="shared" si="120"/>
        <v>0</v>
      </c>
      <c r="EF96" s="161">
        <f t="shared" si="121"/>
        <v>0</v>
      </c>
      <c r="EG96" s="161">
        <f t="shared" si="122"/>
        <v>0</v>
      </c>
      <c r="EH96" s="161">
        <f t="shared" si="123"/>
        <v>0</v>
      </c>
      <c r="EI96" s="161">
        <f t="shared" si="124"/>
        <v>0</v>
      </c>
      <c r="EJ96" s="161">
        <f t="shared" si="125"/>
        <v>0</v>
      </c>
      <c r="EK96" s="147">
        <f t="shared" si="55"/>
        <v>31.25</v>
      </c>
      <c r="EL96" s="149"/>
      <c r="EN96" s="151"/>
      <c r="EO96" s="151"/>
      <c r="EP96" s="139">
        <f t="shared" si="56"/>
        <v>0</v>
      </c>
      <c r="EQ96" s="139">
        <f t="shared" si="57"/>
        <v>0</v>
      </c>
      <c r="ER96" s="139">
        <f t="shared" si="58"/>
        <v>0</v>
      </c>
      <c r="ES96" s="139">
        <f t="shared" si="59"/>
        <v>2.2495177494926182</v>
      </c>
      <c r="ET96" s="139">
        <f t="shared" si="60"/>
        <v>9.6901618395739177</v>
      </c>
      <c r="EU96" s="139">
        <f t="shared" si="61"/>
        <v>0</v>
      </c>
      <c r="EV96" s="139">
        <f t="shared" si="62"/>
        <v>0</v>
      </c>
      <c r="EW96" s="139">
        <f t="shared" si="63"/>
        <v>0</v>
      </c>
      <c r="EX96" s="139">
        <f t="shared" si="64"/>
        <v>0</v>
      </c>
      <c r="EY96" s="139">
        <f t="shared" si="65"/>
        <v>0</v>
      </c>
      <c r="EZ96" s="139">
        <f t="shared" si="66"/>
        <v>0</v>
      </c>
      <c r="FA96" s="139">
        <f t="shared" si="67"/>
        <v>0</v>
      </c>
      <c r="FB96" s="139">
        <f t="shared" si="68"/>
        <v>0</v>
      </c>
      <c r="FC96" s="139">
        <f t="shared" si="69"/>
        <v>0</v>
      </c>
      <c r="FD96" s="139">
        <f t="shared" si="70"/>
        <v>0</v>
      </c>
      <c r="FE96" s="139">
        <f t="shared" si="71"/>
        <v>0</v>
      </c>
      <c r="FF96" s="139">
        <f t="shared" si="72"/>
        <v>0</v>
      </c>
      <c r="FG96" s="139">
        <f t="shared" si="73"/>
        <v>0</v>
      </c>
      <c r="FH96" s="139">
        <f t="shared" si="74"/>
        <v>0</v>
      </c>
      <c r="FI96" s="139">
        <f t="shared" si="75"/>
        <v>0</v>
      </c>
      <c r="FJ96" s="139">
        <f t="shared" si="76"/>
        <v>0</v>
      </c>
      <c r="FK96" s="139">
        <f t="shared" si="77"/>
        <v>0</v>
      </c>
      <c r="FL96" s="139">
        <f t="shared" si="78"/>
        <v>0</v>
      </c>
      <c r="FM96" s="139">
        <f t="shared" si="79"/>
        <v>0</v>
      </c>
      <c r="FN96" s="139">
        <f t="shared" si="80"/>
        <v>0</v>
      </c>
      <c r="FO96" s="139">
        <f t="shared" si="81"/>
        <v>0</v>
      </c>
      <c r="FP96" s="139">
        <f t="shared" si="82"/>
        <v>0</v>
      </c>
      <c r="FQ96" s="139">
        <f t="shared" si="83"/>
        <v>0</v>
      </c>
      <c r="FR96" s="139">
        <f t="shared" si="84"/>
        <v>0</v>
      </c>
      <c r="FS96" s="139">
        <f t="shared" si="85"/>
        <v>0</v>
      </c>
      <c r="FT96" s="139">
        <f t="shared" si="86"/>
        <v>0</v>
      </c>
      <c r="FU96" s="148">
        <f t="shared" si="87"/>
        <v>11.939679589066536</v>
      </c>
      <c r="FV96" s="149"/>
      <c r="FY96" s="213">
        <v>91</v>
      </c>
      <c r="FZ96">
        <v>3.7797135260832437</v>
      </c>
      <c r="GA96">
        <v>20.635971448434688</v>
      </c>
      <c r="GB96">
        <v>8.46956021173823</v>
      </c>
      <c r="GC96">
        <v>1.1570157648102217</v>
      </c>
      <c r="GD96">
        <v>2.3929013220367055</v>
      </c>
      <c r="GE96">
        <v>3.3400963226231966</v>
      </c>
      <c r="GF96">
        <v>0.47734812494006024</v>
      </c>
      <c r="GG96">
        <v>3.6766788475277208</v>
      </c>
      <c r="GH96">
        <v>5.061819680755038</v>
      </c>
      <c r="GI96">
        <v>5.0250468035533409</v>
      </c>
      <c r="GJ96"/>
      <c r="GK96"/>
      <c r="GL96"/>
      <c r="GM96"/>
      <c r="GN96" s="208"/>
      <c r="GO96" s="208"/>
      <c r="GP96" s="208"/>
      <c r="GQ96" s="208"/>
      <c r="GR96" s="208"/>
      <c r="GS96" s="208"/>
      <c r="GT96" s="208"/>
      <c r="GU96" s="213">
        <v>91</v>
      </c>
    </row>
    <row r="97" spans="1:203" s="7" customFormat="1">
      <c r="A97" s="77"/>
      <c r="B97" s="76">
        <f ca="1">IF(C97="", "", RAND())</f>
        <v>0.43217353432838568</v>
      </c>
      <c r="C97">
        <v>2</v>
      </c>
      <c r="D97">
        <v>39646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25.884681583476766</v>
      </c>
      <c r="AO97">
        <v>8.3040315029322578</v>
      </c>
      <c r="AP97">
        <v>152.75978288184098</v>
      </c>
      <c r="AQ97">
        <v>63.481346607651993</v>
      </c>
      <c r="AR97">
        <v>7.6576620898390209</v>
      </c>
      <c r="AS97">
        <v>76.44203613325034</v>
      </c>
      <c r="AT97" t="e">
        <v>#DIV/0!</v>
      </c>
      <c r="AU97" t="e">
        <v>#DIV/0!</v>
      </c>
      <c r="AV97"/>
      <c r="AW97"/>
      <c r="AX97" s="151"/>
      <c r="AY97" s="76">
        <f t="shared" ca="1" si="88"/>
        <v>0.81592328570865114</v>
      </c>
      <c r="AZ97">
        <v>10</v>
      </c>
      <c r="BA97" s="129">
        <f t="shared" si="89"/>
        <v>39646</v>
      </c>
      <c r="BB97" s="207">
        <v>0</v>
      </c>
      <c r="BC97" s="207">
        <v>0</v>
      </c>
      <c r="BD97" s="207">
        <v>0</v>
      </c>
      <c r="BE97" s="207">
        <v>0</v>
      </c>
      <c r="BF97" s="207">
        <v>0</v>
      </c>
      <c r="BG97" s="207">
        <v>0</v>
      </c>
      <c r="BH97" s="207">
        <v>0</v>
      </c>
      <c r="BI97" s="207">
        <v>0</v>
      </c>
      <c r="BJ97" s="207">
        <v>0</v>
      </c>
      <c r="BK97" s="207">
        <v>0</v>
      </c>
      <c r="BL97" s="207">
        <v>0</v>
      </c>
      <c r="BM97" s="207">
        <v>0</v>
      </c>
      <c r="BN97" s="207">
        <v>0</v>
      </c>
      <c r="BO97" s="207">
        <v>0</v>
      </c>
      <c r="BP97" s="207">
        <v>0</v>
      </c>
      <c r="BQ97" s="207">
        <v>0</v>
      </c>
      <c r="BR97" s="207">
        <v>0</v>
      </c>
      <c r="BS97" s="207">
        <v>0</v>
      </c>
      <c r="BT97" s="207">
        <v>0</v>
      </c>
      <c r="BU97" s="207">
        <v>0</v>
      </c>
      <c r="BV97" s="207">
        <v>0</v>
      </c>
      <c r="BW97" s="207">
        <v>0</v>
      </c>
      <c r="BX97" s="207">
        <v>0</v>
      </c>
      <c r="BY97" s="207">
        <v>0</v>
      </c>
      <c r="BZ97" s="207">
        <v>0</v>
      </c>
      <c r="CA97" s="207">
        <v>0</v>
      </c>
      <c r="CB97" s="207">
        <v>0</v>
      </c>
      <c r="CC97" s="207">
        <v>0</v>
      </c>
      <c r="CD97" s="207">
        <v>0</v>
      </c>
      <c r="CE97" s="207">
        <v>0</v>
      </c>
      <c r="CF97" s="207">
        <v>0</v>
      </c>
      <c r="CG97" s="147"/>
      <c r="CH97" s="176"/>
      <c r="CJ97" s="151"/>
      <c r="CK97" s="76">
        <f t="shared" ca="1" si="90"/>
        <v>0.47362911107705141</v>
      </c>
      <c r="CL97" s="179">
        <f t="shared" si="91"/>
        <v>10</v>
      </c>
      <c r="CM97" s="180">
        <f t="shared" si="92"/>
        <v>39646</v>
      </c>
      <c r="CN97" s="208">
        <v>0</v>
      </c>
      <c r="CO97" s="208">
        <v>0</v>
      </c>
      <c r="CP97" s="208">
        <v>0</v>
      </c>
      <c r="CQ97" s="208">
        <v>0</v>
      </c>
      <c r="CR97" s="208">
        <v>0</v>
      </c>
      <c r="CS97" s="208">
        <v>0</v>
      </c>
      <c r="CT97" s="208">
        <v>0</v>
      </c>
      <c r="CU97" s="208">
        <v>0</v>
      </c>
      <c r="CV97" s="160"/>
      <c r="CW97">
        <v>1</v>
      </c>
      <c r="CX97">
        <v>2</v>
      </c>
      <c r="CY97" s="164"/>
      <c r="CZ97" s="177">
        <f t="shared" si="93"/>
        <v>9.6000000000000002E-2</v>
      </c>
      <c r="DB97" s="151"/>
      <c r="DC97" s="76">
        <f t="shared" ca="1" si="51"/>
        <v>0.48880011955198999</v>
      </c>
      <c r="DD97">
        <f t="shared" si="94"/>
        <v>10</v>
      </c>
      <c r="DE97" s="129">
        <f t="shared" si="52"/>
        <v>39646</v>
      </c>
      <c r="DF97" s="161">
        <f t="shared" si="95"/>
        <v>0</v>
      </c>
      <c r="DG97" s="161">
        <f t="shared" si="96"/>
        <v>0</v>
      </c>
      <c r="DH97" s="161">
        <f t="shared" si="97"/>
        <v>0</v>
      </c>
      <c r="DI97" s="161">
        <f t="shared" si="98"/>
        <v>0</v>
      </c>
      <c r="DJ97" s="161">
        <f t="shared" si="99"/>
        <v>0</v>
      </c>
      <c r="DK97" s="161">
        <f t="shared" si="100"/>
        <v>0</v>
      </c>
      <c r="DL97" s="161">
        <f t="shared" si="101"/>
        <v>0</v>
      </c>
      <c r="DM97" s="161">
        <f t="shared" si="102"/>
        <v>0</v>
      </c>
      <c r="DN97" s="161">
        <f t="shared" si="103"/>
        <v>0</v>
      </c>
      <c r="DO97" s="161">
        <f t="shared" si="104"/>
        <v>0</v>
      </c>
      <c r="DP97" s="161">
        <f t="shared" si="105"/>
        <v>0</v>
      </c>
      <c r="DQ97" s="161">
        <f t="shared" si="106"/>
        <v>0</v>
      </c>
      <c r="DR97" s="161">
        <f t="shared" si="107"/>
        <v>0</v>
      </c>
      <c r="DS97" s="161">
        <f t="shared" si="108"/>
        <v>0</v>
      </c>
      <c r="DT97" s="161">
        <f t="shared" si="109"/>
        <v>0</v>
      </c>
      <c r="DU97" s="161">
        <f t="shared" si="110"/>
        <v>0</v>
      </c>
      <c r="DV97" s="161">
        <f t="shared" si="111"/>
        <v>0</v>
      </c>
      <c r="DW97" s="161">
        <f t="shared" si="112"/>
        <v>0</v>
      </c>
      <c r="DX97" s="161">
        <f t="shared" si="113"/>
        <v>0</v>
      </c>
      <c r="DY97" s="161">
        <f t="shared" si="114"/>
        <v>0</v>
      </c>
      <c r="DZ97" s="161">
        <f t="shared" si="115"/>
        <v>0</v>
      </c>
      <c r="EA97" s="161">
        <f t="shared" si="116"/>
        <v>0</v>
      </c>
      <c r="EB97" s="161">
        <f t="shared" si="117"/>
        <v>0</v>
      </c>
      <c r="EC97" s="161">
        <f t="shared" si="118"/>
        <v>0</v>
      </c>
      <c r="ED97" s="161">
        <f t="shared" si="119"/>
        <v>0</v>
      </c>
      <c r="EE97" s="161">
        <f t="shared" si="120"/>
        <v>0</v>
      </c>
      <c r="EF97" s="161">
        <f t="shared" si="121"/>
        <v>0</v>
      </c>
      <c r="EG97" s="161">
        <f t="shared" si="122"/>
        <v>0</v>
      </c>
      <c r="EH97" s="161">
        <f t="shared" si="123"/>
        <v>0</v>
      </c>
      <c r="EI97" s="161">
        <f t="shared" si="124"/>
        <v>0</v>
      </c>
      <c r="EJ97" s="161">
        <f t="shared" si="125"/>
        <v>0</v>
      </c>
      <c r="EK97" s="147">
        <f t="shared" si="55"/>
        <v>0</v>
      </c>
      <c r="EL97" s="149"/>
      <c r="EN97" s="151"/>
      <c r="EO97" s="151"/>
      <c r="EP97" s="139">
        <f t="shared" si="56"/>
        <v>0</v>
      </c>
      <c r="EQ97" s="139">
        <f t="shared" si="57"/>
        <v>0</v>
      </c>
      <c r="ER97" s="139">
        <f t="shared" si="58"/>
        <v>0</v>
      </c>
      <c r="ES97" s="139">
        <f t="shared" si="59"/>
        <v>0</v>
      </c>
      <c r="ET97" s="139">
        <f t="shared" si="60"/>
        <v>0</v>
      </c>
      <c r="EU97" s="139">
        <f t="shared" si="61"/>
        <v>0</v>
      </c>
      <c r="EV97" s="139">
        <f t="shared" si="62"/>
        <v>0</v>
      </c>
      <c r="EW97" s="139">
        <f t="shared" si="63"/>
        <v>0</v>
      </c>
      <c r="EX97" s="139">
        <f t="shared" si="64"/>
        <v>0</v>
      </c>
      <c r="EY97" s="139">
        <f t="shared" si="65"/>
        <v>0</v>
      </c>
      <c r="EZ97" s="139">
        <f t="shared" si="66"/>
        <v>0</v>
      </c>
      <c r="FA97" s="139">
        <f t="shared" si="67"/>
        <v>0</v>
      </c>
      <c r="FB97" s="139">
        <f t="shared" si="68"/>
        <v>0</v>
      </c>
      <c r="FC97" s="139">
        <f t="shared" si="69"/>
        <v>0</v>
      </c>
      <c r="FD97" s="139">
        <f t="shared" si="70"/>
        <v>0</v>
      </c>
      <c r="FE97" s="139">
        <f t="shared" si="71"/>
        <v>0</v>
      </c>
      <c r="FF97" s="139">
        <f t="shared" si="72"/>
        <v>0</v>
      </c>
      <c r="FG97" s="139">
        <f t="shared" si="73"/>
        <v>0</v>
      </c>
      <c r="FH97" s="139">
        <f t="shared" si="74"/>
        <v>0</v>
      </c>
      <c r="FI97" s="139">
        <f t="shared" si="75"/>
        <v>0</v>
      </c>
      <c r="FJ97" s="139">
        <f t="shared" si="76"/>
        <v>0</v>
      </c>
      <c r="FK97" s="139">
        <f t="shared" si="77"/>
        <v>0</v>
      </c>
      <c r="FL97" s="139">
        <f t="shared" si="78"/>
        <v>0</v>
      </c>
      <c r="FM97" s="139">
        <f t="shared" si="79"/>
        <v>0</v>
      </c>
      <c r="FN97" s="139">
        <f t="shared" si="80"/>
        <v>0</v>
      </c>
      <c r="FO97" s="139">
        <f t="shared" si="81"/>
        <v>0</v>
      </c>
      <c r="FP97" s="139">
        <f t="shared" si="82"/>
        <v>0</v>
      </c>
      <c r="FQ97" s="139">
        <f t="shared" si="83"/>
        <v>0</v>
      </c>
      <c r="FR97" s="139">
        <f t="shared" si="84"/>
        <v>0</v>
      </c>
      <c r="FS97" s="139">
        <f t="shared" si="85"/>
        <v>0</v>
      </c>
      <c r="FT97" s="139">
        <f t="shared" si="86"/>
        <v>0</v>
      </c>
      <c r="FU97" s="148">
        <f t="shared" si="87"/>
        <v>0</v>
      </c>
      <c r="FV97" s="149"/>
      <c r="FY97" s="213">
        <v>92</v>
      </c>
      <c r="FZ97">
        <v>1.596276202757001</v>
      </c>
      <c r="GA97">
        <v>15.968235937954185</v>
      </c>
      <c r="GB97">
        <v>7.0460048661243935</v>
      </c>
      <c r="GC97">
        <v>1.3302638723983682</v>
      </c>
      <c r="GD97">
        <v>1.5904836225495407</v>
      </c>
      <c r="GE97">
        <v>1.4418299710483911</v>
      </c>
      <c r="GF97">
        <v>0.47734812494006024</v>
      </c>
      <c r="GG97">
        <v>6.2926503434592975</v>
      </c>
      <c r="GH97">
        <v>9.183264168237752</v>
      </c>
      <c r="GI97">
        <v>4.5434847234024396</v>
      </c>
      <c r="GJ97"/>
      <c r="GK97"/>
      <c r="GL97"/>
      <c r="GM97"/>
      <c r="GN97" s="208"/>
      <c r="GO97" s="208"/>
      <c r="GP97" s="208"/>
      <c r="GQ97" s="208"/>
      <c r="GR97" s="208"/>
      <c r="GS97" s="208"/>
      <c r="GT97" s="208"/>
      <c r="GU97" s="213">
        <v>92</v>
      </c>
    </row>
    <row r="98" spans="1:203" s="7" customFormat="1">
      <c r="A98" s="128"/>
      <c r="B98" s="76">
        <f ca="1">IF(C98="", "", RAND())</f>
        <v>0.6088416857562382</v>
      </c>
      <c r="C98">
        <v>8</v>
      </c>
      <c r="D98">
        <v>39673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30.004585666145704</v>
      </c>
      <c r="AO98">
        <v>5.8876050364720536</v>
      </c>
      <c r="AP98">
        <v>108.25140567098387</v>
      </c>
      <c r="AQ98">
        <v>35.629140333854806</v>
      </c>
      <c r="AR98">
        <v>5.460910756693381</v>
      </c>
      <c r="AS98">
        <v>78.870078877016283</v>
      </c>
      <c r="AT98" t="e">
        <v>#DIV/0!</v>
      </c>
      <c r="AU98" t="e">
        <v>#DIV/0!</v>
      </c>
      <c r="AV98"/>
      <c r="AW98"/>
      <c r="AX98" s="128"/>
      <c r="AY98" s="76">
        <f t="shared" ca="1" si="88"/>
        <v>0.68478584878844884</v>
      </c>
      <c r="AZ98">
        <v>1</v>
      </c>
      <c r="BA98" s="129">
        <f>IF(AZ98="", "",$C$5)</f>
        <v>39673</v>
      </c>
      <c r="BB98" s="207">
        <v>0</v>
      </c>
      <c r="BC98" s="207">
        <v>0</v>
      </c>
      <c r="BD98" s="207">
        <v>1</v>
      </c>
      <c r="BE98" s="207">
        <v>0</v>
      </c>
      <c r="BF98" s="207">
        <v>3</v>
      </c>
      <c r="BG98" s="207">
        <v>2</v>
      </c>
      <c r="BH98" s="207">
        <v>0</v>
      </c>
      <c r="BI98" s="207">
        <v>0</v>
      </c>
      <c r="BJ98" s="207">
        <v>0</v>
      </c>
      <c r="BK98" s="207">
        <v>0</v>
      </c>
      <c r="BL98" s="207">
        <v>0</v>
      </c>
      <c r="BM98" s="207">
        <v>0</v>
      </c>
      <c r="BN98" s="207">
        <v>0</v>
      </c>
      <c r="BO98" s="207">
        <v>0</v>
      </c>
      <c r="BP98" s="207">
        <v>0</v>
      </c>
      <c r="BQ98" s="207">
        <v>0</v>
      </c>
      <c r="BR98" s="207">
        <v>0</v>
      </c>
      <c r="BS98" s="207">
        <v>0</v>
      </c>
      <c r="BT98" s="207">
        <v>0</v>
      </c>
      <c r="BU98" s="207">
        <v>0</v>
      </c>
      <c r="BV98" s="207">
        <v>0</v>
      </c>
      <c r="BW98" s="207">
        <v>0</v>
      </c>
      <c r="BX98" s="207">
        <v>0</v>
      </c>
      <c r="BY98" s="207">
        <v>0</v>
      </c>
      <c r="BZ98" s="207">
        <v>0</v>
      </c>
      <c r="CA98" s="207">
        <v>0</v>
      </c>
      <c r="CB98" s="207">
        <v>0</v>
      </c>
      <c r="CC98" s="207">
        <v>0</v>
      </c>
      <c r="CD98" s="207">
        <v>0</v>
      </c>
      <c r="CE98" s="207">
        <v>0</v>
      </c>
      <c r="CF98" s="207">
        <v>0</v>
      </c>
      <c r="CG98" s="147"/>
      <c r="CH98" s="176"/>
      <c r="CJ98" s="128"/>
      <c r="CK98" s="76">
        <f t="shared" ca="1" si="90"/>
        <v>0.37727027198921892</v>
      </c>
      <c r="CL98" s="179">
        <f t="shared" si="91"/>
        <v>1</v>
      </c>
      <c r="CM98" s="180">
        <f t="shared" si="92"/>
        <v>39673</v>
      </c>
      <c r="CN98" s="208">
        <v>0</v>
      </c>
      <c r="CO98" s="208">
        <v>0</v>
      </c>
      <c r="CP98" s="208">
        <v>0</v>
      </c>
      <c r="CQ98" s="208">
        <v>0</v>
      </c>
      <c r="CR98" s="208">
        <v>0</v>
      </c>
      <c r="CS98" s="208">
        <v>0</v>
      </c>
      <c r="CT98" s="208">
        <v>0</v>
      </c>
      <c r="CU98" s="208">
        <v>0</v>
      </c>
      <c r="CW98">
        <v>1</v>
      </c>
      <c r="CX98">
        <v>1</v>
      </c>
      <c r="CY98" s="158"/>
      <c r="CZ98" s="177">
        <f t="shared" si="93"/>
        <v>9.6000000000000002E-2</v>
      </c>
      <c r="DB98" s="128"/>
      <c r="DC98" s="76">
        <f t="shared" ca="1" si="51"/>
        <v>0.70900609711771323</v>
      </c>
      <c r="DD98">
        <f t="shared" si="94"/>
        <v>1</v>
      </c>
      <c r="DE98" s="129">
        <f t="shared" ref="DE98:DE107" si="126">IF((DD98)="", "", $C$5)</f>
        <v>39673</v>
      </c>
      <c r="DF98" s="161">
        <f t="shared" si="95"/>
        <v>0</v>
      </c>
      <c r="DG98" s="161">
        <f t="shared" si="96"/>
        <v>0</v>
      </c>
      <c r="DH98" s="161">
        <f t="shared" si="97"/>
        <v>10.416666666666666</v>
      </c>
      <c r="DI98" s="161">
        <f t="shared" si="98"/>
        <v>0</v>
      </c>
      <c r="DJ98" s="161">
        <f t="shared" si="99"/>
        <v>31.25</v>
      </c>
      <c r="DK98" s="161">
        <f t="shared" si="100"/>
        <v>20.833333333333332</v>
      </c>
      <c r="DL98" s="161">
        <f t="shared" si="101"/>
        <v>0</v>
      </c>
      <c r="DM98" s="161">
        <f t="shared" si="102"/>
        <v>0</v>
      </c>
      <c r="DN98" s="161">
        <f t="shared" si="103"/>
        <v>0</v>
      </c>
      <c r="DO98" s="161">
        <f t="shared" si="104"/>
        <v>0</v>
      </c>
      <c r="DP98" s="161">
        <f t="shared" si="105"/>
        <v>0</v>
      </c>
      <c r="DQ98" s="161">
        <f t="shared" si="106"/>
        <v>0</v>
      </c>
      <c r="DR98" s="161">
        <f t="shared" si="107"/>
        <v>0</v>
      </c>
      <c r="DS98" s="161">
        <f t="shared" si="108"/>
        <v>0</v>
      </c>
      <c r="DT98" s="161">
        <f t="shared" si="109"/>
        <v>0</v>
      </c>
      <c r="DU98" s="161">
        <f t="shared" si="110"/>
        <v>0</v>
      </c>
      <c r="DV98" s="161">
        <f t="shared" si="111"/>
        <v>0</v>
      </c>
      <c r="DW98" s="161">
        <f t="shared" si="112"/>
        <v>0</v>
      </c>
      <c r="DX98" s="161">
        <f t="shared" si="113"/>
        <v>0</v>
      </c>
      <c r="DY98" s="161">
        <f t="shared" si="114"/>
        <v>0</v>
      </c>
      <c r="DZ98" s="161">
        <f t="shared" si="115"/>
        <v>0</v>
      </c>
      <c r="EA98" s="161">
        <f t="shared" si="116"/>
        <v>0</v>
      </c>
      <c r="EB98" s="161">
        <f t="shared" si="117"/>
        <v>0</v>
      </c>
      <c r="EC98" s="161">
        <f t="shared" si="118"/>
        <v>0</v>
      </c>
      <c r="ED98" s="161">
        <f t="shared" si="119"/>
        <v>0</v>
      </c>
      <c r="EE98" s="161">
        <f t="shared" si="120"/>
        <v>0</v>
      </c>
      <c r="EF98" s="161">
        <f t="shared" si="121"/>
        <v>0</v>
      </c>
      <c r="EG98" s="161">
        <f t="shared" si="122"/>
        <v>0</v>
      </c>
      <c r="EH98" s="161">
        <f t="shared" si="123"/>
        <v>0</v>
      </c>
      <c r="EI98" s="161">
        <f t="shared" si="124"/>
        <v>0</v>
      </c>
      <c r="EJ98" s="161">
        <f t="shared" si="125"/>
        <v>0</v>
      </c>
      <c r="EK98" s="147">
        <f t="shared" si="55"/>
        <v>62.5</v>
      </c>
      <c r="EL98" s="149"/>
      <c r="EN98" s="146"/>
      <c r="EO98" s="146"/>
      <c r="EP98" s="139">
        <f t="shared" si="56"/>
        <v>0</v>
      </c>
      <c r="EQ98" s="139">
        <f t="shared" si="57"/>
        <v>0</v>
      </c>
      <c r="ER98" s="139">
        <f t="shared" si="58"/>
        <v>0.76287614772934675</v>
      </c>
      <c r="ES98" s="139">
        <f t="shared" si="59"/>
        <v>0</v>
      </c>
      <c r="ET98" s="139">
        <f t="shared" si="60"/>
        <v>14.535242759360877</v>
      </c>
      <c r="EU98" s="139">
        <f t="shared" si="61"/>
        <v>17.570739301935784</v>
      </c>
      <c r="EV98" s="139">
        <f t="shared" si="62"/>
        <v>0</v>
      </c>
      <c r="EW98" s="139">
        <f t="shared" si="63"/>
        <v>0</v>
      </c>
      <c r="EX98" s="139">
        <f t="shared" si="64"/>
        <v>0</v>
      </c>
      <c r="EY98" s="139">
        <f t="shared" si="65"/>
        <v>0</v>
      </c>
      <c r="EZ98" s="139">
        <f t="shared" si="66"/>
        <v>0</v>
      </c>
      <c r="FA98" s="139">
        <f t="shared" si="67"/>
        <v>0</v>
      </c>
      <c r="FB98" s="139">
        <f t="shared" si="68"/>
        <v>0</v>
      </c>
      <c r="FC98" s="139">
        <f t="shared" si="69"/>
        <v>0</v>
      </c>
      <c r="FD98" s="139">
        <f t="shared" si="70"/>
        <v>0</v>
      </c>
      <c r="FE98" s="139">
        <f t="shared" si="71"/>
        <v>0</v>
      </c>
      <c r="FF98" s="139">
        <f t="shared" si="72"/>
        <v>0</v>
      </c>
      <c r="FG98" s="139">
        <f t="shared" si="73"/>
        <v>0</v>
      </c>
      <c r="FH98" s="139">
        <f t="shared" si="74"/>
        <v>0</v>
      </c>
      <c r="FI98" s="139">
        <f t="shared" si="75"/>
        <v>0</v>
      </c>
      <c r="FJ98" s="139">
        <f t="shared" si="76"/>
        <v>0</v>
      </c>
      <c r="FK98" s="139">
        <f t="shared" si="77"/>
        <v>0</v>
      </c>
      <c r="FL98" s="139">
        <f t="shared" si="78"/>
        <v>0</v>
      </c>
      <c r="FM98" s="139">
        <f t="shared" si="79"/>
        <v>0</v>
      </c>
      <c r="FN98" s="139">
        <f t="shared" si="80"/>
        <v>0</v>
      </c>
      <c r="FO98" s="139">
        <f t="shared" si="81"/>
        <v>0</v>
      </c>
      <c r="FP98" s="139">
        <f t="shared" si="82"/>
        <v>0</v>
      </c>
      <c r="FQ98" s="139">
        <f t="shared" si="83"/>
        <v>0</v>
      </c>
      <c r="FR98" s="139">
        <f t="shared" si="84"/>
        <v>0</v>
      </c>
      <c r="FS98" s="139">
        <f t="shared" si="85"/>
        <v>0</v>
      </c>
      <c r="FT98" s="139">
        <f t="shared" si="86"/>
        <v>0</v>
      </c>
      <c r="FU98" s="148">
        <f t="shared" si="87"/>
        <v>32.868858209026008</v>
      </c>
      <c r="FV98" s="149"/>
      <c r="FY98" s="213">
        <v>93</v>
      </c>
      <c r="FZ98">
        <v>0</v>
      </c>
      <c r="GA98">
        <v>23.346076394766119</v>
      </c>
      <c r="GB98">
        <v>11.60092998652587</v>
      </c>
      <c r="GC98">
        <v>1.5479672045308583</v>
      </c>
      <c r="GD98">
        <v>2.0424440053713449</v>
      </c>
      <c r="GE98">
        <v>2.0178799379150805</v>
      </c>
      <c r="GF98">
        <v>0.47734812494006024</v>
      </c>
      <c r="GG98">
        <v>5.7549270921655209</v>
      </c>
      <c r="GH98">
        <v>8.0251985310438485</v>
      </c>
      <c r="GI98">
        <v>5.508033515655768</v>
      </c>
      <c r="GJ98"/>
      <c r="GK98"/>
      <c r="GL98"/>
      <c r="GM98"/>
      <c r="GN98" s="208"/>
      <c r="GO98" s="208"/>
      <c r="GP98" s="208"/>
      <c r="GQ98" s="208"/>
      <c r="GR98" s="208"/>
      <c r="GS98" s="208"/>
      <c r="GT98" s="208"/>
      <c r="GU98" s="213">
        <v>93</v>
      </c>
    </row>
    <row r="99" spans="1:203" s="7" customFormat="1">
      <c r="A99" s="1"/>
      <c r="B99" s="76">
        <f ca="1">IF(C99="", "", RAND())</f>
        <v>0.22061489924161037</v>
      </c>
      <c r="C99">
        <v>10</v>
      </c>
      <c r="D99">
        <v>39673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28.519363166953532</v>
      </c>
      <c r="AO99">
        <v>5.4743993451229729</v>
      </c>
      <c r="AP99">
        <v>305.7714741922569</v>
      </c>
      <c r="AQ99">
        <v>38.013953406400645</v>
      </c>
      <c r="AR99">
        <v>5.0309979482439138</v>
      </c>
      <c r="AS99">
        <v>73.687877126763809</v>
      </c>
      <c r="AT99" t="e">
        <v>#DIV/0!</v>
      </c>
      <c r="AU99" t="e">
        <v>#DIV/0!</v>
      </c>
      <c r="AV99"/>
      <c r="AW99"/>
      <c r="AX99" s="146"/>
      <c r="AY99" s="76">
        <f t="shared" ca="1" si="88"/>
        <v>0.99169450128697267</v>
      </c>
      <c r="AZ99">
        <v>2</v>
      </c>
      <c r="BA99" s="129">
        <f t="shared" ref="BA99:BA107" si="127">IF(AZ99="", "",$C$5)</f>
        <v>39673</v>
      </c>
      <c r="BB99" s="207">
        <v>0</v>
      </c>
      <c r="BC99" s="207">
        <v>0</v>
      </c>
      <c r="BD99" s="207">
        <v>0</v>
      </c>
      <c r="BE99" s="207">
        <v>0</v>
      </c>
      <c r="BF99" s="207">
        <v>0</v>
      </c>
      <c r="BG99" s="207">
        <v>0</v>
      </c>
      <c r="BH99" s="207">
        <v>0</v>
      </c>
      <c r="BI99" s="207">
        <v>0</v>
      </c>
      <c r="BJ99" s="207">
        <v>0</v>
      </c>
      <c r="BK99" s="207">
        <v>0</v>
      </c>
      <c r="BL99" s="207">
        <v>0</v>
      </c>
      <c r="BM99" s="207">
        <v>0</v>
      </c>
      <c r="BN99" s="207">
        <v>0</v>
      </c>
      <c r="BO99" s="207">
        <v>0</v>
      </c>
      <c r="BP99" s="207">
        <v>0</v>
      </c>
      <c r="BQ99" s="207">
        <v>0</v>
      </c>
      <c r="BR99" s="207">
        <v>0</v>
      </c>
      <c r="BS99" s="207">
        <v>0</v>
      </c>
      <c r="BT99" s="207">
        <v>0</v>
      </c>
      <c r="BU99" s="207">
        <v>0</v>
      </c>
      <c r="BV99" s="207">
        <v>0</v>
      </c>
      <c r="BW99" s="207">
        <v>0</v>
      </c>
      <c r="BX99" s="207">
        <v>0</v>
      </c>
      <c r="BY99" s="207">
        <v>0</v>
      </c>
      <c r="BZ99" s="207">
        <v>0</v>
      </c>
      <c r="CA99" s="207">
        <v>0</v>
      </c>
      <c r="CB99" s="207">
        <v>0</v>
      </c>
      <c r="CC99" s="207">
        <v>0</v>
      </c>
      <c r="CD99" s="207">
        <v>0</v>
      </c>
      <c r="CE99" s="207">
        <v>0</v>
      </c>
      <c r="CF99" s="207">
        <v>0</v>
      </c>
      <c r="CG99" s="147"/>
      <c r="CH99" s="176"/>
      <c r="CJ99" s="146"/>
      <c r="CK99" s="76">
        <f t="shared" ca="1" si="90"/>
        <v>0.23982690447964616</v>
      </c>
      <c r="CL99" s="179">
        <f t="shared" si="91"/>
        <v>2</v>
      </c>
      <c r="CM99" s="180">
        <f t="shared" si="92"/>
        <v>39673</v>
      </c>
      <c r="CN99" s="208">
        <v>0</v>
      </c>
      <c r="CO99" s="208">
        <v>0</v>
      </c>
      <c r="CP99" s="208">
        <v>0</v>
      </c>
      <c r="CQ99" s="208">
        <v>0</v>
      </c>
      <c r="CR99" s="208">
        <v>0</v>
      </c>
      <c r="CS99" s="208">
        <v>0</v>
      </c>
      <c r="CT99" s="208">
        <v>0</v>
      </c>
      <c r="CU99" s="208">
        <v>0</v>
      </c>
      <c r="CW99">
        <v>1</v>
      </c>
      <c r="CX99">
        <v>6</v>
      </c>
      <c r="CY99" s="158"/>
      <c r="CZ99" s="177">
        <f t="shared" si="93"/>
        <v>9.6000000000000002E-2</v>
      </c>
      <c r="DB99" s="146"/>
      <c r="DC99" s="76">
        <f t="shared" ca="1" si="51"/>
        <v>0.23083132521649352</v>
      </c>
      <c r="DD99">
        <f t="shared" si="94"/>
        <v>2</v>
      </c>
      <c r="DE99" s="129">
        <f t="shared" si="126"/>
        <v>39673</v>
      </c>
      <c r="DF99" s="161">
        <f t="shared" si="95"/>
        <v>0</v>
      </c>
      <c r="DG99" s="161">
        <f t="shared" si="96"/>
        <v>0</v>
      </c>
      <c r="DH99" s="161">
        <f t="shared" si="97"/>
        <v>0</v>
      </c>
      <c r="DI99" s="161">
        <f t="shared" si="98"/>
        <v>0</v>
      </c>
      <c r="DJ99" s="161">
        <f t="shared" si="99"/>
        <v>0</v>
      </c>
      <c r="DK99" s="161">
        <f t="shared" si="100"/>
        <v>0</v>
      </c>
      <c r="DL99" s="161">
        <f t="shared" si="101"/>
        <v>0</v>
      </c>
      <c r="DM99" s="161">
        <f t="shared" si="102"/>
        <v>0</v>
      </c>
      <c r="DN99" s="161">
        <f t="shared" si="103"/>
        <v>0</v>
      </c>
      <c r="DO99" s="161">
        <f t="shared" si="104"/>
        <v>0</v>
      </c>
      <c r="DP99" s="161">
        <f t="shared" si="105"/>
        <v>0</v>
      </c>
      <c r="DQ99" s="161">
        <f t="shared" si="106"/>
        <v>0</v>
      </c>
      <c r="DR99" s="161">
        <f t="shared" si="107"/>
        <v>0</v>
      </c>
      <c r="DS99" s="161">
        <f t="shared" si="108"/>
        <v>0</v>
      </c>
      <c r="DT99" s="161">
        <f t="shared" si="109"/>
        <v>0</v>
      </c>
      <c r="DU99" s="161">
        <f t="shared" si="110"/>
        <v>0</v>
      </c>
      <c r="DV99" s="161">
        <f t="shared" si="111"/>
        <v>0</v>
      </c>
      <c r="DW99" s="161">
        <f t="shared" si="112"/>
        <v>0</v>
      </c>
      <c r="DX99" s="161">
        <f t="shared" si="113"/>
        <v>0</v>
      </c>
      <c r="DY99" s="161">
        <f t="shared" si="114"/>
        <v>0</v>
      </c>
      <c r="DZ99" s="161">
        <f t="shared" si="115"/>
        <v>0</v>
      </c>
      <c r="EA99" s="161">
        <f t="shared" si="116"/>
        <v>0</v>
      </c>
      <c r="EB99" s="161">
        <f t="shared" si="117"/>
        <v>0</v>
      </c>
      <c r="EC99" s="161">
        <f t="shared" si="118"/>
        <v>0</v>
      </c>
      <c r="ED99" s="161">
        <f t="shared" si="119"/>
        <v>0</v>
      </c>
      <c r="EE99" s="161">
        <f t="shared" si="120"/>
        <v>0</v>
      </c>
      <c r="EF99" s="161">
        <f t="shared" si="121"/>
        <v>0</v>
      </c>
      <c r="EG99" s="161">
        <f t="shared" si="122"/>
        <v>0</v>
      </c>
      <c r="EH99" s="161">
        <f t="shared" si="123"/>
        <v>0</v>
      </c>
      <c r="EI99" s="161">
        <f t="shared" si="124"/>
        <v>0</v>
      </c>
      <c r="EJ99" s="161">
        <f t="shared" si="125"/>
        <v>0</v>
      </c>
      <c r="EK99" s="147">
        <f t="shared" si="55"/>
        <v>0</v>
      </c>
      <c r="EL99" s="149"/>
      <c r="EN99" s="146"/>
      <c r="EO99" s="146"/>
      <c r="EP99" s="139">
        <f t="shared" si="56"/>
        <v>0</v>
      </c>
      <c r="EQ99" s="139">
        <f t="shared" si="57"/>
        <v>0</v>
      </c>
      <c r="ER99" s="139">
        <f t="shared" si="58"/>
        <v>0</v>
      </c>
      <c r="ES99" s="139">
        <f t="shared" si="59"/>
        <v>0</v>
      </c>
      <c r="ET99" s="139">
        <f t="shared" si="60"/>
        <v>0</v>
      </c>
      <c r="EU99" s="139">
        <f t="shared" si="61"/>
        <v>0</v>
      </c>
      <c r="EV99" s="139">
        <f t="shared" si="62"/>
        <v>0</v>
      </c>
      <c r="EW99" s="139">
        <f t="shared" si="63"/>
        <v>0</v>
      </c>
      <c r="EX99" s="139">
        <f t="shared" si="64"/>
        <v>0</v>
      </c>
      <c r="EY99" s="139">
        <f t="shared" si="65"/>
        <v>0</v>
      </c>
      <c r="EZ99" s="139">
        <f t="shared" si="66"/>
        <v>0</v>
      </c>
      <c r="FA99" s="139">
        <f t="shared" si="67"/>
        <v>0</v>
      </c>
      <c r="FB99" s="139">
        <f t="shared" si="68"/>
        <v>0</v>
      </c>
      <c r="FC99" s="139">
        <f t="shared" si="69"/>
        <v>0</v>
      </c>
      <c r="FD99" s="139">
        <f t="shared" si="70"/>
        <v>0</v>
      </c>
      <c r="FE99" s="139">
        <f t="shared" si="71"/>
        <v>0</v>
      </c>
      <c r="FF99" s="139">
        <f t="shared" si="72"/>
        <v>0</v>
      </c>
      <c r="FG99" s="139">
        <f t="shared" si="73"/>
        <v>0</v>
      </c>
      <c r="FH99" s="139">
        <f t="shared" si="74"/>
        <v>0</v>
      </c>
      <c r="FI99" s="139">
        <f t="shared" si="75"/>
        <v>0</v>
      </c>
      <c r="FJ99" s="139">
        <f t="shared" si="76"/>
        <v>0</v>
      </c>
      <c r="FK99" s="139">
        <f t="shared" si="77"/>
        <v>0</v>
      </c>
      <c r="FL99" s="139">
        <f t="shared" si="78"/>
        <v>0</v>
      </c>
      <c r="FM99" s="139">
        <f t="shared" si="79"/>
        <v>0</v>
      </c>
      <c r="FN99" s="139">
        <f t="shared" si="80"/>
        <v>0</v>
      </c>
      <c r="FO99" s="139">
        <f t="shared" si="81"/>
        <v>0</v>
      </c>
      <c r="FP99" s="139">
        <f t="shared" si="82"/>
        <v>0</v>
      </c>
      <c r="FQ99" s="139">
        <f t="shared" si="83"/>
        <v>0</v>
      </c>
      <c r="FR99" s="139">
        <f t="shared" si="84"/>
        <v>0</v>
      </c>
      <c r="FS99" s="139">
        <f t="shared" si="85"/>
        <v>0</v>
      </c>
      <c r="FT99" s="139">
        <f t="shared" si="86"/>
        <v>0</v>
      </c>
      <c r="FU99" s="148">
        <f t="shared" si="87"/>
        <v>0</v>
      </c>
      <c r="FV99" s="149"/>
      <c r="FY99" s="213">
        <v>94</v>
      </c>
      <c r="FZ99">
        <v>3.3577595644647293</v>
      </c>
      <c r="GA99">
        <v>20.111061007252474</v>
      </c>
      <c r="GB99">
        <v>9.0593150655710897</v>
      </c>
      <c r="GC99">
        <v>0.83495502788321374</v>
      </c>
      <c r="GD99">
        <v>1.8271781868300883</v>
      </c>
      <c r="GE99">
        <v>2.9889583082168647</v>
      </c>
      <c r="GF99">
        <v>0.95469624988012047</v>
      </c>
      <c r="GG99">
        <v>7.4348284346643911</v>
      </c>
      <c r="GH99">
        <v>10.461596995627442</v>
      </c>
      <c r="GI99">
        <v>5.8019430967580741</v>
      </c>
      <c r="GJ99"/>
      <c r="GK99"/>
      <c r="GL99"/>
      <c r="GM99"/>
      <c r="GN99" s="208"/>
      <c r="GO99" s="208"/>
      <c r="GP99" s="208"/>
      <c r="GQ99" s="208"/>
      <c r="GR99" s="208"/>
      <c r="GS99" s="208"/>
      <c r="GT99" s="208"/>
      <c r="GU99" s="213">
        <v>94</v>
      </c>
    </row>
    <row r="100" spans="1:203" s="7" customFormat="1">
      <c r="A100" s="1"/>
      <c r="B100" s="76">
        <f ca="1">IF(C100="", "", RAND())</f>
        <v>4.0908486083505835E-2</v>
      </c>
      <c r="C100">
        <v>3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40.567802820477318</v>
      </c>
      <c r="AO100">
        <v>8.0227031187519557</v>
      </c>
      <c r="AP100">
        <v>359.6192869968354</v>
      </c>
      <c r="AQ100">
        <v>45.960997122690422</v>
      </c>
      <c r="AR100">
        <v>7.3476377424520782</v>
      </c>
      <c r="AS100">
        <v>104.14886198028459</v>
      </c>
      <c r="AT100" t="e">
        <v>#DIV/0!</v>
      </c>
      <c r="AU100" t="e">
        <v>#DIV/0!</v>
      </c>
      <c r="AV100"/>
      <c r="AW100"/>
      <c r="AX100" s="146"/>
      <c r="AY100" s="76">
        <f t="shared" ca="1" si="88"/>
        <v>0.12278503801556129</v>
      </c>
      <c r="AZ100">
        <v>3</v>
      </c>
      <c r="BA100" s="129">
        <f t="shared" si="127"/>
        <v>39673</v>
      </c>
      <c r="BB100" s="207">
        <v>0</v>
      </c>
      <c r="BC100" s="207">
        <v>0</v>
      </c>
      <c r="BD100" s="207">
        <v>0</v>
      </c>
      <c r="BE100" s="207">
        <v>0</v>
      </c>
      <c r="BF100" s="207">
        <v>0</v>
      </c>
      <c r="BG100" s="207">
        <v>0</v>
      </c>
      <c r="BH100" s="207">
        <v>0</v>
      </c>
      <c r="BI100" s="207">
        <v>0</v>
      </c>
      <c r="BJ100" s="207">
        <v>0</v>
      </c>
      <c r="BK100" s="207">
        <v>0</v>
      </c>
      <c r="BL100" s="207">
        <v>0</v>
      </c>
      <c r="BM100" s="207">
        <v>0</v>
      </c>
      <c r="BN100" s="207">
        <v>0</v>
      </c>
      <c r="BO100" s="207">
        <v>0</v>
      </c>
      <c r="BP100" s="207">
        <v>0</v>
      </c>
      <c r="BQ100" s="207">
        <v>0</v>
      </c>
      <c r="BR100" s="207">
        <v>0</v>
      </c>
      <c r="BS100" s="207">
        <v>0</v>
      </c>
      <c r="BT100" s="207">
        <v>0</v>
      </c>
      <c r="BU100" s="207">
        <v>0</v>
      </c>
      <c r="BV100" s="207">
        <v>0</v>
      </c>
      <c r="BW100" s="207">
        <v>0</v>
      </c>
      <c r="BX100" s="207">
        <v>0</v>
      </c>
      <c r="BY100" s="207">
        <v>0</v>
      </c>
      <c r="BZ100" s="207">
        <v>0</v>
      </c>
      <c r="CA100" s="207">
        <v>0</v>
      </c>
      <c r="CB100" s="207">
        <v>0</v>
      </c>
      <c r="CC100" s="207">
        <v>0</v>
      </c>
      <c r="CD100" s="207">
        <v>0</v>
      </c>
      <c r="CE100" s="207">
        <v>0</v>
      </c>
      <c r="CF100" s="207">
        <v>0</v>
      </c>
      <c r="CG100" s="147"/>
      <c r="CH100" s="176"/>
      <c r="CJ100" s="146"/>
      <c r="CK100" s="76">
        <f t="shared" ca="1" si="90"/>
        <v>0.94889673510357309</v>
      </c>
      <c r="CL100" s="179">
        <f t="shared" si="91"/>
        <v>3</v>
      </c>
      <c r="CM100" s="180">
        <f t="shared" si="92"/>
        <v>39673</v>
      </c>
      <c r="CN100" s="208">
        <v>0</v>
      </c>
      <c r="CO100" s="208">
        <v>0</v>
      </c>
      <c r="CP100" s="208">
        <v>0</v>
      </c>
      <c r="CQ100" s="208">
        <v>0</v>
      </c>
      <c r="CR100" s="208">
        <v>0</v>
      </c>
      <c r="CS100" s="208">
        <v>0</v>
      </c>
      <c r="CT100" s="208">
        <v>0</v>
      </c>
      <c r="CU100" s="208">
        <v>0</v>
      </c>
      <c r="CW100">
        <v>1</v>
      </c>
      <c r="CX100">
        <f>350/51</f>
        <v>6.8627450980392153</v>
      </c>
      <c r="CY100" s="158"/>
      <c r="CZ100" s="177">
        <f t="shared" si="93"/>
        <v>9.6000000000000002E-2</v>
      </c>
      <c r="DB100" s="146"/>
      <c r="DC100" s="76">
        <f t="shared" ca="1" si="51"/>
        <v>0.39759681242640066</v>
      </c>
      <c r="DD100">
        <f t="shared" si="94"/>
        <v>3</v>
      </c>
      <c r="DE100" s="129">
        <f t="shared" si="126"/>
        <v>39673</v>
      </c>
      <c r="DF100" s="161">
        <f t="shared" si="95"/>
        <v>0</v>
      </c>
      <c r="DG100" s="161">
        <f t="shared" si="96"/>
        <v>0</v>
      </c>
      <c r="DH100" s="161">
        <f t="shared" si="97"/>
        <v>0</v>
      </c>
      <c r="DI100" s="161">
        <f t="shared" si="98"/>
        <v>0</v>
      </c>
      <c r="DJ100" s="161">
        <f t="shared" si="99"/>
        <v>0</v>
      </c>
      <c r="DK100" s="161">
        <f t="shared" si="100"/>
        <v>0</v>
      </c>
      <c r="DL100" s="161">
        <f t="shared" si="101"/>
        <v>0</v>
      </c>
      <c r="DM100" s="161">
        <f t="shared" si="102"/>
        <v>0</v>
      </c>
      <c r="DN100" s="161">
        <f t="shared" si="103"/>
        <v>0</v>
      </c>
      <c r="DO100" s="161">
        <f t="shared" si="104"/>
        <v>0</v>
      </c>
      <c r="DP100" s="161">
        <f t="shared" si="105"/>
        <v>0</v>
      </c>
      <c r="DQ100" s="161">
        <f t="shared" si="106"/>
        <v>0</v>
      </c>
      <c r="DR100" s="161">
        <f t="shared" si="107"/>
        <v>0</v>
      </c>
      <c r="DS100" s="161">
        <f t="shared" si="108"/>
        <v>0</v>
      </c>
      <c r="DT100" s="161">
        <f t="shared" si="109"/>
        <v>0</v>
      </c>
      <c r="DU100" s="161">
        <f t="shared" si="110"/>
        <v>0</v>
      </c>
      <c r="DV100" s="161">
        <f t="shared" si="111"/>
        <v>0</v>
      </c>
      <c r="DW100" s="161">
        <f t="shared" si="112"/>
        <v>0</v>
      </c>
      <c r="DX100" s="161">
        <f t="shared" si="113"/>
        <v>0</v>
      </c>
      <c r="DY100" s="161">
        <f t="shared" si="114"/>
        <v>0</v>
      </c>
      <c r="DZ100" s="161">
        <f t="shared" si="115"/>
        <v>0</v>
      </c>
      <c r="EA100" s="161">
        <f t="shared" si="116"/>
        <v>0</v>
      </c>
      <c r="EB100" s="161">
        <f t="shared" si="117"/>
        <v>0</v>
      </c>
      <c r="EC100" s="161">
        <f t="shared" si="118"/>
        <v>0</v>
      </c>
      <c r="ED100" s="161">
        <f t="shared" si="119"/>
        <v>0</v>
      </c>
      <c r="EE100" s="161">
        <f t="shared" si="120"/>
        <v>0</v>
      </c>
      <c r="EF100" s="161">
        <f t="shared" si="121"/>
        <v>0</v>
      </c>
      <c r="EG100" s="161">
        <f t="shared" si="122"/>
        <v>0</v>
      </c>
      <c r="EH100" s="161">
        <f t="shared" si="123"/>
        <v>0</v>
      </c>
      <c r="EI100" s="161">
        <f t="shared" si="124"/>
        <v>0</v>
      </c>
      <c r="EJ100" s="161">
        <f t="shared" si="125"/>
        <v>0</v>
      </c>
      <c r="EK100" s="147">
        <f t="shared" si="55"/>
        <v>0</v>
      </c>
      <c r="EL100" s="149"/>
      <c r="EN100" s="146"/>
      <c r="EO100" s="146"/>
      <c r="EP100" s="139">
        <f t="shared" si="56"/>
        <v>0</v>
      </c>
      <c r="EQ100" s="139">
        <f t="shared" si="57"/>
        <v>0</v>
      </c>
      <c r="ER100" s="139">
        <f t="shared" si="58"/>
        <v>0</v>
      </c>
      <c r="ES100" s="139">
        <f t="shared" si="59"/>
        <v>0</v>
      </c>
      <c r="ET100" s="139">
        <f t="shared" si="60"/>
        <v>0</v>
      </c>
      <c r="EU100" s="139">
        <f t="shared" si="61"/>
        <v>0</v>
      </c>
      <c r="EV100" s="139">
        <f t="shared" si="62"/>
        <v>0</v>
      </c>
      <c r="EW100" s="139">
        <f t="shared" si="63"/>
        <v>0</v>
      </c>
      <c r="EX100" s="139">
        <f t="shared" si="64"/>
        <v>0</v>
      </c>
      <c r="EY100" s="139">
        <f t="shared" si="65"/>
        <v>0</v>
      </c>
      <c r="EZ100" s="139">
        <f t="shared" si="66"/>
        <v>0</v>
      </c>
      <c r="FA100" s="139">
        <f t="shared" si="67"/>
        <v>0</v>
      </c>
      <c r="FB100" s="139">
        <f t="shared" si="68"/>
        <v>0</v>
      </c>
      <c r="FC100" s="139">
        <f t="shared" si="69"/>
        <v>0</v>
      </c>
      <c r="FD100" s="139">
        <f t="shared" si="70"/>
        <v>0</v>
      </c>
      <c r="FE100" s="139">
        <f t="shared" si="71"/>
        <v>0</v>
      </c>
      <c r="FF100" s="139">
        <f t="shared" si="72"/>
        <v>0</v>
      </c>
      <c r="FG100" s="139">
        <f t="shared" si="73"/>
        <v>0</v>
      </c>
      <c r="FH100" s="139">
        <f t="shared" si="74"/>
        <v>0</v>
      </c>
      <c r="FI100" s="139">
        <f t="shared" si="75"/>
        <v>0</v>
      </c>
      <c r="FJ100" s="139">
        <f t="shared" si="76"/>
        <v>0</v>
      </c>
      <c r="FK100" s="139">
        <f t="shared" si="77"/>
        <v>0</v>
      </c>
      <c r="FL100" s="139">
        <f t="shared" si="78"/>
        <v>0</v>
      </c>
      <c r="FM100" s="139">
        <f t="shared" si="79"/>
        <v>0</v>
      </c>
      <c r="FN100" s="139">
        <f t="shared" si="80"/>
        <v>0</v>
      </c>
      <c r="FO100" s="139">
        <f t="shared" si="81"/>
        <v>0</v>
      </c>
      <c r="FP100" s="139">
        <f t="shared" si="82"/>
        <v>0</v>
      </c>
      <c r="FQ100" s="139">
        <f t="shared" si="83"/>
        <v>0</v>
      </c>
      <c r="FR100" s="139">
        <f t="shared" si="84"/>
        <v>0</v>
      </c>
      <c r="FS100" s="139">
        <f t="shared" si="85"/>
        <v>0</v>
      </c>
      <c r="FT100" s="139">
        <f t="shared" si="86"/>
        <v>0</v>
      </c>
      <c r="FU100" s="148">
        <f t="shared" si="87"/>
        <v>0</v>
      </c>
      <c r="FV100" s="149"/>
      <c r="FY100" s="213">
        <v>95</v>
      </c>
      <c r="FZ100">
        <v>0</v>
      </c>
      <c r="GA100">
        <v>14.229129656104643</v>
      </c>
      <c r="GB100">
        <v>7.1132340886709731</v>
      </c>
      <c r="GC100">
        <v>1.7285950860895976</v>
      </c>
      <c r="GD100">
        <v>3.5311927218869239</v>
      </c>
      <c r="GE100">
        <v>4.7646581360091487</v>
      </c>
      <c r="GF100">
        <v>0.47734812494006024</v>
      </c>
      <c r="GG100">
        <v>2.2917257579058905</v>
      </c>
      <c r="GH100">
        <v>3.2445436953371196</v>
      </c>
      <c r="GI100">
        <v>4.6247586616127414</v>
      </c>
      <c r="GJ100"/>
      <c r="GK100"/>
      <c r="GL100"/>
      <c r="GM100"/>
      <c r="GN100" s="208"/>
      <c r="GO100" s="208"/>
      <c r="GP100" s="208"/>
      <c r="GQ100" s="208"/>
      <c r="GR100" s="208"/>
      <c r="GS100" s="208"/>
      <c r="GT100" s="208"/>
      <c r="GU100" s="213">
        <v>95</v>
      </c>
    </row>
    <row r="101" spans="1:203" s="7" customFormat="1">
      <c r="A101" s="1"/>
      <c r="B101" s="76">
        <f ca="1">IF(C101="", "", RAND())</f>
        <v>7.3938361680753406E-2</v>
      </c>
      <c r="C101">
        <v>2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45.094503012048186</v>
      </c>
      <c r="AO101">
        <v>9.0190661981587255</v>
      </c>
      <c r="AP101">
        <v>242.1344205615556</v>
      </c>
      <c r="AQ101">
        <v>53.689192168777438</v>
      </c>
      <c r="AR101">
        <v>8.2534223600945964</v>
      </c>
      <c r="AS101">
        <v>109.84315199332707</v>
      </c>
      <c r="AT101" t="e">
        <v>#DIV/0!</v>
      </c>
      <c r="AU101" t="e">
        <v>#DIV/0!</v>
      </c>
      <c r="AV101"/>
      <c r="AW101"/>
      <c r="AX101" s="146"/>
      <c r="AY101" s="76">
        <f t="shared" ca="1" si="88"/>
        <v>0.74592000181490015</v>
      </c>
      <c r="AZ101">
        <v>4</v>
      </c>
      <c r="BA101" s="129">
        <f t="shared" si="127"/>
        <v>39673</v>
      </c>
      <c r="BB101" s="207">
        <v>0</v>
      </c>
      <c r="BC101" s="207">
        <v>0</v>
      </c>
      <c r="BD101" s="207">
        <v>0</v>
      </c>
      <c r="BE101" s="207">
        <v>0</v>
      </c>
      <c r="BF101" s="207">
        <v>0</v>
      </c>
      <c r="BG101" s="207">
        <v>0</v>
      </c>
      <c r="BH101" s="207">
        <v>0</v>
      </c>
      <c r="BI101" s="207">
        <v>0</v>
      </c>
      <c r="BJ101" s="207">
        <v>0</v>
      </c>
      <c r="BK101" s="207">
        <v>0</v>
      </c>
      <c r="BL101" s="207">
        <v>0</v>
      </c>
      <c r="BM101" s="207">
        <v>0</v>
      </c>
      <c r="BN101" s="207">
        <v>0</v>
      </c>
      <c r="BO101" s="207">
        <v>0</v>
      </c>
      <c r="BP101" s="207">
        <v>0</v>
      </c>
      <c r="BQ101" s="207">
        <v>0</v>
      </c>
      <c r="BR101" s="207">
        <v>0</v>
      </c>
      <c r="BS101" s="207">
        <v>0</v>
      </c>
      <c r="BT101" s="207">
        <v>0</v>
      </c>
      <c r="BU101" s="207">
        <v>0</v>
      </c>
      <c r="BV101" s="207">
        <v>0</v>
      </c>
      <c r="BW101" s="207">
        <v>0</v>
      </c>
      <c r="BX101" s="207">
        <v>0</v>
      </c>
      <c r="BY101" s="207">
        <v>0</v>
      </c>
      <c r="BZ101" s="207">
        <v>0</v>
      </c>
      <c r="CA101" s="207">
        <v>0</v>
      </c>
      <c r="CB101" s="207">
        <v>0</v>
      </c>
      <c r="CC101" s="207">
        <v>0</v>
      </c>
      <c r="CD101" s="207">
        <v>0</v>
      </c>
      <c r="CE101" s="207">
        <v>0</v>
      </c>
      <c r="CF101" s="207">
        <v>0</v>
      </c>
      <c r="CG101" s="147"/>
      <c r="CH101" s="176"/>
      <c r="CJ101" s="146"/>
      <c r="CK101" s="76">
        <f t="shared" ca="1" si="90"/>
        <v>0.88709259184052724</v>
      </c>
      <c r="CL101" s="179">
        <f t="shared" si="91"/>
        <v>4</v>
      </c>
      <c r="CM101" s="180">
        <f t="shared" si="92"/>
        <v>39673</v>
      </c>
      <c r="CN101" s="208">
        <v>0</v>
      </c>
      <c r="CO101" s="208">
        <v>0</v>
      </c>
      <c r="CP101" s="208">
        <v>0</v>
      </c>
      <c r="CQ101" s="208">
        <v>0</v>
      </c>
      <c r="CR101" s="208">
        <v>0</v>
      </c>
      <c r="CS101" s="208">
        <v>0</v>
      </c>
      <c r="CT101" s="208">
        <v>0</v>
      </c>
      <c r="CU101" s="208">
        <v>0</v>
      </c>
      <c r="CW101">
        <v>1</v>
      </c>
      <c r="CX101">
        <f>355/50</f>
        <v>7.1</v>
      </c>
      <c r="CY101" s="158"/>
      <c r="CZ101" s="177">
        <f t="shared" si="93"/>
        <v>9.6000000000000002E-2</v>
      </c>
      <c r="DB101" s="146"/>
      <c r="DC101" s="76">
        <f t="shared" ca="1" si="51"/>
        <v>0.42291921662665843</v>
      </c>
      <c r="DD101">
        <f t="shared" si="94"/>
        <v>4</v>
      </c>
      <c r="DE101" s="129">
        <f t="shared" si="126"/>
        <v>39673</v>
      </c>
      <c r="DF101" s="161">
        <f t="shared" si="95"/>
        <v>0</v>
      </c>
      <c r="DG101" s="161">
        <f t="shared" si="96"/>
        <v>0</v>
      </c>
      <c r="DH101" s="161">
        <f t="shared" si="97"/>
        <v>0</v>
      </c>
      <c r="DI101" s="161">
        <f t="shared" si="98"/>
        <v>0</v>
      </c>
      <c r="DJ101" s="161">
        <f t="shared" si="99"/>
        <v>0</v>
      </c>
      <c r="DK101" s="161">
        <f t="shared" si="100"/>
        <v>0</v>
      </c>
      <c r="DL101" s="161">
        <f t="shared" si="101"/>
        <v>0</v>
      </c>
      <c r="DM101" s="161">
        <f t="shared" si="102"/>
        <v>0</v>
      </c>
      <c r="DN101" s="161">
        <f t="shared" si="103"/>
        <v>0</v>
      </c>
      <c r="DO101" s="161">
        <f t="shared" si="104"/>
        <v>0</v>
      </c>
      <c r="DP101" s="161">
        <f t="shared" si="105"/>
        <v>0</v>
      </c>
      <c r="DQ101" s="161">
        <f t="shared" si="106"/>
        <v>0</v>
      </c>
      <c r="DR101" s="161">
        <f t="shared" si="107"/>
        <v>0</v>
      </c>
      <c r="DS101" s="161">
        <f t="shared" si="108"/>
        <v>0</v>
      </c>
      <c r="DT101" s="161">
        <f t="shared" si="109"/>
        <v>0</v>
      </c>
      <c r="DU101" s="161">
        <f t="shared" si="110"/>
        <v>0</v>
      </c>
      <c r="DV101" s="161">
        <f t="shared" si="111"/>
        <v>0</v>
      </c>
      <c r="DW101" s="161">
        <f t="shared" si="112"/>
        <v>0</v>
      </c>
      <c r="DX101" s="161">
        <f t="shared" si="113"/>
        <v>0</v>
      </c>
      <c r="DY101" s="161">
        <f t="shared" si="114"/>
        <v>0</v>
      </c>
      <c r="DZ101" s="161">
        <f t="shared" si="115"/>
        <v>0</v>
      </c>
      <c r="EA101" s="161">
        <f t="shared" si="116"/>
        <v>0</v>
      </c>
      <c r="EB101" s="161">
        <f t="shared" si="117"/>
        <v>0</v>
      </c>
      <c r="EC101" s="161">
        <f t="shared" si="118"/>
        <v>0</v>
      </c>
      <c r="ED101" s="161">
        <f t="shared" si="119"/>
        <v>0</v>
      </c>
      <c r="EE101" s="161">
        <f t="shared" si="120"/>
        <v>0</v>
      </c>
      <c r="EF101" s="161">
        <f t="shared" si="121"/>
        <v>0</v>
      </c>
      <c r="EG101" s="161">
        <f t="shared" si="122"/>
        <v>0</v>
      </c>
      <c r="EH101" s="161">
        <f t="shared" si="123"/>
        <v>0</v>
      </c>
      <c r="EI101" s="161">
        <f t="shared" si="124"/>
        <v>0</v>
      </c>
      <c r="EJ101" s="161">
        <f t="shared" si="125"/>
        <v>0</v>
      </c>
      <c r="EK101" s="147">
        <f t="shared" si="55"/>
        <v>0</v>
      </c>
      <c r="EL101" s="149"/>
      <c r="EN101" s="146"/>
      <c r="EO101" s="146"/>
      <c r="EP101" s="139">
        <f t="shared" si="56"/>
        <v>0</v>
      </c>
      <c r="EQ101" s="139">
        <f t="shared" si="57"/>
        <v>0</v>
      </c>
      <c r="ER101" s="139">
        <f t="shared" si="58"/>
        <v>0</v>
      </c>
      <c r="ES101" s="139">
        <f t="shared" si="59"/>
        <v>0</v>
      </c>
      <c r="ET101" s="139">
        <f t="shared" si="60"/>
        <v>0</v>
      </c>
      <c r="EU101" s="139">
        <f t="shared" si="61"/>
        <v>0</v>
      </c>
      <c r="EV101" s="139">
        <f t="shared" si="62"/>
        <v>0</v>
      </c>
      <c r="EW101" s="139">
        <f t="shared" si="63"/>
        <v>0</v>
      </c>
      <c r="EX101" s="139">
        <f t="shared" si="64"/>
        <v>0</v>
      </c>
      <c r="EY101" s="139">
        <f t="shared" si="65"/>
        <v>0</v>
      </c>
      <c r="EZ101" s="139">
        <f t="shared" si="66"/>
        <v>0</v>
      </c>
      <c r="FA101" s="139">
        <f t="shared" si="67"/>
        <v>0</v>
      </c>
      <c r="FB101" s="139">
        <f t="shared" si="68"/>
        <v>0</v>
      </c>
      <c r="FC101" s="139">
        <f t="shared" si="69"/>
        <v>0</v>
      </c>
      <c r="FD101" s="139">
        <f t="shared" si="70"/>
        <v>0</v>
      </c>
      <c r="FE101" s="139">
        <f t="shared" si="71"/>
        <v>0</v>
      </c>
      <c r="FF101" s="139">
        <f t="shared" si="72"/>
        <v>0</v>
      </c>
      <c r="FG101" s="139">
        <f t="shared" si="73"/>
        <v>0</v>
      </c>
      <c r="FH101" s="139">
        <f t="shared" si="74"/>
        <v>0</v>
      </c>
      <c r="FI101" s="139">
        <f t="shared" si="75"/>
        <v>0</v>
      </c>
      <c r="FJ101" s="139">
        <f t="shared" si="76"/>
        <v>0</v>
      </c>
      <c r="FK101" s="139">
        <f t="shared" si="77"/>
        <v>0</v>
      </c>
      <c r="FL101" s="139">
        <f t="shared" si="78"/>
        <v>0</v>
      </c>
      <c r="FM101" s="139">
        <f t="shared" si="79"/>
        <v>0</v>
      </c>
      <c r="FN101" s="139">
        <f t="shared" si="80"/>
        <v>0</v>
      </c>
      <c r="FO101" s="139">
        <f t="shared" si="81"/>
        <v>0</v>
      </c>
      <c r="FP101" s="139">
        <f t="shared" si="82"/>
        <v>0</v>
      </c>
      <c r="FQ101" s="139">
        <f t="shared" si="83"/>
        <v>0</v>
      </c>
      <c r="FR101" s="139">
        <f t="shared" si="84"/>
        <v>0</v>
      </c>
      <c r="FS101" s="139">
        <f t="shared" si="85"/>
        <v>0</v>
      </c>
      <c r="FT101" s="139">
        <f t="shared" si="86"/>
        <v>0</v>
      </c>
      <c r="FU101" s="148">
        <f t="shared" si="87"/>
        <v>0</v>
      </c>
      <c r="FV101" s="149"/>
      <c r="FY101" s="213">
        <v>96</v>
      </c>
      <c r="FZ101">
        <v>0</v>
      </c>
      <c r="GA101">
        <v>8.3896669545067315</v>
      </c>
      <c r="GB101">
        <v>4.2457087346998126</v>
      </c>
      <c r="GC101">
        <v>1.3302638723983682</v>
      </c>
      <c r="GD101">
        <v>2.0922683680968057</v>
      </c>
      <c r="GE101">
        <v>2.4620334155196701</v>
      </c>
      <c r="GF101">
        <v>0.47734812494006024</v>
      </c>
      <c r="GG101">
        <v>0.32021626990213425</v>
      </c>
      <c r="GH101">
        <v>0.42174726757246522</v>
      </c>
      <c r="GI101">
        <v>2.4741822587122924</v>
      </c>
      <c r="GJ101"/>
      <c r="GK101"/>
      <c r="GL101"/>
      <c r="GM101"/>
      <c r="GN101" s="208"/>
      <c r="GO101" s="208"/>
      <c r="GP101" s="208"/>
      <c r="GQ101" s="208"/>
      <c r="GR101" s="208"/>
      <c r="GS101" s="208"/>
      <c r="GT101" s="208"/>
      <c r="GU101" s="213">
        <v>96</v>
      </c>
    </row>
    <row r="102" spans="1:203" s="7" customFormat="1">
      <c r="A102" s="1"/>
      <c r="B102" s="76">
        <f ca="1">IF(C102="", "", RAND())</f>
        <v>0.94502650996392124</v>
      </c>
      <c r="C102">
        <v>1</v>
      </c>
      <c r="D102">
        <v>39673</v>
      </c>
      <c r="E102">
        <v>0</v>
      </c>
      <c r="F102">
        <v>0</v>
      </c>
      <c r="G102">
        <v>10.416666666666666</v>
      </c>
      <c r="H102">
        <v>0</v>
      </c>
      <c r="I102">
        <v>31.25</v>
      </c>
      <c r="J102">
        <v>20.833333333333332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50.80952380952381</v>
      </c>
      <c r="AO102">
        <v>8.6667002934486792</v>
      </c>
      <c r="AP102">
        <v>220.34067593897311</v>
      </c>
      <c r="AQ102">
        <v>54.927171284043283</v>
      </c>
      <c r="AR102">
        <v>7.8788184485897057</v>
      </c>
      <c r="AS102">
        <v>122.12333594715665</v>
      </c>
      <c r="AT102" t="e">
        <v>#DIV/0!</v>
      </c>
      <c r="AU102" t="e">
        <v>#DIV/0!</v>
      </c>
      <c r="AV102"/>
      <c r="AW102"/>
      <c r="AX102" s="146"/>
      <c r="AY102" s="76">
        <f t="shared" ca="1" si="88"/>
        <v>0.70216740623220297</v>
      </c>
      <c r="AZ102">
        <v>5</v>
      </c>
      <c r="BA102" s="129">
        <f t="shared" si="127"/>
        <v>39673</v>
      </c>
      <c r="BB102" s="207">
        <v>0</v>
      </c>
      <c r="BC102" s="207">
        <v>0</v>
      </c>
      <c r="BD102" s="207">
        <v>0</v>
      </c>
      <c r="BE102" s="207">
        <v>0</v>
      </c>
      <c r="BF102" s="207">
        <v>0</v>
      </c>
      <c r="BG102" s="207">
        <v>0</v>
      </c>
      <c r="BH102" s="207">
        <v>0</v>
      </c>
      <c r="BI102" s="207">
        <v>0</v>
      </c>
      <c r="BJ102" s="207">
        <v>0</v>
      </c>
      <c r="BK102" s="207">
        <v>0</v>
      </c>
      <c r="BL102" s="207">
        <v>0</v>
      </c>
      <c r="BM102" s="207">
        <v>0</v>
      </c>
      <c r="BN102" s="207">
        <v>0</v>
      </c>
      <c r="BO102" s="207">
        <v>0</v>
      </c>
      <c r="BP102" s="207">
        <v>0</v>
      </c>
      <c r="BQ102" s="207">
        <v>0</v>
      </c>
      <c r="BR102" s="207">
        <v>0</v>
      </c>
      <c r="BS102" s="207">
        <v>0</v>
      </c>
      <c r="BT102" s="207">
        <v>0</v>
      </c>
      <c r="BU102" s="207">
        <v>0</v>
      </c>
      <c r="BV102" s="207">
        <v>0</v>
      </c>
      <c r="BW102" s="207">
        <v>0</v>
      </c>
      <c r="BX102" s="207">
        <v>0</v>
      </c>
      <c r="BY102" s="207">
        <v>0</v>
      </c>
      <c r="BZ102" s="207">
        <v>0</v>
      </c>
      <c r="CA102" s="207">
        <v>0</v>
      </c>
      <c r="CB102" s="207">
        <v>0</v>
      </c>
      <c r="CC102" s="207">
        <v>0</v>
      </c>
      <c r="CD102" s="207">
        <v>0</v>
      </c>
      <c r="CE102" s="207">
        <v>0</v>
      </c>
      <c r="CF102" s="207">
        <v>0</v>
      </c>
      <c r="CG102" s="147"/>
      <c r="CH102" s="176"/>
      <c r="CJ102" s="146"/>
      <c r="CK102" s="76">
        <f t="shared" ca="1" si="90"/>
        <v>0.52777519034533182</v>
      </c>
      <c r="CL102" s="179">
        <f t="shared" si="91"/>
        <v>5</v>
      </c>
      <c r="CM102" s="180">
        <f t="shared" si="92"/>
        <v>39673</v>
      </c>
      <c r="CN102" s="208">
        <v>0</v>
      </c>
      <c r="CO102" s="208">
        <v>0</v>
      </c>
      <c r="CP102" s="208">
        <v>0</v>
      </c>
      <c r="CQ102" s="208">
        <v>0</v>
      </c>
      <c r="CR102" s="208">
        <v>0</v>
      </c>
      <c r="CS102" s="208">
        <v>0</v>
      </c>
      <c r="CT102" s="208">
        <v>0</v>
      </c>
      <c r="CU102" s="208">
        <v>0</v>
      </c>
      <c r="CW102">
        <v>1</v>
      </c>
      <c r="CX102">
        <v>1</v>
      </c>
      <c r="CY102" s="164"/>
      <c r="CZ102" s="177">
        <f t="shared" si="93"/>
        <v>9.6000000000000002E-2</v>
      </c>
      <c r="DB102" s="146"/>
      <c r="DC102" s="76">
        <f t="shared" ca="1" si="51"/>
        <v>0.20289683719100204</v>
      </c>
      <c r="DD102">
        <f t="shared" si="94"/>
        <v>5</v>
      </c>
      <c r="DE102" s="129">
        <f t="shared" si="126"/>
        <v>39673</v>
      </c>
      <c r="DF102" s="161">
        <f t="shared" si="95"/>
        <v>0</v>
      </c>
      <c r="DG102" s="161">
        <f t="shared" si="96"/>
        <v>0</v>
      </c>
      <c r="DH102" s="161">
        <f t="shared" si="97"/>
        <v>0</v>
      </c>
      <c r="DI102" s="161">
        <f t="shared" si="98"/>
        <v>0</v>
      </c>
      <c r="DJ102" s="161">
        <f t="shared" si="99"/>
        <v>0</v>
      </c>
      <c r="DK102" s="161">
        <f t="shared" si="100"/>
        <v>0</v>
      </c>
      <c r="DL102" s="161">
        <f t="shared" si="101"/>
        <v>0</v>
      </c>
      <c r="DM102" s="161">
        <f t="shared" si="102"/>
        <v>0</v>
      </c>
      <c r="DN102" s="161">
        <f t="shared" si="103"/>
        <v>0</v>
      </c>
      <c r="DO102" s="161">
        <f t="shared" si="104"/>
        <v>0</v>
      </c>
      <c r="DP102" s="161">
        <f t="shared" si="105"/>
        <v>0</v>
      </c>
      <c r="DQ102" s="161">
        <f t="shared" si="106"/>
        <v>0</v>
      </c>
      <c r="DR102" s="161">
        <f t="shared" si="107"/>
        <v>0</v>
      </c>
      <c r="DS102" s="161">
        <f t="shared" si="108"/>
        <v>0</v>
      </c>
      <c r="DT102" s="161">
        <f t="shared" si="109"/>
        <v>0</v>
      </c>
      <c r="DU102" s="161">
        <f t="shared" si="110"/>
        <v>0</v>
      </c>
      <c r="DV102" s="161">
        <f t="shared" si="111"/>
        <v>0</v>
      </c>
      <c r="DW102" s="161">
        <f t="shared" si="112"/>
        <v>0</v>
      </c>
      <c r="DX102" s="161">
        <f t="shared" si="113"/>
        <v>0</v>
      </c>
      <c r="DY102" s="161">
        <f t="shared" si="114"/>
        <v>0</v>
      </c>
      <c r="DZ102" s="161">
        <f t="shared" si="115"/>
        <v>0</v>
      </c>
      <c r="EA102" s="161">
        <f t="shared" si="116"/>
        <v>0</v>
      </c>
      <c r="EB102" s="161">
        <f t="shared" si="117"/>
        <v>0</v>
      </c>
      <c r="EC102" s="161">
        <f t="shared" si="118"/>
        <v>0</v>
      </c>
      <c r="ED102" s="161">
        <f t="shared" si="119"/>
        <v>0</v>
      </c>
      <c r="EE102" s="161">
        <f t="shared" si="120"/>
        <v>0</v>
      </c>
      <c r="EF102" s="161">
        <f t="shared" si="121"/>
        <v>0</v>
      </c>
      <c r="EG102" s="161">
        <f t="shared" si="122"/>
        <v>0</v>
      </c>
      <c r="EH102" s="161">
        <f t="shared" si="123"/>
        <v>0</v>
      </c>
      <c r="EI102" s="161">
        <f t="shared" si="124"/>
        <v>0</v>
      </c>
      <c r="EJ102" s="161">
        <f t="shared" si="125"/>
        <v>0</v>
      </c>
      <c r="EK102" s="147">
        <f t="shared" si="55"/>
        <v>0</v>
      </c>
      <c r="EL102" s="149"/>
      <c r="EN102" s="146"/>
      <c r="EO102" s="146"/>
      <c r="EP102" s="139">
        <f t="shared" si="56"/>
        <v>0</v>
      </c>
      <c r="EQ102" s="139">
        <f t="shared" si="57"/>
        <v>0</v>
      </c>
      <c r="ER102" s="139">
        <f t="shared" si="58"/>
        <v>0</v>
      </c>
      <c r="ES102" s="139">
        <f t="shared" si="59"/>
        <v>0</v>
      </c>
      <c r="ET102" s="139">
        <f t="shared" si="60"/>
        <v>0</v>
      </c>
      <c r="EU102" s="139">
        <f t="shared" si="61"/>
        <v>0</v>
      </c>
      <c r="EV102" s="139">
        <f t="shared" si="62"/>
        <v>0</v>
      </c>
      <c r="EW102" s="139">
        <f t="shared" si="63"/>
        <v>0</v>
      </c>
      <c r="EX102" s="139">
        <f t="shared" si="64"/>
        <v>0</v>
      </c>
      <c r="EY102" s="139">
        <f t="shared" si="65"/>
        <v>0</v>
      </c>
      <c r="EZ102" s="139">
        <f t="shared" si="66"/>
        <v>0</v>
      </c>
      <c r="FA102" s="139">
        <f t="shared" si="67"/>
        <v>0</v>
      </c>
      <c r="FB102" s="139">
        <f t="shared" si="68"/>
        <v>0</v>
      </c>
      <c r="FC102" s="139">
        <f t="shared" si="69"/>
        <v>0</v>
      </c>
      <c r="FD102" s="139">
        <f t="shared" si="70"/>
        <v>0</v>
      </c>
      <c r="FE102" s="139">
        <f t="shared" si="71"/>
        <v>0</v>
      </c>
      <c r="FF102" s="139">
        <f t="shared" si="72"/>
        <v>0</v>
      </c>
      <c r="FG102" s="139">
        <f t="shared" si="73"/>
        <v>0</v>
      </c>
      <c r="FH102" s="139">
        <f t="shared" si="74"/>
        <v>0</v>
      </c>
      <c r="FI102" s="139">
        <f t="shared" si="75"/>
        <v>0</v>
      </c>
      <c r="FJ102" s="139">
        <f t="shared" si="76"/>
        <v>0</v>
      </c>
      <c r="FK102" s="139">
        <f t="shared" si="77"/>
        <v>0</v>
      </c>
      <c r="FL102" s="139">
        <f t="shared" si="78"/>
        <v>0</v>
      </c>
      <c r="FM102" s="139">
        <f t="shared" si="79"/>
        <v>0</v>
      </c>
      <c r="FN102" s="139">
        <f t="shared" si="80"/>
        <v>0</v>
      </c>
      <c r="FO102" s="139">
        <f t="shared" si="81"/>
        <v>0</v>
      </c>
      <c r="FP102" s="139">
        <f t="shared" si="82"/>
        <v>0</v>
      </c>
      <c r="FQ102" s="139">
        <f t="shared" si="83"/>
        <v>0</v>
      </c>
      <c r="FR102" s="139">
        <f t="shared" si="84"/>
        <v>0</v>
      </c>
      <c r="FS102" s="139">
        <f t="shared" si="85"/>
        <v>0</v>
      </c>
      <c r="FT102" s="139">
        <f t="shared" si="86"/>
        <v>0</v>
      </c>
      <c r="FU102" s="148">
        <f t="shared" si="87"/>
        <v>0</v>
      </c>
      <c r="FV102" s="149"/>
      <c r="FY102" s="213">
        <v>97</v>
      </c>
      <c r="FZ102">
        <v>0</v>
      </c>
      <c r="GA102">
        <v>12.769543880780267</v>
      </c>
      <c r="GB102">
        <v>6.329169400554628</v>
      </c>
      <c r="GC102">
        <v>1.0020405114277708</v>
      </c>
      <c r="GD102">
        <v>1.763292726903767</v>
      </c>
      <c r="GE102">
        <v>2.3065938165809086</v>
      </c>
      <c r="GF102">
        <v>0.47734812494006024</v>
      </c>
      <c r="GG102">
        <v>3.6766788475277208</v>
      </c>
      <c r="GH102">
        <v>5.061819680755038</v>
      </c>
      <c r="GI102">
        <v>3.5926618250889337</v>
      </c>
      <c r="GJ102"/>
      <c r="GK102"/>
      <c r="GL102"/>
      <c r="GM102"/>
      <c r="GN102" s="208"/>
      <c r="GO102" s="208"/>
      <c r="GP102" s="208"/>
      <c r="GQ102" s="208"/>
      <c r="GR102" s="208"/>
      <c r="GS102" s="208"/>
      <c r="GT102" s="208"/>
      <c r="GU102" s="213">
        <v>97</v>
      </c>
    </row>
    <row r="103" spans="1:203" s="7" customFormat="1">
      <c r="A103" s="1"/>
      <c r="B103" s="76">
        <f ca="1">IF(C103="", "", RAND())</f>
        <v>0.38157015696973628</v>
      </c>
      <c r="C103">
        <v>4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20.738180760810074</v>
      </c>
      <c r="AO103">
        <v>5.3475829331812648</v>
      </c>
      <c r="AP103">
        <v>291.33046179469591</v>
      </c>
      <c r="AQ103">
        <v>39.079505270360862</v>
      </c>
      <c r="AR103">
        <v>4.9157103010241787</v>
      </c>
      <c r="AS103">
        <v>56.830311614285293</v>
      </c>
      <c r="AT103" t="e">
        <v>#DIV/0!</v>
      </c>
      <c r="AU103" t="e">
        <v>#DIV/0!</v>
      </c>
      <c r="AV103"/>
      <c r="AW103"/>
      <c r="AX103" s="146"/>
      <c r="AY103" s="76">
        <f ca="1">IF(AZ103="", "", RAND())</f>
        <v>0.24930627016690998</v>
      </c>
      <c r="AZ103">
        <v>6</v>
      </c>
      <c r="BA103" s="129">
        <f t="shared" si="127"/>
        <v>39673</v>
      </c>
      <c r="BB103" s="207">
        <v>0</v>
      </c>
      <c r="BC103" s="207">
        <v>0</v>
      </c>
      <c r="BD103" s="207">
        <v>0</v>
      </c>
      <c r="BE103" s="207">
        <v>0</v>
      </c>
      <c r="BF103" s="207">
        <v>0</v>
      </c>
      <c r="BG103" s="207">
        <v>0</v>
      </c>
      <c r="BH103" s="207">
        <v>0</v>
      </c>
      <c r="BI103" s="207">
        <v>0</v>
      </c>
      <c r="BJ103" s="207">
        <v>0</v>
      </c>
      <c r="BK103" s="207">
        <v>0</v>
      </c>
      <c r="BL103" s="207">
        <v>0</v>
      </c>
      <c r="BM103" s="207">
        <v>0</v>
      </c>
      <c r="BN103" s="207">
        <v>0</v>
      </c>
      <c r="BO103" s="207">
        <v>0</v>
      </c>
      <c r="BP103" s="207">
        <v>0</v>
      </c>
      <c r="BQ103" s="207">
        <v>0</v>
      </c>
      <c r="BR103" s="207">
        <v>0</v>
      </c>
      <c r="BS103" s="207">
        <v>0</v>
      </c>
      <c r="BT103" s="207">
        <v>0</v>
      </c>
      <c r="BU103" s="207">
        <v>0</v>
      </c>
      <c r="BV103" s="207">
        <v>0</v>
      </c>
      <c r="BW103" s="207">
        <v>0</v>
      </c>
      <c r="BX103" s="207">
        <v>0</v>
      </c>
      <c r="BY103" s="207">
        <v>0</v>
      </c>
      <c r="BZ103" s="207">
        <v>0</v>
      </c>
      <c r="CA103" s="207">
        <v>0</v>
      </c>
      <c r="CB103" s="207">
        <v>0</v>
      </c>
      <c r="CC103" s="207">
        <v>0</v>
      </c>
      <c r="CD103" s="207">
        <v>0</v>
      </c>
      <c r="CE103" s="207">
        <v>0</v>
      </c>
      <c r="CF103" s="207">
        <v>0</v>
      </c>
      <c r="CG103" s="147"/>
      <c r="CH103" s="176"/>
      <c r="CJ103" s="146"/>
      <c r="CK103" s="76">
        <f t="shared" ca="1" si="90"/>
        <v>0.55096245557198831</v>
      </c>
      <c r="CL103" s="179">
        <f t="shared" si="91"/>
        <v>6</v>
      </c>
      <c r="CM103" s="180">
        <f t="shared" si="92"/>
        <v>39673</v>
      </c>
      <c r="CN103" s="208">
        <v>0</v>
      </c>
      <c r="CO103" s="208">
        <v>0</v>
      </c>
      <c r="CP103" s="208">
        <v>0</v>
      </c>
      <c r="CQ103" s="208">
        <v>0</v>
      </c>
      <c r="CR103" s="208">
        <v>0</v>
      </c>
      <c r="CS103" s="208">
        <v>0</v>
      </c>
      <c r="CT103" s="208">
        <v>0</v>
      </c>
      <c r="CU103" s="208">
        <v>0</v>
      </c>
      <c r="CV103" s="160"/>
      <c r="CW103">
        <v>1</v>
      </c>
      <c r="CX103">
        <v>1</v>
      </c>
      <c r="CY103" s="164"/>
      <c r="CZ103" s="177">
        <f t="shared" si="93"/>
        <v>9.6000000000000002E-2</v>
      </c>
      <c r="DB103" s="146"/>
      <c r="DC103" s="76">
        <f t="shared" ca="1" si="51"/>
        <v>0.68184411178617577</v>
      </c>
      <c r="DD103">
        <f>IF(AZ103="", "", AZ103)</f>
        <v>6</v>
      </c>
      <c r="DE103" s="129">
        <f t="shared" si="126"/>
        <v>39673</v>
      </c>
      <c r="DF103" s="161">
        <f t="shared" si="95"/>
        <v>0</v>
      </c>
      <c r="DG103" s="161">
        <f t="shared" si="96"/>
        <v>0</v>
      </c>
      <c r="DH103" s="161">
        <f t="shared" si="97"/>
        <v>0</v>
      </c>
      <c r="DI103" s="161">
        <f t="shared" si="98"/>
        <v>0</v>
      </c>
      <c r="DJ103" s="161">
        <f t="shared" si="99"/>
        <v>0</v>
      </c>
      <c r="DK103" s="161">
        <f t="shared" si="100"/>
        <v>0</v>
      </c>
      <c r="DL103" s="161">
        <f t="shared" si="101"/>
        <v>0</v>
      </c>
      <c r="DM103" s="161">
        <f t="shared" si="102"/>
        <v>0</v>
      </c>
      <c r="DN103" s="161">
        <f t="shared" si="103"/>
        <v>0</v>
      </c>
      <c r="DO103" s="161">
        <f t="shared" si="104"/>
        <v>0</v>
      </c>
      <c r="DP103" s="161">
        <f t="shared" si="105"/>
        <v>0</v>
      </c>
      <c r="DQ103" s="161">
        <f t="shared" si="106"/>
        <v>0</v>
      </c>
      <c r="DR103" s="161">
        <f t="shared" si="107"/>
        <v>0</v>
      </c>
      <c r="DS103" s="161">
        <f t="shared" si="108"/>
        <v>0</v>
      </c>
      <c r="DT103" s="161">
        <f t="shared" si="109"/>
        <v>0</v>
      </c>
      <c r="DU103" s="161">
        <f t="shared" si="110"/>
        <v>0</v>
      </c>
      <c r="DV103" s="161">
        <f t="shared" si="111"/>
        <v>0</v>
      </c>
      <c r="DW103" s="161">
        <f t="shared" si="112"/>
        <v>0</v>
      </c>
      <c r="DX103" s="161">
        <f t="shared" si="113"/>
        <v>0</v>
      </c>
      <c r="DY103" s="161">
        <f t="shared" si="114"/>
        <v>0</v>
      </c>
      <c r="DZ103" s="161">
        <f t="shared" si="115"/>
        <v>0</v>
      </c>
      <c r="EA103" s="161">
        <f t="shared" si="116"/>
        <v>0</v>
      </c>
      <c r="EB103" s="161">
        <f t="shared" si="117"/>
        <v>0</v>
      </c>
      <c r="EC103" s="161">
        <f t="shared" si="118"/>
        <v>0</v>
      </c>
      <c r="ED103" s="161">
        <f t="shared" si="119"/>
        <v>0</v>
      </c>
      <c r="EE103" s="161">
        <f t="shared" si="120"/>
        <v>0</v>
      </c>
      <c r="EF103" s="161">
        <f t="shared" si="121"/>
        <v>0</v>
      </c>
      <c r="EG103" s="161">
        <f t="shared" si="122"/>
        <v>0</v>
      </c>
      <c r="EH103" s="161">
        <f t="shared" si="123"/>
        <v>0</v>
      </c>
      <c r="EI103" s="161">
        <f t="shared" si="124"/>
        <v>0</v>
      </c>
      <c r="EJ103" s="161">
        <f t="shared" si="125"/>
        <v>0</v>
      </c>
      <c r="EK103" s="147">
        <f t="shared" si="55"/>
        <v>0</v>
      </c>
      <c r="EL103" s="149"/>
      <c r="EN103" s="146"/>
      <c r="EO103" s="146"/>
      <c r="EP103" s="139">
        <f t="shared" si="56"/>
        <v>0</v>
      </c>
      <c r="EQ103" s="139">
        <f t="shared" si="57"/>
        <v>0</v>
      </c>
      <c r="ER103" s="139">
        <f t="shared" si="58"/>
        <v>0</v>
      </c>
      <c r="ES103" s="139">
        <f t="shared" si="59"/>
        <v>0</v>
      </c>
      <c r="ET103" s="139">
        <f t="shared" si="60"/>
        <v>0</v>
      </c>
      <c r="EU103" s="139">
        <f t="shared" si="61"/>
        <v>0</v>
      </c>
      <c r="EV103" s="139">
        <f t="shared" si="62"/>
        <v>0</v>
      </c>
      <c r="EW103" s="139">
        <f t="shared" si="63"/>
        <v>0</v>
      </c>
      <c r="EX103" s="139">
        <f t="shared" si="64"/>
        <v>0</v>
      </c>
      <c r="EY103" s="139">
        <f t="shared" si="65"/>
        <v>0</v>
      </c>
      <c r="EZ103" s="139">
        <f t="shared" si="66"/>
        <v>0</v>
      </c>
      <c r="FA103" s="139">
        <f t="shared" si="67"/>
        <v>0</v>
      </c>
      <c r="FB103" s="139">
        <f t="shared" si="68"/>
        <v>0</v>
      </c>
      <c r="FC103" s="139">
        <f t="shared" si="69"/>
        <v>0</v>
      </c>
      <c r="FD103" s="139">
        <f t="shared" si="70"/>
        <v>0</v>
      </c>
      <c r="FE103" s="139">
        <f t="shared" si="71"/>
        <v>0</v>
      </c>
      <c r="FF103" s="139">
        <f t="shared" si="72"/>
        <v>0</v>
      </c>
      <c r="FG103" s="139">
        <f t="shared" si="73"/>
        <v>0</v>
      </c>
      <c r="FH103" s="139">
        <f t="shared" si="74"/>
        <v>0</v>
      </c>
      <c r="FI103" s="139">
        <f t="shared" si="75"/>
        <v>0</v>
      </c>
      <c r="FJ103" s="139">
        <f t="shared" si="76"/>
        <v>0</v>
      </c>
      <c r="FK103" s="139">
        <f t="shared" si="77"/>
        <v>0</v>
      </c>
      <c r="FL103" s="139">
        <f t="shared" si="78"/>
        <v>0</v>
      </c>
      <c r="FM103" s="139">
        <f t="shared" si="79"/>
        <v>0</v>
      </c>
      <c r="FN103" s="139">
        <f t="shared" si="80"/>
        <v>0</v>
      </c>
      <c r="FO103" s="139">
        <f t="shared" si="81"/>
        <v>0</v>
      </c>
      <c r="FP103" s="139">
        <f t="shared" si="82"/>
        <v>0</v>
      </c>
      <c r="FQ103" s="139">
        <f t="shared" si="83"/>
        <v>0</v>
      </c>
      <c r="FR103" s="139">
        <f t="shared" si="84"/>
        <v>0</v>
      </c>
      <c r="FS103" s="139">
        <f t="shared" si="85"/>
        <v>0</v>
      </c>
      <c r="FT103" s="139">
        <f t="shared" si="86"/>
        <v>0</v>
      </c>
      <c r="FU103" s="148">
        <f t="shared" si="87"/>
        <v>0</v>
      </c>
      <c r="FV103" s="149"/>
      <c r="FY103" s="213">
        <v>98</v>
      </c>
      <c r="FZ103">
        <v>0</v>
      </c>
      <c r="GA103">
        <v>24.731744304184787</v>
      </c>
      <c r="GB103">
        <v>12.39523035435872</v>
      </c>
      <c r="GC103">
        <v>1.4003717251190004</v>
      </c>
      <c r="GD103">
        <v>2.6466874900173667</v>
      </c>
      <c r="GE103">
        <v>3.475638367216999</v>
      </c>
      <c r="GF103">
        <v>0.47734812494006024</v>
      </c>
      <c r="GG103">
        <v>3.4086358320858881</v>
      </c>
      <c r="GH103">
        <v>4.7202517343200174</v>
      </c>
      <c r="GI103">
        <v>5.5463153665185576</v>
      </c>
      <c r="GJ103"/>
      <c r="GK103"/>
      <c r="GL103"/>
      <c r="GM103"/>
      <c r="GN103" s="208"/>
      <c r="GO103" s="208"/>
      <c r="GP103" s="208"/>
      <c r="GQ103" s="208"/>
      <c r="GR103" s="208"/>
      <c r="GS103" s="208"/>
      <c r="GT103" s="208"/>
      <c r="GU103" s="213">
        <v>98</v>
      </c>
    </row>
    <row r="104" spans="1:203" s="7" customFormat="1">
      <c r="A104" s="1"/>
      <c r="B104" s="76">
        <f ca="1">IF(C104="", "", RAND())</f>
        <v>0.41781022224709519</v>
      </c>
      <c r="C104">
        <v>7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26.432386153810647</v>
      </c>
      <c r="AO104">
        <v>6.7200080435486766</v>
      </c>
      <c r="AP104">
        <v>212.24596801092071</v>
      </c>
      <c r="AQ104">
        <v>43.820014604530748</v>
      </c>
      <c r="AR104">
        <v>6.2176407631266741</v>
      </c>
      <c r="AS104">
        <v>77.838273790567612</v>
      </c>
      <c r="AT104" t="e">
        <v>#DIV/0!</v>
      </c>
      <c r="AU104" t="e">
        <v>#DIV/0!</v>
      </c>
      <c r="AV104"/>
      <c r="AW104"/>
      <c r="AX104" s="146"/>
      <c r="AY104" s="76">
        <f ca="1">IF(AZ104="", "", RAND())</f>
        <v>0.57605459157084393</v>
      </c>
      <c r="AZ104">
        <v>7</v>
      </c>
      <c r="BA104" s="129">
        <f t="shared" si="127"/>
        <v>39673</v>
      </c>
      <c r="BB104" s="207">
        <v>0</v>
      </c>
      <c r="BC104" s="207">
        <v>0</v>
      </c>
      <c r="BD104" s="207">
        <v>0</v>
      </c>
      <c r="BE104" s="207">
        <v>0</v>
      </c>
      <c r="BF104" s="207">
        <v>0</v>
      </c>
      <c r="BG104" s="207">
        <v>0</v>
      </c>
      <c r="BH104" s="207">
        <v>0</v>
      </c>
      <c r="BI104" s="207">
        <v>0</v>
      </c>
      <c r="BJ104" s="207">
        <v>0</v>
      </c>
      <c r="BK104" s="207">
        <v>0</v>
      </c>
      <c r="BL104" s="207">
        <v>0</v>
      </c>
      <c r="BM104" s="207">
        <v>0</v>
      </c>
      <c r="BN104" s="207">
        <v>0</v>
      </c>
      <c r="BO104" s="207">
        <v>0</v>
      </c>
      <c r="BP104" s="207">
        <v>0</v>
      </c>
      <c r="BQ104" s="207">
        <v>0</v>
      </c>
      <c r="BR104" s="207">
        <v>0</v>
      </c>
      <c r="BS104" s="207">
        <v>0</v>
      </c>
      <c r="BT104" s="207">
        <v>0</v>
      </c>
      <c r="BU104" s="207">
        <v>0</v>
      </c>
      <c r="BV104" s="207">
        <v>0</v>
      </c>
      <c r="BW104" s="207">
        <v>0</v>
      </c>
      <c r="BX104" s="207">
        <v>0</v>
      </c>
      <c r="BY104" s="207">
        <v>0</v>
      </c>
      <c r="BZ104" s="207">
        <v>0</v>
      </c>
      <c r="CA104" s="207">
        <v>0</v>
      </c>
      <c r="CB104" s="207">
        <v>0</v>
      </c>
      <c r="CC104" s="207">
        <v>0</v>
      </c>
      <c r="CD104" s="207">
        <v>0</v>
      </c>
      <c r="CE104" s="207">
        <v>0</v>
      </c>
      <c r="CF104" s="207">
        <v>0</v>
      </c>
      <c r="CG104" s="147"/>
      <c r="CH104" s="176"/>
      <c r="CJ104" s="146"/>
      <c r="CK104" s="76">
        <f t="shared" ca="1" si="90"/>
        <v>0.71041095252919662</v>
      </c>
      <c r="CL104" s="179">
        <f t="shared" si="91"/>
        <v>7</v>
      </c>
      <c r="CM104" s="180">
        <f t="shared" si="92"/>
        <v>39673</v>
      </c>
      <c r="CN104" s="208">
        <v>0</v>
      </c>
      <c r="CO104" s="208">
        <v>0</v>
      </c>
      <c r="CP104" s="208">
        <v>0</v>
      </c>
      <c r="CQ104" s="208">
        <v>0</v>
      </c>
      <c r="CR104" s="208">
        <v>0</v>
      </c>
      <c r="CS104" s="208">
        <v>0</v>
      </c>
      <c r="CT104" s="208">
        <v>0</v>
      </c>
      <c r="CU104" s="208">
        <v>0</v>
      </c>
      <c r="CV104" s="160"/>
      <c r="CW104">
        <v>1</v>
      </c>
      <c r="CX104">
        <v>1</v>
      </c>
      <c r="CY104" s="164"/>
      <c r="CZ104" s="177">
        <f t="shared" si="93"/>
        <v>9.6000000000000002E-2</v>
      </c>
      <c r="DB104" s="146"/>
      <c r="DC104" s="76">
        <f t="shared" ca="1" si="51"/>
        <v>0.20018148720779938</v>
      </c>
      <c r="DD104">
        <f>IF(AZ104="", "", AZ104)</f>
        <v>7</v>
      </c>
      <c r="DE104" s="129">
        <f t="shared" si="126"/>
        <v>39673</v>
      </c>
      <c r="DF104" s="161">
        <f t="shared" si="95"/>
        <v>0</v>
      </c>
      <c r="DG104" s="161">
        <f t="shared" si="96"/>
        <v>0</v>
      </c>
      <c r="DH104" s="161">
        <f t="shared" si="97"/>
        <v>0</v>
      </c>
      <c r="DI104" s="161">
        <f t="shared" si="98"/>
        <v>0</v>
      </c>
      <c r="DJ104" s="161">
        <f t="shared" si="99"/>
        <v>0</v>
      </c>
      <c r="DK104" s="161">
        <f t="shared" si="100"/>
        <v>0</v>
      </c>
      <c r="DL104" s="161">
        <f t="shared" si="101"/>
        <v>0</v>
      </c>
      <c r="DM104" s="161">
        <f t="shared" si="102"/>
        <v>0</v>
      </c>
      <c r="DN104" s="161">
        <f t="shared" si="103"/>
        <v>0</v>
      </c>
      <c r="DO104" s="161">
        <f t="shared" si="104"/>
        <v>0</v>
      </c>
      <c r="DP104" s="161">
        <f t="shared" si="105"/>
        <v>0</v>
      </c>
      <c r="DQ104" s="161">
        <f t="shared" si="106"/>
        <v>0</v>
      </c>
      <c r="DR104" s="161">
        <f t="shared" si="107"/>
        <v>0</v>
      </c>
      <c r="DS104" s="161">
        <f t="shared" si="108"/>
        <v>0</v>
      </c>
      <c r="DT104" s="161">
        <f t="shared" si="109"/>
        <v>0</v>
      </c>
      <c r="DU104" s="161">
        <f t="shared" si="110"/>
        <v>0</v>
      </c>
      <c r="DV104" s="161">
        <f t="shared" si="111"/>
        <v>0</v>
      </c>
      <c r="DW104" s="161">
        <f t="shared" si="112"/>
        <v>0</v>
      </c>
      <c r="DX104" s="161">
        <f t="shared" si="113"/>
        <v>0</v>
      </c>
      <c r="DY104" s="161">
        <f t="shared" si="114"/>
        <v>0</v>
      </c>
      <c r="DZ104" s="161">
        <f t="shared" si="115"/>
        <v>0</v>
      </c>
      <c r="EA104" s="161">
        <f t="shared" si="116"/>
        <v>0</v>
      </c>
      <c r="EB104" s="161">
        <f t="shared" si="117"/>
        <v>0</v>
      </c>
      <c r="EC104" s="161">
        <f t="shared" si="118"/>
        <v>0</v>
      </c>
      <c r="ED104" s="161">
        <f t="shared" si="119"/>
        <v>0</v>
      </c>
      <c r="EE104" s="161">
        <f t="shared" si="120"/>
        <v>0</v>
      </c>
      <c r="EF104" s="161">
        <f t="shared" si="121"/>
        <v>0</v>
      </c>
      <c r="EG104" s="161">
        <f t="shared" si="122"/>
        <v>0</v>
      </c>
      <c r="EH104" s="161">
        <f t="shared" si="123"/>
        <v>0</v>
      </c>
      <c r="EI104" s="161">
        <f t="shared" si="124"/>
        <v>0</v>
      </c>
      <c r="EJ104" s="161">
        <f t="shared" si="125"/>
        <v>0</v>
      </c>
      <c r="EK104" s="147">
        <f t="shared" si="55"/>
        <v>0</v>
      </c>
      <c r="EL104" s="149"/>
      <c r="EN104" s="146"/>
      <c r="EO104" s="146"/>
      <c r="EP104" s="139">
        <f t="shared" si="56"/>
        <v>0</v>
      </c>
      <c r="EQ104" s="139">
        <f t="shared" si="57"/>
        <v>0</v>
      </c>
      <c r="ER104" s="139">
        <f t="shared" si="58"/>
        <v>0</v>
      </c>
      <c r="ES104" s="139">
        <f t="shared" si="59"/>
        <v>0</v>
      </c>
      <c r="ET104" s="139">
        <f t="shared" si="60"/>
        <v>0</v>
      </c>
      <c r="EU104" s="139">
        <f t="shared" si="61"/>
        <v>0</v>
      </c>
      <c r="EV104" s="139">
        <f t="shared" si="62"/>
        <v>0</v>
      </c>
      <c r="EW104" s="139">
        <f t="shared" si="63"/>
        <v>0</v>
      </c>
      <c r="EX104" s="139">
        <f t="shared" si="64"/>
        <v>0</v>
      </c>
      <c r="EY104" s="139">
        <f t="shared" si="65"/>
        <v>0</v>
      </c>
      <c r="EZ104" s="139">
        <f t="shared" si="66"/>
        <v>0</v>
      </c>
      <c r="FA104" s="139">
        <f t="shared" si="67"/>
        <v>0</v>
      </c>
      <c r="FB104" s="139">
        <f t="shared" si="68"/>
        <v>0</v>
      </c>
      <c r="FC104" s="139">
        <f t="shared" si="69"/>
        <v>0</v>
      </c>
      <c r="FD104" s="139">
        <f t="shared" si="70"/>
        <v>0</v>
      </c>
      <c r="FE104" s="139">
        <f t="shared" si="71"/>
        <v>0</v>
      </c>
      <c r="FF104" s="139">
        <f t="shared" si="72"/>
        <v>0</v>
      </c>
      <c r="FG104" s="139">
        <f t="shared" si="73"/>
        <v>0</v>
      </c>
      <c r="FH104" s="139">
        <f t="shared" si="74"/>
        <v>0</v>
      </c>
      <c r="FI104" s="139">
        <f t="shared" si="75"/>
        <v>0</v>
      </c>
      <c r="FJ104" s="139">
        <f t="shared" si="76"/>
        <v>0</v>
      </c>
      <c r="FK104" s="139">
        <f t="shared" si="77"/>
        <v>0</v>
      </c>
      <c r="FL104" s="139">
        <f t="shared" si="78"/>
        <v>0</v>
      </c>
      <c r="FM104" s="139">
        <f t="shared" si="79"/>
        <v>0</v>
      </c>
      <c r="FN104" s="139">
        <f t="shared" si="80"/>
        <v>0</v>
      </c>
      <c r="FO104" s="139">
        <f t="shared" si="81"/>
        <v>0</v>
      </c>
      <c r="FP104" s="139">
        <f t="shared" si="82"/>
        <v>0</v>
      </c>
      <c r="FQ104" s="139">
        <f t="shared" si="83"/>
        <v>0</v>
      </c>
      <c r="FR104" s="139">
        <f t="shared" si="84"/>
        <v>0</v>
      </c>
      <c r="FS104" s="139">
        <f t="shared" si="85"/>
        <v>0</v>
      </c>
      <c r="FT104" s="139">
        <f t="shared" si="86"/>
        <v>0</v>
      </c>
      <c r="FU104" s="148">
        <f t="shared" si="87"/>
        <v>0</v>
      </c>
      <c r="FV104" s="149"/>
      <c r="FY104" s="213">
        <v>99</v>
      </c>
      <c r="FZ104">
        <v>3.7797135260832437</v>
      </c>
      <c r="GA104">
        <v>11.425322740019249</v>
      </c>
      <c r="GB104">
        <v>3.8898272365998467</v>
      </c>
      <c r="GC104">
        <v>0.60987192178013072</v>
      </c>
      <c r="GD104">
        <v>2.4539440669541994</v>
      </c>
      <c r="GE104">
        <v>4.320504658404559</v>
      </c>
      <c r="GF104">
        <v>0.47734812494006024</v>
      </c>
      <c r="GG104">
        <v>5.6498583892175525</v>
      </c>
      <c r="GH104">
        <v>8.0009783665119993</v>
      </c>
      <c r="GI104">
        <v>4.459957254996076</v>
      </c>
      <c r="GJ104"/>
      <c r="GK104"/>
      <c r="GL104"/>
      <c r="GM104"/>
      <c r="GN104" s="208"/>
      <c r="GO104" s="208"/>
      <c r="GP104" s="208"/>
      <c r="GQ104" s="208"/>
      <c r="GR104" s="208"/>
      <c r="GS104" s="208"/>
      <c r="GT104" s="208"/>
      <c r="GU104" s="213">
        <v>99</v>
      </c>
    </row>
    <row r="105" spans="1:203" s="7" customFormat="1">
      <c r="A105" s="1"/>
      <c r="B105" s="76">
        <f ca="1">IF(C105="", "", RAND())</f>
        <v>0.83311348626033599</v>
      </c>
      <c r="C105">
        <v>6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39.218100439524939</v>
      </c>
      <c r="AO105">
        <v>9.0000425735478338</v>
      </c>
      <c r="AP105">
        <v>318.7681700235936</v>
      </c>
      <c r="AQ105">
        <v>56.949593010262504</v>
      </c>
      <c r="AR105">
        <v>8.1818568850434836</v>
      </c>
      <c r="AS105">
        <v>105.294268567019</v>
      </c>
      <c r="AT105" t="e">
        <v>#DIV/0!</v>
      </c>
      <c r="AU105" t="e">
        <v>#DIV/0!</v>
      </c>
      <c r="AV105"/>
      <c r="AW105"/>
      <c r="AX105" s="146"/>
      <c r="AY105" s="76">
        <f ca="1">IF(AZ105="", "", RAND())</f>
        <v>0.13797348668660092</v>
      </c>
      <c r="AZ105">
        <v>8</v>
      </c>
      <c r="BA105" s="129">
        <f t="shared" si="127"/>
        <v>39673</v>
      </c>
      <c r="BB105" s="207">
        <v>0</v>
      </c>
      <c r="BC105" s="207">
        <v>0</v>
      </c>
      <c r="BD105" s="207">
        <v>0</v>
      </c>
      <c r="BE105" s="207">
        <v>0</v>
      </c>
      <c r="BF105" s="207">
        <v>0</v>
      </c>
      <c r="BG105" s="207">
        <v>0</v>
      </c>
      <c r="BH105" s="207">
        <v>0</v>
      </c>
      <c r="BI105" s="207">
        <v>0</v>
      </c>
      <c r="BJ105" s="207">
        <v>0</v>
      </c>
      <c r="BK105" s="207">
        <v>0</v>
      </c>
      <c r="BL105" s="207">
        <v>0</v>
      </c>
      <c r="BM105" s="207">
        <v>0</v>
      </c>
      <c r="BN105" s="207">
        <v>0</v>
      </c>
      <c r="BO105" s="207">
        <v>0</v>
      </c>
      <c r="BP105" s="207">
        <v>0</v>
      </c>
      <c r="BQ105" s="207">
        <v>0</v>
      </c>
      <c r="BR105" s="207">
        <v>0</v>
      </c>
      <c r="BS105" s="207">
        <v>0</v>
      </c>
      <c r="BT105" s="207">
        <v>0</v>
      </c>
      <c r="BU105" s="207">
        <v>0</v>
      </c>
      <c r="BV105" s="207">
        <v>0</v>
      </c>
      <c r="BW105" s="207">
        <v>0</v>
      </c>
      <c r="BX105" s="207">
        <v>0</v>
      </c>
      <c r="BY105" s="207">
        <v>0</v>
      </c>
      <c r="BZ105" s="207">
        <v>0</v>
      </c>
      <c r="CA105" s="207">
        <v>0</v>
      </c>
      <c r="CB105" s="207">
        <v>0</v>
      </c>
      <c r="CC105" s="207">
        <v>0</v>
      </c>
      <c r="CD105" s="207">
        <v>0</v>
      </c>
      <c r="CE105" s="207">
        <v>0</v>
      </c>
      <c r="CF105" s="207">
        <v>0</v>
      </c>
      <c r="CG105" s="147"/>
      <c r="CH105" s="176"/>
      <c r="CJ105" s="146"/>
      <c r="CK105" s="76">
        <f t="shared" ca="1" si="90"/>
        <v>5.7137664014117462E-4</v>
      </c>
      <c r="CL105" s="179">
        <f t="shared" si="91"/>
        <v>8</v>
      </c>
      <c r="CM105" s="180">
        <f t="shared" si="92"/>
        <v>39673</v>
      </c>
      <c r="CN105" s="208">
        <v>0</v>
      </c>
      <c r="CO105" s="208">
        <v>0</v>
      </c>
      <c r="CP105" s="208">
        <v>0</v>
      </c>
      <c r="CQ105" s="208">
        <v>0</v>
      </c>
      <c r="CR105" s="208">
        <v>0</v>
      </c>
      <c r="CS105" s="208">
        <v>0</v>
      </c>
      <c r="CT105" s="208">
        <v>0</v>
      </c>
      <c r="CU105" s="208">
        <v>0</v>
      </c>
      <c r="CV105" s="160"/>
      <c r="CW105">
        <v>1</v>
      </c>
      <c r="CX105">
        <v>2</v>
      </c>
      <c r="CY105" s="164"/>
      <c r="CZ105" s="177">
        <f t="shared" si="93"/>
        <v>9.6000000000000002E-2</v>
      </c>
      <c r="DB105" s="146"/>
      <c r="DC105" s="76">
        <f t="shared" ca="1" si="51"/>
        <v>0.99292340875418117</v>
      </c>
      <c r="DD105">
        <f>IF(AZ105="", "", AZ105)</f>
        <v>8</v>
      </c>
      <c r="DE105" s="129">
        <f t="shared" si="126"/>
        <v>39673</v>
      </c>
      <c r="DF105" s="161">
        <f t="shared" si="95"/>
        <v>0</v>
      </c>
      <c r="DG105" s="161">
        <f t="shared" si="96"/>
        <v>0</v>
      </c>
      <c r="DH105" s="161">
        <f t="shared" si="97"/>
        <v>0</v>
      </c>
      <c r="DI105" s="161">
        <f t="shared" si="98"/>
        <v>0</v>
      </c>
      <c r="DJ105" s="161">
        <f t="shared" si="99"/>
        <v>0</v>
      </c>
      <c r="DK105" s="161">
        <f t="shared" si="100"/>
        <v>0</v>
      </c>
      <c r="DL105" s="161">
        <f t="shared" si="101"/>
        <v>0</v>
      </c>
      <c r="DM105" s="161">
        <f t="shared" si="102"/>
        <v>0</v>
      </c>
      <c r="DN105" s="161">
        <f t="shared" si="103"/>
        <v>0</v>
      </c>
      <c r="DO105" s="161">
        <f t="shared" si="104"/>
        <v>0</v>
      </c>
      <c r="DP105" s="161">
        <f t="shared" si="105"/>
        <v>0</v>
      </c>
      <c r="DQ105" s="161">
        <f t="shared" si="106"/>
        <v>0</v>
      </c>
      <c r="DR105" s="161">
        <f t="shared" si="107"/>
        <v>0</v>
      </c>
      <c r="DS105" s="161">
        <f t="shared" si="108"/>
        <v>0</v>
      </c>
      <c r="DT105" s="161">
        <f t="shared" si="109"/>
        <v>0</v>
      </c>
      <c r="DU105" s="161">
        <f t="shared" si="110"/>
        <v>0</v>
      </c>
      <c r="DV105" s="161">
        <f t="shared" si="111"/>
        <v>0</v>
      </c>
      <c r="DW105" s="161">
        <f t="shared" si="112"/>
        <v>0</v>
      </c>
      <c r="DX105" s="161">
        <f t="shared" si="113"/>
        <v>0</v>
      </c>
      <c r="DY105" s="161">
        <f t="shared" si="114"/>
        <v>0</v>
      </c>
      <c r="DZ105" s="161">
        <f t="shared" si="115"/>
        <v>0</v>
      </c>
      <c r="EA105" s="161">
        <f t="shared" si="116"/>
        <v>0</v>
      </c>
      <c r="EB105" s="161">
        <f t="shared" si="117"/>
        <v>0</v>
      </c>
      <c r="EC105" s="161">
        <f t="shared" si="118"/>
        <v>0</v>
      </c>
      <c r="ED105" s="161">
        <f t="shared" si="119"/>
        <v>0</v>
      </c>
      <c r="EE105" s="161">
        <f t="shared" si="120"/>
        <v>0</v>
      </c>
      <c r="EF105" s="161">
        <f t="shared" si="121"/>
        <v>0</v>
      </c>
      <c r="EG105" s="161">
        <f t="shared" si="122"/>
        <v>0</v>
      </c>
      <c r="EH105" s="161">
        <f t="shared" si="123"/>
        <v>0</v>
      </c>
      <c r="EI105" s="161">
        <f t="shared" si="124"/>
        <v>0</v>
      </c>
      <c r="EJ105" s="161">
        <f t="shared" si="125"/>
        <v>0</v>
      </c>
      <c r="EK105" s="147">
        <f t="shared" si="55"/>
        <v>0</v>
      </c>
      <c r="EL105" s="149"/>
      <c r="EN105" s="146"/>
      <c r="EO105" s="146"/>
      <c r="EP105" s="139">
        <f t="shared" si="56"/>
        <v>0</v>
      </c>
      <c r="EQ105" s="139">
        <f t="shared" si="57"/>
        <v>0</v>
      </c>
      <c r="ER105" s="139">
        <f t="shared" si="58"/>
        <v>0</v>
      </c>
      <c r="ES105" s="139">
        <f t="shared" si="59"/>
        <v>0</v>
      </c>
      <c r="ET105" s="139">
        <f t="shared" si="60"/>
        <v>0</v>
      </c>
      <c r="EU105" s="139">
        <f t="shared" si="61"/>
        <v>0</v>
      </c>
      <c r="EV105" s="139">
        <f t="shared" si="62"/>
        <v>0</v>
      </c>
      <c r="EW105" s="139">
        <f t="shared" si="63"/>
        <v>0</v>
      </c>
      <c r="EX105" s="139">
        <f t="shared" si="64"/>
        <v>0</v>
      </c>
      <c r="EY105" s="139">
        <f t="shared" si="65"/>
        <v>0</v>
      </c>
      <c r="EZ105" s="139">
        <f t="shared" si="66"/>
        <v>0</v>
      </c>
      <c r="FA105" s="139">
        <f t="shared" si="67"/>
        <v>0</v>
      </c>
      <c r="FB105" s="139">
        <f t="shared" si="68"/>
        <v>0</v>
      </c>
      <c r="FC105" s="139">
        <f t="shared" si="69"/>
        <v>0</v>
      </c>
      <c r="FD105" s="139">
        <f t="shared" si="70"/>
        <v>0</v>
      </c>
      <c r="FE105" s="139">
        <f t="shared" si="71"/>
        <v>0</v>
      </c>
      <c r="FF105" s="139">
        <f t="shared" si="72"/>
        <v>0</v>
      </c>
      <c r="FG105" s="139">
        <f t="shared" si="73"/>
        <v>0</v>
      </c>
      <c r="FH105" s="139">
        <f t="shared" si="74"/>
        <v>0</v>
      </c>
      <c r="FI105" s="139">
        <f t="shared" si="75"/>
        <v>0</v>
      </c>
      <c r="FJ105" s="139">
        <f t="shared" si="76"/>
        <v>0</v>
      </c>
      <c r="FK105" s="139">
        <f t="shared" si="77"/>
        <v>0</v>
      </c>
      <c r="FL105" s="139">
        <f t="shared" si="78"/>
        <v>0</v>
      </c>
      <c r="FM105" s="139">
        <f t="shared" si="79"/>
        <v>0</v>
      </c>
      <c r="FN105" s="139">
        <f t="shared" si="80"/>
        <v>0</v>
      </c>
      <c r="FO105" s="139">
        <f t="shared" si="81"/>
        <v>0</v>
      </c>
      <c r="FP105" s="139">
        <f t="shared" si="82"/>
        <v>0</v>
      </c>
      <c r="FQ105" s="139">
        <f t="shared" si="83"/>
        <v>0</v>
      </c>
      <c r="FR105" s="139">
        <f t="shared" si="84"/>
        <v>0</v>
      </c>
      <c r="FS105" s="139">
        <f t="shared" si="85"/>
        <v>0</v>
      </c>
      <c r="FT105" s="139">
        <f t="shared" si="86"/>
        <v>0</v>
      </c>
      <c r="FU105" s="148">
        <f t="shared" si="87"/>
        <v>0</v>
      </c>
      <c r="FV105" s="149"/>
      <c r="FY105" s="213">
        <v>100</v>
      </c>
      <c r="FZ105">
        <v>3.192552405514002</v>
      </c>
      <c r="GA105">
        <v>20.732476140633917</v>
      </c>
      <c r="GB105">
        <v>8.4279382154957876</v>
      </c>
      <c r="GC105">
        <v>1.0155829094419531</v>
      </c>
      <c r="GD105">
        <v>0.97339949523415403</v>
      </c>
      <c r="GE105">
        <v>0.68236449163595569</v>
      </c>
      <c r="GF105">
        <v>0.47734812494006024</v>
      </c>
      <c r="GG105">
        <v>3.3598026849977378</v>
      </c>
      <c r="GH105">
        <v>4.872796929167186</v>
      </c>
      <c r="GI105">
        <v>4.0708922226116684</v>
      </c>
      <c r="GJ105"/>
      <c r="GK105"/>
      <c r="GL105"/>
      <c r="GM105"/>
      <c r="GN105" s="208"/>
      <c r="GO105" s="208"/>
      <c r="GP105" s="208"/>
      <c r="GQ105" s="208"/>
      <c r="GR105" s="208"/>
      <c r="GS105" s="208"/>
      <c r="GT105" s="208"/>
      <c r="GU105" s="213">
        <v>100</v>
      </c>
    </row>
    <row r="106" spans="1:203" s="7" customFormat="1">
      <c r="A106" s="1"/>
      <c r="B106" s="76">
        <f ca="1">IF(C106="", "", RAND())</f>
        <v>0.59423877041509798</v>
      </c>
      <c r="C106">
        <v>5</v>
      </c>
      <c r="D106">
        <v>39673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26.449422690763054</v>
      </c>
      <c r="AO106">
        <v>6.8871560092995496</v>
      </c>
      <c r="AP106">
        <v>182.67877552720302</v>
      </c>
      <c r="AQ106">
        <v>49.256785500203932</v>
      </c>
      <c r="AR106">
        <v>6.2610509175450453</v>
      </c>
      <c r="AS106">
        <v>77.975224053051633</v>
      </c>
      <c r="AT106" t="e">
        <v>#DIV/0!</v>
      </c>
      <c r="AU106" t="e">
        <v>#DIV/0!</v>
      </c>
      <c r="AV106"/>
      <c r="AW106"/>
      <c r="AX106" s="146"/>
      <c r="AY106" s="76">
        <f t="shared" ca="1" si="88"/>
        <v>0.30199416891269593</v>
      </c>
      <c r="AZ106">
        <v>9</v>
      </c>
      <c r="BA106" s="129">
        <f t="shared" si="127"/>
        <v>39673</v>
      </c>
      <c r="BB106" s="207">
        <v>0</v>
      </c>
      <c r="BC106" s="207">
        <v>0</v>
      </c>
      <c r="BD106" s="207">
        <v>0</v>
      </c>
      <c r="BE106" s="207">
        <v>0</v>
      </c>
      <c r="BF106" s="207">
        <v>0</v>
      </c>
      <c r="BG106" s="207">
        <v>0</v>
      </c>
      <c r="BH106" s="207">
        <v>0</v>
      </c>
      <c r="BI106" s="207">
        <v>0</v>
      </c>
      <c r="BJ106" s="207">
        <v>0</v>
      </c>
      <c r="BK106" s="207">
        <v>0</v>
      </c>
      <c r="BL106" s="207">
        <v>0</v>
      </c>
      <c r="BM106" s="207">
        <v>0</v>
      </c>
      <c r="BN106" s="207">
        <v>0</v>
      </c>
      <c r="BO106" s="207">
        <v>0</v>
      </c>
      <c r="BP106" s="207">
        <v>0</v>
      </c>
      <c r="BQ106" s="207">
        <v>0</v>
      </c>
      <c r="BR106" s="207">
        <v>0</v>
      </c>
      <c r="BS106" s="207">
        <v>0</v>
      </c>
      <c r="BT106" s="207">
        <v>0</v>
      </c>
      <c r="BU106" s="207">
        <v>0</v>
      </c>
      <c r="BV106" s="207">
        <v>0</v>
      </c>
      <c r="BW106" s="207">
        <v>0</v>
      </c>
      <c r="BX106" s="207">
        <v>0</v>
      </c>
      <c r="BY106" s="207">
        <v>0</v>
      </c>
      <c r="BZ106" s="207">
        <v>0</v>
      </c>
      <c r="CA106" s="207">
        <v>0</v>
      </c>
      <c r="CB106" s="207">
        <v>0</v>
      </c>
      <c r="CC106" s="207">
        <v>0</v>
      </c>
      <c r="CD106" s="207">
        <v>0</v>
      </c>
      <c r="CE106" s="207">
        <v>0</v>
      </c>
      <c r="CF106" s="207">
        <v>0</v>
      </c>
      <c r="CG106" s="147"/>
      <c r="CH106" s="176"/>
      <c r="CJ106" s="146"/>
      <c r="CK106" s="76">
        <f t="shared" ca="1" si="90"/>
        <v>0.21063051199361826</v>
      </c>
      <c r="CL106" s="179">
        <f t="shared" si="91"/>
        <v>9</v>
      </c>
      <c r="CM106" s="180">
        <f t="shared" si="92"/>
        <v>39673</v>
      </c>
      <c r="CN106" s="208">
        <v>0</v>
      </c>
      <c r="CO106" s="208">
        <v>0</v>
      </c>
      <c r="CP106" s="208">
        <v>0</v>
      </c>
      <c r="CQ106" s="208">
        <v>0</v>
      </c>
      <c r="CR106" s="208">
        <v>0</v>
      </c>
      <c r="CS106" s="208">
        <v>0</v>
      </c>
      <c r="CT106" s="208">
        <v>0</v>
      </c>
      <c r="CU106" s="208">
        <v>0</v>
      </c>
      <c r="CV106" s="160"/>
      <c r="CW106">
        <v>1</v>
      </c>
      <c r="CX106">
        <v>1</v>
      </c>
      <c r="CY106" s="164"/>
      <c r="CZ106" s="177">
        <f t="shared" si="93"/>
        <v>9.6000000000000002E-2</v>
      </c>
      <c r="DB106" s="146"/>
      <c r="DC106" s="76">
        <f t="shared" ca="1" si="51"/>
        <v>0.25092437709022986</v>
      </c>
      <c r="DD106">
        <f t="shared" si="94"/>
        <v>9</v>
      </c>
      <c r="DE106" s="129">
        <f t="shared" si="126"/>
        <v>39673</v>
      </c>
      <c r="DF106" s="161">
        <f t="shared" si="95"/>
        <v>0</v>
      </c>
      <c r="DG106" s="161">
        <f t="shared" si="96"/>
        <v>0</v>
      </c>
      <c r="DH106" s="161">
        <f t="shared" si="97"/>
        <v>0</v>
      </c>
      <c r="DI106" s="161">
        <f t="shared" si="98"/>
        <v>0</v>
      </c>
      <c r="DJ106" s="161">
        <f t="shared" si="99"/>
        <v>0</v>
      </c>
      <c r="DK106" s="161">
        <f t="shared" si="100"/>
        <v>0</v>
      </c>
      <c r="DL106" s="161">
        <f t="shared" si="101"/>
        <v>0</v>
      </c>
      <c r="DM106" s="161">
        <f t="shared" si="102"/>
        <v>0</v>
      </c>
      <c r="DN106" s="161">
        <f t="shared" si="103"/>
        <v>0</v>
      </c>
      <c r="DO106" s="161">
        <f t="shared" si="104"/>
        <v>0</v>
      </c>
      <c r="DP106" s="161">
        <f t="shared" si="105"/>
        <v>0</v>
      </c>
      <c r="DQ106" s="161">
        <f t="shared" si="106"/>
        <v>0</v>
      </c>
      <c r="DR106" s="161">
        <f t="shared" si="107"/>
        <v>0</v>
      </c>
      <c r="DS106" s="161">
        <f t="shared" si="108"/>
        <v>0</v>
      </c>
      <c r="DT106" s="161">
        <f t="shared" si="109"/>
        <v>0</v>
      </c>
      <c r="DU106" s="161">
        <f t="shared" si="110"/>
        <v>0</v>
      </c>
      <c r="DV106" s="161">
        <f t="shared" si="111"/>
        <v>0</v>
      </c>
      <c r="DW106" s="161">
        <f t="shared" si="112"/>
        <v>0</v>
      </c>
      <c r="DX106" s="161">
        <f t="shared" si="113"/>
        <v>0</v>
      </c>
      <c r="DY106" s="161">
        <f t="shared" si="114"/>
        <v>0</v>
      </c>
      <c r="DZ106" s="161">
        <f t="shared" si="115"/>
        <v>0</v>
      </c>
      <c r="EA106" s="161">
        <f t="shared" si="116"/>
        <v>0</v>
      </c>
      <c r="EB106" s="161">
        <f t="shared" si="117"/>
        <v>0</v>
      </c>
      <c r="EC106" s="161">
        <f t="shared" si="118"/>
        <v>0</v>
      </c>
      <c r="ED106" s="161">
        <f t="shared" si="119"/>
        <v>0</v>
      </c>
      <c r="EE106" s="161">
        <f t="shared" si="120"/>
        <v>0</v>
      </c>
      <c r="EF106" s="161">
        <f t="shared" si="121"/>
        <v>0</v>
      </c>
      <c r="EG106" s="161">
        <f t="shared" si="122"/>
        <v>0</v>
      </c>
      <c r="EH106" s="161">
        <f t="shared" si="123"/>
        <v>0</v>
      </c>
      <c r="EI106" s="161">
        <f t="shared" si="124"/>
        <v>0</v>
      </c>
      <c r="EJ106" s="161">
        <f t="shared" si="125"/>
        <v>0</v>
      </c>
      <c r="EK106" s="147">
        <f t="shared" si="55"/>
        <v>0</v>
      </c>
      <c r="EL106" s="149"/>
      <c r="EN106" s="146"/>
      <c r="EO106" s="146"/>
      <c r="EP106" s="139">
        <f t="shared" si="56"/>
        <v>0</v>
      </c>
      <c r="EQ106" s="139">
        <f t="shared" si="57"/>
        <v>0</v>
      </c>
      <c r="ER106" s="139">
        <f t="shared" si="58"/>
        <v>0</v>
      </c>
      <c r="ES106" s="139">
        <f t="shared" si="59"/>
        <v>0</v>
      </c>
      <c r="ET106" s="139">
        <f t="shared" si="60"/>
        <v>0</v>
      </c>
      <c r="EU106" s="139">
        <f t="shared" si="61"/>
        <v>0</v>
      </c>
      <c r="EV106" s="139">
        <f t="shared" si="62"/>
        <v>0</v>
      </c>
      <c r="EW106" s="139">
        <f t="shared" si="63"/>
        <v>0</v>
      </c>
      <c r="EX106" s="139">
        <f t="shared" si="64"/>
        <v>0</v>
      </c>
      <c r="EY106" s="139">
        <f t="shared" si="65"/>
        <v>0</v>
      </c>
      <c r="EZ106" s="139">
        <f t="shared" si="66"/>
        <v>0</v>
      </c>
      <c r="FA106" s="139">
        <f t="shared" si="67"/>
        <v>0</v>
      </c>
      <c r="FB106" s="139">
        <f t="shared" si="68"/>
        <v>0</v>
      </c>
      <c r="FC106" s="139">
        <f t="shared" si="69"/>
        <v>0</v>
      </c>
      <c r="FD106" s="139">
        <f t="shared" si="70"/>
        <v>0</v>
      </c>
      <c r="FE106" s="139">
        <f t="shared" si="71"/>
        <v>0</v>
      </c>
      <c r="FF106" s="139">
        <f t="shared" si="72"/>
        <v>0</v>
      </c>
      <c r="FG106" s="139">
        <f t="shared" si="73"/>
        <v>0</v>
      </c>
      <c r="FH106" s="139">
        <f t="shared" si="74"/>
        <v>0</v>
      </c>
      <c r="FI106" s="139">
        <f t="shared" si="75"/>
        <v>0</v>
      </c>
      <c r="FJ106" s="139">
        <f t="shared" si="76"/>
        <v>0</v>
      </c>
      <c r="FK106" s="139">
        <f t="shared" si="77"/>
        <v>0</v>
      </c>
      <c r="FL106" s="139">
        <f t="shared" si="78"/>
        <v>0</v>
      </c>
      <c r="FM106" s="139">
        <f t="shared" si="79"/>
        <v>0</v>
      </c>
      <c r="FN106" s="139">
        <f t="shared" si="80"/>
        <v>0</v>
      </c>
      <c r="FO106" s="139">
        <f t="shared" si="81"/>
        <v>0</v>
      </c>
      <c r="FP106" s="139">
        <f t="shared" si="82"/>
        <v>0</v>
      </c>
      <c r="FQ106" s="139">
        <f t="shared" si="83"/>
        <v>0</v>
      </c>
      <c r="FR106" s="139">
        <f t="shared" si="84"/>
        <v>0</v>
      </c>
      <c r="FS106" s="139">
        <f t="shared" si="85"/>
        <v>0</v>
      </c>
      <c r="FT106" s="139">
        <f t="shared" si="86"/>
        <v>0</v>
      </c>
      <c r="FU106" s="148">
        <f t="shared" si="87"/>
        <v>0</v>
      </c>
      <c r="FV106" s="149"/>
      <c r="FY106" s="213">
        <v>101</v>
      </c>
      <c r="FZ106">
        <v>3.192552405514002</v>
      </c>
      <c r="GA106">
        <v>21.17920195766138</v>
      </c>
      <c r="GB106">
        <v>8.7450555637135654</v>
      </c>
      <c r="GC106">
        <v>1.4003717251190004</v>
      </c>
      <c r="GD106">
        <v>2.8292285643996826</v>
      </c>
      <c r="GE106">
        <v>3.8454223297507371</v>
      </c>
      <c r="GF106">
        <v>0.47734812494006024</v>
      </c>
      <c r="GG106">
        <v>5.405413337114739</v>
      </c>
      <c r="GH106">
        <v>7.345672950491462</v>
      </c>
      <c r="GI106">
        <v>5.6193956317155163</v>
      </c>
      <c r="GJ106"/>
      <c r="GK106"/>
      <c r="GL106"/>
      <c r="GM106"/>
      <c r="GN106" s="208"/>
      <c r="GO106" s="208"/>
      <c r="GP106" s="208"/>
      <c r="GQ106" s="208"/>
      <c r="GR106" s="208"/>
      <c r="GS106" s="208"/>
      <c r="GT106" s="208"/>
      <c r="GU106" s="213">
        <v>101</v>
      </c>
    </row>
    <row r="107" spans="1:203" s="7" customFormat="1">
      <c r="A107" s="1"/>
      <c r="B107" s="76">
        <f ca="1">IF(C107="", "", RAND())</f>
        <v>0.44984134041339718</v>
      </c>
      <c r="C107">
        <v>9</v>
      </c>
      <c r="D107">
        <v>39673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33.063253012048193</v>
      </c>
      <c r="AO107">
        <v>7.7092314027935513</v>
      </c>
      <c r="AP107">
        <v>146.02995136614811</v>
      </c>
      <c r="AQ107">
        <v>54.016152052502434</v>
      </c>
      <c r="AR107">
        <v>7.0626634552171685</v>
      </c>
      <c r="AS107">
        <v>102.54146720153003</v>
      </c>
      <c r="AT107" t="e">
        <v>#DIV/0!</v>
      </c>
      <c r="AU107" t="e">
        <v>#DIV/0!</v>
      </c>
      <c r="AV107"/>
      <c r="AW107"/>
      <c r="AX107" s="146"/>
      <c r="AY107" s="76">
        <f t="shared" ca="1" si="88"/>
        <v>0.25623860984443025</v>
      </c>
      <c r="AZ107">
        <v>10</v>
      </c>
      <c r="BA107" s="129">
        <f t="shared" si="127"/>
        <v>39673</v>
      </c>
      <c r="BB107" s="207">
        <v>0</v>
      </c>
      <c r="BC107" s="207">
        <v>0</v>
      </c>
      <c r="BD107" s="207">
        <v>0</v>
      </c>
      <c r="BE107" s="207">
        <v>0</v>
      </c>
      <c r="BF107" s="207">
        <v>0</v>
      </c>
      <c r="BG107" s="207">
        <v>0</v>
      </c>
      <c r="BH107" s="207">
        <v>0</v>
      </c>
      <c r="BI107" s="207">
        <v>0</v>
      </c>
      <c r="BJ107" s="207">
        <v>0</v>
      </c>
      <c r="BK107" s="207">
        <v>0</v>
      </c>
      <c r="BL107" s="207">
        <v>0</v>
      </c>
      <c r="BM107" s="207">
        <v>0</v>
      </c>
      <c r="BN107" s="207">
        <v>0</v>
      </c>
      <c r="BO107" s="207">
        <v>0</v>
      </c>
      <c r="BP107" s="207">
        <v>0</v>
      </c>
      <c r="BQ107" s="207">
        <v>0</v>
      </c>
      <c r="BR107" s="207">
        <v>0</v>
      </c>
      <c r="BS107" s="207">
        <v>0</v>
      </c>
      <c r="BT107" s="207">
        <v>0</v>
      </c>
      <c r="BU107" s="207">
        <v>0</v>
      </c>
      <c r="BV107" s="207">
        <v>0</v>
      </c>
      <c r="BW107" s="207">
        <v>0</v>
      </c>
      <c r="BX107" s="207">
        <v>0</v>
      </c>
      <c r="BY107" s="207">
        <v>0</v>
      </c>
      <c r="BZ107" s="207">
        <v>0</v>
      </c>
      <c r="CA107" s="207">
        <v>0</v>
      </c>
      <c r="CB107" s="207">
        <v>0</v>
      </c>
      <c r="CC107" s="207">
        <v>0</v>
      </c>
      <c r="CD107" s="207">
        <v>0</v>
      </c>
      <c r="CE107" s="207">
        <v>0</v>
      </c>
      <c r="CF107" s="207">
        <v>0</v>
      </c>
      <c r="CG107" s="147"/>
      <c r="CH107" s="176"/>
      <c r="CJ107" s="146"/>
      <c r="CK107" s="76">
        <f t="shared" ca="1" si="90"/>
        <v>3.5728327598439691E-2</v>
      </c>
      <c r="CL107" s="179">
        <f t="shared" si="91"/>
        <v>10</v>
      </c>
      <c r="CM107" s="180">
        <f t="shared" si="92"/>
        <v>39673</v>
      </c>
      <c r="CN107" s="208">
        <v>0</v>
      </c>
      <c r="CO107" s="208">
        <v>0</v>
      </c>
      <c r="CP107" s="208">
        <v>0</v>
      </c>
      <c r="CQ107" s="208">
        <v>0</v>
      </c>
      <c r="CR107" s="208">
        <v>0</v>
      </c>
      <c r="CS107" s="208">
        <v>0</v>
      </c>
      <c r="CT107" s="208">
        <v>0</v>
      </c>
      <c r="CU107" s="208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3"/>
        <v>9.6000000000000002E-2</v>
      </c>
      <c r="DB107" s="146"/>
      <c r="DC107" s="76">
        <f t="shared" ca="1" si="51"/>
        <v>0.88486029083004181</v>
      </c>
      <c r="DD107">
        <f t="shared" si="94"/>
        <v>10</v>
      </c>
      <c r="DE107" s="129">
        <f t="shared" si="126"/>
        <v>39673</v>
      </c>
      <c r="DF107" s="161">
        <f t="shared" si="95"/>
        <v>0</v>
      </c>
      <c r="DG107" s="161">
        <f t="shared" si="96"/>
        <v>0</v>
      </c>
      <c r="DH107" s="161">
        <f t="shared" si="97"/>
        <v>0</v>
      </c>
      <c r="DI107" s="161">
        <f t="shared" si="98"/>
        <v>0</v>
      </c>
      <c r="DJ107" s="161">
        <f t="shared" si="99"/>
        <v>0</v>
      </c>
      <c r="DK107" s="161">
        <f t="shared" si="100"/>
        <v>0</v>
      </c>
      <c r="DL107" s="161">
        <f t="shared" si="101"/>
        <v>0</v>
      </c>
      <c r="DM107" s="161">
        <f t="shared" si="102"/>
        <v>0</v>
      </c>
      <c r="DN107" s="161">
        <f t="shared" si="103"/>
        <v>0</v>
      </c>
      <c r="DO107" s="161">
        <f t="shared" si="104"/>
        <v>0</v>
      </c>
      <c r="DP107" s="161">
        <f t="shared" si="105"/>
        <v>0</v>
      </c>
      <c r="DQ107" s="161">
        <f t="shared" si="106"/>
        <v>0</v>
      </c>
      <c r="DR107" s="161">
        <f t="shared" si="107"/>
        <v>0</v>
      </c>
      <c r="DS107" s="161">
        <f t="shared" si="108"/>
        <v>0</v>
      </c>
      <c r="DT107" s="161">
        <f t="shared" si="109"/>
        <v>0</v>
      </c>
      <c r="DU107" s="161">
        <f t="shared" si="110"/>
        <v>0</v>
      </c>
      <c r="DV107" s="161">
        <f t="shared" si="111"/>
        <v>0</v>
      </c>
      <c r="DW107" s="161">
        <f t="shared" si="112"/>
        <v>0</v>
      </c>
      <c r="DX107" s="161">
        <f t="shared" si="113"/>
        <v>0</v>
      </c>
      <c r="DY107" s="161">
        <f t="shared" si="114"/>
        <v>0</v>
      </c>
      <c r="DZ107" s="161">
        <f t="shared" si="115"/>
        <v>0</v>
      </c>
      <c r="EA107" s="161">
        <f t="shared" si="116"/>
        <v>0</v>
      </c>
      <c r="EB107" s="161">
        <f t="shared" si="117"/>
        <v>0</v>
      </c>
      <c r="EC107" s="161">
        <f t="shared" si="118"/>
        <v>0</v>
      </c>
      <c r="ED107" s="161">
        <f t="shared" si="119"/>
        <v>0</v>
      </c>
      <c r="EE107" s="161">
        <f t="shared" si="120"/>
        <v>0</v>
      </c>
      <c r="EF107" s="161">
        <f t="shared" si="121"/>
        <v>0</v>
      </c>
      <c r="EG107" s="161">
        <f t="shared" si="122"/>
        <v>0</v>
      </c>
      <c r="EH107" s="161">
        <f t="shared" si="123"/>
        <v>0</v>
      </c>
      <c r="EI107" s="161">
        <f t="shared" si="124"/>
        <v>0</v>
      </c>
      <c r="EJ107" s="161">
        <f t="shared" si="125"/>
        <v>0</v>
      </c>
      <c r="EK107" s="147">
        <f t="shared" si="55"/>
        <v>0</v>
      </c>
      <c r="EL107" s="149"/>
      <c r="EN107" s="146"/>
      <c r="EO107" s="146"/>
      <c r="EP107" s="139">
        <f t="shared" si="56"/>
        <v>0</v>
      </c>
      <c r="EQ107" s="139">
        <f t="shared" si="57"/>
        <v>0</v>
      </c>
      <c r="ER107" s="139">
        <f t="shared" si="58"/>
        <v>0</v>
      </c>
      <c r="ES107" s="139">
        <f t="shared" si="59"/>
        <v>0</v>
      </c>
      <c r="ET107" s="139">
        <f t="shared" si="60"/>
        <v>0</v>
      </c>
      <c r="EU107" s="139">
        <f t="shared" si="61"/>
        <v>0</v>
      </c>
      <c r="EV107" s="139">
        <f t="shared" si="62"/>
        <v>0</v>
      </c>
      <c r="EW107" s="139">
        <f t="shared" si="63"/>
        <v>0</v>
      </c>
      <c r="EX107" s="139">
        <f t="shared" si="64"/>
        <v>0</v>
      </c>
      <c r="EY107" s="139">
        <f t="shared" si="65"/>
        <v>0</v>
      </c>
      <c r="EZ107" s="139">
        <f t="shared" si="66"/>
        <v>0</v>
      </c>
      <c r="FA107" s="139">
        <f t="shared" si="67"/>
        <v>0</v>
      </c>
      <c r="FB107" s="139">
        <f t="shared" si="68"/>
        <v>0</v>
      </c>
      <c r="FC107" s="139">
        <f t="shared" si="69"/>
        <v>0</v>
      </c>
      <c r="FD107" s="139">
        <f t="shared" si="70"/>
        <v>0</v>
      </c>
      <c r="FE107" s="139">
        <f t="shared" si="71"/>
        <v>0</v>
      </c>
      <c r="FF107" s="139">
        <f t="shared" si="72"/>
        <v>0</v>
      </c>
      <c r="FG107" s="139">
        <f t="shared" si="73"/>
        <v>0</v>
      </c>
      <c r="FH107" s="139">
        <f t="shared" si="74"/>
        <v>0</v>
      </c>
      <c r="FI107" s="139">
        <f t="shared" si="75"/>
        <v>0</v>
      </c>
      <c r="FJ107" s="139">
        <f t="shared" si="76"/>
        <v>0</v>
      </c>
      <c r="FK107" s="139">
        <f t="shared" si="77"/>
        <v>0</v>
      </c>
      <c r="FL107" s="139">
        <f t="shared" si="78"/>
        <v>0</v>
      </c>
      <c r="FM107" s="139">
        <f t="shared" si="79"/>
        <v>0</v>
      </c>
      <c r="FN107" s="139">
        <f t="shared" si="80"/>
        <v>0</v>
      </c>
      <c r="FO107" s="139">
        <f t="shared" si="81"/>
        <v>0</v>
      </c>
      <c r="FP107" s="139">
        <f t="shared" si="82"/>
        <v>0</v>
      </c>
      <c r="FQ107" s="139">
        <f t="shared" si="83"/>
        <v>0</v>
      </c>
      <c r="FR107" s="139">
        <f t="shared" si="84"/>
        <v>0</v>
      </c>
      <c r="FS107" s="139">
        <f t="shared" si="85"/>
        <v>0</v>
      </c>
      <c r="FT107" s="139">
        <f t="shared" si="86"/>
        <v>0</v>
      </c>
      <c r="FU107" s="148">
        <f t="shared" si="87"/>
        <v>0</v>
      </c>
      <c r="FV107" s="149"/>
      <c r="FY107" s="213">
        <v>102</v>
      </c>
      <c r="FZ107">
        <v>0</v>
      </c>
      <c r="GA107">
        <v>10.996502465878892</v>
      </c>
      <c r="GB107">
        <v>5.524569955503984</v>
      </c>
      <c r="GC107">
        <v>0.86060765605950218</v>
      </c>
      <c r="GD107">
        <v>0.66173243692780614</v>
      </c>
      <c r="GE107">
        <v>0.29268297475725885</v>
      </c>
      <c r="GF107">
        <v>0.47734812494006024</v>
      </c>
      <c r="GG107">
        <v>1.2236488308140425</v>
      </c>
      <c r="GH107">
        <v>1.6162904615070524</v>
      </c>
      <c r="GI107">
        <v>2.1133635845447332</v>
      </c>
      <c r="GJ107"/>
      <c r="GK107"/>
      <c r="GL107"/>
      <c r="GM107"/>
      <c r="GN107" s="208"/>
      <c r="GO107" s="208"/>
      <c r="GP107" s="208"/>
      <c r="GQ107" s="208"/>
      <c r="GR107" s="208"/>
      <c r="GS107" s="208"/>
      <c r="GT107" s="208"/>
      <c r="GU107" s="213">
        <v>102</v>
      </c>
    </row>
    <row r="108" spans="1:203" s="7" customFormat="1">
      <c r="A108" s="128"/>
      <c r="B108" s="76">
        <f ca="1">IF(C108="", "", RAND())</f>
        <v>0.45049815046077768</v>
      </c>
      <c r="C108">
        <v>6</v>
      </c>
      <c r="D108">
        <v>39714</v>
      </c>
      <c r="E108">
        <v>0</v>
      </c>
      <c r="F108">
        <v>0</v>
      </c>
      <c r="G108">
        <v>0</v>
      </c>
      <c r="H108">
        <v>10.416666666666666</v>
      </c>
      <c r="I108">
        <v>10.416666666666666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27.041666666666668</v>
      </c>
      <c r="AO108">
        <v>7.3442333499035239</v>
      </c>
      <c r="AP108">
        <v>255.33381991040164</v>
      </c>
      <c r="AQ108">
        <v>49.469841832871438</v>
      </c>
      <c r="AR108">
        <v>6.676575772639568</v>
      </c>
      <c r="AS108">
        <v>77.971979366741536</v>
      </c>
      <c r="AT108" t="e">
        <v>#DIV/0!</v>
      </c>
      <c r="AU108" t="e">
        <v>#DIV/0!</v>
      </c>
      <c r="AV108"/>
      <c r="AW108"/>
      <c r="AX108" s="128"/>
      <c r="AY108" s="76">
        <f t="shared" ca="1" si="88"/>
        <v>0.57655349122113964</v>
      </c>
      <c r="AZ108">
        <v>1</v>
      </c>
      <c r="BA108" s="129">
        <f>IF(AZ108="", "",$C$6)</f>
        <v>39714</v>
      </c>
      <c r="BB108" s="207">
        <v>0</v>
      </c>
      <c r="BC108" s="207">
        <v>0</v>
      </c>
      <c r="BD108" s="207">
        <v>0</v>
      </c>
      <c r="BE108" s="207">
        <v>0</v>
      </c>
      <c r="BF108" s="207">
        <v>0</v>
      </c>
      <c r="BG108" s="207">
        <v>0</v>
      </c>
      <c r="BH108" s="207">
        <v>0</v>
      </c>
      <c r="BI108" s="207">
        <v>0</v>
      </c>
      <c r="BJ108" s="207">
        <v>0</v>
      </c>
      <c r="BK108" s="207">
        <v>0</v>
      </c>
      <c r="BL108" s="207">
        <v>0</v>
      </c>
      <c r="BM108" s="207">
        <v>0</v>
      </c>
      <c r="BN108" s="207">
        <v>0</v>
      </c>
      <c r="BO108" s="207">
        <v>0</v>
      </c>
      <c r="BP108" s="207">
        <v>0</v>
      </c>
      <c r="BQ108" s="207">
        <v>0</v>
      </c>
      <c r="BR108" s="207">
        <v>0</v>
      </c>
      <c r="BS108" s="207">
        <v>0</v>
      </c>
      <c r="BT108" s="207">
        <v>0</v>
      </c>
      <c r="BU108" s="207">
        <v>0</v>
      </c>
      <c r="BV108" s="207">
        <v>0</v>
      </c>
      <c r="BW108" s="207">
        <v>0</v>
      </c>
      <c r="BX108" s="207">
        <v>0</v>
      </c>
      <c r="BY108" s="207">
        <v>0</v>
      </c>
      <c r="BZ108" s="207">
        <v>0</v>
      </c>
      <c r="CA108" s="207">
        <v>0</v>
      </c>
      <c r="CB108" s="207">
        <v>0</v>
      </c>
      <c r="CC108" s="207">
        <v>0</v>
      </c>
      <c r="CD108" s="207">
        <v>0</v>
      </c>
      <c r="CE108" s="207">
        <v>0</v>
      </c>
      <c r="CF108" s="207">
        <v>0</v>
      </c>
      <c r="CG108" s="147"/>
      <c r="CH108" s="176"/>
      <c r="CJ108" s="128"/>
      <c r="CK108" s="76">
        <f t="shared" ca="1" si="90"/>
        <v>0.7939216009872867</v>
      </c>
      <c r="CL108" s="179">
        <f t="shared" si="91"/>
        <v>1</v>
      </c>
      <c r="CM108" s="180">
        <f t="shared" si="92"/>
        <v>39714</v>
      </c>
      <c r="CN108" s="208">
        <v>0</v>
      </c>
      <c r="CO108" s="208">
        <v>0</v>
      </c>
      <c r="CP108" s="208">
        <v>0</v>
      </c>
      <c r="CQ108" s="208">
        <v>0</v>
      </c>
      <c r="CR108" s="208">
        <v>0</v>
      </c>
      <c r="CS108" s="208">
        <v>0</v>
      </c>
      <c r="CT108" s="208">
        <v>0</v>
      </c>
      <c r="CU108" s="208">
        <v>0</v>
      </c>
      <c r="CW108">
        <v>1</v>
      </c>
      <c r="CX108">
        <f>300/48</f>
        <v>6.25</v>
      </c>
      <c r="CY108" s="158"/>
      <c r="CZ108" s="177">
        <f t="shared" si="93"/>
        <v>9.6000000000000002E-2</v>
      </c>
      <c r="DB108" s="128"/>
      <c r="DC108" s="76">
        <f t="shared" ca="1" si="51"/>
        <v>0.53128745320351212</v>
      </c>
      <c r="DD108">
        <f t="shared" si="94"/>
        <v>1</v>
      </c>
      <c r="DE108" s="129">
        <f t="shared" ref="DE108:DE117" si="128">IF((DD108)="", "", $C$6)</f>
        <v>39714</v>
      </c>
      <c r="DF108" s="161">
        <f t="shared" si="95"/>
        <v>0</v>
      </c>
      <c r="DG108" s="161">
        <f t="shared" si="96"/>
        <v>0</v>
      </c>
      <c r="DH108" s="161">
        <f t="shared" si="97"/>
        <v>0</v>
      </c>
      <c r="DI108" s="161">
        <f t="shared" si="98"/>
        <v>0</v>
      </c>
      <c r="DJ108" s="161">
        <f t="shared" si="99"/>
        <v>0</v>
      </c>
      <c r="DK108" s="161">
        <f t="shared" si="100"/>
        <v>0</v>
      </c>
      <c r="DL108" s="161">
        <f t="shared" si="101"/>
        <v>0</v>
      </c>
      <c r="DM108" s="161">
        <f t="shared" si="102"/>
        <v>0</v>
      </c>
      <c r="DN108" s="161">
        <f t="shared" si="103"/>
        <v>0</v>
      </c>
      <c r="DO108" s="161">
        <f t="shared" si="104"/>
        <v>0</v>
      </c>
      <c r="DP108" s="161">
        <f t="shared" si="105"/>
        <v>0</v>
      </c>
      <c r="DQ108" s="161">
        <f t="shared" si="106"/>
        <v>0</v>
      </c>
      <c r="DR108" s="161">
        <f t="shared" si="107"/>
        <v>0</v>
      </c>
      <c r="DS108" s="161">
        <f t="shared" si="108"/>
        <v>0</v>
      </c>
      <c r="DT108" s="161">
        <f t="shared" si="109"/>
        <v>0</v>
      </c>
      <c r="DU108" s="161">
        <f t="shared" si="110"/>
        <v>0</v>
      </c>
      <c r="DV108" s="161">
        <f t="shared" si="111"/>
        <v>0</v>
      </c>
      <c r="DW108" s="161">
        <f t="shared" si="112"/>
        <v>0</v>
      </c>
      <c r="DX108" s="161">
        <f t="shared" si="113"/>
        <v>0</v>
      </c>
      <c r="DY108" s="161">
        <f t="shared" si="114"/>
        <v>0</v>
      </c>
      <c r="DZ108" s="161">
        <f t="shared" si="115"/>
        <v>0</v>
      </c>
      <c r="EA108" s="161">
        <f t="shared" si="116"/>
        <v>0</v>
      </c>
      <c r="EB108" s="161">
        <f t="shared" si="117"/>
        <v>0</v>
      </c>
      <c r="EC108" s="161">
        <f t="shared" si="118"/>
        <v>0</v>
      </c>
      <c r="ED108" s="161">
        <f t="shared" si="119"/>
        <v>0</v>
      </c>
      <c r="EE108" s="161">
        <f t="shared" si="120"/>
        <v>0</v>
      </c>
      <c r="EF108" s="161">
        <f t="shared" si="121"/>
        <v>0</v>
      </c>
      <c r="EG108" s="161">
        <f t="shared" si="122"/>
        <v>0</v>
      </c>
      <c r="EH108" s="161">
        <f t="shared" si="123"/>
        <v>0</v>
      </c>
      <c r="EI108" s="161">
        <f t="shared" si="124"/>
        <v>0</v>
      </c>
      <c r="EJ108" s="161">
        <f t="shared" si="125"/>
        <v>0</v>
      </c>
      <c r="EK108" s="147">
        <f t="shared" si="55"/>
        <v>0</v>
      </c>
      <c r="EL108" s="149"/>
      <c r="EN108" s="146"/>
      <c r="EO108" s="146"/>
      <c r="EP108" s="139">
        <f t="shared" si="56"/>
        <v>0</v>
      </c>
      <c r="EQ108" s="139">
        <f t="shared" si="57"/>
        <v>0</v>
      </c>
      <c r="ER108" s="139">
        <f t="shared" si="58"/>
        <v>0</v>
      </c>
      <c r="ES108" s="139">
        <f t="shared" si="59"/>
        <v>0</v>
      </c>
      <c r="ET108" s="139">
        <f t="shared" si="60"/>
        <v>0</v>
      </c>
      <c r="EU108" s="139">
        <f t="shared" si="61"/>
        <v>0</v>
      </c>
      <c r="EV108" s="139">
        <f t="shared" si="62"/>
        <v>0</v>
      </c>
      <c r="EW108" s="139">
        <f t="shared" si="63"/>
        <v>0</v>
      </c>
      <c r="EX108" s="139">
        <f t="shared" si="64"/>
        <v>0</v>
      </c>
      <c r="EY108" s="139">
        <f t="shared" si="65"/>
        <v>0</v>
      </c>
      <c r="EZ108" s="139">
        <f t="shared" si="66"/>
        <v>0</v>
      </c>
      <c r="FA108" s="139">
        <f t="shared" si="67"/>
        <v>0</v>
      </c>
      <c r="FB108" s="139">
        <f t="shared" si="68"/>
        <v>0</v>
      </c>
      <c r="FC108" s="139">
        <f t="shared" si="69"/>
        <v>0</v>
      </c>
      <c r="FD108" s="139">
        <f t="shared" si="70"/>
        <v>0</v>
      </c>
      <c r="FE108" s="139">
        <f t="shared" si="71"/>
        <v>0</v>
      </c>
      <c r="FF108" s="139">
        <f t="shared" si="72"/>
        <v>0</v>
      </c>
      <c r="FG108" s="139">
        <f t="shared" si="73"/>
        <v>0</v>
      </c>
      <c r="FH108" s="139">
        <f t="shared" si="74"/>
        <v>0</v>
      </c>
      <c r="FI108" s="139">
        <f t="shared" si="75"/>
        <v>0</v>
      </c>
      <c r="FJ108" s="139">
        <f t="shared" si="76"/>
        <v>0</v>
      </c>
      <c r="FK108" s="139">
        <f t="shared" si="77"/>
        <v>0</v>
      </c>
      <c r="FL108" s="139">
        <f t="shared" si="78"/>
        <v>0</v>
      </c>
      <c r="FM108" s="139">
        <f t="shared" si="79"/>
        <v>0</v>
      </c>
      <c r="FN108" s="139">
        <f t="shared" si="80"/>
        <v>0</v>
      </c>
      <c r="FO108" s="139">
        <f t="shared" si="81"/>
        <v>0</v>
      </c>
      <c r="FP108" s="139">
        <f t="shared" si="82"/>
        <v>0</v>
      </c>
      <c r="FQ108" s="139">
        <f t="shared" si="83"/>
        <v>0</v>
      </c>
      <c r="FR108" s="139">
        <f t="shared" si="84"/>
        <v>0</v>
      </c>
      <c r="FS108" s="139">
        <f t="shared" si="85"/>
        <v>0</v>
      </c>
      <c r="FT108" s="139">
        <f t="shared" si="86"/>
        <v>0</v>
      </c>
      <c r="FU108" s="148">
        <f t="shared" si="87"/>
        <v>0</v>
      </c>
      <c r="FV108" s="149"/>
      <c r="FY108" s="213">
        <v>103</v>
      </c>
      <c r="FZ108">
        <v>0.58716112056924263</v>
      </c>
      <c r="GA108">
        <v>11.466131914949106</v>
      </c>
      <c r="GB108">
        <v>5.7160219434272097</v>
      </c>
      <c r="GC108">
        <v>1.7851605407960478</v>
      </c>
      <c r="GD108">
        <v>1.5654806585308507</v>
      </c>
      <c r="GE108">
        <v>0.97504746639321449</v>
      </c>
      <c r="GF108">
        <v>0.95469624988012047</v>
      </c>
      <c r="GG108">
        <v>3.5153745887199328</v>
      </c>
      <c r="GH108">
        <v>4.860834156844172</v>
      </c>
      <c r="GI108">
        <v>3.4048178081041272</v>
      </c>
      <c r="GJ108"/>
      <c r="GK108"/>
      <c r="GL108"/>
      <c r="GM108"/>
      <c r="GN108" s="208"/>
      <c r="GO108" s="208"/>
      <c r="GP108" s="208"/>
      <c r="GQ108" s="208"/>
      <c r="GR108" s="208"/>
      <c r="GS108" s="208"/>
      <c r="GT108" s="208"/>
      <c r="GU108" s="213">
        <v>103</v>
      </c>
    </row>
    <row r="109" spans="1:203" s="7" customFormat="1">
      <c r="A109" s="1"/>
      <c r="B109" s="76">
        <f ca="1">IF(C109="", "", RAND())</f>
        <v>0.33725226459994406</v>
      </c>
      <c r="C109">
        <v>4</v>
      </c>
      <c r="D109">
        <v>39714</v>
      </c>
      <c r="E109">
        <v>0</v>
      </c>
      <c r="F109">
        <v>0</v>
      </c>
      <c r="G109">
        <v>0</v>
      </c>
      <c r="H109">
        <v>0</v>
      </c>
      <c r="I109">
        <v>20.833333333333332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35.790264094143396</v>
      </c>
      <c r="AO109">
        <v>8.6309557348255872</v>
      </c>
      <c r="AP109">
        <v>467.70770244958669</v>
      </c>
      <c r="AQ109">
        <v>60.320804792914466</v>
      </c>
      <c r="AR109">
        <v>7.8463233952959897</v>
      </c>
      <c r="AS109">
        <v>112.19770382173922</v>
      </c>
      <c r="AT109" t="e">
        <v>#DIV/0!</v>
      </c>
      <c r="AU109" t="e">
        <v>#DIV/0!</v>
      </c>
      <c r="AV109"/>
      <c r="AW109"/>
      <c r="AX109" s="146"/>
      <c r="AY109" s="76">
        <f t="shared" ca="1" si="88"/>
        <v>0.16690853281805396</v>
      </c>
      <c r="AZ109">
        <v>2</v>
      </c>
      <c r="BA109" s="129">
        <f t="shared" ref="BA109:BA117" si="129">IF(AZ109="", "",$C$6)</f>
        <v>39714</v>
      </c>
      <c r="BB109" s="207">
        <v>0</v>
      </c>
      <c r="BC109" s="207">
        <v>0</v>
      </c>
      <c r="BD109" s="207">
        <v>0</v>
      </c>
      <c r="BE109" s="207">
        <v>2</v>
      </c>
      <c r="BF109" s="207">
        <v>3</v>
      </c>
      <c r="BG109" s="207">
        <v>0</v>
      </c>
      <c r="BH109" s="207">
        <v>0</v>
      </c>
      <c r="BI109" s="207">
        <v>0</v>
      </c>
      <c r="BJ109" s="207">
        <v>0</v>
      </c>
      <c r="BK109" s="207">
        <v>0</v>
      </c>
      <c r="BL109" s="207">
        <v>0</v>
      </c>
      <c r="BM109" s="207">
        <v>0</v>
      </c>
      <c r="BN109" s="207">
        <v>0</v>
      </c>
      <c r="BO109" s="207">
        <v>0</v>
      </c>
      <c r="BP109" s="207">
        <v>0</v>
      </c>
      <c r="BQ109" s="207">
        <v>0</v>
      </c>
      <c r="BR109" s="207">
        <v>0</v>
      </c>
      <c r="BS109" s="207">
        <v>0</v>
      </c>
      <c r="BT109" s="207">
        <v>0</v>
      </c>
      <c r="BU109" s="207">
        <v>0</v>
      </c>
      <c r="BV109" s="207">
        <v>0</v>
      </c>
      <c r="BW109" s="207">
        <v>0</v>
      </c>
      <c r="BX109" s="207">
        <v>0</v>
      </c>
      <c r="BY109" s="207">
        <v>0</v>
      </c>
      <c r="BZ109" s="207">
        <v>0</v>
      </c>
      <c r="CA109" s="207">
        <v>0</v>
      </c>
      <c r="CB109" s="207">
        <v>0</v>
      </c>
      <c r="CC109" s="207">
        <v>0</v>
      </c>
      <c r="CD109" s="207">
        <v>0</v>
      </c>
      <c r="CE109" s="207">
        <v>0</v>
      </c>
      <c r="CF109" s="207">
        <v>0</v>
      </c>
      <c r="CG109" s="147"/>
      <c r="CH109" s="176"/>
      <c r="CJ109" s="146"/>
      <c r="CK109" s="76">
        <f t="shared" ca="1" si="90"/>
        <v>0.52506757063916432</v>
      </c>
      <c r="CL109" s="179">
        <f t="shared" si="91"/>
        <v>2</v>
      </c>
      <c r="CM109" s="180">
        <f t="shared" si="92"/>
        <v>39714</v>
      </c>
      <c r="CN109" s="208">
        <v>0</v>
      </c>
      <c r="CO109" s="208">
        <v>0</v>
      </c>
      <c r="CP109" s="208">
        <v>0</v>
      </c>
      <c r="CQ109" s="208">
        <v>0</v>
      </c>
      <c r="CR109" s="208">
        <v>0</v>
      </c>
      <c r="CS109" s="208">
        <v>0</v>
      </c>
      <c r="CT109" s="208">
        <v>0</v>
      </c>
      <c r="CU109" s="208">
        <v>0</v>
      </c>
      <c r="CW109">
        <v>1</v>
      </c>
      <c r="CX109">
        <v>1</v>
      </c>
      <c r="CY109" s="158"/>
      <c r="CZ109" s="177">
        <f t="shared" si="93"/>
        <v>9.6000000000000002E-2</v>
      </c>
      <c r="DB109" s="146"/>
      <c r="DC109" s="76">
        <f t="shared" ca="1" si="51"/>
        <v>0.45658849565758808</v>
      </c>
      <c r="DD109">
        <f t="shared" si="94"/>
        <v>2</v>
      </c>
      <c r="DE109" s="129">
        <f t="shared" si="128"/>
        <v>39714</v>
      </c>
      <c r="DF109" s="161">
        <f t="shared" si="95"/>
        <v>0</v>
      </c>
      <c r="DG109" s="161">
        <f t="shared" si="96"/>
        <v>0</v>
      </c>
      <c r="DH109" s="161">
        <f t="shared" si="97"/>
        <v>0</v>
      </c>
      <c r="DI109" s="161">
        <f t="shared" si="98"/>
        <v>20.833333333333332</v>
      </c>
      <c r="DJ109" s="161">
        <f t="shared" si="99"/>
        <v>31.25</v>
      </c>
      <c r="DK109" s="161">
        <f t="shared" si="100"/>
        <v>0</v>
      </c>
      <c r="DL109" s="161">
        <f t="shared" si="101"/>
        <v>0</v>
      </c>
      <c r="DM109" s="161">
        <f t="shared" si="102"/>
        <v>0</v>
      </c>
      <c r="DN109" s="161">
        <f t="shared" si="103"/>
        <v>0</v>
      </c>
      <c r="DO109" s="161">
        <f t="shared" si="104"/>
        <v>0</v>
      </c>
      <c r="DP109" s="161">
        <f t="shared" si="105"/>
        <v>0</v>
      </c>
      <c r="DQ109" s="161">
        <f t="shared" si="106"/>
        <v>0</v>
      </c>
      <c r="DR109" s="161">
        <f t="shared" si="107"/>
        <v>0</v>
      </c>
      <c r="DS109" s="161">
        <f t="shared" si="108"/>
        <v>0</v>
      </c>
      <c r="DT109" s="161">
        <f t="shared" si="109"/>
        <v>0</v>
      </c>
      <c r="DU109" s="161">
        <f t="shared" si="110"/>
        <v>0</v>
      </c>
      <c r="DV109" s="161">
        <f t="shared" si="111"/>
        <v>0</v>
      </c>
      <c r="DW109" s="161">
        <f t="shared" si="112"/>
        <v>0</v>
      </c>
      <c r="DX109" s="161">
        <f t="shared" si="113"/>
        <v>0</v>
      </c>
      <c r="DY109" s="161">
        <f t="shared" si="114"/>
        <v>0</v>
      </c>
      <c r="DZ109" s="161">
        <f t="shared" si="115"/>
        <v>0</v>
      </c>
      <c r="EA109" s="161">
        <f t="shared" si="116"/>
        <v>0</v>
      </c>
      <c r="EB109" s="161">
        <f t="shared" si="117"/>
        <v>0</v>
      </c>
      <c r="EC109" s="161">
        <f t="shared" si="118"/>
        <v>0</v>
      </c>
      <c r="ED109" s="161">
        <f t="shared" si="119"/>
        <v>0</v>
      </c>
      <c r="EE109" s="161">
        <f t="shared" si="120"/>
        <v>0</v>
      </c>
      <c r="EF109" s="161">
        <f t="shared" si="121"/>
        <v>0</v>
      </c>
      <c r="EG109" s="161">
        <f t="shared" si="122"/>
        <v>0</v>
      </c>
      <c r="EH109" s="161">
        <f t="shared" si="123"/>
        <v>0</v>
      </c>
      <c r="EI109" s="161">
        <f t="shared" si="124"/>
        <v>0</v>
      </c>
      <c r="EJ109" s="161">
        <f t="shared" si="125"/>
        <v>0</v>
      </c>
      <c r="EK109" s="147">
        <f t="shared" si="55"/>
        <v>52.083333333333329</v>
      </c>
      <c r="EL109" s="149"/>
      <c r="EN109" s="146"/>
      <c r="EO109" s="146"/>
      <c r="EP109" s="139">
        <f t="shared" si="56"/>
        <v>0</v>
      </c>
      <c r="EQ109" s="139">
        <f t="shared" si="57"/>
        <v>0</v>
      </c>
      <c r="ER109" s="139">
        <f t="shared" si="58"/>
        <v>0</v>
      </c>
      <c r="ES109" s="139">
        <f t="shared" si="59"/>
        <v>4.4990354989852364</v>
      </c>
      <c r="ET109" s="139">
        <f t="shared" si="60"/>
        <v>14.535242759360877</v>
      </c>
      <c r="EU109" s="139">
        <f t="shared" si="61"/>
        <v>0</v>
      </c>
      <c r="EV109" s="139">
        <f t="shared" si="62"/>
        <v>0</v>
      </c>
      <c r="EW109" s="139">
        <f t="shared" si="63"/>
        <v>0</v>
      </c>
      <c r="EX109" s="139">
        <f t="shared" si="64"/>
        <v>0</v>
      </c>
      <c r="EY109" s="139">
        <f t="shared" si="65"/>
        <v>0</v>
      </c>
      <c r="EZ109" s="139">
        <f t="shared" si="66"/>
        <v>0</v>
      </c>
      <c r="FA109" s="139">
        <f t="shared" si="67"/>
        <v>0</v>
      </c>
      <c r="FB109" s="139">
        <f t="shared" si="68"/>
        <v>0</v>
      </c>
      <c r="FC109" s="139">
        <f t="shared" si="69"/>
        <v>0</v>
      </c>
      <c r="FD109" s="139">
        <f t="shared" si="70"/>
        <v>0</v>
      </c>
      <c r="FE109" s="139">
        <f t="shared" si="71"/>
        <v>0</v>
      </c>
      <c r="FF109" s="139">
        <f t="shared" si="72"/>
        <v>0</v>
      </c>
      <c r="FG109" s="139">
        <f t="shared" si="73"/>
        <v>0</v>
      </c>
      <c r="FH109" s="139">
        <f t="shared" si="74"/>
        <v>0</v>
      </c>
      <c r="FI109" s="139">
        <f t="shared" si="75"/>
        <v>0</v>
      </c>
      <c r="FJ109" s="139">
        <f t="shared" si="76"/>
        <v>0</v>
      </c>
      <c r="FK109" s="139">
        <f t="shared" si="77"/>
        <v>0</v>
      </c>
      <c r="FL109" s="139">
        <f t="shared" si="78"/>
        <v>0</v>
      </c>
      <c r="FM109" s="139">
        <f t="shared" si="79"/>
        <v>0</v>
      </c>
      <c r="FN109" s="139">
        <f t="shared" si="80"/>
        <v>0</v>
      </c>
      <c r="FO109" s="139">
        <f t="shared" si="81"/>
        <v>0</v>
      </c>
      <c r="FP109" s="139">
        <f t="shared" si="82"/>
        <v>0</v>
      </c>
      <c r="FQ109" s="139">
        <f t="shared" si="83"/>
        <v>0</v>
      </c>
      <c r="FR109" s="139">
        <f t="shared" si="84"/>
        <v>0</v>
      </c>
      <c r="FS109" s="139">
        <f t="shared" si="85"/>
        <v>0</v>
      </c>
      <c r="FT109" s="139">
        <f t="shared" si="86"/>
        <v>0</v>
      </c>
      <c r="FU109" s="148">
        <f t="shared" si="87"/>
        <v>19.034278258346113</v>
      </c>
      <c r="FV109" s="149"/>
      <c r="FY109" s="213">
        <v>104</v>
      </c>
      <c r="FZ109">
        <v>3.7797135260832437</v>
      </c>
      <c r="GA109">
        <v>25.183151404618663</v>
      </c>
      <c r="GB109">
        <v>10.729101318928645</v>
      </c>
      <c r="GC109">
        <v>0.9899302812656644</v>
      </c>
      <c r="GD109">
        <v>1.0795393688281629</v>
      </c>
      <c r="GE109">
        <v>0.6438209891635911</v>
      </c>
      <c r="GF109">
        <v>0</v>
      </c>
      <c r="GG109">
        <v>7.5415671912984354</v>
      </c>
      <c r="GH109">
        <v>10.602179418151596</v>
      </c>
      <c r="GI109">
        <v>5.5999945676146332</v>
      </c>
      <c r="GJ109"/>
      <c r="GK109"/>
      <c r="GL109"/>
      <c r="GM109"/>
      <c r="GN109" s="208"/>
      <c r="GO109" s="208"/>
      <c r="GP109" s="208"/>
      <c r="GQ109" s="208"/>
      <c r="GR109" s="208"/>
      <c r="GS109" s="208"/>
      <c r="GT109" s="208"/>
      <c r="GU109" s="213">
        <v>104</v>
      </c>
    </row>
    <row r="110" spans="1:203" s="7" customFormat="1">
      <c r="A110" s="1"/>
      <c r="B110" s="76">
        <f ca="1">IF(C110="", "", RAND())</f>
        <v>0.70489651747247462</v>
      </c>
      <c r="C110">
        <v>5</v>
      </c>
      <c r="D110">
        <v>39714</v>
      </c>
      <c r="E110">
        <v>0</v>
      </c>
      <c r="F110">
        <v>0</v>
      </c>
      <c r="G110">
        <v>0</v>
      </c>
      <c r="H110">
        <v>62.5</v>
      </c>
      <c r="I110">
        <v>72.916666666666671</v>
      </c>
      <c r="J110">
        <v>0</v>
      </c>
      <c r="K110">
        <v>0</v>
      </c>
      <c r="L110">
        <v>10.416666666666666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27.863933772858264</v>
      </c>
      <c r="AO110">
        <v>9.0452757632930592</v>
      </c>
      <c r="AP110">
        <v>228.88613319817486</v>
      </c>
      <c r="AQ110">
        <v>62.83229193714849</v>
      </c>
      <c r="AR110">
        <v>8.385791779208235</v>
      </c>
      <c r="AS110">
        <v>96.063585227124776</v>
      </c>
      <c r="AT110" t="e">
        <v>#DIV/0!</v>
      </c>
      <c r="AU110" t="e">
        <v>#DIV/0!</v>
      </c>
      <c r="AV110"/>
      <c r="AW110"/>
      <c r="AX110" s="146"/>
      <c r="AY110" s="76">
        <f t="shared" ca="1" si="88"/>
        <v>7.0065435532091769E-3</v>
      </c>
      <c r="AZ110">
        <v>3</v>
      </c>
      <c r="BA110" s="129">
        <f t="shared" si="129"/>
        <v>39714</v>
      </c>
      <c r="BB110" s="207">
        <v>0</v>
      </c>
      <c r="BC110" s="207">
        <v>0</v>
      </c>
      <c r="BD110" s="207">
        <v>0</v>
      </c>
      <c r="BE110" s="207">
        <v>5</v>
      </c>
      <c r="BF110" s="207">
        <v>4</v>
      </c>
      <c r="BG110" s="207">
        <v>0</v>
      </c>
      <c r="BH110" s="207">
        <v>0</v>
      </c>
      <c r="BI110" s="207">
        <v>0</v>
      </c>
      <c r="BJ110" s="207">
        <v>0</v>
      </c>
      <c r="BK110" s="207">
        <v>0</v>
      </c>
      <c r="BL110" s="207">
        <v>0</v>
      </c>
      <c r="BM110" s="207">
        <v>0</v>
      </c>
      <c r="BN110" s="207">
        <v>0</v>
      </c>
      <c r="BO110" s="207">
        <v>0</v>
      </c>
      <c r="BP110" s="207">
        <v>0</v>
      </c>
      <c r="BQ110" s="207">
        <v>0</v>
      </c>
      <c r="BR110" s="207">
        <v>0</v>
      </c>
      <c r="BS110" s="207">
        <v>0</v>
      </c>
      <c r="BT110" s="207">
        <v>0</v>
      </c>
      <c r="BU110" s="207">
        <v>0</v>
      </c>
      <c r="BV110" s="207">
        <v>0</v>
      </c>
      <c r="BW110" s="207">
        <v>0</v>
      </c>
      <c r="BX110" s="207">
        <v>0</v>
      </c>
      <c r="BY110" s="207">
        <v>0</v>
      </c>
      <c r="BZ110" s="207">
        <v>0</v>
      </c>
      <c r="CA110" s="207">
        <v>0</v>
      </c>
      <c r="CB110" s="207">
        <v>0</v>
      </c>
      <c r="CC110" s="207">
        <v>0</v>
      </c>
      <c r="CD110" s="207">
        <v>0</v>
      </c>
      <c r="CE110" s="207">
        <v>0</v>
      </c>
      <c r="CF110" s="207">
        <v>0</v>
      </c>
      <c r="CG110" s="147"/>
      <c r="CH110" s="176"/>
      <c r="CJ110" s="146"/>
      <c r="CK110" s="76">
        <f t="shared" ca="1" si="90"/>
        <v>0.5780147756432199</v>
      </c>
      <c r="CL110" s="179">
        <f t="shared" si="91"/>
        <v>3</v>
      </c>
      <c r="CM110" s="180">
        <f t="shared" si="92"/>
        <v>39714</v>
      </c>
      <c r="CN110" s="208">
        <v>0</v>
      </c>
      <c r="CO110" s="208">
        <v>0</v>
      </c>
      <c r="CP110" s="208">
        <v>0</v>
      </c>
      <c r="CQ110" s="208">
        <v>0</v>
      </c>
      <c r="CR110" s="208">
        <v>0</v>
      </c>
      <c r="CS110" s="208">
        <v>0</v>
      </c>
      <c r="CT110" s="208">
        <v>0</v>
      </c>
      <c r="CU110" s="208">
        <v>0</v>
      </c>
      <c r="CW110">
        <v>1</v>
      </c>
      <c r="CX110">
        <f>300/32</f>
        <v>9.375</v>
      </c>
      <c r="CY110" s="158"/>
      <c r="CZ110" s="177">
        <f t="shared" si="93"/>
        <v>9.6000000000000002E-2</v>
      </c>
      <c r="DB110" s="146"/>
      <c r="DC110" s="76">
        <f t="shared" ca="1" si="51"/>
        <v>0.44972538389030992</v>
      </c>
      <c r="DD110">
        <f t="shared" si="94"/>
        <v>3</v>
      </c>
      <c r="DE110" s="129">
        <f t="shared" si="128"/>
        <v>39714</v>
      </c>
      <c r="DF110" s="161">
        <f t="shared" si="95"/>
        <v>0</v>
      </c>
      <c r="DG110" s="161">
        <f t="shared" si="96"/>
        <v>0</v>
      </c>
      <c r="DH110" s="161">
        <f t="shared" si="97"/>
        <v>0</v>
      </c>
      <c r="DI110" s="161">
        <f t="shared" si="98"/>
        <v>52.083333333333336</v>
      </c>
      <c r="DJ110" s="161">
        <f t="shared" si="99"/>
        <v>41.666666666666664</v>
      </c>
      <c r="DK110" s="161">
        <f t="shared" si="100"/>
        <v>0</v>
      </c>
      <c r="DL110" s="161">
        <f t="shared" si="101"/>
        <v>0</v>
      </c>
      <c r="DM110" s="161">
        <f t="shared" si="102"/>
        <v>0</v>
      </c>
      <c r="DN110" s="161">
        <f t="shared" si="103"/>
        <v>0</v>
      </c>
      <c r="DO110" s="161">
        <f t="shared" si="104"/>
        <v>0</v>
      </c>
      <c r="DP110" s="161">
        <f t="shared" si="105"/>
        <v>0</v>
      </c>
      <c r="DQ110" s="161">
        <f t="shared" si="106"/>
        <v>0</v>
      </c>
      <c r="DR110" s="161">
        <f t="shared" si="107"/>
        <v>0</v>
      </c>
      <c r="DS110" s="161">
        <f t="shared" si="108"/>
        <v>0</v>
      </c>
      <c r="DT110" s="161">
        <f t="shared" si="109"/>
        <v>0</v>
      </c>
      <c r="DU110" s="161">
        <f t="shared" si="110"/>
        <v>0</v>
      </c>
      <c r="DV110" s="161">
        <f t="shared" si="111"/>
        <v>0</v>
      </c>
      <c r="DW110" s="161">
        <f t="shared" si="112"/>
        <v>0</v>
      </c>
      <c r="DX110" s="161">
        <f t="shared" si="113"/>
        <v>0</v>
      </c>
      <c r="DY110" s="161">
        <f t="shared" si="114"/>
        <v>0</v>
      </c>
      <c r="DZ110" s="161">
        <f t="shared" si="115"/>
        <v>0</v>
      </c>
      <c r="EA110" s="161">
        <f t="shared" si="116"/>
        <v>0</v>
      </c>
      <c r="EB110" s="161">
        <f t="shared" si="117"/>
        <v>0</v>
      </c>
      <c r="EC110" s="161">
        <f t="shared" si="118"/>
        <v>0</v>
      </c>
      <c r="ED110" s="161">
        <f t="shared" si="119"/>
        <v>0</v>
      </c>
      <c r="EE110" s="161">
        <f t="shared" si="120"/>
        <v>0</v>
      </c>
      <c r="EF110" s="161">
        <f t="shared" si="121"/>
        <v>0</v>
      </c>
      <c r="EG110" s="161">
        <f t="shared" si="122"/>
        <v>0</v>
      </c>
      <c r="EH110" s="161">
        <f t="shared" si="123"/>
        <v>0</v>
      </c>
      <c r="EI110" s="161">
        <f t="shared" si="124"/>
        <v>0</v>
      </c>
      <c r="EJ110" s="161">
        <f t="shared" si="125"/>
        <v>0</v>
      </c>
      <c r="EK110" s="147">
        <f t="shared" si="55"/>
        <v>93.75</v>
      </c>
      <c r="EL110" s="149"/>
      <c r="EN110" s="146"/>
      <c r="EO110" s="146"/>
      <c r="EP110" s="139">
        <f t="shared" si="56"/>
        <v>0</v>
      </c>
      <c r="EQ110" s="139">
        <f t="shared" si="57"/>
        <v>0</v>
      </c>
      <c r="ER110" s="139">
        <f t="shared" si="58"/>
        <v>0</v>
      </c>
      <c r="ES110" s="139">
        <f t="shared" si="59"/>
        <v>11.247588747463091</v>
      </c>
      <c r="ET110" s="139">
        <f t="shared" si="60"/>
        <v>19.380323679147835</v>
      </c>
      <c r="EU110" s="139">
        <f t="shared" si="61"/>
        <v>0</v>
      </c>
      <c r="EV110" s="139">
        <f t="shared" si="62"/>
        <v>0</v>
      </c>
      <c r="EW110" s="139">
        <f t="shared" si="63"/>
        <v>0</v>
      </c>
      <c r="EX110" s="139">
        <f t="shared" si="64"/>
        <v>0</v>
      </c>
      <c r="EY110" s="139">
        <f t="shared" si="65"/>
        <v>0</v>
      </c>
      <c r="EZ110" s="139">
        <f t="shared" si="66"/>
        <v>0</v>
      </c>
      <c r="FA110" s="139">
        <f t="shared" si="67"/>
        <v>0</v>
      </c>
      <c r="FB110" s="139">
        <f t="shared" si="68"/>
        <v>0</v>
      </c>
      <c r="FC110" s="139">
        <f t="shared" si="69"/>
        <v>0</v>
      </c>
      <c r="FD110" s="139">
        <f t="shared" si="70"/>
        <v>0</v>
      </c>
      <c r="FE110" s="139">
        <f t="shared" si="71"/>
        <v>0</v>
      </c>
      <c r="FF110" s="139">
        <f t="shared" si="72"/>
        <v>0</v>
      </c>
      <c r="FG110" s="139">
        <f t="shared" si="73"/>
        <v>0</v>
      </c>
      <c r="FH110" s="139">
        <f t="shared" si="74"/>
        <v>0</v>
      </c>
      <c r="FI110" s="139">
        <f t="shared" si="75"/>
        <v>0</v>
      </c>
      <c r="FJ110" s="139">
        <f t="shared" si="76"/>
        <v>0</v>
      </c>
      <c r="FK110" s="139">
        <f t="shared" si="77"/>
        <v>0</v>
      </c>
      <c r="FL110" s="139">
        <f t="shared" si="78"/>
        <v>0</v>
      </c>
      <c r="FM110" s="139">
        <f t="shared" si="79"/>
        <v>0</v>
      </c>
      <c r="FN110" s="139">
        <f t="shared" si="80"/>
        <v>0</v>
      </c>
      <c r="FO110" s="139">
        <f t="shared" si="81"/>
        <v>0</v>
      </c>
      <c r="FP110" s="139">
        <f t="shared" si="82"/>
        <v>0</v>
      </c>
      <c r="FQ110" s="139">
        <f t="shared" si="83"/>
        <v>0</v>
      </c>
      <c r="FR110" s="139">
        <f t="shared" si="84"/>
        <v>0</v>
      </c>
      <c r="FS110" s="139">
        <f t="shared" si="85"/>
        <v>0</v>
      </c>
      <c r="FT110" s="139">
        <f t="shared" si="86"/>
        <v>0</v>
      </c>
      <c r="FU110" s="148">
        <f t="shared" si="87"/>
        <v>30.627912426610926</v>
      </c>
      <c r="FV110" s="149"/>
      <c r="FY110" s="213">
        <v>105</v>
      </c>
      <c r="FZ110">
        <v>1.1743222411384853</v>
      </c>
      <c r="GA110">
        <v>15.621769326809478</v>
      </c>
      <c r="GB110">
        <v>7.8695696781888618</v>
      </c>
      <c r="GC110">
        <v>0.46227644236827292</v>
      </c>
      <c r="GD110">
        <v>2.0906905427654872</v>
      </c>
      <c r="GE110">
        <v>4.1115071813659796</v>
      </c>
      <c r="GF110">
        <v>0.95469624988012047</v>
      </c>
      <c r="GG110">
        <v>3.4648713879457071</v>
      </c>
      <c r="GH110">
        <v>4.8970170936990343</v>
      </c>
      <c r="GI110">
        <v>4.5137681522032276</v>
      </c>
      <c r="GJ110"/>
      <c r="GK110"/>
      <c r="GL110"/>
      <c r="GM110"/>
      <c r="GN110" s="208"/>
      <c r="GO110" s="208"/>
      <c r="GP110" s="208"/>
      <c r="GQ110" s="208"/>
      <c r="GR110" s="208"/>
      <c r="GS110" s="208"/>
      <c r="GT110" s="208"/>
      <c r="GU110" s="213">
        <v>105</v>
      </c>
    </row>
    <row r="111" spans="1:203" s="7" customFormat="1">
      <c r="A111" s="1"/>
      <c r="B111" s="76">
        <f ca="1">IF(C111="", "", RAND())</f>
        <v>0.47028894098117235</v>
      </c>
      <c r="C111">
        <v>8</v>
      </c>
      <c r="D111">
        <v>39714</v>
      </c>
      <c r="E111">
        <v>0</v>
      </c>
      <c r="F111">
        <v>0</v>
      </c>
      <c r="G111">
        <v>0</v>
      </c>
      <c r="H111">
        <v>10.416666666666666</v>
      </c>
      <c r="I111">
        <v>20.833333333333332</v>
      </c>
      <c r="J111">
        <v>0</v>
      </c>
      <c r="K111">
        <v>0</v>
      </c>
      <c r="L111">
        <v>0</v>
      </c>
      <c r="M111">
        <v>10.416666666666666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30.460659963334457</v>
      </c>
      <c r="AO111">
        <v>7.2482884226070068</v>
      </c>
      <c r="AP111">
        <v>310.64222238495898</v>
      </c>
      <c r="AQ111">
        <v>42.005185928557097</v>
      </c>
      <c r="AR111">
        <v>6.5893531114609152</v>
      </c>
      <c r="AS111">
        <v>84.72123852896749</v>
      </c>
      <c r="AT111" t="e">
        <v>#DIV/0!</v>
      </c>
      <c r="AU111" t="e">
        <v>#DIV/0!</v>
      </c>
      <c r="AV111"/>
      <c r="AW111"/>
      <c r="AX111" s="146"/>
      <c r="AY111" s="76">
        <f t="shared" ca="1" si="88"/>
        <v>0.10207158975377961</v>
      </c>
      <c r="AZ111">
        <v>4</v>
      </c>
      <c r="BA111" s="129">
        <f t="shared" si="129"/>
        <v>39714</v>
      </c>
      <c r="BB111" s="207">
        <v>0</v>
      </c>
      <c r="BC111" s="207">
        <v>0</v>
      </c>
      <c r="BD111" s="207">
        <v>0</v>
      </c>
      <c r="BE111" s="207">
        <v>0</v>
      </c>
      <c r="BF111" s="207">
        <v>2</v>
      </c>
      <c r="BG111" s="207">
        <v>0</v>
      </c>
      <c r="BH111" s="207">
        <v>0</v>
      </c>
      <c r="BI111" s="207">
        <v>0</v>
      </c>
      <c r="BJ111" s="207">
        <v>0</v>
      </c>
      <c r="BK111" s="207">
        <v>0</v>
      </c>
      <c r="BL111" s="207">
        <v>0</v>
      </c>
      <c r="BM111" s="207">
        <v>0</v>
      </c>
      <c r="BN111" s="207">
        <v>0</v>
      </c>
      <c r="BO111" s="207">
        <v>0</v>
      </c>
      <c r="BP111" s="207">
        <v>0</v>
      </c>
      <c r="BQ111" s="207">
        <v>0</v>
      </c>
      <c r="BR111" s="207">
        <v>0</v>
      </c>
      <c r="BS111" s="207">
        <v>0</v>
      </c>
      <c r="BT111" s="207">
        <v>0</v>
      </c>
      <c r="BU111" s="207">
        <v>0</v>
      </c>
      <c r="BV111" s="207">
        <v>0</v>
      </c>
      <c r="BW111" s="207">
        <v>0</v>
      </c>
      <c r="BX111" s="207">
        <v>0</v>
      </c>
      <c r="BY111" s="207">
        <v>0</v>
      </c>
      <c r="BZ111" s="207">
        <v>0</v>
      </c>
      <c r="CA111" s="207">
        <v>0</v>
      </c>
      <c r="CB111" s="207">
        <v>0</v>
      </c>
      <c r="CC111" s="207">
        <v>0</v>
      </c>
      <c r="CD111" s="207">
        <v>0</v>
      </c>
      <c r="CE111" s="207">
        <v>0</v>
      </c>
      <c r="CF111" s="207">
        <v>0</v>
      </c>
      <c r="CG111" s="147"/>
      <c r="CH111" s="176"/>
      <c r="CJ111" s="146"/>
      <c r="CK111" s="76">
        <f t="shared" ca="1" si="90"/>
        <v>0.24800601496502117</v>
      </c>
      <c r="CL111" s="179">
        <f t="shared" si="91"/>
        <v>4</v>
      </c>
      <c r="CM111" s="180">
        <f t="shared" si="92"/>
        <v>39714</v>
      </c>
      <c r="CN111" s="208">
        <v>0</v>
      </c>
      <c r="CO111" s="208">
        <v>0</v>
      </c>
      <c r="CP111" s="208">
        <v>0</v>
      </c>
      <c r="CQ111" s="208">
        <v>0</v>
      </c>
      <c r="CR111" s="208">
        <v>0</v>
      </c>
      <c r="CS111" s="208">
        <v>0</v>
      </c>
      <c r="CT111" s="208">
        <v>0</v>
      </c>
      <c r="CU111" s="208">
        <v>0</v>
      </c>
      <c r="CW111">
        <v>1</v>
      </c>
      <c r="CX111">
        <v>1</v>
      </c>
      <c r="CY111" s="158"/>
      <c r="CZ111" s="177">
        <f t="shared" si="93"/>
        <v>9.6000000000000002E-2</v>
      </c>
      <c r="DB111" s="146"/>
      <c r="DC111" s="76">
        <f t="shared" ca="1" si="51"/>
        <v>0.36308147605390007</v>
      </c>
      <c r="DD111">
        <f t="shared" si="94"/>
        <v>4</v>
      </c>
      <c r="DE111" s="129">
        <f t="shared" si="128"/>
        <v>39714</v>
      </c>
      <c r="DF111" s="161">
        <f t="shared" si="95"/>
        <v>0</v>
      </c>
      <c r="DG111" s="161">
        <f t="shared" si="96"/>
        <v>0</v>
      </c>
      <c r="DH111" s="161">
        <f t="shared" si="97"/>
        <v>0</v>
      </c>
      <c r="DI111" s="161">
        <f t="shared" si="98"/>
        <v>0</v>
      </c>
      <c r="DJ111" s="161">
        <f t="shared" si="99"/>
        <v>20.833333333333332</v>
      </c>
      <c r="DK111" s="161">
        <f t="shared" si="100"/>
        <v>0</v>
      </c>
      <c r="DL111" s="161">
        <f t="shared" si="101"/>
        <v>0</v>
      </c>
      <c r="DM111" s="161">
        <f t="shared" si="102"/>
        <v>0</v>
      </c>
      <c r="DN111" s="161">
        <f t="shared" si="103"/>
        <v>0</v>
      </c>
      <c r="DO111" s="161">
        <f t="shared" si="104"/>
        <v>0</v>
      </c>
      <c r="DP111" s="161">
        <f t="shared" si="105"/>
        <v>0</v>
      </c>
      <c r="DQ111" s="161">
        <f t="shared" si="106"/>
        <v>0</v>
      </c>
      <c r="DR111" s="161">
        <f t="shared" si="107"/>
        <v>0</v>
      </c>
      <c r="DS111" s="161">
        <f t="shared" si="108"/>
        <v>0</v>
      </c>
      <c r="DT111" s="161">
        <f t="shared" si="109"/>
        <v>0</v>
      </c>
      <c r="DU111" s="161">
        <f t="shared" si="110"/>
        <v>0</v>
      </c>
      <c r="DV111" s="161">
        <f t="shared" si="111"/>
        <v>0</v>
      </c>
      <c r="DW111" s="161">
        <f t="shared" si="112"/>
        <v>0</v>
      </c>
      <c r="DX111" s="161">
        <f t="shared" si="113"/>
        <v>0</v>
      </c>
      <c r="DY111" s="161">
        <f t="shared" si="114"/>
        <v>0</v>
      </c>
      <c r="DZ111" s="161">
        <f t="shared" si="115"/>
        <v>0</v>
      </c>
      <c r="EA111" s="161">
        <f t="shared" si="116"/>
        <v>0</v>
      </c>
      <c r="EB111" s="161">
        <f t="shared" si="117"/>
        <v>0</v>
      </c>
      <c r="EC111" s="161">
        <f t="shared" si="118"/>
        <v>0</v>
      </c>
      <c r="ED111" s="161">
        <f t="shared" si="119"/>
        <v>0</v>
      </c>
      <c r="EE111" s="161">
        <f t="shared" si="120"/>
        <v>0</v>
      </c>
      <c r="EF111" s="161">
        <f t="shared" si="121"/>
        <v>0</v>
      </c>
      <c r="EG111" s="161">
        <f t="shared" si="122"/>
        <v>0</v>
      </c>
      <c r="EH111" s="161">
        <f t="shared" si="123"/>
        <v>0</v>
      </c>
      <c r="EI111" s="161">
        <f t="shared" si="124"/>
        <v>0</v>
      </c>
      <c r="EJ111" s="161">
        <f t="shared" si="125"/>
        <v>0</v>
      </c>
      <c r="EK111" s="147">
        <f t="shared" si="55"/>
        <v>20.833333333333332</v>
      </c>
      <c r="EL111" s="149"/>
      <c r="EN111" s="146"/>
      <c r="EO111" s="146"/>
      <c r="EP111" s="139">
        <f t="shared" si="56"/>
        <v>0</v>
      </c>
      <c r="EQ111" s="139">
        <f t="shared" si="57"/>
        <v>0</v>
      </c>
      <c r="ER111" s="139">
        <f t="shared" si="58"/>
        <v>0</v>
      </c>
      <c r="ES111" s="139">
        <f t="shared" si="59"/>
        <v>0</v>
      </c>
      <c r="ET111" s="139">
        <f t="shared" si="60"/>
        <v>9.6901618395739177</v>
      </c>
      <c r="EU111" s="139">
        <f t="shared" si="61"/>
        <v>0</v>
      </c>
      <c r="EV111" s="139">
        <f t="shared" si="62"/>
        <v>0</v>
      </c>
      <c r="EW111" s="139">
        <f t="shared" si="63"/>
        <v>0</v>
      </c>
      <c r="EX111" s="139">
        <f t="shared" si="64"/>
        <v>0</v>
      </c>
      <c r="EY111" s="139">
        <f t="shared" si="65"/>
        <v>0</v>
      </c>
      <c r="EZ111" s="139">
        <f t="shared" si="66"/>
        <v>0</v>
      </c>
      <c r="FA111" s="139">
        <f t="shared" si="67"/>
        <v>0</v>
      </c>
      <c r="FB111" s="139">
        <f t="shared" si="68"/>
        <v>0</v>
      </c>
      <c r="FC111" s="139">
        <f t="shared" si="69"/>
        <v>0</v>
      </c>
      <c r="FD111" s="139">
        <f t="shared" si="70"/>
        <v>0</v>
      </c>
      <c r="FE111" s="139">
        <f t="shared" si="71"/>
        <v>0</v>
      </c>
      <c r="FF111" s="139">
        <f t="shared" si="72"/>
        <v>0</v>
      </c>
      <c r="FG111" s="139">
        <f t="shared" si="73"/>
        <v>0</v>
      </c>
      <c r="FH111" s="139">
        <f t="shared" si="74"/>
        <v>0</v>
      </c>
      <c r="FI111" s="139">
        <f t="shared" si="75"/>
        <v>0</v>
      </c>
      <c r="FJ111" s="139">
        <f t="shared" si="76"/>
        <v>0</v>
      </c>
      <c r="FK111" s="139">
        <f t="shared" si="77"/>
        <v>0</v>
      </c>
      <c r="FL111" s="139">
        <f t="shared" si="78"/>
        <v>0</v>
      </c>
      <c r="FM111" s="139">
        <f t="shared" si="79"/>
        <v>0</v>
      </c>
      <c r="FN111" s="139">
        <f t="shared" si="80"/>
        <v>0</v>
      </c>
      <c r="FO111" s="139">
        <f t="shared" si="81"/>
        <v>0</v>
      </c>
      <c r="FP111" s="139">
        <f t="shared" si="82"/>
        <v>0</v>
      </c>
      <c r="FQ111" s="139">
        <f t="shared" si="83"/>
        <v>0</v>
      </c>
      <c r="FR111" s="139">
        <f t="shared" si="84"/>
        <v>0</v>
      </c>
      <c r="FS111" s="139">
        <f t="shared" si="85"/>
        <v>0</v>
      </c>
      <c r="FT111" s="139">
        <f t="shared" si="86"/>
        <v>0</v>
      </c>
      <c r="FU111" s="148">
        <f t="shared" si="87"/>
        <v>9.6901618395739177</v>
      </c>
      <c r="FV111" s="149"/>
      <c r="FY111" s="213">
        <v>106</v>
      </c>
      <c r="FZ111">
        <v>1.1743222411384853</v>
      </c>
      <c r="GA111">
        <v>21.593441115501612</v>
      </c>
      <c r="GB111">
        <v>10.657478904388645</v>
      </c>
      <c r="GC111">
        <v>0.2951909588237156</v>
      </c>
      <c r="GD111">
        <v>1.2864069740415527</v>
      </c>
      <c r="GE111">
        <v>2.1494528864174529</v>
      </c>
      <c r="GF111">
        <v>0</v>
      </c>
      <c r="GG111">
        <v>4.9003276783417631</v>
      </c>
      <c r="GH111">
        <v>6.6781101422620921</v>
      </c>
      <c r="GI111">
        <v>4.7640647275493784</v>
      </c>
      <c r="GJ111"/>
      <c r="GK111"/>
      <c r="GL111"/>
      <c r="GM111"/>
      <c r="GN111" s="208"/>
      <c r="GO111" s="208"/>
      <c r="GP111" s="208"/>
      <c r="GQ111" s="208"/>
      <c r="GR111" s="208"/>
      <c r="GS111" s="208"/>
      <c r="GT111" s="208"/>
      <c r="GU111" s="213">
        <v>106</v>
      </c>
    </row>
    <row r="112" spans="1:203" s="7" customFormat="1">
      <c r="A112" s="1"/>
      <c r="B112" s="76">
        <f ca="1">IF(C112="", "", RAND())</f>
        <v>0.32891942973289146</v>
      </c>
      <c r="C112">
        <v>7</v>
      </c>
      <c r="D112">
        <v>39714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25.179342369477911</v>
      </c>
      <c r="AO112">
        <v>3.7626791142427423</v>
      </c>
      <c r="AP112">
        <v>159.76890949137842</v>
      </c>
      <c r="AQ112">
        <v>22.213435266348341</v>
      </c>
      <c r="AR112">
        <v>3.4206173765843109</v>
      </c>
      <c r="AS112">
        <v>58.123634998283507</v>
      </c>
      <c r="AT112" t="e">
        <v>#DIV/0!</v>
      </c>
      <c r="AU112" t="e">
        <v>#DIV/0!</v>
      </c>
      <c r="AV112"/>
      <c r="AW112"/>
      <c r="AX112" s="146"/>
      <c r="AY112" s="76">
        <f t="shared" ca="1" si="88"/>
        <v>0.90944428728354865</v>
      </c>
      <c r="AZ112">
        <v>5</v>
      </c>
      <c r="BA112" s="129">
        <f t="shared" si="129"/>
        <v>39714</v>
      </c>
      <c r="BB112" s="207">
        <v>0</v>
      </c>
      <c r="BC112" s="207">
        <v>0</v>
      </c>
      <c r="BD112" s="207">
        <v>0</v>
      </c>
      <c r="BE112" s="207">
        <v>6</v>
      </c>
      <c r="BF112" s="207">
        <v>7</v>
      </c>
      <c r="BG112" s="207">
        <v>0</v>
      </c>
      <c r="BH112" s="207">
        <v>0</v>
      </c>
      <c r="BI112" s="207">
        <v>1</v>
      </c>
      <c r="BJ112" s="207">
        <v>0</v>
      </c>
      <c r="BK112" s="207">
        <v>0</v>
      </c>
      <c r="BL112" s="207">
        <v>0</v>
      </c>
      <c r="BM112" s="207">
        <v>0</v>
      </c>
      <c r="BN112" s="207">
        <v>0</v>
      </c>
      <c r="BO112" s="207">
        <v>0</v>
      </c>
      <c r="BP112" s="207">
        <v>0</v>
      </c>
      <c r="BQ112" s="207">
        <v>0</v>
      </c>
      <c r="BR112" s="207">
        <v>0</v>
      </c>
      <c r="BS112" s="207">
        <v>0</v>
      </c>
      <c r="BT112" s="207">
        <v>0</v>
      </c>
      <c r="BU112" s="207">
        <v>0</v>
      </c>
      <c r="BV112" s="207">
        <v>0</v>
      </c>
      <c r="BW112" s="207">
        <v>0</v>
      </c>
      <c r="BX112" s="207">
        <v>0</v>
      </c>
      <c r="BY112" s="207">
        <v>0</v>
      </c>
      <c r="BZ112" s="207">
        <v>0</v>
      </c>
      <c r="CA112" s="207">
        <v>0</v>
      </c>
      <c r="CB112" s="207">
        <v>0</v>
      </c>
      <c r="CC112" s="207">
        <v>0</v>
      </c>
      <c r="CD112" s="207">
        <v>0</v>
      </c>
      <c r="CE112" s="207">
        <v>0</v>
      </c>
      <c r="CF112" s="207">
        <v>0</v>
      </c>
      <c r="CG112" s="147"/>
      <c r="CH112" s="176"/>
      <c r="CJ112" s="146"/>
      <c r="CK112" s="76">
        <f t="shared" ca="1" si="90"/>
        <v>0.64046822379371671</v>
      </c>
      <c r="CL112" s="179">
        <f t="shared" si="91"/>
        <v>5</v>
      </c>
      <c r="CM112" s="180">
        <f t="shared" si="92"/>
        <v>39714</v>
      </c>
      <c r="CN112" s="208">
        <v>0</v>
      </c>
      <c r="CO112" s="208">
        <v>0</v>
      </c>
      <c r="CP112" s="208">
        <v>0</v>
      </c>
      <c r="CQ112" s="208">
        <v>0</v>
      </c>
      <c r="CR112" s="208">
        <v>0</v>
      </c>
      <c r="CS112" s="208">
        <v>0</v>
      </c>
      <c r="CT112" s="208">
        <v>0</v>
      </c>
      <c r="CU112" s="208">
        <v>0</v>
      </c>
      <c r="CW112">
        <v>1</v>
      </c>
      <c r="CX112">
        <v>1</v>
      </c>
      <c r="CY112" s="158"/>
      <c r="CZ112" s="177">
        <f t="shared" si="93"/>
        <v>9.6000000000000002E-2</v>
      </c>
      <c r="DB112" s="146"/>
      <c r="DC112" s="76">
        <f t="shared" ca="1" si="51"/>
        <v>0.75797410304910429</v>
      </c>
      <c r="DD112">
        <f t="shared" si="94"/>
        <v>5</v>
      </c>
      <c r="DE112" s="129">
        <f t="shared" si="128"/>
        <v>39714</v>
      </c>
      <c r="DF112" s="161">
        <f t="shared" si="95"/>
        <v>0</v>
      </c>
      <c r="DG112" s="161">
        <f t="shared" si="96"/>
        <v>0</v>
      </c>
      <c r="DH112" s="161">
        <f t="shared" si="97"/>
        <v>0</v>
      </c>
      <c r="DI112" s="161">
        <f t="shared" si="98"/>
        <v>62.5</v>
      </c>
      <c r="DJ112" s="161">
        <f t="shared" si="99"/>
        <v>72.916666666666671</v>
      </c>
      <c r="DK112" s="161">
        <f t="shared" si="100"/>
        <v>0</v>
      </c>
      <c r="DL112" s="161">
        <f t="shared" si="101"/>
        <v>0</v>
      </c>
      <c r="DM112" s="161">
        <f t="shared" si="102"/>
        <v>10.416666666666666</v>
      </c>
      <c r="DN112" s="161">
        <f t="shared" si="103"/>
        <v>0</v>
      </c>
      <c r="DO112" s="161">
        <f t="shared" si="104"/>
        <v>0</v>
      </c>
      <c r="DP112" s="161">
        <f t="shared" si="105"/>
        <v>0</v>
      </c>
      <c r="DQ112" s="161">
        <f t="shared" si="106"/>
        <v>0</v>
      </c>
      <c r="DR112" s="161">
        <f t="shared" si="107"/>
        <v>0</v>
      </c>
      <c r="DS112" s="161">
        <f t="shared" si="108"/>
        <v>0</v>
      </c>
      <c r="DT112" s="161">
        <f t="shared" si="109"/>
        <v>0</v>
      </c>
      <c r="DU112" s="161">
        <f t="shared" si="110"/>
        <v>0</v>
      </c>
      <c r="DV112" s="161">
        <f t="shared" si="111"/>
        <v>0</v>
      </c>
      <c r="DW112" s="161">
        <f t="shared" si="112"/>
        <v>0</v>
      </c>
      <c r="DX112" s="161">
        <f t="shared" si="113"/>
        <v>0</v>
      </c>
      <c r="DY112" s="161">
        <f t="shared" si="114"/>
        <v>0</v>
      </c>
      <c r="DZ112" s="161">
        <f t="shared" si="115"/>
        <v>0</v>
      </c>
      <c r="EA112" s="161">
        <f t="shared" si="116"/>
        <v>0</v>
      </c>
      <c r="EB112" s="161">
        <f t="shared" si="117"/>
        <v>0</v>
      </c>
      <c r="EC112" s="161">
        <f t="shared" si="118"/>
        <v>0</v>
      </c>
      <c r="ED112" s="161">
        <f t="shared" si="119"/>
        <v>0</v>
      </c>
      <c r="EE112" s="161">
        <f t="shared" si="120"/>
        <v>0</v>
      </c>
      <c r="EF112" s="161">
        <f t="shared" si="121"/>
        <v>0</v>
      </c>
      <c r="EG112" s="161">
        <f t="shared" si="122"/>
        <v>0</v>
      </c>
      <c r="EH112" s="161">
        <f t="shared" si="123"/>
        <v>0</v>
      </c>
      <c r="EI112" s="161">
        <f t="shared" si="124"/>
        <v>0</v>
      </c>
      <c r="EJ112" s="161">
        <f t="shared" si="125"/>
        <v>0</v>
      </c>
      <c r="EK112" s="147">
        <f t="shared" si="55"/>
        <v>145.83333333333334</v>
      </c>
      <c r="EL112" s="149"/>
      <c r="EN112" s="146"/>
      <c r="EO112" s="146"/>
      <c r="EP112" s="139">
        <f t="shared" si="56"/>
        <v>0</v>
      </c>
      <c r="EQ112" s="139">
        <f t="shared" si="57"/>
        <v>0</v>
      </c>
      <c r="ER112" s="139">
        <f t="shared" si="58"/>
        <v>0</v>
      </c>
      <c r="ES112" s="139">
        <f t="shared" si="59"/>
        <v>13.497106496955709</v>
      </c>
      <c r="ET112" s="139">
        <f t="shared" si="60"/>
        <v>33.915566438508712</v>
      </c>
      <c r="EU112" s="139">
        <f t="shared" si="61"/>
        <v>0</v>
      </c>
      <c r="EV112" s="139">
        <f t="shared" si="62"/>
        <v>0</v>
      </c>
      <c r="EW112" s="139">
        <f t="shared" si="63"/>
        <v>21.551798137789032</v>
      </c>
      <c r="EX112" s="139">
        <f t="shared" si="64"/>
        <v>0</v>
      </c>
      <c r="EY112" s="139">
        <f t="shared" si="65"/>
        <v>0</v>
      </c>
      <c r="EZ112" s="139">
        <f t="shared" si="66"/>
        <v>0</v>
      </c>
      <c r="FA112" s="139">
        <f t="shared" si="67"/>
        <v>0</v>
      </c>
      <c r="FB112" s="139">
        <f t="shared" si="68"/>
        <v>0</v>
      </c>
      <c r="FC112" s="139">
        <f t="shared" si="69"/>
        <v>0</v>
      </c>
      <c r="FD112" s="139">
        <f t="shared" si="70"/>
        <v>0</v>
      </c>
      <c r="FE112" s="139">
        <f t="shared" si="71"/>
        <v>0</v>
      </c>
      <c r="FF112" s="139">
        <f t="shared" si="72"/>
        <v>0</v>
      </c>
      <c r="FG112" s="139">
        <f t="shared" si="73"/>
        <v>0</v>
      </c>
      <c r="FH112" s="139">
        <f t="shared" si="74"/>
        <v>0</v>
      </c>
      <c r="FI112" s="139">
        <f t="shared" si="75"/>
        <v>0</v>
      </c>
      <c r="FJ112" s="139">
        <f t="shared" si="76"/>
        <v>0</v>
      </c>
      <c r="FK112" s="139">
        <f t="shared" si="77"/>
        <v>0</v>
      </c>
      <c r="FL112" s="139">
        <f t="shared" si="78"/>
        <v>0</v>
      </c>
      <c r="FM112" s="139">
        <f t="shared" si="79"/>
        <v>0</v>
      </c>
      <c r="FN112" s="139">
        <f t="shared" si="80"/>
        <v>0</v>
      </c>
      <c r="FO112" s="139">
        <f t="shared" si="81"/>
        <v>0</v>
      </c>
      <c r="FP112" s="139">
        <f t="shared" si="82"/>
        <v>0</v>
      </c>
      <c r="FQ112" s="139">
        <f t="shared" si="83"/>
        <v>0</v>
      </c>
      <c r="FR112" s="139">
        <f t="shared" si="84"/>
        <v>0</v>
      </c>
      <c r="FS112" s="139">
        <f t="shared" si="85"/>
        <v>0</v>
      </c>
      <c r="FT112" s="139">
        <f t="shared" si="86"/>
        <v>0</v>
      </c>
      <c r="FU112" s="148">
        <f t="shared" si="87"/>
        <v>68.964471073253449</v>
      </c>
      <c r="FV112" s="149"/>
      <c r="FY112" s="213">
        <v>107</v>
      </c>
      <c r="FZ112">
        <v>3.3577595644647293</v>
      </c>
      <c r="GA112">
        <v>22.225680243260896</v>
      </c>
      <c r="GB112">
        <v>10.178110614977971</v>
      </c>
      <c r="GC112">
        <v>2.1133839017666447</v>
      </c>
      <c r="GD112">
        <v>2.6510206456724856</v>
      </c>
      <c r="GE112">
        <v>2.0816818641205512</v>
      </c>
      <c r="GF112">
        <v>0</v>
      </c>
      <c r="GG112">
        <v>3.9699570467186831</v>
      </c>
      <c r="GH112">
        <v>5.5645799019284059</v>
      </c>
      <c r="GI112">
        <v>5.5409152653258564</v>
      </c>
      <c r="GJ112"/>
      <c r="GK112"/>
      <c r="GL112"/>
      <c r="GM112"/>
      <c r="GN112" s="208"/>
      <c r="GO112" s="208"/>
      <c r="GP112" s="208"/>
      <c r="GQ112" s="208"/>
      <c r="GR112" s="208"/>
      <c r="GS112" s="208"/>
      <c r="GT112" s="208"/>
      <c r="GU112" s="213">
        <v>107</v>
      </c>
    </row>
    <row r="113" spans="1:203" s="7" customFormat="1">
      <c r="A113" s="1"/>
      <c r="B113" s="76">
        <f ca="1">IF(C113="", "", RAND())</f>
        <v>0.24443325756145207</v>
      </c>
      <c r="C113">
        <v>9</v>
      </c>
      <c r="D113">
        <v>39714</v>
      </c>
      <c r="E113">
        <v>0</v>
      </c>
      <c r="F113">
        <v>0</v>
      </c>
      <c r="G113">
        <v>0</v>
      </c>
      <c r="H113">
        <v>83.333333333333329</v>
      </c>
      <c r="I113">
        <v>83.333333333333329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21.073669678714861</v>
      </c>
      <c r="AO113">
        <v>5.6333293858198088</v>
      </c>
      <c r="AP113">
        <v>283.19062351198414</v>
      </c>
      <c r="AQ113">
        <v>36.979148814559096</v>
      </c>
      <c r="AR113">
        <v>5.121208532563462</v>
      </c>
      <c r="AS113">
        <v>55.999229765524788</v>
      </c>
      <c r="AT113" t="e">
        <v>#DIV/0!</v>
      </c>
      <c r="AU113" t="e">
        <v>#DIV/0!</v>
      </c>
      <c r="AV113"/>
      <c r="AW113"/>
      <c r="AX113" s="146"/>
      <c r="AY113" s="76">
        <f t="shared" ca="1" si="88"/>
        <v>0.42974050704811217</v>
      </c>
      <c r="AZ113">
        <v>6</v>
      </c>
      <c r="BA113" s="129">
        <f t="shared" si="129"/>
        <v>39714</v>
      </c>
      <c r="BB113" s="207">
        <v>0</v>
      </c>
      <c r="BC113" s="207">
        <v>0</v>
      </c>
      <c r="BD113" s="207">
        <v>0</v>
      </c>
      <c r="BE113" s="207">
        <v>1</v>
      </c>
      <c r="BF113" s="207">
        <v>1</v>
      </c>
      <c r="BG113" s="207">
        <v>0</v>
      </c>
      <c r="BH113" s="207">
        <v>0</v>
      </c>
      <c r="BI113" s="207">
        <v>0</v>
      </c>
      <c r="BJ113" s="207">
        <v>0</v>
      </c>
      <c r="BK113" s="207">
        <v>0</v>
      </c>
      <c r="BL113" s="207">
        <v>0</v>
      </c>
      <c r="BM113" s="207">
        <v>0</v>
      </c>
      <c r="BN113" s="207">
        <v>0</v>
      </c>
      <c r="BO113" s="207">
        <v>0</v>
      </c>
      <c r="BP113" s="207">
        <v>0</v>
      </c>
      <c r="BQ113" s="207">
        <v>0</v>
      </c>
      <c r="BR113" s="207">
        <v>0</v>
      </c>
      <c r="BS113" s="207">
        <v>0</v>
      </c>
      <c r="BT113" s="207">
        <v>0</v>
      </c>
      <c r="BU113" s="207">
        <v>0</v>
      </c>
      <c r="BV113" s="207">
        <v>0</v>
      </c>
      <c r="BW113" s="207">
        <v>0</v>
      </c>
      <c r="BX113" s="207">
        <v>0</v>
      </c>
      <c r="BY113" s="207">
        <v>0</v>
      </c>
      <c r="BZ113" s="207">
        <v>0</v>
      </c>
      <c r="CA113" s="207">
        <v>0</v>
      </c>
      <c r="CB113" s="207">
        <v>0</v>
      </c>
      <c r="CC113" s="207">
        <v>0</v>
      </c>
      <c r="CD113" s="207">
        <v>0</v>
      </c>
      <c r="CE113" s="207">
        <v>0</v>
      </c>
      <c r="CF113" s="207">
        <v>0</v>
      </c>
      <c r="CG113" s="147"/>
      <c r="CH113" s="176"/>
      <c r="CJ113" s="146"/>
      <c r="CK113" s="76">
        <f t="shared" ca="1" si="90"/>
        <v>0.43944707403615402</v>
      </c>
      <c r="CL113" s="179">
        <f t="shared" si="91"/>
        <v>6</v>
      </c>
      <c r="CM113" s="180">
        <f t="shared" si="92"/>
        <v>39714</v>
      </c>
      <c r="CN113" s="208">
        <v>0</v>
      </c>
      <c r="CO113" s="208">
        <v>0</v>
      </c>
      <c r="CP113" s="208">
        <v>0</v>
      </c>
      <c r="CQ113" s="208">
        <v>0</v>
      </c>
      <c r="CR113" s="208">
        <v>0</v>
      </c>
      <c r="CS113" s="208">
        <v>0</v>
      </c>
      <c r="CT113" s="208">
        <v>0</v>
      </c>
      <c r="CU113" s="208">
        <v>0</v>
      </c>
      <c r="CV113" s="160"/>
      <c r="CW113">
        <v>1</v>
      </c>
      <c r="CX113">
        <v>1</v>
      </c>
      <c r="CY113" s="164"/>
      <c r="CZ113" s="177">
        <f t="shared" si="93"/>
        <v>9.6000000000000002E-2</v>
      </c>
      <c r="DB113" s="146"/>
      <c r="DC113" s="76">
        <f t="shared" ca="1" si="51"/>
        <v>3.1691281704113727E-2</v>
      </c>
      <c r="DD113">
        <f t="shared" si="94"/>
        <v>6</v>
      </c>
      <c r="DE113" s="129">
        <f t="shared" si="128"/>
        <v>39714</v>
      </c>
      <c r="DF113" s="161">
        <f t="shared" si="95"/>
        <v>0</v>
      </c>
      <c r="DG113" s="161">
        <f t="shared" si="96"/>
        <v>0</v>
      </c>
      <c r="DH113" s="161">
        <f t="shared" si="97"/>
        <v>0</v>
      </c>
      <c r="DI113" s="161">
        <f t="shared" si="98"/>
        <v>10.416666666666666</v>
      </c>
      <c r="DJ113" s="161">
        <f t="shared" si="99"/>
        <v>10.416666666666666</v>
      </c>
      <c r="DK113" s="161">
        <f t="shared" si="100"/>
        <v>0</v>
      </c>
      <c r="DL113" s="161">
        <f t="shared" si="101"/>
        <v>0</v>
      </c>
      <c r="DM113" s="161">
        <f t="shared" si="102"/>
        <v>0</v>
      </c>
      <c r="DN113" s="161">
        <f t="shared" si="103"/>
        <v>0</v>
      </c>
      <c r="DO113" s="161">
        <f t="shared" si="104"/>
        <v>0</v>
      </c>
      <c r="DP113" s="161">
        <f t="shared" si="105"/>
        <v>0</v>
      </c>
      <c r="DQ113" s="161">
        <f t="shared" si="106"/>
        <v>0</v>
      </c>
      <c r="DR113" s="161">
        <f t="shared" si="107"/>
        <v>0</v>
      </c>
      <c r="DS113" s="161">
        <f t="shared" si="108"/>
        <v>0</v>
      </c>
      <c r="DT113" s="161">
        <f t="shared" si="109"/>
        <v>0</v>
      </c>
      <c r="DU113" s="161">
        <f t="shared" si="110"/>
        <v>0</v>
      </c>
      <c r="DV113" s="161">
        <f t="shared" si="111"/>
        <v>0</v>
      </c>
      <c r="DW113" s="161">
        <f t="shared" si="112"/>
        <v>0</v>
      </c>
      <c r="DX113" s="161">
        <f t="shared" si="113"/>
        <v>0</v>
      </c>
      <c r="DY113" s="161">
        <f t="shared" si="114"/>
        <v>0</v>
      </c>
      <c r="DZ113" s="161">
        <f t="shared" si="115"/>
        <v>0</v>
      </c>
      <c r="EA113" s="161">
        <f t="shared" si="116"/>
        <v>0</v>
      </c>
      <c r="EB113" s="161">
        <f t="shared" si="117"/>
        <v>0</v>
      </c>
      <c r="EC113" s="161">
        <f t="shared" si="118"/>
        <v>0</v>
      </c>
      <c r="ED113" s="161">
        <f t="shared" si="119"/>
        <v>0</v>
      </c>
      <c r="EE113" s="161">
        <f t="shared" si="120"/>
        <v>0</v>
      </c>
      <c r="EF113" s="161">
        <f t="shared" si="121"/>
        <v>0</v>
      </c>
      <c r="EG113" s="161">
        <f t="shared" si="122"/>
        <v>0</v>
      </c>
      <c r="EH113" s="161">
        <f t="shared" si="123"/>
        <v>0</v>
      </c>
      <c r="EI113" s="161">
        <f t="shared" si="124"/>
        <v>0</v>
      </c>
      <c r="EJ113" s="161">
        <f t="shared" si="125"/>
        <v>0</v>
      </c>
      <c r="EK113" s="147">
        <f t="shared" si="55"/>
        <v>20.833333333333332</v>
      </c>
      <c r="EL113" s="149"/>
      <c r="EN113" s="146"/>
      <c r="EO113" s="146"/>
      <c r="EP113" s="139">
        <f t="shared" si="56"/>
        <v>0</v>
      </c>
      <c r="EQ113" s="139">
        <f t="shared" si="57"/>
        <v>0</v>
      </c>
      <c r="ER113" s="139">
        <f t="shared" si="58"/>
        <v>0</v>
      </c>
      <c r="ES113" s="139">
        <f t="shared" si="59"/>
        <v>2.2495177494926182</v>
      </c>
      <c r="ET113" s="139">
        <f t="shared" si="60"/>
        <v>4.8450809197869589</v>
      </c>
      <c r="EU113" s="139">
        <f t="shared" si="61"/>
        <v>0</v>
      </c>
      <c r="EV113" s="139">
        <f t="shared" si="62"/>
        <v>0</v>
      </c>
      <c r="EW113" s="139">
        <f t="shared" si="63"/>
        <v>0</v>
      </c>
      <c r="EX113" s="139">
        <f t="shared" si="64"/>
        <v>0</v>
      </c>
      <c r="EY113" s="139">
        <f t="shared" si="65"/>
        <v>0</v>
      </c>
      <c r="EZ113" s="139">
        <f t="shared" si="66"/>
        <v>0</v>
      </c>
      <c r="FA113" s="139">
        <f t="shared" si="67"/>
        <v>0</v>
      </c>
      <c r="FB113" s="139">
        <f t="shared" si="68"/>
        <v>0</v>
      </c>
      <c r="FC113" s="139">
        <f t="shared" si="69"/>
        <v>0</v>
      </c>
      <c r="FD113" s="139">
        <f t="shared" si="70"/>
        <v>0</v>
      </c>
      <c r="FE113" s="139">
        <f t="shared" si="71"/>
        <v>0</v>
      </c>
      <c r="FF113" s="139">
        <f t="shared" si="72"/>
        <v>0</v>
      </c>
      <c r="FG113" s="139">
        <f t="shared" si="73"/>
        <v>0</v>
      </c>
      <c r="FH113" s="139">
        <f t="shared" si="74"/>
        <v>0</v>
      </c>
      <c r="FI113" s="139">
        <f t="shared" si="75"/>
        <v>0</v>
      </c>
      <c r="FJ113" s="139">
        <f t="shared" si="76"/>
        <v>0</v>
      </c>
      <c r="FK113" s="139">
        <f t="shared" si="77"/>
        <v>0</v>
      </c>
      <c r="FL113" s="139">
        <f t="shared" si="78"/>
        <v>0</v>
      </c>
      <c r="FM113" s="139">
        <f t="shared" si="79"/>
        <v>0</v>
      </c>
      <c r="FN113" s="139">
        <f t="shared" si="80"/>
        <v>0</v>
      </c>
      <c r="FO113" s="139">
        <f t="shared" si="81"/>
        <v>0</v>
      </c>
      <c r="FP113" s="139">
        <f t="shared" si="82"/>
        <v>0</v>
      </c>
      <c r="FQ113" s="139">
        <f t="shared" si="83"/>
        <v>0</v>
      </c>
      <c r="FR113" s="139">
        <f t="shared" si="84"/>
        <v>0</v>
      </c>
      <c r="FS113" s="139">
        <f t="shared" si="85"/>
        <v>0</v>
      </c>
      <c r="FT113" s="139">
        <f t="shared" si="86"/>
        <v>0</v>
      </c>
      <c r="FU113" s="148">
        <f t="shared" si="87"/>
        <v>7.0945986692795771</v>
      </c>
      <c r="FV113" s="149"/>
      <c r="FY113" s="213">
        <v>108</v>
      </c>
      <c r="FZ113">
        <v>2.1834373233262436</v>
      </c>
      <c r="GA113">
        <v>18.179359866161839</v>
      </c>
      <c r="GB113">
        <v>8.1231784192888323</v>
      </c>
      <c r="GC113">
        <v>1.1752886190159173</v>
      </c>
      <c r="GD113">
        <v>2.146985592893448</v>
      </c>
      <c r="GE113">
        <v>2.5258353417251405</v>
      </c>
      <c r="GF113">
        <v>0</v>
      </c>
      <c r="GG113">
        <v>0.61182441540702126</v>
      </c>
      <c r="GH113">
        <v>0.80814523075352618</v>
      </c>
      <c r="GI113">
        <v>3.8519140281938116</v>
      </c>
      <c r="GJ113"/>
      <c r="GK113"/>
      <c r="GL113"/>
      <c r="GM113"/>
      <c r="GN113" s="208"/>
      <c r="GO113" s="208"/>
      <c r="GP113" s="208"/>
      <c r="GQ113" s="208"/>
      <c r="GR113" s="208"/>
      <c r="GS113" s="208"/>
      <c r="GT113" s="208"/>
      <c r="GU113" s="213">
        <v>108</v>
      </c>
    </row>
    <row r="114" spans="1:203" s="7" customFormat="1">
      <c r="A114" s="1"/>
      <c r="B114" s="76">
        <f ca="1">IF(C114="", "", RAND())</f>
        <v>0.11680398578186146</v>
      </c>
      <c r="C114">
        <v>3</v>
      </c>
      <c r="D114">
        <v>39714</v>
      </c>
      <c r="E114">
        <v>0</v>
      </c>
      <c r="F114">
        <v>0</v>
      </c>
      <c r="G114">
        <v>0</v>
      </c>
      <c r="H114">
        <v>52.083333333333336</v>
      </c>
      <c r="I114">
        <v>41.666666666666664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40.896089901477822</v>
      </c>
      <c r="AO114">
        <v>8.5738843142899022</v>
      </c>
      <c r="AP114">
        <v>421.25306655556778</v>
      </c>
      <c r="AQ114">
        <v>58.802223298761383</v>
      </c>
      <c r="AR114">
        <v>7.7944402857180917</v>
      </c>
      <c r="AS114">
        <v>101.91791971365457</v>
      </c>
      <c r="AT114" t="e">
        <v>#DIV/0!</v>
      </c>
      <c r="AU114" t="e">
        <v>#DIV/0!</v>
      </c>
      <c r="AV114"/>
      <c r="AW114"/>
      <c r="AX114" s="146"/>
      <c r="AY114" s="76">
        <f t="shared" ca="1" si="88"/>
        <v>0.14943462017448939</v>
      </c>
      <c r="AZ114">
        <v>7</v>
      </c>
      <c r="BA114" s="129">
        <f t="shared" si="129"/>
        <v>39714</v>
      </c>
      <c r="BB114" s="207">
        <v>0</v>
      </c>
      <c r="BC114" s="207">
        <v>0</v>
      </c>
      <c r="BD114" s="207">
        <v>0</v>
      </c>
      <c r="BE114" s="207">
        <v>0</v>
      </c>
      <c r="BF114" s="207">
        <v>0</v>
      </c>
      <c r="BG114" s="207">
        <v>0</v>
      </c>
      <c r="BH114" s="207">
        <v>0</v>
      </c>
      <c r="BI114" s="207">
        <v>0</v>
      </c>
      <c r="BJ114" s="207">
        <v>0</v>
      </c>
      <c r="BK114" s="207">
        <v>0</v>
      </c>
      <c r="BL114" s="207">
        <v>0</v>
      </c>
      <c r="BM114" s="207">
        <v>0</v>
      </c>
      <c r="BN114" s="207">
        <v>0</v>
      </c>
      <c r="BO114" s="207">
        <v>0</v>
      </c>
      <c r="BP114" s="207">
        <v>0</v>
      </c>
      <c r="BQ114" s="207">
        <v>0</v>
      </c>
      <c r="BR114" s="207">
        <v>0</v>
      </c>
      <c r="BS114" s="207">
        <v>0</v>
      </c>
      <c r="BT114" s="207">
        <v>0</v>
      </c>
      <c r="BU114" s="207">
        <v>0</v>
      </c>
      <c r="BV114" s="207">
        <v>0</v>
      </c>
      <c r="BW114" s="207">
        <v>0</v>
      </c>
      <c r="BX114" s="207">
        <v>0</v>
      </c>
      <c r="BY114" s="207">
        <v>0</v>
      </c>
      <c r="BZ114" s="207">
        <v>0</v>
      </c>
      <c r="CA114" s="207">
        <v>0</v>
      </c>
      <c r="CB114" s="207">
        <v>0</v>
      </c>
      <c r="CC114" s="207">
        <v>0</v>
      </c>
      <c r="CD114" s="207">
        <v>0</v>
      </c>
      <c r="CE114" s="207">
        <v>0</v>
      </c>
      <c r="CF114" s="207">
        <v>0</v>
      </c>
      <c r="CG114" s="147"/>
      <c r="CH114" s="176"/>
      <c r="CJ114" s="146"/>
      <c r="CK114" s="76">
        <f t="shared" ca="1" si="90"/>
        <v>0.40714814680274891</v>
      </c>
      <c r="CL114" s="179">
        <f t="shared" si="91"/>
        <v>7</v>
      </c>
      <c r="CM114" s="180">
        <f t="shared" si="92"/>
        <v>39714</v>
      </c>
      <c r="CN114" s="208">
        <v>0</v>
      </c>
      <c r="CO114" s="208">
        <v>0</v>
      </c>
      <c r="CP114" s="208">
        <v>0</v>
      </c>
      <c r="CQ114" s="208">
        <v>0</v>
      </c>
      <c r="CR114" s="208">
        <v>0</v>
      </c>
      <c r="CS114" s="208">
        <v>0</v>
      </c>
      <c r="CT114" s="208">
        <v>0</v>
      </c>
      <c r="CU114" s="208">
        <v>0</v>
      </c>
      <c r="CV114" s="160"/>
      <c r="CW114">
        <v>1</v>
      </c>
      <c r="CX114">
        <v>1</v>
      </c>
      <c r="CY114" s="164"/>
      <c r="CZ114" s="177">
        <f t="shared" si="93"/>
        <v>9.6000000000000002E-2</v>
      </c>
      <c r="DB114" s="146"/>
      <c r="DC114" s="76">
        <f t="shared" ca="1" si="51"/>
        <v>0.84932610047750612</v>
      </c>
      <c r="DD114">
        <f t="shared" si="94"/>
        <v>7</v>
      </c>
      <c r="DE114" s="129">
        <f t="shared" si="128"/>
        <v>39714</v>
      </c>
      <c r="DF114" s="161">
        <f t="shared" si="95"/>
        <v>0</v>
      </c>
      <c r="DG114" s="161">
        <f t="shared" si="96"/>
        <v>0</v>
      </c>
      <c r="DH114" s="161">
        <f t="shared" si="97"/>
        <v>0</v>
      </c>
      <c r="DI114" s="161">
        <f t="shared" si="98"/>
        <v>0</v>
      </c>
      <c r="DJ114" s="161">
        <f t="shared" si="99"/>
        <v>0</v>
      </c>
      <c r="DK114" s="161">
        <f t="shared" si="100"/>
        <v>0</v>
      </c>
      <c r="DL114" s="161">
        <f t="shared" si="101"/>
        <v>0</v>
      </c>
      <c r="DM114" s="161">
        <f t="shared" si="102"/>
        <v>0</v>
      </c>
      <c r="DN114" s="161">
        <f t="shared" si="103"/>
        <v>0</v>
      </c>
      <c r="DO114" s="161">
        <f t="shared" si="104"/>
        <v>0</v>
      </c>
      <c r="DP114" s="161">
        <f t="shared" si="105"/>
        <v>0</v>
      </c>
      <c r="DQ114" s="161">
        <f t="shared" si="106"/>
        <v>0</v>
      </c>
      <c r="DR114" s="161">
        <f t="shared" si="107"/>
        <v>0</v>
      </c>
      <c r="DS114" s="161">
        <f t="shared" si="108"/>
        <v>0</v>
      </c>
      <c r="DT114" s="161">
        <f t="shared" si="109"/>
        <v>0</v>
      </c>
      <c r="DU114" s="161">
        <f t="shared" si="110"/>
        <v>0</v>
      </c>
      <c r="DV114" s="161">
        <f t="shared" si="111"/>
        <v>0</v>
      </c>
      <c r="DW114" s="161">
        <f t="shared" si="112"/>
        <v>0</v>
      </c>
      <c r="DX114" s="161">
        <f t="shared" si="113"/>
        <v>0</v>
      </c>
      <c r="DY114" s="161">
        <f t="shared" si="114"/>
        <v>0</v>
      </c>
      <c r="DZ114" s="161">
        <f t="shared" si="115"/>
        <v>0</v>
      </c>
      <c r="EA114" s="161">
        <f t="shared" si="116"/>
        <v>0</v>
      </c>
      <c r="EB114" s="161">
        <f t="shared" si="117"/>
        <v>0</v>
      </c>
      <c r="EC114" s="161">
        <f t="shared" si="118"/>
        <v>0</v>
      </c>
      <c r="ED114" s="161">
        <f t="shared" si="119"/>
        <v>0</v>
      </c>
      <c r="EE114" s="161">
        <f t="shared" si="120"/>
        <v>0</v>
      </c>
      <c r="EF114" s="161">
        <f t="shared" si="121"/>
        <v>0</v>
      </c>
      <c r="EG114" s="161">
        <f t="shared" si="122"/>
        <v>0</v>
      </c>
      <c r="EH114" s="161">
        <f t="shared" si="123"/>
        <v>0</v>
      </c>
      <c r="EI114" s="161">
        <f t="shared" si="124"/>
        <v>0</v>
      </c>
      <c r="EJ114" s="161">
        <f t="shared" si="125"/>
        <v>0</v>
      </c>
      <c r="EK114" s="147">
        <f t="shared" si="55"/>
        <v>0</v>
      </c>
      <c r="EL114" s="149"/>
      <c r="EN114" s="146"/>
      <c r="EO114" s="146"/>
      <c r="EP114" s="139">
        <f t="shared" si="56"/>
        <v>0</v>
      </c>
      <c r="EQ114" s="139">
        <f t="shared" si="57"/>
        <v>0</v>
      </c>
      <c r="ER114" s="139">
        <f t="shared" si="58"/>
        <v>0</v>
      </c>
      <c r="ES114" s="139">
        <f t="shared" si="59"/>
        <v>0</v>
      </c>
      <c r="ET114" s="139">
        <f t="shared" si="60"/>
        <v>0</v>
      </c>
      <c r="EU114" s="139">
        <f t="shared" si="61"/>
        <v>0</v>
      </c>
      <c r="EV114" s="139">
        <f t="shared" si="62"/>
        <v>0</v>
      </c>
      <c r="EW114" s="139">
        <f t="shared" si="63"/>
        <v>0</v>
      </c>
      <c r="EX114" s="139">
        <f t="shared" si="64"/>
        <v>0</v>
      </c>
      <c r="EY114" s="139">
        <f t="shared" si="65"/>
        <v>0</v>
      </c>
      <c r="EZ114" s="139">
        <f t="shared" si="66"/>
        <v>0</v>
      </c>
      <c r="FA114" s="139">
        <f t="shared" si="67"/>
        <v>0</v>
      </c>
      <c r="FB114" s="139">
        <f t="shared" si="68"/>
        <v>0</v>
      </c>
      <c r="FC114" s="139">
        <f t="shared" si="69"/>
        <v>0</v>
      </c>
      <c r="FD114" s="139">
        <f t="shared" si="70"/>
        <v>0</v>
      </c>
      <c r="FE114" s="139">
        <f t="shared" si="71"/>
        <v>0</v>
      </c>
      <c r="FF114" s="139">
        <f t="shared" si="72"/>
        <v>0</v>
      </c>
      <c r="FG114" s="139">
        <f t="shared" si="73"/>
        <v>0</v>
      </c>
      <c r="FH114" s="139">
        <f t="shared" si="74"/>
        <v>0</v>
      </c>
      <c r="FI114" s="139">
        <f t="shared" si="75"/>
        <v>0</v>
      </c>
      <c r="FJ114" s="139">
        <f t="shared" si="76"/>
        <v>0</v>
      </c>
      <c r="FK114" s="139">
        <f t="shared" si="77"/>
        <v>0</v>
      </c>
      <c r="FL114" s="139">
        <f t="shared" si="78"/>
        <v>0</v>
      </c>
      <c r="FM114" s="139">
        <f t="shared" si="79"/>
        <v>0</v>
      </c>
      <c r="FN114" s="139">
        <f t="shared" si="80"/>
        <v>0</v>
      </c>
      <c r="FO114" s="139">
        <f t="shared" si="81"/>
        <v>0</v>
      </c>
      <c r="FP114" s="139">
        <f t="shared" si="82"/>
        <v>0</v>
      </c>
      <c r="FQ114" s="139">
        <f t="shared" si="83"/>
        <v>0</v>
      </c>
      <c r="FR114" s="139">
        <f t="shared" si="84"/>
        <v>0</v>
      </c>
      <c r="FS114" s="139">
        <f t="shared" si="85"/>
        <v>0</v>
      </c>
      <c r="FT114" s="139">
        <f t="shared" si="86"/>
        <v>0</v>
      </c>
      <c r="FU114" s="148">
        <f t="shared" si="87"/>
        <v>0</v>
      </c>
      <c r="FV114" s="149"/>
      <c r="FY114" s="213">
        <v>109</v>
      </c>
      <c r="FZ114">
        <v>2.1834373233262436</v>
      </c>
      <c r="GA114">
        <v>6.8381600509814007</v>
      </c>
      <c r="GB114">
        <v>2.5123504767231619</v>
      </c>
      <c r="GC114">
        <v>2.0102436468991316</v>
      </c>
      <c r="GD114">
        <v>3.1396884384299568</v>
      </c>
      <c r="GE114">
        <v>3.227183305079981</v>
      </c>
      <c r="GF114">
        <v>0</v>
      </c>
      <c r="GG114">
        <v>5.7565971458515968</v>
      </c>
      <c r="GH114">
        <v>8.1415607890361557</v>
      </c>
      <c r="GI114">
        <v>4.0765470712964245</v>
      </c>
      <c r="GJ114"/>
      <c r="GK114"/>
      <c r="GL114"/>
      <c r="GM114"/>
      <c r="GN114" s="208"/>
      <c r="GO114" s="208"/>
      <c r="GP114" s="208"/>
      <c r="GQ114" s="208"/>
      <c r="GR114" s="208"/>
      <c r="GS114" s="208"/>
      <c r="GT114" s="208"/>
      <c r="GU114" s="213">
        <v>109</v>
      </c>
    </row>
    <row r="115" spans="1:203" s="7" customFormat="1">
      <c r="A115" s="1"/>
      <c r="B115" s="76">
        <f ca="1">IF(C115="", "", RAND())</f>
        <v>0.87603424620997128</v>
      </c>
      <c r="C115">
        <v>10</v>
      </c>
      <c r="D115">
        <v>39714</v>
      </c>
      <c r="E115">
        <v>0</v>
      </c>
      <c r="F115">
        <v>0</v>
      </c>
      <c r="G115">
        <v>0</v>
      </c>
      <c r="H115">
        <v>52.083333333333336</v>
      </c>
      <c r="I115">
        <v>41.666666666666664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22.971076630001118</v>
      </c>
      <c r="AO115">
        <v>7.021917457977354</v>
      </c>
      <c r="AP115">
        <v>189.97958880134539</v>
      </c>
      <c r="AQ115">
        <v>45.067326285506915</v>
      </c>
      <c r="AR115">
        <v>6.4378325962933509</v>
      </c>
      <c r="AS115">
        <v>68.295848961992689</v>
      </c>
      <c r="AT115" t="e">
        <v>#DIV/0!</v>
      </c>
      <c r="AU115" t="e">
        <v>#DIV/0!</v>
      </c>
      <c r="AV115"/>
      <c r="AW115"/>
      <c r="AX115" s="146"/>
      <c r="AY115" s="76">
        <f t="shared" ca="1" si="88"/>
        <v>0.34090841761261026</v>
      </c>
      <c r="AZ115">
        <v>8</v>
      </c>
      <c r="BA115" s="129">
        <f t="shared" si="129"/>
        <v>39714</v>
      </c>
      <c r="BB115" s="207">
        <v>0</v>
      </c>
      <c r="BC115" s="207">
        <v>0</v>
      </c>
      <c r="BD115" s="207">
        <v>0</v>
      </c>
      <c r="BE115" s="207">
        <v>1</v>
      </c>
      <c r="BF115" s="207">
        <v>2</v>
      </c>
      <c r="BG115" s="207">
        <v>0</v>
      </c>
      <c r="BH115" s="207">
        <v>0</v>
      </c>
      <c r="BI115" s="207">
        <v>0</v>
      </c>
      <c r="BJ115" s="207">
        <v>1</v>
      </c>
      <c r="BK115" s="207">
        <v>0</v>
      </c>
      <c r="BL115" s="207">
        <v>0</v>
      </c>
      <c r="BM115" s="207">
        <v>0</v>
      </c>
      <c r="BN115" s="207">
        <v>0</v>
      </c>
      <c r="BO115" s="207">
        <v>0</v>
      </c>
      <c r="BP115" s="207">
        <v>0</v>
      </c>
      <c r="BQ115" s="207">
        <v>0</v>
      </c>
      <c r="BR115" s="207">
        <v>0</v>
      </c>
      <c r="BS115" s="207">
        <v>0</v>
      </c>
      <c r="BT115" s="207">
        <v>0</v>
      </c>
      <c r="BU115" s="207">
        <v>0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A115" s="207">
        <v>0</v>
      </c>
      <c r="CB115" s="207">
        <v>0</v>
      </c>
      <c r="CC115" s="207">
        <v>0</v>
      </c>
      <c r="CD115" s="207">
        <v>0</v>
      </c>
      <c r="CE115" s="207">
        <v>0</v>
      </c>
      <c r="CF115" s="207">
        <v>0</v>
      </c>
      <c r="CG115" s="147"/>
      <c r="CH115" s="176"/>
      <c r="CJ115" s="146"/>
      <c r="CK115" s="76">
        <f t="shared" ca="1" si="90"/>
        <v>0.19980165788628135</v>
      </c>
      <c r="CL115" s="179">
        <f t="shared" si="91"/>
        <v>8</v>
      </c>
      <c r="CM115" s="180">
        <f t="shared" si="92"/>
        <v>39714</v>
      </c>
      <c r="CN115" s="208">
        <v>0</v>
      </c>
      <c r="CO115" s="208">
        <v>0</v>
      </c>
      <c r="CP115" s="208">
        <v>0</v>
      </c>
      <c r="CQ115" s="208">
        <v>0</v>
      </c>
      <c r="CR115" s="208">
        <v>0</v>
      </c>
      <c r="CS115" s="208">
        <v>0</v>
      </c>
      <c r="CT115" s="208">
        <v>0</v>
      </c>
      <c r="CU115" s="208">
        <v>0</v>
      </c>
      <c r="CV115" s="160"/>
      <c r="CW115">
        <v>1</v>
      </c>
      <c r="CX115">
        <v>1</v>
      </c>
      <c r="CY115" s="164"/>
      <c r="CZ115" s="177">
        <f t="shared" si="93"/>
        <v>9.6000000000000002E-2</v>
      </c>
      <c r="DB115" s="146"/>
      <c r="DC115" s="76">
        <f t="shared" ca="1" si="51"/>
        <v>0.16453025527253917</v>
      </c>
      <c r="DD115">
        <f t="shared" si="94"/>
        <v>8</v>
      </c>
      <c r="DE115" s="129">
        <f t="shared" si="128"/>
        <v>39714</v>
      </c>
      <c r="DF115" s="161">
        <f t="shared" si="95"/>
        <v>0</v>
      </c>
      <c r="DG115" s="161">
        <f t="shared" si="96"/>
        <v>0</v>
      </c>
      <c r="DH115" s="161">
        <f t="shared" si="97"/>
        <v>0</v>
      </c>
      <c r="DI115" s="161">
        <f t="shared" si="98"/>
        <v>10.416666666666666</v>
      </c>
      <c r="DJ115" s="161">
        <f t="shared" si="99"/>
        <v>20.833333333333332</v>
      </c>
      <c r="DK115" s="161">
        <f t="shared" si="100"/>
        <v>0</v>
      </c>
      <c r="DL115" s="161">
        <f t="shared" si="101"/>
        <v>0</v>
      </c>
      <c r="DM115" s="161">
        <f t="shared" si="102"/>
        <v>0</v>
      </c>
      <c r="DN115" s="161">
        <f t="shared" si="103"/>
        <v>10.416666666666666</v>
      </c>
      <c r="DO115" s="161">
        <f t="shared" si="104"/>
        <v>0</v>
      </c>
      <c r="DP115" s="161">
        <f t="shared" si="105"/>
        <v>0</v>
      </c>
      <c r="DQ115" s="161">
        <f t="shared" si="106"/>
        <v>0</v>
      </c>
      <c r="DR115" s="161">
        <f t="shared" si="107"/>
        <v>0</v>
      </c>
      <c r="DS115" s="161">
        <f t="shared" si="108"/>
        <v>0</v>
      </c>
      <c r="DT115" s="161">
        <f t="shared" si="109"/>
        <v>0</v>
      </c>
      <c r="DU115" s="161">
        <f t="shared" si="110"/>
        <v>0</v>
      </c>
      <c r="DV115" s="161">
        <f t="shared" si="111"/>
        <v>0</v>
      </c>
      <c r="DW115" s="161">
        <f t="shared" si="112"/>
        <v>0</v>
      </c>
      <c r="DX115" s="161">
        <f t="shared" si="113"/>
        <v>0</v>
      </c>
      <c r="DY115" s="161">
        <f t="shared" si="114"/>
        <v>0</v>
      </c>
      <c r="DZ115" s="161">
        <f t="shared" si="115"/>
        <v>0</v>
      </c>
      <c r="EA115" s="161">
        <f t="shared" si="116"/>
        <v>0</v>
      </c>
      <c r="EB115" s="161">
        <f t="shared" si="117"/>
        <v>0</v>
      </c>
      <c r="EC115" s="161">
        <f t="shared" si="118"/>
        <v>0</v>
      </c>
      <c r="ED115" s="161">
        <f t="shared" si="119"/>
        <v>0</v>
      </c>
      <c r="EE115" s="161">
        <f t="shared" si="120"/>
        <v>0</v>
      </c>
      <c r="EF115" s="161">
        <f t="shared" si="121"/>
        <v>0</v>
      </c>
      <c r="EG115" s="161">
        <f t="shared" si="122"/>
        <v>0</v>
      </c>
      <c r="EH115" s="161">
        <f t="shared" si="123"/>
        <v>0</v>
      </c>
      <c r="EI115" s="161">
        <f t="shared" si="124"/>
        <v>0</v>
      </c>
      <c r="EJ115" s="161">
        <f t="shared" si="125"/>
        <v>0</v>
      </c>
      <c r="EK115" s="147">
        <f t="shared" si="55"/>
        <v>41.666666666666664</v>
      </c>
      <c r="EL115" s="149"/>
      <c r="EN115" s="146"/>
      <c r="EO115" s="146"/>
      <c r="EP115" s="139">
        <f t="shared" si="56"/>
        <v>0</v>
      </c>
      <c r="EQ115" s="139">
        <f t="shared" si="57"/>
        <v>0</v>
      </c>
      <c r="ER115" s="139">
        <f t="shared" si="58"/>
        <v>0</v>
      </c>
      <c r="ES115" s="139">
        <f t="shared" si="59"/>
        <v>2.2495177494926182</v>
      </c>
      <c r="ET115" s="139">
        <f t="shared" si="60"/>
        <v>9.6901618395739177</v>
      </c>
      <c r="EU115" s="139">
        <f t="shared" si="61"/>
        <v>0</v>
      </c>
      <c r="EV115" s="139">
        <f t="shared" si="62"/>
        <v>0</v>
      </c>
      <c r="EW115" s="139">
        <f t="shared" si="63"/>
        <v>0</v>
      </c>
      <c r="EX115" s="139">
        <f t="shared" si="64"/>
        <v>30.77145509025932</v>
      </c>
      <c r="EY115" s="139">
        <f t="shared" si="65"/>
        <v>0</v>
      </c>
      <c r="EZ115" s="139">
        <f t="shared" si="66"/>
        <v>0</v>
      </c>
      <c r="FA115" s="139">
        <f t="shared" si="67"/>
        <v>0</v>
      </c>
      <c r="FB115" s="139">
        <f t="shared" si="68"/>
        <v>0</v>
      </c>
      <c r="FC115" s="139">
        <f t="shared" si="69"/>
        <v>0</v>
      </c>
      <c r="FD115" s="139">
        <f t="shared" si="70"/>
        <v>0</v>
      </c>
      <c r="FE115" s="139">
        <f t="shared" si="71"/>
        <v>0</v>
      </c>
      <c r="FF115" s="139">
        <f t="shared" si="72"/>
        <v>0</v>
      </c>
      <c r="FG115" s="139">
        <f t="shared" si="73"/>
        <v>0</v>
      </c>
      <c r="FH115" s="139">
        <f t="shared" si="74"/>
        <v>0</v>
      </c>
      <c r="FI115" s="139">
        <f t="shared" si="75"/>
        <v>0</v>
      </c>
      <c r="FJ115" s="139">
        <f t="shared" si="76"/>
        <v>0</v>
      </c>
      <c r="FK115" s="139">
        <f t="shared" si="77"/>
        <v>0</v>
      </c>
      <c r="FL115" s="139">
        <f t="shared" si="78"/>
        <v>0</v>
      </c>
      <c r="FM115" s="139">
        <f t="shared" si="79"/>
        <v>0</v>
      </c>
      <c r="FN115" s="139">
        <f t="shared" si="80"/>
        <v>0</v>
      </c>
      <c r="FO115" s="139">
        <f t="shared" si="81"/>
        <v>0</v>
      </c>
      <c r="FP115" s="139">
        <f t="shared" si="82"/>
        <v>0</v>
      </c>
      <c r="FQ115" s="139">
        <f t="shared" si="83"/>
        <v>0</v>
      </c>
      <c r="FR115" s="139">
        <f t="shared" si="84"/>
        <v>0</v>
      </c>
      <c r="FS115" s="139">
        <f t="shared" si="85"/>
        <v>0</v>
      </c>
      <c r="FT115" s="139">
        <f t="shared" si="86"/>
        <v>0</v>
      </c>
      <c r="FU115" s="148">
        <f t="shared" si="87"/>
        <v>42.711134679325852</v>
      </c>
      <c r="FV115" s="149"/>
      <c r="FY115" s="213">
        <v>110</v>
      </c>
      <c r="FZ115">
        <v>0</v>
      </c>
      <c r="GA115">
        <v>10.654924644771846</v>
      </c>
      <c r="GB115">
        <v>5.2103738511477466</v>
      </c>
      <c r="GC115">
        <v>0.60987192178013072</v>
      </c>
      <c r="GD115">
        <v>1.2876293167054724</v>
      </c>
      <c r="GE115">
        <v>2.2427918903754382</v>
      </c>
      <c r="GF115">
        <v>0.95469624988012047</v>
      </c>
      <c r="GG115">
        <v>2.2917257579058905</v>
      </c>
      <c r="GH115">
        <v>3.2445436953371196</v>
      </c>
      <c r="GI115">
        <v>2.8061328235987739</v>
      </c>
      <c r="GJ115"/>
      <c r="GK115"/>
      <c r="GL115"/>
      <c r="GM115"/>
      <c r="GN115" s="208"/>
      <c r="GO115" s="208"/>
      <c r="GP115" s="208"/>
      <c r="GQ115" s="208"/>
      <c r="GR115" s="208"/>
      <c r="GS115" s="208"/>
      <c r="GT115" s="208"/>
      <c r="GU115" s="213">
        <v>110</v>
      </c>
    </row>
    <row r="116" spans="1:203" s="7" customFormat="1">
      <c r="A116" s="1"/>
      <c r="B116" s="76">
        <f ca="1">IF(C116="", "", RAND())</f>
        <v>0.98060077732360096</v>
      </c>
      <c r="C116">
        <v>1</v>
      </c>
      <c r="D116">
        <v>39714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21.915196500286864</v>
      </c>
      <c r="AO116">
        <v>6.4764834699428375</v>
      </c>
      <c r="AP116">
        <v>171.32398437077489</v>
      </c>
      <c r="AQ116">
        <v>47.805153619672424</v>
      </c>
      <c r="AR116">
        <v>5.8877122454025788</v>
      </c>
      <c r="AS116">
        <v>74.647726219611783</v>
      </c>
      <c r="AT116" t="e">
        <v>#DIV/0!</v>
      </c>
      <c r="AU116" t="e">
        <v>#DIV/0!</v>
      </c>
      <c r="AV116"/>
      <c r="AW116"/>
      <c r="AX116" s="146"/>
      <c r="AY116" s="76">
        <f t="shared" ca="1" si="88"/>
        <v>0.21175502838558735</v>
      </c>
      <c r="AZ116">
        <v>9</v>
      </c>
      <c r="BA116" s="129">
        <f t="shared" si="129"/>
        <v>39714</v>
      </c>
      <c r="BB116" s="207">
        <v>0</v>
      </c>
      <c r="BC116" s="207">
        <v>0</v>
      </c>
      <c r="BD116" s="207">
        <v>0</v>
      </c>
      <c r="BE116" s="207">
        <v>8</v>
      </c>
      <c r="BF116" s="207">
        <v>8</v>
      </c>
      <c r="BG116" s="207">
        <v>0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M116" s="207">
        <v>0</v>
      </c>
      <c r="BN116" s="207">
        <v>0</v>
      </c>
      <c r="BO116" s="207">
        <v>0</v>
      </c>
      <c r="BP116" s="207">
        <v>0</v>
      </c>
      <c r="BQ116" s="207">
        <v>0</v>
      </c>
      <c r="BR116" s="207">
        <v>0</v>
      </c>
      <c r="BS116" s="207">
        <v>0</v>
      </c>
      <c r="BT116" s="207">
        <v>0</v>
      </c>
      <c r="BU116" s="207">
        <v>0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A116" s="207">
        <v>0</v>
      </c>
      <c r="CB116" s="207">
        <v>0</v>
      </c>
      <c r="CC116" s="207">
        <v>0</v>
      </c>
      <c r="CD116" s="207">
        <v>0</v>
      </c>
      <c r="CE116" s="207">
        <v>0</v>
      </c>
      <c r="CF116" s="207">
        <v>0</v>
      </c>
      <c r="CG116" s="147"/>
      <c r="CH116" s="176"/>
      <c r="CJ116" s="146"/>
      <c r="CK116" s="76">
        <f t="shared" ca="1" si="90"/>
        <v>0.62688696731486626</v>
      </c>
      <c r="CL116" s="179">
        <f t="shared" si="91"/>
        <v>9</v>
      </c>
      <c r="CM116" s="180">
        <f t="shared" si="92"/>
        <v>39714</v>
      </c>
      <c r="CN116" s="208">
        <v>0</v>
      </c>
      <c r="CO116" s="208">
        <v>0</v>
      </c>
      <c r="CP116" s="208">
        <v>0</v>
      </c>
      <c r="CQ116" s="208">
        <v>0</v>
      </c>
      <c r="CR116" s="208">
        <v>0</v>
      </c>
      <c r="CS116" s="208">
        <v>0</v>
      </c>
      <c r="CT116" s="208">
        <v>0</v>
      </c>
      <c r="CU116" s="208">
        <v>0</v>
      </c>
      <c r="CV116" s="160"/>
      <c r="CW116">
        <v>1</v>
      </c>
      <c r="CX116">
        <f>300/31</f>
        <v>9.67741935483871</v>
      </c>
      <c r="CY116" s="164"/>
      <c r="CZ116" s="177">
        <f t="shared" si="93"/>
        <v>9.6000000000000002E-2</v>
      </c>
      <c r="DB116" s="146"/>
      <c r="DC116" s="76">
        <f t="shared" ca="1" si="51"/>
        <v>0.56162477342148875</v>
      </c>
      <c r="DD116">
        <f t="shared" si="94"/>
        <v>9</v>
      </c>
      <c r="DE116" s="129">
        <f t="shared" si="128"/>
        <v>39714</v>
      </c>
      <c r="DF116" s="161">
        <f t="shared" si="95"/>
        <v>0</v>
      </c>
      <c r="DG116" s="161">
        <f t="shared" si="96"/>
        <v>0</v>
      </c>
      <c r="DH116" s="161">
        <f t="shared" si="97"/>
        <v>0</v>
      </c>
      <c r="DI116" s="161">
        <f t="shared" si="98"/>
        <v>83.333333333333329</v>
      </c>
      <c r="DJ116" s="161">
        <f t="shared" si="99"/>
        <v>83.333333333333329</v>
      </c>
      <c r="DK116" s="161">
        <f t="shared" si="100"/>
        <v>0</v>
      </c>
      <c r="DL116" s="161">
        <f t="shared" si="101"/>
        <v>0</v>
      </c>
      <c r="DM116" s="161">
        <f t="shared" si="102"/>
        <v>0</v>
      </c>
      <c r="DN116" s="161">
        <f t="shared" si="103"/>
        <v>0</v>
      </c>
      <c r="DO116" s="161">
        <f t="shared" si="104"/>
        <v>0</v>
      </c>
      <c r="DP116" s="161">
        <f t="shared" si="105"/>
        <v>0</v>
      </c>
      <c r="DQ116" s="161">
        <f t="shared" si="106"/>
        <v>0</v>
      </c>
      <c r="DR116" s="161">
        <f t="shared" si="107"/>
        <v>0</v>
      </c>
      <c r="DS116" s="161">
        <f t="shared" si="108"/>
        <v>0</v>
      </c>
      <c r="DT116" s="161">
        <f t="shared" si="109"/>
        <v>0</v>
      </c>
      <c r="DU116" s="161">
        <f t="shared" si="110"/>
        <v>0</v>
      </c>
      <c r="DV116" s="161">
        <f t="shared" si="111"/>
        <v>0</v>
      </c>
      <c r="DW116" s="161">
        <f t="shared" si="112"/>
        <v>0</v>
      </c>
      <c r="DX116" s="161">
        <f t="shared" si="113"/>
        <v>0</v>
      </c>
      <c r="DY116" s="161">
        <f t="shared" si="114"/>
        <v>0</v>
      </c>
      <c r="DZ116" s="161">
        <f t="shared" si="115"/>
        <v>0</v>
      </c>
      <c r="EA116" s="161">
        <f t="shared" si="116"/>
        <v>0</v>
      </c>
      <c r="EB116" s="161">
        <f t="shared" si="117"/>
        <v>0</v>
      </c>
      <c r="EC116" s="161">
        <f t="shared" si="118"/>
        <v>0</v>
      </c>
      <c r="ED116" s="161">
        <f t="shared" si="119"/>
        <v>0</v>
      </c>
      <c r="EE116" s="161">
        <f t="shared" si="120"/>
        <v>0</v>
      </c>
      <c r="EF116" s="161">
        <f t="shared" si="121"/>
        <v>0</v>
      </c>
      <c r="EG116" s="161">
        <f t="shared" si="122"/>
        <v>0</v>
      </c>
      <c r="EH116" s="161">
        <f t="shared" si="123"/>
        <v>0</v>
      </c>
      <c r="EI116" s="161">
        <f t="shared" si="124"/>
        <v>0</v>
      </c>
      <c r="EJ116" s="161">
        <f t="shared" si="125"/>
        <v>0</v>
      </c>
      <c r="EK116" s="147">
        <f t="shared" si="55"/>
        <v>166.66666666666666</v>
      </c>
      <c r="EL116" s="149"/>
      <c r="EN116" s="146"/>
      <c r="EO116" s="146"/>
      <c r="EP116" s="139">
        <f t="shared" si="56"/>
        <v>0</v>
      </c>
      <c r="EQ116" s="139">
        <f t="shared" si="57"/>
        <v>0</v>
      </c>
      <c r="ER116" s="139">
        <f t="shared" si="58"/>
        <v>0</v>
      </c>
      <c r="ES116" s="139">
        <f t="shared" si="59"/>
        <v>17.996141995940945</v>
      </c>
      <c r="ET116" s="139">
        <f t="shared" si="60"/>
        <v>38.760647358295671</v>
      </c>
      <c r="EU116" s="139">
        <f t="shared" si="61"/>
        <v>0</v>
      </c>
      <c r="EV116" s="139">
        <f t="shared" si="62"/>
        <v>0</v>
      </c>
      <c r="EW116" s="139">
        <f t="shared" si="63"/>
        <v>0</v>
      </c>
      <c r="EX116" s="139">
        <f t="shared" si="64"/>
        <v>0</v>
      </c>
      <c r="EY116" s="139">
        <f t="shared" si="65"/>
        <v>0</v>
      </c>
      <c r="EZ116" s="139">
        <f t="shared" si="66"/>
        <v>0</v>
      </c>
      <c r="FA116" s="139">
        <f t="shared" si="67"/>
        <v>0</v>
      </c>
      <c r="FB116" s="139">
        <f t="shared" si="68"/>
        <v>0</v>
      </c>
      <c r="FC116" s="139">
        <f t="shared" si="69"/>
        <v>0</v>
      </c>
      <c r="FD116" s="139">
        <f t="shared" si="70"/>
        <v>0</v>
      </c>
      <c r="FE116" s="139">
        <f t="shared" si="71"/>
        <v>0</v>
      </c>
      <c r="FF116" s="139">
        <f t="shared" si="72"/>
        <v>0</v>
      </c>
      <c r="FG116" s="139">
        <f t="shared" si="73"/>
        <v>0</v>
      </c>
      <c r="FH116" s="139">
        <f t="shared" si="74"/>
        <v>0</v>
      </c>
      <c r="FI116" s="139">
        <f t="shared" si="75"/>
        <v>0</v>
      </c>
      <c r="FJ116" s="139">
        <f t="shared" si="76"/>
        <v>0</v>
      </c>
      <c r="FK116" s="139">
        <f t="shared" si="77"/>
        <v>0</v>
      </c>
      <c r="FL116" s="139">
        <f t="shared" si="78"/>
        <v>0</v>
      </c>
      <c r="FM116" s="139">
        <f t="shared" si="79"/>
        <v>0</v>
      </c>
      <c r="FN116" s="139">
        <f t="shared" si="80"/>
        <v>0</v>
      </c>
      <c r="FO116" s="139">
        <f t="shared" si="81"/>
        <v>0</v>
      </c>
      <c r="FP116" s="139">
        <f t="shared" si="82"/>
        <v>0</v>
      </c>
      <c r="FQ116" s="139">
        <f t="shared" si="83"/>
        <v>0</v>
      </c>
      <c r="FR116" s="139">
        <f t="shared" si="84"/>
        <v>0</v>
      </c>
      <c r="FS116" s="139">
        <f t="shared" si="85"/>
        <v>0</v>
      </c>
      <c r="FT116" s="139">
        <f t="shared" si="86"/>
        <v>0</v>
      </c>
      <c r="FU116" s="148">
        <f t="shared" si="87"/>
        <v>56.756789354236616</v>
      </c>
      <c r="FV116" s="149"/>
      <c r="FY116" s="213">
        <v>111</v>
      </c>
      <c r="FZ116">
        <v>3.192552405514002</v>
      </c>
      <c r="GA116">
        <v>11.727332353429798</v>
      </c>
      <c r="GB116">
        <v>3.9994778269560927</v>
      </c>
      <c r="GC116">
        <v>2.1908715284578704</v>
      </c>
      <c r="GD116">
        <v>3.6111952654960446</v>
      </c>
      <c r="GE116">
        <v>3.9055787006245062</v>
      </c>
      <c r="GF116">
        <v>0</v>
      </c>
      <c r="GG116">
        <v>3.2530639283636935</v>
      </c>
      <c r="GH116">
        <v>4.7322145066430314</v>
      </c>
      <c r="GI116">
        <v>4.3905359935182018</v>
      </c>
      <c r="GJ116"/>
      <c r="GK116"/>
      <c r="GL116"/>
      <c r="GM116"/>
      <c r="GN116" s="208"/>
      <c r="GO116" s="208"/>
      <c r="GP116" s="208"/>
      <c r="GQ116" s="208"/>
      <c r="GR116" s="208"/>
      <c r="GS116" s="208"/>
      <c r="GT116" s="208"/>
      <c r="GU116" s="213">
        <v>111</v>
      </c>
    </row>
    <row r="117" spans="1:203" s="7" customFormat="1">
      <c r="A117" s="1"/>
      <c r="B117" s="76">
        <f ca="1">IF(C117="", "", RAND())</f>
        <v>0.73701643665017569</v>
      </c>
      <c r="C117">
        <v>2</v>
      </c>
      <c r="D117">
        <v>39714</v>
      </c>
      <c r="E117">
        <v>0</v>
      </c>
      <c r="F117">
        <v>0</v>
      </c>
      <c r="G117">
        <v>0</v>
      </c>
      <c r="H117">
        <v>20.833333333333332</v>
      </c>
      <c r="I117">
        <v>31.25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40.208589901477822</v>
      </c>
      <c r="AO117">
        <v>8.6552475358723608</v>
      </c>
      <c r="AP117">
        <v>224.54910172909308</v>
      </c>
      <c r="AQ117">
        <v>60.03966259042015</v>
      </c>
      <c r="AR117">
        <v>7.8684068507930567</v>
      </c>
      <c r="AS117">
        <v>105.17471541550094</v>
      </c>
      <c r="AT117" t="e">
        <v>#DIV/0!</v>
      </c>
      <c r="AU117" t="e">
        <v>#DIV/0!</v>
      </c>
      <c r="AV117"/>
      <c r="AW117"/>
      <c r="AX117" s="146"/>
      <c r="AY117" s="76">
        <f t="shared" ca="1" si="88"/>
        <v>0.99216015761868359</v>
      </c>
      <c r="AZ117">
        <v>10</v>
      </c>
      <c r="BA117" s="129">
        <f t="shared" si="129"/>
        <v>39714</v>
      </c>
      <c r="BB117" s="207">
        <v>0</v>
      </c>
      <c r="BC117" s="207">
        <v>0</v>
      </c>
      <c r="BD117" s="207">
        <v>0</v>
      </c>
      <c r="BE117" s="207">
        <v>5</v>
      </c>
      <c r="BF117" s="207">
        <v>4</v>
      </c>
      <c r="BG117" s="207">
        <v>0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M117" s="207">
        <v>0</v>
      </c>
      <c r="BN117" s="207">
        <v>0</v>
      </c>
      <c r="BO117" s="207">
        <v>0</v>
      </c>
      <c r="BP117" s="207">
        <v>0</v>
      </c>
      <c r="BQ117" s="207">
        <v>0</v>
      </c>
      <c r="BR117" s="207">
        <v>0</v>
      </c>
      <c r="BS117" s="207">
        <v>0</v>
      </c>
      <c r="BT117" s="207">
        <v>0</v>
      </c>
      <c r="BU117" s="207">
        <v>0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A117" s="207">
        <v>0</v>
      </c>
      <c r="CB117" s="207">
        <v>0</v>
      </c>
      <c r="CC117" s="207">
        <v>0</v>
      </c>
      <c r="CD117" s="207">
        <v>0</v>
      </c>
      <c r="CE117" s="207">
        <v>0</v>
      </c>
      <c r="CF117" s="207">
        <v>0</v>
      </c>
      <c r="CG117" s="147"/>
      <c r="CH117" s="176"/>
      <c r="CJ117" s="146"/>
      <c r="CK117" s="76">
        <f t="shared" ca="1" si="90"/>
        <v>0.38909083368953823</v>
      </c>
      <c r="CL117" s="179">
        <f t="shared" si="91"/>
        <v>10</v>
      </c>
      <c r="CM117" s="180">
        <f t="shared" si="92"/>
        <v>39714</v>
      </c>
      <c r="CN117" s="208">
        <v>0</v>
      </c>
      <c r="CO117" s="208">
        <v>0</v>
      </c>
      <c r="CP117" s="208">
        <v>0</v>
      </c>
      <c r="CQ117" s="208">
        <v>0</v>
      </c>
      <c r="CR117" s="208">
        <v>0</v>
      </c>
      <c r="CS117" s="208">
        <v>0</v>
      </c>
      <c r="CT117" s="208">
        <v>0</v>
      </c>
      <c r="CU117" s="208">
        <v>0</v>
      </c>
      <c r="CV117" s="160"/>
      <c r="CW117">
        <v>1</v>
      </c>
      <c r="CX117">
        <f>300/35</f>
        <v>8.5714285714285712</v>
      </c>
      <c r="CY117" s="164"/>
      <c r="CZ117" s="177">
        <f t="shared" si="93"/>
        <v>9.6000000000000002E-2</v>
      </c>
      <c r="DB117" s="146"/>
      <c r="DC117" s="76">
        <f t="shared" ca="1" si="51"/>
        <v>0.21652750097862494</v>
      </c>
      <c r="DD117">
        <f t="shared" si="94"/>
        <v>10</v>
      </c>
      <c r="DE117" s="129">
        <f t="shared" si="128"/>
        <v>39714</v>
      </c>
      <c r="DF117" s="161">
        <f t="shared" si="95"/>
        <v>0</v>
      </c>
      <c r="DG117" s="161">
        <f t="shared" si="96"/>
        <v>0</v>
      </c>
      <c r="DH117" s="161">
        <f t="shared" si="97"/>
        <v>0</v>
      </c>
      <c r="DI117" s="161">
        <f t="shared" si="98"/>
        <v>52.083333333333336</v>
      </c>
      <c r="DJ117" s="161">
        <f t="shared" si="99"/>
        <v>41.666666666666664</v>
      </c>
      <c r="DK117" s="161">
        <f t="shared" si="100"/>
        <v>0</v>
      </c>
      <c r="DL117" s="161">
        <f t="shared" si="101"/>
        <v>0</v>
      </c>
      <c r="DM117" s="161">
        <f t="shared" si="102"/>
        <v>0</v>
      </c>
      <c r="DN117" s="161">
        <f t="shared" si="103"/>
        <v>0</v>
      </c>
      <c r="DO117" s="161">
        <f t="shared" si="104"/>
        <v>0</v>
      </c>
      <c r="DP117" s="161">
        <f t="shared" si="105"/>
        <v>0</v>
      </c>
      <c r="DQ117" s="161">
        <f t="shared" si="106"/>
        <v>0</v>
      </c>
      <c r="DR117" s="161">
        <f t="shared" si="107"/>
        <v>0</v>
      </c>
      <c r="DS117" s="161">
        <f t="shared" si="108"/>
        <v>0</v>
      </c>
      <c r="DT117" s="161">
        <f t="shared" si="109"/>
        <v>0</v>
      </c>
      <c r="DU117" s="161">
        <f t="shared" si="110"/>
        <v>0</v>
      </c>
      <c r="DV117" s="161">
        <f t="shared" si="111"/>
        <v>0</v>
      </c>
      <c r="DW117" s="161">
        <f t="shared" si="112"/>
        <v>0</v>
      </c>
      <c r="DX117" s="161">
        <f t="shared" si="113"/>
        <v>0</v>
      </c>
      <c r="DY117" s="161">
        <f t="shared" si="114"/>
        <v>0</v>
      </c>
      <c r="DZ117" s="161">
        <f t="shared" si="115"/>
        <v>0</v>
      </c>
      <c r="EA117" s="161">
        <f t="shared" si="116"/>
        <v>0</v>
      </c>
      <c r="EB117" s="161">
        <f t="shared" si="117"/>
        <v>0</v>
      </c>
      <c r="EC117" s="161">
        <f t="shared" si="118"/>
        <v>0</v>
      </c>
      <c r="ED117" s="161">
        <f t="shared" si="119"/>
        <v>0</v>
      </c>
      <c r="EE117" s="161">
        <f t="shared" si="120"/>
        <v>0</v>
      </c>
      <c r="EF117" s="161">
        <f t="shared" si="121"/>
        <v>0</v>
      </c>
      <c r="EG117" s="161">
        <f t="shared" si="122"/>
        <v>0</v>
      </c>
      <c r="EH117" s="161">
        <f t="shared" si="123"/>
        <v>0</v>
      </c>
      <c r="EI117" s="161">
        <f t="shared" si="124"/>
        <v>0</v>
      </c>
      <c r="EJ117" s="161">
        <f t="shared" si="125"/>
        <v>0</v>
      </c>
      <c r="EK117" s="147">
        <f t="shared" si="55"/>
        <v>93.75</v>
      </c>
      <c r="EL117" s="149"/>
      <c r="EN117" s="146"/>
      <c r="EO117" s="146"/>
      <c r="EP117" s="139">
        <f t="shared" si="56"/>
        <v>0</v>
      </c>
      <c r="EQ117" s="139">
        <f t="shared" si="57"/>
        <v>0</v>
      </c>
      <c r="ER117" s="139">
        <f t="shared" si="58"/>
        <v>0</v>
      </c>
      <c r="ES117" s="139">
        <f t="shared" si="59"/>
        <v>11.247588747463091</v>
      </c>
      <c r="ET117" s="139">
        <f t="shared" si="60"/>
        <v>19.380323679147835</v>
      </c>
      <c r="EU117" s="139">
        <f t="shared" si="61"/>
        <v>0</v>
      </c>
      <c r="EV117" s="139">
        <f t="shared" si="62"/>
        <v>0</v>
      </c>
      <c r="EW117" s="139">
        <f t="shared" si="63"/>
        <v>0</v>
      </c>
      <c r="EX117" s="139">
        <f t="shared" si="64"/>
        <v>0</v>
      </c>
      <c r="EY117" s="139">
        <f t="shared" si="65"/>
        <v>0</v>
      </c>
      <c r="EZ117" s="139">
        <f t="shared" si="66"/>
        <v>0</v>
      </c>
      <c r="FA117" s="139">
        <f t="shared" si="67"/>
        <v>0</v>
      </c>
      <c r="FB117" s="139">
        <f t="shared" si="68"/>
        <v>0</v>
      </c>
      <c r="FC117" s="139">
        <f t="shared" si="69"/>
        <v>0</v>
      </c>
      <c r="FD117" s="139">
        <f t="shared" si="70"/>
        <v>0</v>
      </c>
      <c r="FE117" s="139">
        <f t="shared" si="71"/>
        <v>0</v>
      </c>
      <c r="FF117" s="139">
        <f t="shared" si="72"/>
        <v>0</v>
      </c>
      <c r="FG117" s="139">
        <f t="shared" si="73"/>
        <v>0</v>
      </c>
      <c r="FH117" s="139">
        <f t="shared" si="74"/>
        <v>0</v>
      </c>
      <c r="FI117" s="139">
        <f t="shared" si="75"/>
        <v>0</v>
      </c>
      <c r="FJ117" s="139">
        <f t="shared" si="76"/>
        <v>0</v>
      </c>
      <c r="FK117" s="139">
        <f t="shared" si="77"/>
        <v>0</v>
      </c>
      <c r="FL117" s="139">
        <f t="shared" si="78"/>
        <v>0</v>
      </c>
      <c r="FM117" s="139">
        <f t="shared" si="79"/>
        <v>0</v>
      </c>
      <c r="FN117" s="139">
        <f t="shared" si="80"/>
        <v>0</v>
      </c>
      <c r="FO117" s="139">
        <f t="shared" si="81"/>
        <v>0</v>
      </c>
      <c r="FP117" s="139">
        <f t="shared" si="82"/>
        <v>0</v>
      </c>
      <c r="FQ117" s="139">
        <f t="shared" si="83"/>
        <v>0</v>
      </c>
      <c r="FR117" s="139">
        <f t="shared" si="84"/>
        <v>0</v>
      </c>
      <c r="FS117" s="139">
        <f t="shared" si="85"/>
        <v>0</v>
      </c>
      <c r="FT117" s="139">
        <f t="shared" si="86"/>
        <v>0</v>
      </c>
      <c r="FU117" s="148">
        <f t="shared" si="87"/>
        <v>30.627912426610926</v>
      </c>
      <c r="FV117" s="149"/>
      <c r="FY117" s="213">
        <v>112</v>
      </c>
      <c r="FZ117">
        <v>1.7614833617077283</v>
      </c>
      <c r="GA117">
        <v>11.066251292943704</v>
      </c>
      <c r="GB117">
        <v>5.4186399805765069</v>
      </c>
      <c r="GC117">
        <v>1.1631783888538108</v>
      </c>
      <c r="GD117">
        <v>1.6123050956170795</v>
      </c>
      <c r="GE117">
        <v>2.0431243788164366</v>
      </c>
      <c r="GF117">
        <v>0.95469624988012047</v>
      </c>
      <c r="GG117">
        <v>5.4070833908008149</v>
      </c>
      <c r="GH117">
        <v>7.4620352084837691</v>
      </c>
      <c r="GI117">
        <v>4.0405212111064044</v>
      </c>
      <c r="GJ117"/>
      <c r="GK117"/>
      <c r="GL117"/>
      <c r="GM117"/>
      <c r="GN117" s="208"/>
      <c r="GO117" s="208"/>
      <c r="GP117" s="208"/>
      <c r="GQ117" s="208"/>
      <c r="GR117" s="208"/>
      <c r="GS117" s="208"/>
      <c r="GT117" s="208"/>
      <c r="GU117" s="213">
        <v>112</v>
      </c>
    </row>
    <row r="118" spans="1:203" s="7" customFormat="1">
      <c r="A118" s="128"/>
      <c r="B118" s="76">
        <f ca="1">IF(C118="", "", RAND())</f>
        <v>0.60423547830598601</v>
      </c>
      <c r="C118">
        <v>5</v>
      </c>
      <c r="D118">
        <v>39747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15.287373426382047</v>
      </c>
      <c r="AO118">
        <v>3.2137829297625933</v>
      </c>
      <c r="AP118">
        <v>183.05187184573882</v>
      </c>
      <c r="AQ118">
        <v>23.766746490933333</v>
      </c>
      <c r="AR118">
        <v>2.9216208452387211</v>
      </c>
      <c r="AS118">
        <v>38.944289869590001</v>
      </c>
      <c r="AT118" t="e">
        <v>#DIV/0!</v>
      </c>
      <c r="AU118" t="e">
        <v>#DIV/0!</v>
      </c>
      <c r="AV118"/>
      <c r="AW118"/>
      <c r="AX118" s="128"/>
      <c r="AY118" s="76">
        <f t="shared" ca="1" si="88"/>
        <v>0.95257131125976979</v>
      </c>
      <c r="AZ118">
        <v>1</v>
      </c>
      <c r="BA118" s="129">
        <f>IF(AZ118="", "",$C$7)</f>
        <v>39747</v>
      </c>
      <c r="BB118" s="207">
        <v>0</v>
      </c>
      <c r="BC118" s="207">
        <v>0</v>
      </c>
      <c r="BD118" s="207">
        <v>0</v>
      </c>
      <c r="BE118" s="207">
        <v>0</v>
      </c>
      <c r="BF118" s="207">
        <v>0</v>
      </c>
      <c r="BG118" s="207">
        <v>0</v>
      </c>
      <c r="BH118" s="207">
        <v>0</v>
      </c>
      <c r="BI118" s="207">
        <v>0</v>
      </c>
      <c r="BJ118" s="207">
        <v>0</v>
      </c>
      <c r="BK118" s="207">
        <v>0</v>
      </c>
      <c r="BL118" s="207">
        <v>0</v>
      </c>
      <c r="BM118" s="207">
        <v>0</v>
      </c>
      <c r="BN118" s="207">
        <v>0</v>
      </c>
      <c r="BO118" s="207">
        <v>0</v>
      </c>
      <c r="BP118" s="207">
        <v>0</v>
      </c>
      <c r="BQ118" s="207">
        <v>0</v>
      </c>
      <c r="BR118" s="207">
        <v>0</v>
      </c>
      <c r="BS118" s="207">
        <v>0</v>
      </c>
      <c r="BT118" s="207">
        <v>0</v>
      </c>
      <c r="BU118" s="207">
        <v>0</v>
      </c>
      <c r="BV118" s="207">
        <v>0</v>
      </c>
      <c r="BW118" s="207">
        <v>0</v>
      </c>
      <c r="BX118" s="207">
        <v>0</v>
      </c>
      <c r="BY118" s="207">
        <v>0</v>
      </c>
      <c r="BZ118" s="207">
        <v>0</v>
      </c>
      <c r="CA118" s="207">
        <v>0</v>
      </c>
      <c r="CB118" s="207">
        <v>0</v>
      </c>
      <c r="CC118" s="207">
        <v>0</v>
      </c>
      <c r="CD118" s="207">
        <v>0</v>
      </c>
      <c r="CE118" s="207">
        <v>0</v>
      </c>
      <c r="CF118" s="207">
        <v>0</v>
      </c>
      <c r="CG118" s="147"/>
      <c r="CH118" s="176"/>
      <c r="CJ118" s="128"/>
      <c r="CK118" s="76">
        <f t="shared" ca="1" si="90"/>
        <v>3.9844656511649923E-2</v>
      </c>
      <c r="CL118" s="179">
        <f t="shared" si="91"/>
        <v>1</v>
      </c>
      <c r="CM118" s="180">
        <f t="shared" si="92"/>
        <v>39747</v>
      </c>
      <c r="CN118" s="208">
        <v>0</v>
      </c>
      <c r="CO118" s="208">
        <v>0</v>
      </c>
      <c r="CP118" s="208">
        <v>0</v>
      </c>
      <c r="CQ118" s="208">
        <v>0</v>
      </c>
      <c r="CR118" s="208">
        <v>0</v>
      </c>
      <c r="CS118" s="208">
        <v>0</v>
      </c>
      <c r="CT118" s="208">
        <v>0</v>
      </c>
      <c r="CU118" s="20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3"/>
        <v>9.6000000000000002E-2</v>
      </c>
      <c r="DB118" s="128"/>
      <c r="DC118" s="76">
        <f t="shared" ca="1" si="51"/>
        <v>0.14393316086274854</v>
      </c>
      <c r="DD118">
        <f t="shared" si="94"/>
        <v>1</v>
      </c>
      <c r="DE118" s="129">
        <f t="shared" ref="DE118:DE127" si="130">IF((DD118)="", "", $C$7)</f>
        <v>39747</v>
      </c>
      <c r="DF118" s="161">
        <f t="shared" si="95"/>
        <v>0</v>
      </c>
      <c r="DG118" s="161">
        <f t="shared" si="96"/>
        <v>0</v>
      </c>
      <c r="DH118" s="161">
        <f t="shared" si="97"/>
        <v>0</v>
      </c>
      <c r="DI118" s="161">
        <f t="shared" si="98"/>
        <v>0</v>
      </c>
      <c r="DJ118" s="161">
        <f t="shared" si="99"/>
        <v>0</v>
      </c>
      <c r="DK118" s="161">
        <f t="shared" si="100"/>
        <v>0</v>
      </c>
      <c r="DL118" s="161">
        <f t="shared" si="101"/>
        <v>0</v>
      </c>
      <c r="DM118" s="161">
        <f t="shared" si="102"/>
        <v>0</v>
      </c>
      <c r="DN118" s="161">
        <f t="shared" si="103"/>
        <v>0</v>
      </c>
      <c r="DO118" s="161">
        <f t="shared" si="104"/>
        <v>0</v>
      </c>
      <c r="DP118" s="161">
        <f t="shared" si="105"/>
        <v>0</v>
      </c>
      <c r="DQ118" s="161">
        <f t="shared" si="106"/>
        <v>0</v>
      </c>
      <c r="DR118" s="161">
        <f t="shared" si="107"/>
        <v>0</v>
      </c>
      <c r="DS118" s="161">
        <f t="shared" si="108"/>
        <v>0</v>
      </c>
      <c r="DT118" s="161">
        <f t="shared" si="109"/>
        <v>0</v>
      </c>
      <c r="DU118" s="161">
        <f t="shared" si="110"/>
        <v>0</v>
      </c>
      <c r="DV118" s="161">
        <f t="shared" si="111"/>
        <v>0</v>
      </c>
      <c r="DW118" s="161">
        <f t="shared" si="112"/>
        <v>0</v>
      </c>
      <c r="DX118" s="161">
        <f t="shared" si="113"/>
        <v>0</v>
      </c>
      <c r="DY118" s="161">
        <f t="shared" si="114"/>
        <v>0</v>
      </c>
      <c r="DZ118" s="161">
        <f t="shared" si="115"/>
        <v>0</v>
      </c>
      <c r="EA118" s="161">
        <f t="shared" si="116"/>
        <v>0</v>
      </c>
      <c r="EB118" s="161">
        <f t="shared" si="117"/>
        <v>0</v>
      </c>
      <c r="EC118" s="161">
        <f t="shared" si="118"/>
        <v>0</v>
      </c>
      <c r="ED118" s="161">
        <f t="shared" si="119"/>
        <v>0</v>
      </c>
      <c r="EE118" s="161">
        <f t="shared" si="120"/>
        <v>0</v>
      </c>
      <c r="EF118" s="161">
        <f t="shared" si="121"/>
        <v>0</v>
      </c>
      <c r="EG118" s="161">
        <f t="shared" si="122"/>
        <v>0</v>
      </c>
      <c r="EH118" s="161">
        <f t="shared" si="123"/>
        <v>0</v>
      </c>
      <c r="EI118" s="161">
        <f t="shared" si="124"/>
        <v>0</v>
      </c>
      <c r="EJ118" s="161">
        <f t="shared" si="125"/>
        <v>0</v>
      </c>
      <c r="EK118" s="147">
        <f t="shared" si="55"/>
        <v>0</v>
      </c>
      <c r="EL118" s="149"/>
      <c r="EN118" s="146"/>
      <c r="EO118" s="146"/>
      <c r="EP118" s="139">
        <f t="shared" si="56"/>
        <v>0</v>
      </c>
      <c r="EQ118" s="139">
        <f t="shared" si="57"/>
        <v>0</v>
      </c>
      <c r="ER118" s="139">
        <f t="shared" si="58"/>
        <v>0</v>
      </c>
      <c r="ES118" s="139">
        <f t="shared" si="59"/>
        <v>0</v>
      </c>
      <c r="ET118" s="139">
        <f t="shared" si="60"/>
        <v>0</v>
      </c>
      <c r="EU118" s="139">
        <f t="shared" si="61"/>
        <v>0</v>
      </c>
      <c r="EV118" s="139">
        <f t="shared" si="62"/>
        <v>0</v>
      </c>
      <c r="EW118" s="139">
        <f t="shared" si="63"/>
        <v>0</v>
      </c>
      <c r="EX118" s="139">
        <f t="shared" si="64"/>
        <v>0</v>
      </c>
      <c r="EY118" s="139">
        <f t="shared" si="65"/>
        <v>0</v>
      </c>
      <c r="EZ118" s="139">
        <f t="shared" si="66"/>
        <v>0</v>
      </c>
      <c r="FA118" s="139">
        <f t="shared" si="67"/>
        <v>0</v>
      </c>
      <c r="FB118" s="139">
        <f t="shared" si="68"/>
        <v>0</v>
      </c>
      <c r="FC118" s="139">
        <f t="shared" si="69"/>
        <v>0</v>
      </c>
      <c r="FD118" s="139">
        <f t="shared" si="70"/>
        <v>0</v>
      </c>
      <c r="FE118" s="139">
        <f t="shared" si="71"/>
        <v>0</v>
      </c>
      <c r="FF118" s="139">
        <f t="shared" si="72"/>
        <v>0</v>
      </c>
      <c r="FG118" s="139">
        <f t="shared" si="73"/>
        <v>0</v>
      </c>
      <c r="FH118" s="139">
        <f t="shared" si="74"/>
        <v>0</v>
      </c>
      <c r="FI118" s="139">
        <f t="shared" si="75"/>
        <v>0</v>
      </c>
      <c r="FJ118" s="139">
        <f t="shared" si="76"/>
        <v>0</v>
      </c>
      <c r="FK118" s="139">
        <f t="shared" si="77"/>
        <v>0</v>
      </c>
      <c r="FL118" s="139">
        <f t="shared" si="78"/>
        <v>0</v>
      </c>
      <c r="FM118" s="139">
        <f t="shared" si="79"/>
        <v>0</v>
      </c>
      <c r="FN118" s="139">
        <f t="shared" si="80"/>
        <v>0</v>
      </c>
      <c r="FO118" s="139">
        <f t="shared" si="81"/>
        <v>0</v>
      </c>
      <c r="FP118" s="139">
        <f t="shared" si="82"/>
        <v>0</v>
      </c>
      <c r="FQ118" s="139">
        <f t="shared" si="83"/>
        <v>0</v>
      </c>
      <c r="FR118" s="139">
        <f t="shared" si="84"/>
        <v>0</v>
      </c>
      <c r="FS118" s="139">
        <f t="shared" si="85"/>
        <v>0</v>
      </c>
      <c r="FT118" s="139">
        <f t="shared" si="86"/>
        <v>0</v>
      </c>
      <c r="FU118" s="148">
        <f t="shared" si="87"/>
        <v>0</v>
      </c>
      <c r="FV118" s="149"/>
      <c r="FY118" s="213">
        <v>113</v>
      </c>
      <c r="FZ118">
        <v>4.7888286082710039</v>
      </c>
      <c r="GA118">
        <v>13.500788293488547</v>
      </c>
      <c r="GB118">
        <v>3.7174674106930157</v>
      </c>
      <c r="GC118">
        <v>0.30257073279430846</v>
      </c>
      <c r="GD118">
        <v>1.4510552698981805</v>
      </c>
      <c r="GE118">
        <v>2.4713633809992483</v>
      </c>
      <c r="GF118">
        <v>0</v>
      </c>
      <c r="GG118">
        <v>5.0380339738105313</v>
      </c>
      <c r="GH118">
        <v>7.1928331357584732</v>
      </c>
      <c r="GI118">
        <v>3.7800520103346331</v>
      </c>
      <c r="GJ118"/>
      <c r="GK118"/>
      <c r="GL118"/>
      <c r="GM118"/>
      <c r="GN118" s="208"/>
      <c r="GO118" s="208"/>
      <c r="GP118" s="208"/>
      <c r="GQ118" s="208"/>
      <c r="GR118" s="208"/>
      <c r="GS118" s="208"/>
      <c r="GT118" s="208"/>
      <c r="GU118" s="213">
        <v>113</v>
      </c>
    </row>
    <row r="119" spans="1:203" s="7" customFormat="1">
      <c r="A119" s="1"/>
      <c r="B119" s="76">
        <f ca="1">IF(C119="", "", RAND())</f>
        <v>0.12738372769360051</v>
      </c>
      <c r="C119">
        <v>9</v>
      </c>
      <c r="D119">
        <v>39747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29.844759580192694</v>
      </c>
      <c r="AO119">
        <v>5.2329127952521022</v>
      </c>
      <c r="AP119">
        <v>269.57515099021487</v>
      </c>
      <c r="AQ119">
        <v>34.83072644821403</v>
      </c>
      <c r="AR119">
        <v>4.8114647210885781</v>
      </c>
      <c r="AS119">
        <v>74.414887046218354</v>
      </c>
      <c r="AT119" t="e">
        <v>#DIV/0!</v>
      </c>
      <c r="AU119" t="e">
        <v>#DIV/0!</v>
      </c>
      <c r="AV119"/>
      <c r="AW119"/>
      <c r="AX119" s="146"/>
      <c r="AY119" s="76">
        <f t="shared" ca="1" si="88"/>
        <v>0.19606344467038639</v>
      </c>
      <c r="AZ119">
        <v>2</v>
      </c>
      <c r="BA119" s="129">
        <f t="shared" ref="BA119:BA127" si="131">IF(AZ119="", "",$C$7)</f>
        <v>39747</v>
      </c>
      <c r="BB119" s="207">
        <v>0</v>
      </c>
      <c r="BC119" s="207">
        <v>0</v>
      </c>
      <c r="BD119" s="207">
        <v>0</v>
      </c>
      <c r="BE119" s="207">
        <v>0</v>
      </c>
      <c r="BF119" s="207">
        <v>0</v>
      </c>
      <c r="BG119" s="207">
        <v>0</v>
      </c>
      <c r="BH119" s="207">
        <v>0</v>
      </c>
      <c r="BI119" s="207">
        <v>0</v>
      </c>
      <c r="BJ119" s="207">
        <v>0</v>
      </c>
      <c r="BK119" s="207">
        <v>0</v>
      </c>
      <c r="BL119" s="207">
        <v>0</v>
      </c>
      <c r="BM119" s="207">
        <v>0</v>
      </c>
      <c r="BN119" s="207">
        <v>0</v>
      </c>
      <c r="BO119" s="207">
        <v>0</v>
      </c>
      <c r="BP119" s="207">
        <v>0</v>
      </c>
      <c r="BQ119" s="207">
        <v>0</v>
      </c>
      <c r="BR119" s="207">
        <v>0</v>
      </c>
      <c r="BS119" s="207">
        <v>0</v>
      </c>
      <c r="BT119" s="207">
        <v>0</v>
      </c>
      <c r="BU119" s="207">
        <v>0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A119" s="207">
        <v>0</v>
      </c>
      <c r="CB119" s="207">
        <v>0</v>
      </c>
      <c r="CC119" s="207">
        <v>0</v>
      </c>
      <c r="CD119" s="207">
        <v>0</v>
      </c>
      <c r="CE119" s="207">
        <v>0</v>
      </c>
      <c r="CF119" s="207">
        <v>0</v>
      </c>
      <c r="CG119" s="147"/>
      <c r="CH119" s="176"/>
      <c r="CJ119" s="146"/>
      <c r="CK119" s="76">
        <f t="shared" ca="1" si="90"/>
        <v>0.29087403535312717</v>
      </c>
      <c r="CL119" s="179">
        <f t="shared" si="91"/>
        <v>2</v>
      </c>
      <c r="CM119" s="180">
        <f t="shared" si="92"/>
        <v>39747</v>
      </c>
      <c r="CN119" s="208">
        <v>0</v>
      </c>
      <c r="CO119" s="208">
        <v>0</v>
      </c>
      <c r="CP119" s="208">
        <v>0</v>
      </c>
      <c r="CQ119" s="208">
        <v>0</v>
      </c>
      <c r="CR119" s="208">
        <v>0</v>
      </c>
      <c r="CS119" s="208">
        <v>0</v>
      </c>
      <c r="CT119" s="208">
        <v>0</v>
      </c>
      <c r="CU119" s="208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3"/>
        <v>9.6000000000000002E-2</v>
      </c>
      <c r="DB119" s="146"/>
      <c r="DC119" s="76">
        <f t="shared" ca="1" si="51"/>
        <v>0.29821686381106827</v>
      </c>
      <c r="DD119">
        <f t="shared" si="94"/>
        <v>2</v>
      </c>
      <c r="DE119" s="129">
        <f t="shared" si="130"/>
        <v>39747</v>
      </c>
      <c r="DF119" s="161">
        <f t="shared" si="95"/>
        <v>0</v>
      </c>
      <c r="DG119" s="161">
        <f t="shared" si="96"/>
        <v>0</v>
      </c>
      <c r="DH119" s="161">
        <f t="shared" si="97"/>
        <v>0</v>
      </c>
      <c r="DI119" s="161">
        <f t="shared" si="98"/>
        <v>0</v>
      </c>
      <c r="DJ119" s="161">
        <f t="shared" si="99"/>
        <v>0</v>
      </c>
      <c r="DK119" s="161">
        <f t="shared" si="100"/>
        <v>0</v>
      </c>
      <c r="DL119" s="161">
        <f t="shared" si="101"/>
        <v>0</v>
      </c>
      <c r="DM119" s="161">
        <f t="shared" si="102"/>
        <v>0</v>
      </c>
      <c r="DN119" s="161">
        <f t="shared" si="103"/>
        <v>0</v>
      </c>
      <c r="DO119" s="161">
        <f t="shared" si="104"/>
        <v>0</v>
      </c>
      <c r="DP119" s="161">
        <f t="shared" si="105"/>
        <v>0</v>
      </c>
      <c r="DQ119" s="161">
        <f t="shared" si="106"/>
        <v>0</v>
      </c>
      <c r="DR119" s="161">
        <f t="shared" si="107"/>
        <v>0</v>
      </c>
      <c r="DS119" s="161">
        <f t="shared" si="108"/>
        <v>0</v>
      </c>
      <c r="DT119" s="161">
        <f t="shared" si="109"/>
        <v>0</v>
      </c>
      <c r="DU119" s="161">
        <f t="shared" si="110"/>
        <v>0</v>
      </c>
      <c r="DV119" s="161">
        <f t="shared" si="111"/>
        <v>0</v>
      </c>
      <c r="DW119" s="161">
        <f t="shared" si="112"/>
        <v>0</v>
      </c>
      <c r="DX119" s="161">
        <f t="shared" si="113"/>
        <v>0</v>
      </c>
      <c r="DY119" s="161">
        <f t="shared" si="114"/>
        <v>0</v>
      </c>
      <c r="DZ119" s="161">
        <f t="shared" si="115"/>
        <v>0</v>
      </c>
      <c r="EA119" s="161">
        <f t="shared" si="116"/>
        <v>0</v>
      </c>
      <c r="EB119" s="161">
        <f t="shared" si="117"/>
        <v>0</v>
      </c>
      <c r="EC119" s="161">
        <f t="shared" si="118"/>
        <v>0</v>
      </c>
      <c r="ED119" s="161">
        <f t="shared" si="119"/>
        <v>0</v>
      </c>
      <c r="EE119" s="161">
        <f t="shared" si="120"/>
        <v>0</v>
      </c>
      <c r="EF119" s="161">
        <f t="shared" si="121"/>
        <v>0</v>
      </c>
      <c r="EG119" s="161">
        <f t="shared" si="122"/>
        <v>0</v>
      </c>
      <c r="EH119" s="161">
        <f t="shared" si="123"/>
        <v>0</v>
      </c>
      <c r="EI119" s="161">
        <f t="shared" si="124"/>
        <v>0</v>
      </c>
      <c r="EJ119" s="161">
        <f t="shared" si="125"/>
        <v>0</v>
      </c>
      <c r="EK119" s="147">
        <f t="shared" si="55"/>
        <v>0</v>
      </c>
      <c r="EL119" s="149"/>
      <c r="EN119" s="146"/>
      <c r="EO119" s="146"/>
      <c r="EP119" s="139">
        <f t="shared" si="56"/>
        <v>0</v>
      </c>
      <c r="EQ119" s="139">
        <f t="shared" si="57"/>
        <v>0</v>
      </c>
      <c r="ER119" s="139">
        <f t="shared" si="58"/>
        <v>0</v>
      </c>
      <c r="ES119" s="139">
        <f t="shared" si="59"/>
        <v>0</v>
      </c>
      <c r="ET119" s="139">
        <f t="shared" si="60"/>
        <v>0</v>
      </c>
      <c r="EU119" s="139">
        <f t="shared" si="61"/>
        <v>0</v>
      </c>
      <c r="EV119" s="139">
        <f t="shared" si="62"/>
        <v>0</v>
      </c>
      <c r="EW119" s="139">
        <f t="shared" si="63"/>
        <v>0</v>
      </c>
      <c r="EX119" s="139">
        <f t="shared" si="64"/>
        <v>0</v>
      </c>
      <c r="EY119" s="139">
        <f t="shared" si="65"/>
        <v>0</v>
      </c>
      <c r="EZ119" s="139">
        <f t="shared" si="66"/>
        <v>0</v>
      </c>
      <c r="FA119" s="139">
        <f t="shared" si="67"/>
        <v>0</v>
      </c>
      <c r="FB119" s="139">
        <f t="shared" si="68"/>
        <v>0</v>
      </c>
      <c r="FC119" s="139">
        <f t="shared" si="69"/>
        <v>0</v>
      </c>
      <c r="FD119" s="139">
        <f t="shared" si="70"/>
        <v>0</v>
      </c>
      <c r="FE119" s="139">
        <f t="shared" si="71"/>
        <v>0</v>
      </c>
      <c r="FF119" s="139">
        <f t="shared" si="72"/>
        <v>0</v>
      </c>
      <c r="FG119" s="139">
        <f t="shared" si="73"/>
        <v>0</v>
      </c>
      <c r="FH119" s="139">
        <f t="shared" si="74"/>
        <v>0</v>
      </c>
      <c r="FI119" s="139">
        <f t="shared" si="75"/>
        <v>0</v>
      </c>
      <c r="FJ119" s="139">
        <f t="shared" si="76"/>
        <v>0</v>
      </c>
      <c r="FK119" s="139">
        <f t="shared" si="77"/>
        <v>0</v>
      </c>
      <c r="FL119" s="139">
        <f t="shared" si="78"/>
        <v>0</v>
      </c>
      <c r="FM119" s="139">
        <f t="shared" si="79"/>
        <v>0</v>
      </c>
      <c r="FN119" s="139">
        <f t="shared" si="80"/>
        <v>0</v>
      </c>
      <c r="FO119" s="139">
        <f t="shared" si="81"/>
        <v>0</v>
      </c>
      <c r="FP119" s="139">
        <f t="shared" si="82"/>
        <v>0</v>
      </c>
      <c r="FQ119" s="139">
        <f t="shared" si="83"/>
        <v>0</v>
      </c>
      <c r="FR119" s="139">
        <f t="shared" si="84"/>
        <v>0</v>
      </c>
      <c r="FS119" s="139">
        <f t="shared" si="85"/>
        <v>0</v>
      </c>
      <c r="FT119" s="139">
        <f t="shared" si="86"/>
        <v>0</v>
      </c>
      <c r="FU119" s="148">
        <f t="shared" si="87"/>
        <v>0</v>
      </c>
      <c r="FV119" s="149"/>
      <c r="FY119" s="213">
        <v>114</v>
      </c>
      <c r="FZ119">
        <v>3.3577595644647293</v>
      </c>
      <c r="GA119">
        <v>13.592611702281362</v>
      </c>
      <c r="GB119">
        <v>5.6590917980984248</v>
      </c>
      <c r="GC119">
        <v>0.83495502788321374</v>
      </c>
      <c r="GD119">
        <v>2.1686900296256999</v>
      </c>
      <c r="GE119">
        <v>3.6806527653323982</v>
      </c>
      <c r="GF119">
        <v>0.95469624988012047</v>
      </c>
      <c r="GG119">
        <v>3.358132631311662</v>
      </c>
      <c r="GH119">
        <v>4.7564346711748797</v>
      </c>
      <c r="GI119">
        <v>4.2533424799078627</v>
      </c>
      <c r="GJ119"/>
      <c r="GK119"/>
      <c r="GL119"/>
      <c r="GM119"/>
      <c r="GN119" s="208"/>
      <c r="GO119" s="208"/>
      <c r="GP119" s="208"/>
      <c r="GQ119" s="208"/>
      <c r="GR119" s="208"/>
      <c r="GS119" s="208"/>
      <c r="GT119" s="208"/>
      <c r="GU119" s="213">
        <v>114</v>
      </c>
    </row>
    <row r="120" spans="1:203" s="7" customFormat="1">
      <c r="A120" s="1"/>
      <c r="B120" s="76">
        <f ca="1">IF(C120="", "", RAND())</f>
        <v>0.97741560724394017</v>
      </c>
      <c r="C120">
        <v>6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28.625103451573118</v>
      </c>
      <c r="AO120">
        <v>8.7781817233744306</v>
      </c>
      <c r="AP120">
        <v>214.05562421584401</v>
      </c>
      <c r="AQ120">
        <v>66.14899806595264</v>
      </c>
      <c r="AR120">
        <v>8.0344364739270571</v>
      </c>
      <c r="AS120">
        <v>89.532713803903647</v>
      </c>
      <c r="AT120" t="e">
        <v>#DIV/0!</v>
      </c>
      <c r="AU120" t="e">
        <v>#DIV/0!</v>
      </c>
      <c r="AV120"/>
      <c r="AW120"/>
      <c r="AX120" s="146"/>
      <c r="AY120" s="76">
        <f t="shared" ca="1" si="88"/>
        <v>0.74764100885013907</v>
      </c>
      <c r="AZ120">
        <v>3</v>
      </c>
      <c r="BA120" s="129">
        <f t="shared" si="131"/>
        <v>39747</v>
      </c>
      <c r="BB120" s="207">
        <v>0</v>
      </c>
      <c r="BC120" s="207">
        <v>0</v>
      </c>
      <c r="BD120" s="207">
        <v>0</v>
      </c>
      <c r="BE120" s="207">
        <v>0</v>
      </c>
      <c r="BF120" s="207">
        <v>0</v>
      </c>
      <c r="BG120" s="207">
        <v>0</v>
      </c>
      <c r="BH120" s="207">
        <v>0</v>
      </c>
      <c r="BI120" s="207">
        <v>0</v>
      </c>
      <c r="BJ120" s="207">
        <v>0</v>
      </c>
      <c r="BK120" s="207">
        <v>0</v>
      </c>
      <c r="BL120" s="207">
        <v>0</v>
      </c>
      <c r="BM120" s="207">
        <v>0</v>
      </c>
      <c r="BN120" s="207">
        <v>0</v>
      </c>
      <c r="BO120" s="207">
        <v>0</v>
      </c>
      <c r="BP120" s="207">
        <v>0</v>
      </c>
      <c r="BQ120" s="207">
        <v>0</v>
      </c>
      <c r="BR120" s="207">
        <v>0</v>
      </c>
      <c r="BS120" s="207">
        <v>0</v>
      </c>
      <c r="BT120" s="207">
        <v>0</v>
      </c>
      <c r="BU120" s="207">
        <v>0</v>
      </c>
      <c r="BV120" s="207">
        <v>0</v>
      </c>
      <c r="BW120" s="207">
        <v>0</v>
      </c>
      <c r="BX120" s="207">
        <v>0</v>
      </c>
      <c r="BY120" s="207">
        <v>0</v>
      </c>
      <c r="BZ120" s="207">
        <v>0</v>
      </c>
      <c r="CA120" s="207">
        <v>0</v>
      </c>
      <c r="CB120" s="207">
        <v>0</v>
      </c>
      <c r="CC120" s="207">
        <v>0</v>
      </c>
      <c r="CD120" s="207">
        <v>0</v>
      </c>
      <c r="CE120" s="207">
        <v>0</v>
      </c>
      <c r="CF120" s="207">
        <v>0</v>
      </c>
      <c r="CG120" s="147"/>
      <c r="CH120" s="176"/>
      <c r="CJ120" s="146"/>
      <c r="CK120" s="76">
        <f t="shared" ca="1" si="90"/>
        <v>0.81728537333206885</v>
      </c>
      <c r="CL120" s="179">
        <f t="shared" si="91"/>
        <v>3</v>
      </c>
      <c r="CM120" s="180">
        <f t="shared" si="92"/>
        <v>39747</v>
      </c>
      <c r="CN120" s="208">
        <v>0</v>
      </c>
      <c r="CO120" s="208">
        <v>0</v>
      </c>
      <c r="CP120" s="208">
        <v>0</v>
      </c>
      <c r="CQ120" s="208">
        <v>0</v>
      </c>
      <c r="CR120" s="208">
        <v>0</v>
      </c>
      <c r="CS120" s="208">
        <v>0</v>
      </c>
      <c r="CT120" s="208">
        <v>0</v>
      </c>
      <c r="CU120" s="208">
        <v>0</v>
      </c>
      <c r="CV120" s="160"/>
      <c r="CW120">
        <v>1</v>
      </c>
      <c r="CX120">
        <v>1</v>
      </c>
      <c r="CY120" s="160"/>
      <c r="CZ120" s="177">
        <f t="shared" si="93"/>
        <v>9.6000000000000002E-2</v>
      </c>
      <c r="DB120" s="146"/>
      <c r="DC120" s="76">
        <f t="shared" ca="1" si="51"/>
        <v>0.91420116411715391</v>
      </c>
      <c r="DD120">
        <f t="shared" si="94"/>
        <v>3</v>
      </c>
      <c r="DE120" s="129">
        <f t="shared" si="130"/>
        <v>39747</v>
      </c>
      <c r="DF120" s="161">
        <f t="shared" si="95"/>
        <v>0</v>
      </c>
      <c r="DG120" s="161">
        <f t="shared" si="96"/>
        <v>0</v>
      </c>
      <c r="DH120" s="161">
        <f t="shared" si="97"/>
        <v>0</v>
      </c>
      <c r="DI120" s="161">
        <f t="shared" si="98"/>
        <v>0</v>
      </c>
      <c r="DJ120" s="161">
        <f t="shared" si="99"/>
        <v>0</v>
      </c>
      <c r="DK120" s="161">
        <f t="shared" si="100"/>
        <v>0</v>
      </c>
      <c r="DL120" s="161">
        <f t="shared" si="101"/>
        <v>0</v>
      </c>
      <c r="DM120" s="161">
        <f t="shared" si="102"/>
        <v>0</v>
      </c>
      <c r="DN120" s="161">
        <f t="shared" si="103"/>
        <v>0</v>
      </c>
      <c r="DO120" s="161">
        <f t="shared" si="104"/>
        <v>0</v>
      </c>
      <c r="DP120" s="161">
        <f t="shared" si="105"/>
        <v>0</v>
      </c>
      <c r="DQ120" s="161">
        <f t="shared" si="106"/>
        <v>0</v>
      </c>
      <c r="DR120" s="161">
        <f t="shared" si="107"/>
        <v>0</v>
      </c>
      <c r="DS120" s="161">
        <f t="shared" si="108"/>
        <v>0</v>
      </c>
      <c r="DT120" s="161">
        <f t="shared" si="109"/>
        <v>0</v>
      </c>
      <c r="DU120" s="161">
        <f t="shared" si="110"/>
        <v>0</v>
      </c>
      <c r="DV120" s="161">
        <f t="shared" si="111"/>
        <v>0</v>
      </c>
      <c r="DW120" s="161">
        <f t="shared" si="112"/>
        <v>0</v>
      </c>
      <c r="DX120" s="161">
        <f t="shared" si="113"/>
        <v>0</v>
      </c>
      <c r="DY120" s="161">
        <f t="shared" si="114"/>
        <v>0</v>
      </c>
      <c r="DZ120" s="161">
        <f t="shared" si="115"/>
        <v>0</v>
      </c>
      <c r="EA120" s="161">
        <f t="shared" si="116"/>
        <v>0</v>
      </c>
      <c r="EB120" s="161">
        <f t="shared" si="117"/>
        <v>0</v>
      </c>
      <c r="EC120" s="161">
        <f t="shared" si="118"/>
        <v>0</v>
      </c>
      <c r="ED120" s="161">
        <f t="shared" si="119"/>
        <v>0</v>
      </c>
      <c r="EE120" s="161">
        <f t="shared" si="120"/>
        <v>0</v>
      </c>
      <c r="EF120" s="161">
        <f t="shared" si="121"/>
        <v>0</v>
      </c>
      <c r="EG120" s="161">
        <f t="shared" si="122"/>
        <v>0</v>
      </c>
      <c r="EH120" s="161">
        <f t="shared" si="123"/>
        <v>0</v>
      </c>
      <c r="EI120" s="161">
        <f t="shared" si="124"/>
        <v>0</v>
      </c>
      <c r="EJ120" s="161">
        <f t="shared" si="125"/>
        <v>0</v>
      </c>
      <c r="EK120" s="147">
        <f t="shared" ref="EK120:EK151" si="132">IF(DF120="", "", SUM(DF120:EJ120))</f>
        <v>0</v>
      </c>
      <c r="EL120" s="149"/>
      <c r="EN120" s="146"/>
      <c r="EO120" s="146"/>
      <c r="EP120" s="139">
        <f t="shared" ref="EP120:EP151" si="133">IF(DF120="", "", DF120*G$36)</f>
        <v>0</v>
      </c>
      <c r="EQ120" s="139">
        <f t="shared" ref="EQ120:EQ151" si="134">IF(DG120="", "", DG120*H$36)</f>
        <v>0</v>
      </c>
      <c r="ER120" s="139">
        <f t="shared" ref="ER120:ER151" si="135">IF(DH120="", "", DH120*I$36)</f>
        <v>0</v>
      </c>
      <c r="ES120" s="139">
        <f t="shared" ref="ES120:ES151" si="136">IF(DI120="", "", DI120*J$36)</f>
        <v>0</v>
      </c>
      <c r="ET120" s="139">
        <f t="shared" ref="ET120:ET151" si="137">IF(DJ120="", "", DJ120*K$36)</f>
        <v>0</v>
      </c>
      <c r="EU120" s="139">
        <f t="shared" ref="EU120:EU151" si="138">IF(DK120="", "", DK120*L$36)</f>
        <v>0</v>
      </c>
      <c r="EV120" s="139">
        <f t="shared" ref="EV120:EV151" si="139">IF(DL120="", "", DL120*M$36)</f>
        <v>0</v>
      </c>
      <c r="EW120" s="139">
        <f t="shared" ref="EW120:EW151" si="140">IF(DM120="", "", DM120*N$36)</f>
        <v>0</v>
      </c>
      <c r="EX120" s="139">
        <f t="shared" ref="EX120:EX151" si="141">IF(DN120="", "", DN120*O$36)</f>
        <v>0</v>
      </c>
      <c r="EY120" s="139">
        <f t="shared" ref="EY120:EY151" si="142">IF(DO120="", "", DO120*P$36)</f>
        <v>0</v>
      </c>
      <c r="EZ120" s="139">
        <f t="shared" ref="EZ120:EZ151" si="143">IF(DP120="", "", DP120*Q$36)</f>
        <v>0</v>
      </c>
      <c r="FA120" s="139">
        <f t="shared" ref="FA120:FA151" si="144">IF(DQ120="", "", DQ120*R$36)</f>
        <v>0</v>
      </c>
      <c r="FB120" s="139">
        <f t="shared" ref="FB120:FB151" si="145">IF(DR120="", "", DR120*S$36)</f>
        <v>0</v>
      </c>
      <c r="FC120" s="139">
        <f t="shared" ref="FC120:FC151" si="146">IF(DS120="", "", DS120*T$36)</f>
        <v>0</v>
      </c>
      <c r="FD120" s="139">
        <f t="shared" ref="FD120:FD151" si="147">IF(DT120="", "", DT120*U$36)</f>
        <v>0</v>
      </c>
      <c r="FE120" s="139">
        <f t="shared" ref="FE120:FE151" si="148">IF(DU120="", "", DU120*V$36)</f>
        <v>0</v>
      </c>
      <c r="FF120" s="139">
        <f t="shared" ref="FF120:FF151" si="149">IF(DV120="", "", DV120*W$36)</f>
        <v>0</v>
      </c>
      <c r="FG120" s="139">
        <f t="shared" ref="FG120:FG151" si="150">IF(DW120="", "", DW120*X$36)</f>
        <v>0</v>
      </c>
      <c r="FH120" s="139">
        <f t="shared" ref="FH120:FH151" si="151">IF(DX120="", "", DX120*Y$36)</f>
        <v>0</v>
      </c>
      <c r="FI120" s="139">
        <f t="shared" ref="FI120:FI151" si="152">IF(DY120="", "", DY120*Z$36)</f>
        <v>0</v>
      </c>
      <c r="FJ120" s="139">
        <f t="shared" ref="FJ120:FJ151" si="153">IF(DZ120="", "", DZ120*AA$36)</f>
        <v>0</v>
      </c>
      <c r="FK120" s="139">
        <f t="shared" ref="FK120:FK151" si="154">IF(EA120="", "", EA120*AB$36)</f>
        <v>0</v>
      </c>
      <c r="FL120" s="139">
        <f t="shared" ref="FL120:FL151" si="155">IF(EB120="", "", EB120*AC$36)</f>
        <v>0</v>
      </c>
      <c r="FM120" s="139">
        <f t="shared" ref="FM120:FM151" si="156">IF(EC120="", "", EC120*AD$36)</f>
        <v>0</v>
      </c>
      <c r="FN120" s="139">
        <f t="shared" ref="FN120:FN151" si="157">IF(ED120="", "", ED120*AE$36)</f>
        <v>0</v>
      </c>
      <c r="FO120" s="139">
        <f t="shared" ref="FO120:FO151" si="158">IF(EE120="", "", EE120*AF$36)</f>
        <v>0</v>
      </c>
      <c r="FP120" s="139">
        <f t="shared" ref="FP120:FP151" si="159">IF(EF120="", "", EF120*AG$36)</f>
        <v>0</v>
      </c>
      <c r="FQ120" s="139">
        <f t="shared" ref="FQ120:FQ151" si="160">IF(EG120="", "", EG120*AH$36)</f>
        <v>0</v>
      </c>
      <c r="FR120" s="139">
        <f t="shared" ref="FR120:FR151" si="161">IF(EH120="", "", EH120*AI$36)</f>
        <v>0</v>
      </c>
      <c r="FS120" s="139">
        <f t="shared" ref="FS120:FS151" si="162">IF(EI120="", "", EI120*AJ$36)</f>
        <v>0</v>
      </c>
      <c r="FT120" s="139">
        <f t="shared" ref="FT120:FT151" si="163">IF(EJ120="", "", EJ120*AK$36)</f>
        <v>0</v>
      </c>
      <c r="FU120" s="148">
        <f t="shared" ref="FU120:FU151" si="164">IF(EP120="","",SUM(EP120:FT120))</f>
        <v>0</v>
      </c>
      <c r="FV120" s="149"/>
      <c r="FY120" s="213">
        <v>115</v>
      </c>
      <c r="FZ120">
        <v>1.596276202757001</v>
      </c>
      <c r="GA120">
        <v>22.100748143492229</v>
      </c>
      <c r="GB120">
        <v>10.072916614116433</v>
      </c>
      <c r="GC120">
        <v>2.6788005990024311</v>
      </c>
      <c r="GD120">
        <v>3.7116371509061339</v>
      </c>
      <c r="GE120">
        <v>3.3494262881027748</v>
      </c>
      <c r="GF120">
        <v>0</v>
      </c>
      <c r="GG120">
        <v>4.3390064637089676</v>
      </c>
      <c r="GH120">
        <v>5.8337819746537019</v>
      </c>
      <c r="GI120">
        <v>5.8971549936429879</v>
      </c>
      <c r="GJ120"/>
      <c r="GK120"/>
      <c r="GL120"/>
      <c r="GM120"/>
      <c r="GN120" s="208"/>
      <c r="GO120" s="208"/>
      <c r="GP120" s="208"/>
      <c r="GQ120" s="208"/>
      <c r="GR120" s="208"/>
      <c r="GS120" s="208"/>
      <c r="GT120" s="208"/>
      <c r="GU120" s="213">
        <v>115</v>
      </c>
    </row>
    <row r="121" spans="1:203" s="7" customFormat="1">
      <c r="A121" s="1"/>
      <c r="B121" s="76">
        <f ca="1">IF(C121="", "", RAND())</f>
        <v>0.46065936931759399</v>
      </c>
      <c r="C121">
        <v>4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18.011169678714857</v>
      </c>
      <c r="AO121">
        <v>7.0103469556301947</v>
      </c>
      <c r="AP121">
        <v>305.65847084861866</v>
      </c>
      <c r="AQ121">
        <v>45.160488296364647</v>
      </c>
      <c r="AR121">
        <v>6.4815852286553266</v>
      </c>
      <c r="AS121">
        <v>64.457804246374266</v>
      </c>
      <c r="AT121" t="e">
        <v>#DIV/0!</v>
      </c>
      <c r="AU121" t="e">
        <v>#DIV/0!</v>
      </c>
      <c r="AV121"/>
      <c r="AW121"/>
      <c r="AX121" s="146"/>
      <c r="AY121" s="76">
        <f t="shared" ca="1" si="88"/>
        <v>0.27051024125376499</v>
      </c>
      <c r="AZ121">
        <v>4</v>
      </c>
      <c r="BA121" s="129">
        <f t="shared" si="131"/>
        <v>39747</v>
      </c>
      <c r="BB121" s="207">
        <v>0</v>
      </c>
      <c r="BC121" s="207">
        <v>0</v>
      </c>
      <c r="BD121" s="207">
        <v>0</v>
      </c>
      <c r="BE121" s="207">
        <v>0</v>
      </c>
      <c r="BF121" s="207">
        <v>0</v>
      </c>
      <c r="BG121" s="207">
        <v>0</v>
      </c>
      <c r="BH121" s="207">
        <v>0</v>
      </c>
      <c r="BI121" s="207">
        <v>0</v>
      </c>
      <c r="BJ121" s="207">
        <v>0</v>
      </c>
      <c r="BK121" s="207">
        <v>0</v>
      </c>
      <c r="BL121" s="207">
        <v>0</v>
      </c>
      <c r="BM121" s="207">
        <v>0</v>
      </c>
      <c r="BN121" s="207">
        <v>0</v>
      </c>
      <c r="BO121" s="207">
        <v>0</v>
      </c>
      <c r="BP121" s="207">
        <v>0</v>
      </c>
      <c r="BQ121" s="207">
        <v>0</v>
      </c>
      <c r="BR121" s="207">
        <v>0</v>
      </c>
      <c r="BS121" s="207">
        <v>0</v>
      </c>
      <c r="BT121" s="207">
        <v>0</v>
      </c>
      <c r="BU121" s="207">
        <v>0</v>
      </c>
      <c r="BV121" s="207">
        <v>0</v>
      </c>
      <c r="BW121" s="207">
        <v>0</v>
      </c>
      <c r="BX121" s="207">
        <v>0</v>
      </c>
      <c r="BY121" s="207">
        <v>0</v>
      </c>
      <c r="BZ121" s="207">
        <v>0</v>
      </c>
      <c r="CA121" s="207">
        <v>0</v>
      </c>
      <c r="CB121" s="207">
        <v>0</v>
      </c>
      <c r="CC121" s="207">
        <v>0</v>
      </c>
      <c r="CD121" s="207">
        <v>0</v>
      </c>
      <c r="CE121" s="207">
        <v>0</v>
      </c>
      <c r="CF121" s="207">
        <v>0</v>
      </c>
      <c r="CG121" s="147"/>
      <c r="CH121" s="176"/>
      <c r="CJ121" s="146"/>
      <c r="CK121" s="76">
        <f t="shared" ca="1" si="90"/>
        <v>0.21251792029952732</v>
      </c>
      <c r="CL121" s="179">
        <f t="shared" si="91"/>
        <v>4</v>
      </c>
      <c r="CM121" s="180">
        <f t="shared" si="92"/>
        <v>39747</v>
      </c>
      <c r="CN121" s="208">
        <v>0</v>
      </c>
      <c r="CO121" s="208">
        <v>0</v>
      </c>
      <c r="CP121" s="208">
        <v>0</v>
      </c>
      <c r="CQ121" s="208">
        <v>0</v>
      </c>
      <c r="CR121" s="208">
        <v>0</v>
      </c>
      <c r="CS121" s="208">
        <v>0</v>
      </c>
      <c r="CT121" s="208">
        <v>0</v>
      </c>
      <c r="CU121" s="208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3"/>
        <v>9.6000000000000002E-2</v>
      </c>
      <c r="DB121" s="146"/>
      <c r="DC121" s="76">
        <f t="shared" ca="1" si="51"/>
        <v>0.76450689618868095</v>
      </c>
      <c r="DD121">
        <f t="shared" si="94"/>
        <v>4</v>
      </c>
      <c r="DE121" s="129">
        <f t="shared" si="130"/>
        <v>39747</v>
      </c>
      <c r="DF121" s="161">
        <f t="shared" si="95"/>
        <v>0</v>
      </c>
      <c r="DG121" s="161">
        <f t="shared" si="96"/>
        <v>0</v>
      </c>
      <c r="DH121" s="161">
        <f t="shared" si="97"/>
        <v>0</v>
      </c>
      <c r="DI121" s="161">
        <f t="shared" si="98"/>
        <v>0</v>
      </c>
      <c r="DJ121" s="161">
        <f t="shared" si="99"/>
        <v>0</v>
      </c>
      <c r="DK121" s="161">
        <f t="shared" si="100"/>
        <v>0</v>
      </c>
      <c r="DL121" s="161">
        <f t="shared" si="101"/>
        <v>0</v>
      </c>
      <c r="DM121" s="161">
        <f t="shared" si="102"/>
        <v>0</v>
      </c>
      <c r="DN121" s="161">
        <f t="shared" si="103"/>
        <v>0</v>
      </c>
      <c r="DO121" s="161">
        <f t="shared" si="104"/>
        <v>0</v>
      </c>
      <c r="DP121" s="161">
        <f t="shared" si="105"/>
        <v>0</v>
      </c>
      <c r="DQ121" s="161">
        <f t="shared" si="106"/>
        <v>0</v>
      </c>
      <c r="DR121" s="161">
        <f t="shared" si="107"/>
        <v>0</v>
      </c>
      <c r="DS121" s="161">
        <f t="shared" si="108"/>
        <v>0</v>
      </c>
      <c r="DT121" s="161">
        <f t="shared" si="109"/>
        <v>0</v>
      </c>
      <c r="DU121" s="161">
        <f t="shared" si="110"/>
        <v>0</v>
      </c>
      <c r="DV121" s="161">
        <f t="shared" si="111"/>
        <v>0</v>
      </c>
      <c r="DW121" s="161">
        <f t="shared" si="112"/>
        <v>0</v>
      </c>
      <c r="DX121" s="161">
        <f t="shared" si="113"/>
        <v>0</v>
      </c>
      <c r="DY121" s="161">
        <f t="shared" si="114"/>
        <v>0</v>
      </c>
      <c r="DZ121" s="161">
        <f t="shared" si="115"/>
        <v>0</v>
      </c>
      <c r="EA121" s="161">
        <f t="shared" si="116"/>
        <v>0</v>
      </c>
      <c r="EB121" s="161">
        <f t="shared" si="117"/>
        <v>0</v>
      </c>
      <c r="EC121" s="161">
        <f t="shared" si="118"/>
        <v>0</v>
      </c>
      <c r="ED121" s="161">
        <f t="shared" si="119"/>
        <v>0</v>
      </c>
      <c r="EE121" s="161">
        <f t="shared" si="120"/>
        <v>0</v>
      </c>
      <c r="EF121" s="161">
        <f t="shared" si="121"/>
        <v>0</v>
      </c>
      <c r="EG121" s="161">
        <f t="shared" si="122"/>
        <v>0</v>
      </c>
      <c r="EH121" s="161">
        <f t="shared" si="123"/>
        <v>0</v>
      </c>
      <c r="EI121" s="161">
        <f t="shared" si="124"/>
        <v>0</v>
      </c>
      <c r="EJ121" s="161">
        <f t="shared" si="125"/>
        <v>0</v>
      </c>
      <c r="EK121" s="147">
        <f t="shared" si="132"/>
        <v>0</v>
      </c>
      <c r="EL121" s="149"/>
      <c r="EN121" s="146"/>
      <c r="EO121" s="146"/>
      <c r="EP121" s="139">
        <f t="shared" si="133"/>
        <v>0</v>
      </c>
      <c r="EQ121" s="139">
        <f t="shared" si="134"/>
        <v>0</v>
      </c>
      <c r="ER121" s="139">
        <f t="shared" si="135"/>
        <v>0</v>
      </c>
      <c r="ES121" s="139">
        <f t="shared" si="136"/>
        <v>0</v>
      </c>
      <c r="ET121" s="139">
        <f t="shared" si="137"/>
        <v>0</v>
      </c>
      <c r="EU121" s="139">
        <f t="shared" si="138"/>
        <v>0</v>
      </c>
      <c r="EV121" s="139">
        <f t="shared" si="139"/>
        <v>0</v>
      </c>
      <c r="EW121" s="139">
        <f t="shared" si="140"/>
        <v>0</v>
      </c>
      <c r="EX121" s="139">
        <f t="shared" si="141"/>
        <v>0</v>
      </c>
      <c r="EY121" s="139">
        <f t="shared" si="142"/>
        <v>0</v>
      </c>
      <c r="EZ121" s="139">
        <f t="shared" si="143"/>
        <v>0</v>
      </c>
      <c r="FA121" s="139">
        <f t="shared" si="144"/>
        <v>0</v>
      </c>
      <c r="FB121" s="139">
        <f t="shared" si="145"/>
        <v>0</v>
      </c>
      <c r="FC121" s="139">
        <f t="shared" si="146"/>
        <v>0</v>
      </c>
      <c r="FD121" s="139">
        <f t="shared" si="147"/>
        <v>0</v>
      </c>
      <c r="FE121" s="139">
        <f t="shared" si="148"/>
        <v>0</v>
      </c>
      <c r="FF121" s="139">
        <f t="shared" si="149"/>
        <v>0</v>
      </c>
      <c r="FG121" s="139">
        <f t="shared" si="150"/>
        <v>0</v>
      </c>
      <c r="FH121" s="139">
        <f t="shared" si="151"/>
        <v>0</v>
      </c>
      <c r="FI121" s="139">
        <f t="shared" si="152"/>
        <v>0</v>
      </c>
      <c r="FJ121" s="139">
        <f t="shared" si="153"/>
        <v>0</v>
      </c>
      <c r="FK121" s="139">
        <f t="shared" si="154"/>
        <v>0</v>
      </c>
      <c r="FL121" s="139">
        <f t="shared" si="155"/>
        <v>0</v>
      </c>
      <c r="FM121" s="139">
        <f t="shared" si="156"/>
        <v>0</v>
      </c>
      <c r="FN121" s="139">
        <f t="shared" si="157"/>
        <v>0</v>
      </c>
      <c r="FO121" s="139">
        <f t="shared" si="158"/>
        <v>0</v>
      </c>
      <c r="FP121" s="139">
        <f t="shared" si="159"/>
        <v>0</v>
      </c>
      <c r="FQ121" s="139">
        <f t="shared" si="160"/>
        <v>0</v>
      </c>
      <c r="FR121" s="139">
        <f t="shared" si="161"/>
        <v>0</v>
      </c>
      <c r="FS121" s="139">
        <f t="shared" si="162"/>
        <v>0</v>
      </c>
      <c r="FT121" s="139">
        <f t="shared" si="163"/>
        <v>0</v>
      </c>
      <c r="FU121" s="148">
        <f t="shared" si="164"/>
        <v>0</v>
      </c>
      <c r="FV121" s="149"/>
      <c r="FY121" s="213">
        <v>116</v>
      </c>
      <c r="FZ121">
        <v>1.596276202757001</v>
      </c>
      <c r="GA121">
        <v>15.412193086165409</v>
      </c>
      <c r="GB121">
        <v>6.6302719788341005</v>
      </c>
      <c r="GC121">
        <v>1.149635990839629</v>
      </c>
      <c r="GD121">
        <v>2.5028284418095295</v>
      </c>
      <c r="GE121">
        <v>3.2816552658058735</v>
      </c>
      <c r="GF121">
        <v>0</v>
      </c>
      <c r="GG121">
        <v>6.7162652626233239</v>
      </c>
      <c r="GH121">
        <v>9.5128693423497594</v>
      </c>
      <c r="GI121">
        <v>4.995192487959935</v>
      </c>
      <c r="GJ121"/>
      <c r="GK121"/>
      <c r="GL121"/>
      <c r="GM121"/>
      <c r="GN121" s="208"/>
      <c r="GO121" s="208"/>
      <c r="GP121" s="208"/>
      <c r="GQ121" s="208"/>
      <c r="GR121" s="208"/>
      <c r="GS121" s="208"/>
      <c r="GT121" s="208"/>
      <c r="GU121" s="213">
        <v>116</v>
      </c>
    </row>
    <row r="122" spans="1:203" s="7" customFormat="1">
      <c r="A122" s="1"/>
      <c r="B122" s="76">
        <f ca="1">IF(C122="", "", RAND())</f>
        <v>0.90800481784931986</v>
      </c>
      <c r="C122">
        <v>10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22.462233581287382</v>
      </c>
      <c r="AO122">
        <v>7.3604119155111523</v>
      </c>
      <c r="AP122">
        <v>367.9294426698109</v>
      </c>
      <c r="AQ122">
        <v>53.498795628464691</v>
      </c>
      <c r="AR122">
        <v>6.7998261012743795</v>
      </c>
      <c r="AS122">
        <v>77.5220546634133</v>
      </c>
      <c r="AT122" t="e">
        <v>#DIV/0!</v>
      </c>
      <c r="AU122" t="e">
        <v>#DIV/0!</v>
      </c>
      <c r="AV122"/>
      <c r="AW122"/>
      <c r="AX122" s="146"/>
      <c r="AY122" s="76">
        <f t="shared" ca="1" si="88"/>
        <v>0.16107623374082181</v>
      </c>
      <c r="AZ122">
        <v>5</v>
      </c>
      <c r="BA122" s="129">
        <f t="shared" si="131"/>
        <v>39747</v>
      </c>
      <c r="BB122" s="207">
        <v>0</v>
      </c>
      <c r="BC122" s="207">
        <v>0</v>
      </c>
      <c r="BD122" s="207">
        <v>0</v>
      </c>
      <c r="BE122" s="207">
        <v>0</v>
      </c>
      <c r="BF122" s="207">
        <v>0</v>
      </c>
      <c r="BG122" s="207">
        <v>0</v>
      </c>
      <c r="BH122" s="207">
        <v>0</v>
      </c>
      <c r="BI122" s="207">
        <v>0</v>
      </c>
      <c r="BJ122" s="207">
        <v>0</v>
      </c>
      <c r="BK122" s="207">
        <v>0</v>
      </c>
      <c r="BL122" s="207">
        <v>0</v>
      </c>
      <c r="BM122" s="207">
        <v>0</v>
      </c>
      <c r="BN122" s="207">
        <v>0</v>
      </c>
      <c r="BO122" s="207">
        <v>0</v>
      </c>
      <c r="BP122" s="207">
        <v>0</v>
      </c>
      <c r="BQ122" s="207">
        <v>0</v>
      </c>
      <c r="BR122" s="207">
        <v>0</v>
      </c>
      <c r="BS122" s="207">
        <v>0</v>
      </c>
      <c r="BT122" s="207">
        <v>0</v>
      </c>
      <c r="BU122" s="207">
        <v>0</v>
      </c>
      <c r="BV122" s="207">
        <v>0</v>
      </c>
      <c r="BW122" s="207">
        <v>0</v>
      </c>
      <c r="BX122" s="207">
        <v>0</v>
      </c>
      <c r="BY122" s="207">
        <v>0</v>
      </c>
      <c r="BZ122" s="207">
        <v>0</v>
      </c>
      <c r="CA122" s="207">
        <v>0</v>
      </c>
      <c r="CB122" s="207">
        <v>0</v>
      </c>
      <c r="CC122" s="207">
        <v>0</v>
      </c>
      <c r="CD122" s="207">
        <v>0</v>
      </c>
      <c r="CE122" s="207">
        <v>0</v>
      </c>
      <c r="CF122" s="207">
        <v>0</v>
      </c>
      <c r="CG122" s="147"/>
      <c r="CH122" s="176"/>
      <c r="CJ122" s="146"/>
      <c r="CK122" s="76">
        <f t="shared" ca="1" si="90"/>
        <v>0.31823251920416773</v>
      </c>
      <c r="CL122" s="179">
        <f t="shared" si="91"/>
        <v>5</v>
      </c>
      <c r="CM122" s="180">
        <f t="shared" si="92"/>
        <v>39747</v>
      </c>
      <c r="CN122" s="208">
        <v>0</v>
      </c>
      <c r="CO122" s="208">
        <v>0</v>
      </c>
      <c r="CP122" s="208">
        <v>0</v>
      </c>
      <c r="CQ122" s="208">
        <v>0</v>
      </c>
      <c r="CR122" s="208">
        <v>0</v>
      </c>
      <c r="CS122" s="208">
        <v>0</v>
      </c>
      <c r="CT122" s="208">
        <v>0</v>
      </c>
      <c r="CU122" s="208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3"/>
        <v>9.6000000000000002E-2</v>
      </c>
      <c r="DB122" s="146"/>
      <c r="DC122" s="76">
        <f t="shared" ca="1" si="51"/>
        <v>0.62884115418998654</v>
      </c>
      <c r="DD122">
        <f t="shared" si="94"/>
        <v>5</v>
      </c>
      <c r="DE122" s="129">
        <f t="shared" si="130"/>
        <v>39747</v>
      </c>
      <c r="DF122" s="161">
        <f t="shared" si="95"/>
        <v>0</v>
      </c>
      <c r="DG122" s="161">
        <f t="shared" si="96"/>
        <v>0</v>
      </c>
      <c r="DH122" s="161">
        <f t="shared" si="97"/>
        <v>0</v>
      </c>
      <c r="DI122" s="161">
        <f t="shared" si="98"/>
        <v>0</v>
      </c>
      <c r="DJ122" s="161">
        <f t="shared" si="99"/>
        <v>0</v>
      </c>
      <c r="DK122" s="161">
        <f t="shared" si="100"/>
        <v>0</v>
      </c>
      <c r="DL122" s="161">
        <f t="shared" si="101"/>
        <v>0</v>
      </c>
      <c r="DM122" s="161">
        <f t="shared" si="102"/>
        <v>0</v>
      </c>
      <c r="DN122" s="161">
        <f t="shared" si="103"/>
        <v>0</v>
      </c>
      <c r="DO122" s="161">
        <f t="shared" si="104"/>
        <v>0</v>
      </c>
      <c r="DP122" s="161">
        <f t="shared" si="105"/>
        <v>0</v>
      </c>
      <c r="DQ122" s="161">
        <f t="shared" si="106"/>
        <v>0</v>
      </c>
      <c r="DR122" s="161">
        <f t="shared" si="107"/>
        <v>0</v>
      </c>
      <c r="DS122" s="161">
        <f t="shared" si="108"/>
        <v>0</v>
      </c>
      <c r="DT122" s="161">
        <f t="shared" si="109"/>
        <v>0</v>
      </c>
      <c r="DU122" s="161">
        <f t="shared" si="110"/>
        <v>0</v>
      </c>
      <c r="DV122" s="161">
        <f t="shared" si="111"/>
        <v>0</v>
      </c>
      <c r="DW122" s="161">
        <f t="shared" si="112"/>
        <v>0</v>
      </c>
      <c r="DX122" s="161">
        <f t="shared" si="113"/>
        <v>0</v>
      </c>
      <c r="DY122" s="161">
        <f t="shared" si="114"/>
        <v>0</v>
      </c>
      <c r="DZ122" s="161">
        <f t="shared" si="115"/>
        <v>0</v>
      </c>
      <c r="EA122" s="161">
        <f t="shared" si="116"/>
        <v>0</v>
      </c>
      <c r="EB122" s="161">
        <f t="shared" si="117"/>
        <v>0</v>
      </c>
      <c r="EC122" s="161">
        <f t="shared" si="118"/>
        <v>0</v>
      </c>
      <c r="ED122" s="161">
        <f t="shared" si="119"/>
        <v>0</v>
      </c>
      <c r="EE122" s="161">
        <f t="shared" si="120"/>
        <v>0</v>
      </c>
      <c r="EF122" s="161">
        <f t="shared" si="121"/>
        <v>0</v>
      </c>
      <c r="EG122" s="161">
        <f t="shared" si="122"/>
        <v>0</v>
      </c>
      <c r="EH122" s="161">
        <f t="shared" si="123"/>
        <v>0</v>
      </c>
      <c r="EI122" s="161">
        <f t="shared" si="124"/>
        <v>0</v>
      </c>
      <c r="EJ122" s="161">
        <f t="shared" si="125"/>
        <v>0</v>
      </c>
      <c r="EK122" s="147">
        <f t="shared" si="132"/>
        <v>0</v>
      </c>
      <c r="EL122" s="149"/>
      <c r="EN122" s="146"/>
      <c r="EO122" s="146"/>
      <c r="EP122" s="139">
        <f t="shared" si="133"/>
        <v>0</v>
      </c>
      <c r="EQ122" s="139">
        <f t="shared" si="134"/>
        <v>0</v>
      </c>
      <c r="ER122" s="139">
        <f t="shared" si="135"/>
        <v>0</v>
      </c>
      <c r="ES122" s="139">
        <f t="shared" si="136"/>
        <v>0</v>
      </c>
      <c r="ET122" s="139">
        <f t="shared" si="137"/>
        <v>0</v>
      </c>
      <c r="EU122" s="139">
        <f t="shared" si="138"/>
        <v>0</v>
      </c>
      <c r="EV122" s="139">
        <f t="shared" si="139"/>
        <v>0</v>
      </c>
      <c r="EW122" s="139">
        <f t="shared" si="140"/>
        <v>0</v>
      </c>
      <c r="EX122" s="139">
        <f t="shared" si="141"/>
        <v>0</v>
      </c>
      <c r="EY122" s="139">
        <f t="shared" si="142"/>
        <v>0</v>
      </c>
      <c r="EZ122" s="139">
        <f t="shared" si="143"/>
        <v>0</v>
      </c>
      <c r="FA122" s="139">
        <f t="shared" si="144"/>
        <v>0</v>
      </c>
      <c r="FB122" s="139">
        <f t="shared" si="145"/>
        <v>0</v>
      </c>
      <c r="FC122" s="139">
        <f t="shared" si="146"/>
        <v>0</v>
      </c>
      <c r="FD122" s="139">
        <f t="shared" si="147"/>
        <v>0</v>
      </c>
      <c r="FE122" s="139">
        <f t="shared" si="148"/>
        <v>0</v>
      </c>
      <c r="FF122" s="139">
        <f t="shared" si="149"/>
        <v>0</v>
      </c>
      <c r="FG122" s="139">
        <f t="shared" si="150"/>
        <v>0</v>
      </c>
      <c r="FH122" s="139">
        <f t="shared" si="151"/>
        <v>0</v>
      </c>
      <c r="FI122" s="139">
        <f t="shared" si="152"/>
        <v>0</v>
      </c>
      <c r="FJ122" s="139">
        <f t="shared" si="153"/>
        <v>0</v>
      </c>
      <c r="FK122" s="139">
        <f t="shared" si="154"/>
        <v>0</v>
      </c>
      <c r="FL122" s="139">
        <f t="shared" si="155"/>
        <v>0</v>
      </c>
      <c r="FM122" s="139">
        <f t="shared" si="156"/>
        <v>0</v>
      </c>
      <c r="FN122" s="139">
        <f t="shared" si="157"/>
        <v>0</v>
      </c>
      <c r="FO122" s="139">
        <f t="shared" si="158"/>
        <v>0</v>
      </c>
      <c r="FP122" s="139">
        <f t="shared" si="159"/>
        <v>0</v>
      </c>
      <c r="FQ122" s="139">
        <f t="shared" si="160"/>
        <v>0</v>
      </c>
      <c r="FR122" s="139">
        <f t="shared" si="161"/>
        <v>0</v>
      </c>
      <c r="FS122" s="139">
        <f t="shared" si="162"/>
        <v>0</v>
      </c>
      <c r="FT122" s="139">
        <f t="shared" si="163"/>
        <v>0</v>
      </c>
      <c r="FU122" s="148">
        <f t="shared" si="164"/>
        <v>0</v>
      </c>
      <c r="FV122" s="149"/>
      <c r="FY122" s="213">
        <v>117</v>
      </c>
      <c r="FZ122">
        <v>3.3577595644647293</v>
      </c>
      <c r="GA122">
        <v>9.0110820878881785</v>
      </c>
      <c r="GB122">
        <v>3.6143318846245096</v>
      </c>
      <c r="GC122">
        <v>0.83495502788321374</v>
      </c>
      <c r="GD122">
        <v>1.3266955756211811</v>
      </c>
      <c r="GE122">
        <v>1.3899874070050173</v>
      </c>
      <c r="GF122">
        <v>0</v>
      </c>
      <c r="GG122">
        <v>9.1130597234771837</v>
      </c>
      <c r="GH122">
        <v>12.781633202218728</v>
      </c>
      <c r="GI122">
        <v>4.2962503104494374</v>
      </c>
      <c r="GJ122"/>
      <c r="GK122"/>
      <c r="GL122"/>
      <c r="GM122"/>
      <c r="GN122" s="208"/>
      <c r="GO122" s="208"/>
      <c r="GP122" s="208"/>
      <c r="GQ122" s="208"/>
      <c r="GR122" s="208"/>
      <c r="GS122" s="208"/>
      <c r="GT122" s="208"/>
      <c r="GU122" s="213">
        <v>117</v>
      </c>
    </row>
    <row r="123" spans="1:203" s="7" customFormat="1">
      <c r="A123" s="1"/>
      <c r="B123" s="76">
        <f ca="1">IF(C123="", "", RAND())</f>
        <v>0.55990131113728303</v>
      </c>
      <c r="C123">
        <v>1</v>
      </c>
      <c r="D123">
        <v>39747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35.959906951286264</v>
      </c>
      <c r="AO123">
        <v>8.4371771998954301</v>
      </c>
      <c r="AP123">
        <v>175.75287197799904</v>
      </c>
      <c r="AQ123">
        <v>57.683089048236226</v>
      </c>
      <c r="AR123">
        <v>7.8329749033922065</v>
      </c>
      <c r="AS123">
        <v>95.899772033581868</v>
      </c>
      <c r="AT123" t="e">
        <v>#DIV/0!</v>
      </c>
      <c r="AU123" t="e">
        <v>#DIV/0!</v>
      </c>
      <c r="AV123"/>
      <c r="AW123"/>
      <c r="AX123" s="146"/>
      <c r="AY123" s="76">
        <f t="shared" ca="1" si="88"/>
        <v>0.78998596474842575</v>
      </c>
      <c r="AZ123">
        <v>6</v>
      </c>
      <c r="BA123" s="129">
        <f t="shared" si="131"/>
        <v>39747</v>
      </c>
      <c r="BB123" s="207">
        <v>0</v>
      </c>
      <c r="BC123" s="207">
        <v>0</v>
      </c>
      <c r="BD123" s="207">
        <v>0</v>
      </c>
      <c r="BE123" s="207">
        <v>0</v>
      </c>
      <c r="BF123" s="207">
        <v>0</v>
      </c>
      <c r="BG123" s="207">
        <v>0</v>
      </c>
      <c r="BH123" s="207">
        <v>0</v>
      </c>
      <c r="BI123" s="207">
        <v>0</v>
      </c>
      <c r="BJ123" s="207">
        <v>0</v>
      </c>
      <c r="BK123" s="207">
        <v>0</v>
      </c>
      <c r="BL123" s="207">
        <v>0</v>
      </c>
      <c r="BM123" s="207">
        <v>0</v>
      </c>
      <c r="BN123" s="207">
        <v>0</v>
      </c>
      <c r="BO123" s="207">
        <v>0</v>
      </c>
      <c r="BP123" s="207">
        <v>0</v>
      </c>
      <c r="BQ123" s="207">
        <v>0</v>
      </c>
      <c r="BR123" s="207">
        <v>0</v>
      </c>
      <c r="BS123" s="207">
        <v>0</v>
      </c>
      <c r="BT123" s="207">
        <v>0</v>
      </c>
      <c r="BU123" s="207">
        <v>0</v>
      </c>
      <c r="BV123" s="207">
        <v>0</v>
      </c>
      <c r="BW123" s="207">
        <v>0</v>
      </c>
      <c r="BX123" s="207">
        <v>0</v>
      </c>
      <c r="BY123" s="207">
        <v>0</v>
      </c>
      <c r="BZ123" s="207">
        <v>0</v>
      </c>
      <c r="CA123" s="207">
        <v>0</v>
      </c>
      <c r="CB123" s="207">
        <v>0</v>
      </c>
      <c r="CC123" s="207">
        <v>0</v>
      </c>
      <c r="CD123" s="207">
        <v>0</v>
      </c>
      <c r="CE123" s="207">
        <v>0</v>
      </c>
      <c r="CF123" s="207">
        <v>0</v>
      </c>
      <c r="CG123" s="147"/>
      <c r="CH123" s="176"/>
      <c r="CJ123" s="146"/>
      <c r="CK123" s="76">
        <f t="shared" ca="1" si="90"/>
        <v>0.81618231776995653</v>
      </c>
      <c r="CL123" s="179">
        <f t="shared" si="91"/>
        <v>6</v>
      </c>
      <c r="CM123" s="180">
        <f t="shared" si="92"/>
        <v>39747</v>
      </c>
      <c r="CN123" s="208">
        <v>0</v>
      </c>
      <c r="CO123" s="208">
        <v>0</v>
      </c>
      <c r="CP123" s="208">
        <v>0</v>
      </c>
      <c r="CQ123" s="208">
        <v>0</v>
      </c>
      <c r="CR123" s="208">
        <v>0</v>
      </c>
      <c r="CS123" s="208">
        <v>0</v>
      </c>
      <c r="CT123" s="208">
        <v>0</v>
      </c>
      <c r="CU123" s="208">
        <v>0</v>
      </c>
      <c r="CV123" s="160"/>
      <c r="CW123" s="178">
        <v>1</v>
      </c>
      <c r="CX123">
        <f>375/60</f>
        <v>6.25</v>
      </c>
      <c r="CY123" s="160"/>
      <c r="CZ123" s="177">
        <f t="shared" si="93"/>
        <v>9.6000000000000002E-2</v>
      </c>
      <c r="DB123" s="146"/>
      <c r="DC123" s="76">
        <f t="shared" ca="1" si="51"/>
        <v>0.66196487915869628</v>
      </c>
      <c r="DD123">
        <f t="shared" si="94"/>
        <v>6</v>
      </c>
      <c r="DE123" s="129">
        <f t="shared" si="130"/>
        <v>39747</v>
      </c>
      <c r="DF123" s="161">
        <f t="shared" si="95"/>
        <v>0</v>
      </c>
      <c r="DG123" s="161">
        <f t="shared" si="96"/>
        <v>0</v>
      </c>
      <c r="DH123" s="161">
        <f t="shared" si="97"/>
        <v>0</v>
      </c>
      <c r="DI123" s="161">
        <f t="shared" si="98"/>
        <v>0</v>
      </c>
      <c r="DJ123" s="161">
        <f t="shared" si="99"/>
        <v>0</v>
      </c>
      <c r="DK123" s="161">
        <f t="shared" si="100"/>
        <v>0</v>
      </c>
      <c r="DL123" s="161">
        <f t="shared" si="101"/>
        <v>0</v>
      </c>
      <c r="DM123" s="161">
        <f t="shared" si="102"/>
        <v>0</v>
      </c>
      <c r="DN123" s="161">
        <f t="shared" si="103"/>
        <v>0</v>
      </c>
      <c r="DO123" s="161">
        <f t="shared" si="104"/>
        <v>0</v>
      </c>
      <c r="DP123" s="161">
        <f t="shared" si="105"/>
        <v>0</v>
      </c>
      <c r="DQ123" s="161">
        <f t="shared" si="106"/>
        <v>0</v>
      </c>
      <c r="DR123" s="161">
        <f t="shared" si="107"/>
        <v>0</v>
      </c>
      <c r="DS123" s="161">
        <f t="shared" si="108"/>
        <v>0</v>
      </c>
      <c r="DT123" s="161">
        <f t="shared" si="109"/>
        <v>0</v>
      </c>
      <c r="DU123" s="161">
        <f t="shared" si="110"/>
        <v>0</v>
      </c>
      <c r="DV123" s="161">
        <f t="shared" si="111"/>
        <v>0</v>
      </c>
      <c r="DW123" s="161">
        <f t="shared" si="112"/>
        <v>0</v>
      </c>
      <c r="DX123" s="161">
        <f t="shared" si="113"/>
        <v>0</v>
      </c>
      <c r="DY123" s="161">
        <f t="shared" si="114"/>
        <v>0</v>
      </c>
      <c r="DZ123" s="161">
        <f t="shared" si="115"/>
        <v>0</v>
      </c>
      <c r="EA123" s="161">
        <f t="shared" si="116"/>
        <v>0</v>
      </c>
      <c r="EB123" s="161">
        <f t="shared" si="117"/>
        <v>0</v>
      </c>
      <c r="EC123" s="161">
        <f t="shared" si="118"/>
        <v>0</v>
      </c>
      <c r="ED123" s="161">
        <f t="shared" si="119"/>
        <v>0</v>
      </c>
      <c r="EE123" s="161">
        <f t="shared" si="120"/>
        <v>0</v>
      </c>
      <c r="EF123" s="161">
        <f t="shared" si="121"/>
        <v>0</v>
      </c>
      <c r="EG123" s="161">
        <f t="shared" si="122"/>
        <v>0</v>
      </c>
      <c r="EH123" s="161">
        <f t="shared" si="123"/>
        <v>0</v>
      </c>
      <c r="EI123" s="161">
        <f t="shared" si="124"/>
        <v>0</v>
      </c>
      <c r="EJ123" s="161">
        <f t="shared" si="125"/>
        <v>0</v>
      </c>
      <c r="EK123" s="147">
        <f t="shared" si="132"/>
        <v>0</v>
      </c>
      <c r="EL123" s="149"/>
      <c r="EN123" s="146"/>
      <c r="EO123" s="146"/>
      <c r="EP123" s="139">
        <f t="shared" si="133"/>
        <v>0</v>
      </c>
      <c r="EQ123" s="139">
        <f t="shared" si="134"/>
        <v>0</v>
      </c>
      <c r="ER123" s="139">
        <f t="shared" si="135"/>
        <v>0</v>
      </c>
      <c r="ES123" s="139">
        <f t="shared" si="136"/>
        <v>0</v>
      </c>
      <c r="ET123" s="139">
        <f t="shared" si="137"/>
        <v>0</v>
      </c>
      <c r="EU123" s="139">
        <f t="shared" si="138"/>
        <v>0</v>
      </c>
      <c r="EV123" s="139">
        <f t="shared" si="139"/>
        <v>0</v>
      </c>
      <c r="EW123" s="139">
        <f t="shared" si="140"/>
        <v>0</v>
      </c>
      <c r="EX123" s="139">
        <f t="shared" si="141"/>
        <v>0</v>
      </c>
      <c r="EY123" s="139">
        <f t="shared" si="142"/>
        <v>0</v>
      </c>
      <c r="EZ123" s="139">
        <f t="shared" si="143"/>
        <v>0</v>
      </c>
      <c r="FA123" s="139">
        <f t="shared" si="144"/>
        <v>0</v>
      </c>
      <c r="FB123" s="139">
        <f t="shared" si="145"/>
        <v>0</v>
      </c>
      <c r="FC123" s="139">
        <f t="shared" si="146"/>
        <v>0</v>
      </c>
      <c r="FD123" s="139">
        <f t="shared" si="147"/>
        <v>0</v>
      </c>
      <c r="FE123" s="139">
        <f t="shared" si="148"/>
        <v>0</v>
      </c>
      <c r="FF123" s="139">
        <f t="shared" si="149"/>
        <v>0</v>
      </c>
      <c r="FG123" s="139">
        <f t="shared" si="150"/>
        <v>0</v>
      </c>
      <c r="FH123" s="139">
        <f t="shared" si="151"/>
        <v>0</v>
      </c>
      <c r="FI123" s="139">
        <f t="shared" si="152"/>
        <v>0</v>
      </c>
      <c r="FJ123" s="139">
        <f t="shared" si="153"/>
        <v>0</v>
      </c>
      <c r="FK123" s="139">
        <f t="shared" si="154"/>
        <v>0</v>
      </c>
      <c r="FL123" s="139">
        <f t="shared" si="155"/>
        <v>0</v>
      </c>
      <c r="FM123" s="139">
        <f t="shared" si="156"/>
        <v>0</v>
      </c>
      <c r="FN123" s="139">
        <f t="shared" si="157"/>
        <v>0</v>
      </c>
      <c r="FO123" s="139">
        <f t="shared" si="158"/>
        <v>0</v>
      </c>
      <c r="FP123" s="139">
        <f t="shared" si="159"/>
        <v>0</v>
      </c>
      <c r="FQ123" s="139">
        <f t="shared" si="160"/>
        <v>0</v>
      </c>
      <c r="FR123" s="139">
        <f t="shared" si="161"/>
        <v>0</v>
      </c>
      <c r="FS123" s="139">
        <f t="shared" si="162"/>
        <v>0</v>
      </c>
      <c r="FT123" s="139">
        <f t="shared" si="163"/>
        <v>0</v>
      </c>
      <c r="FU123" s="148">
        <f t="shared" si="164"/>
        <v>0</v>
      </c>
      <c r="FV123" s="149"/>
      <c r="FY123" s="213">
        <v>118</v>
      </c>
      <c r="FZ123">
        <v>1.596276202757001</v>
      </c>
      <c r="GA123">
        <v>18.830541093754224</v>
      </c>
      <c r="GB123">
        <v>8.2679359415997808</v>
      </c>
      <c r="GC123">
        <v>1.1752886190159173</v>
      </c>
      <c r="GD123">
        <v>2.5556593366288158</v>
      </c>
      <c r="GE123">
        <v>3.9347922376172924</v>
      </c>
      <c r="GF123">
        <v>0.95469624988012047</v>
      </c>
      <c r="GG123">
        <v>2.9035501733129117</v>
      </c>
      <c r="GH123">
        <v>4.0526889260906458</v>
      </c>
      <c r="GI123">
        <v>4.7535303889567944</v>
      </c>
      <c r="GJ123"/>
      <c r="GK123"/>
      <c r="GL123"/>
      <c r="GM123"/>
      <c r="GN123" s="208"/>
      <c r="GO123" s="208"/>
      <c r="GP123" s="208"/>
      <c r="GQ123" s="208"/>
      <c r="GR123" s="208"/>
      <c r="GS123" s="208"/>
      <c r="GT123" s="208"/>
      <c r="GU123" s="213">
        <v>118</v>
      </c>
    </row>
    <row r="124" spans="1:203" s="7" customFormat="1">
      <c r="A124" s="1"/>
      <c r="B124" s="76">
        <f ca="1">IF(C124="", "", RAND())</f>
        <v>0.39926570449792553</v>
      </c>
      <c r="C124">
        <v>3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23.848299808429118</v>
      </c>
      <c r="AO124">
        <v>5.9068960244825899</v>
      </c>
      <c r="AP124">
        <v>65.587276211367652</v>
      </c>
      <c r="AQ124">
        <v>39.605968836765776</v>
      </c>
      <c r="AR124">
        <v>5.4241767476617486</v>
      </c>
      <c r="AS124">
        <v>68.699679870306497</v>
      </c>
      <c r="AT124" t="e">
        <v>#DIV/0!</v>
      </c>
      <c r="AU124" t="e">
        <v>#DIV/0!</v>
      </c>
      <c r="AV124"/>
      <c r="AW124"/>
      <c r="AX124" s="146"/>
      <c r="AY124" s="76">
        <f t="shared" ca="1" si="88"/>
        <v>0.8497737700771677</v>
      </c>
      <c r="AZ124">
        <v>7</v>
      </c>
      <c r="BA124" s="129">
        <f t="shared" si="131"/>
        <v>39747</v>
      </c>
      <c r="BB124" s="207">
        <v>0</v>
      </c>
      <c r="BC124" s="207">
        <v>0</v>
      </c>
      <c r="BD124" s="207">
        <v>0</v>
      </c>
      <c r="BE124" s="207">
        <v>0</v>
      </c>
      <c r="BF124" s="207">
        <v>0</v>
      </c>
      <c r="BG124" s="207">
        <v>0</v>
      </c>
      <c r="BH124" s="207">
        <v>0</v>
      </c>
      <c r="BI124" s="207">
        <v>0</v>
      </c>
      <c r="BJ124" s="207">
        <v>0</v>
      </c>
      <c r="BK124" s="207">
        <v>0</v>
      </c>
      <c r="BL124" s="207">
        <v>0</v>
      </c>
      <c r="BM124" s="207">
        <v>0</v>
      </c>
      <c r="BN124" s="207">
        <v>0</v>
      </c>
      <c r="BO124" s="207">
        <v>0</v>
      </c>
      <c r="BP124" s="207">
        <v>0</v>
      </c>
      <c r="BQ124" s="207">
        <v>0</v>
      </c>
      <c r="BR124" s="207">
        <v>0</v>
      </c>
      <c r="BS124" s="207">
        <v>0</v>
      </c>
      <c r="BT124" s="207">
        <v>0</v>
      </c>
      <c r="BU124" s="207">
        <v>0</v>
      </c>
      <c r="BV124" s="207">
        <v>0</v>
      </c>
      <c r="BW124" s="207">
        <v>0</v>
      </c>
      <c r="BX124" s="207">
        <v>0</v>
      </c>
      <c r="BY124" s="207">
        <v>0</v>
      </c>
      <c r="BZ124" s="207">
        <v>0</v>
      </c>
      <c r="CA124" s="207">
        <v>0</v>
      </c>
      <c r="CB124" s="207">
        <v>0</v>
      </c>
      <c r="CC124" s="207">
        <v>0</v>
      </c>
      <c r="CD124" s="207">
        <v>0</v>
      </c>
      <c r="CE124" s="207">
        <v>0</v>
      </c>
      <c r="CF124" s="207">
        <v>0</v>
      </c>
      <c r="CG124" s="147"/>
      <c r="CH124" s="176"/>
      <c r="CJ124" s="146"/>
      <c r="CK124" s="76">
        <f t="shared" ca="1" si="90"/>
        <v>0.19864050375133591</v>
      </c>
      <c r="CL124" s="179">
        <f t="shared" si="91"/>
        <v>7</v>
      </c>
      <c r="CM124" s="180">
        <f t="shared" si="92"/>
        <v>39747</v>
      </c>
      <c r="CN124" s="208">
        <v>0</v>
      </c>
      <c r="CO124" s="208">
        <v>0</v>
      </c>
      <c r="CP124" s="208">
        <v>0</v>
      </c>
      <c r="CQ124" s="208">
        <v>0</v>
      </c>
      <c r="CR124" s="208">
        <v>0</v>
      </c>
      <c r="CS124" s="208">
        <v>0</v>
      </c>
      <c r="CT124" s="208">
        <v>0</v>
      </c>
      <c r="CU124" s="208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3"/>
        <v>9.6000000000000002E-2</v>
      </c>
      <c r="DB124" s="146"/>
      <c r="DC124" s="76">
        <f t="shared" ca="1" si="51"/>
        <v>0.18124618572762152</v>
      </c>
      <c r="DD124">
        <f t="shared" si="94"/>
        <v>7</v>
      </c>
      <c r="DE124" s="129">
        <f t="shared" si="130"/>
        <v>39747</v>
      </c>
      <c r="DF124" s="161">
        <f t="shared" si="95"/>
        <v>0</v>
      </c>
      <c r="DG124" s="161">
        <f t="shared" si="96"/>
        <v>0</v>
      </c>
      <c r="DH124" s="161">
        <f t="shared" si="97"/>
        <v>0</v>
      </c>
      <c r="DI124" s="161">
        <f t="shared" si="98"/>
        <v>0</v>
      </c>
      <c r="DJ124" s="161">
        <f t="shared" si="99"/>
        <v>0</v>
      </c>
      <c r="DK124" s="161">
        <f t="shared" si="100"/>
        <v>0</v>
      </c>
      <c r="DL124" s="161">
        <f t="shared" si="101"/>
        <v>0</v>
      </c>
      <c r="DM124" s="161">
        <f t="shared" si="102"/>
        <v>0</v>
      </c>
      <c r="DN124" s="161">
        <f t="shared" si="103"/>
        <v>0</v>
      </c>
      <c r="DO124" s="161">
        <f t="shared" si="104"/>
        <v>0</v>
      </c>
      <c r="DP124" s="161">
        <f t="shared" si="105"/>
        <v>0</v>
      </c>
      <c r="DQ124" s="161">
        <f t="shared" si="106"/>
        <v>0</v>
      </c>
      <c r="DR124" s="161">
        <f t="shared" si="107"/>
        <v>0</v>
      </c>
      <c r="DS124" s="161">
        <f t="shared" si="108"/>
        <v>0</v>
      </c>
      <c r="DT124" s="161">
        <f t="shared" si="109"/>
        <v>0</v>
      </c>
      <c r="DU124" s="161">
        <f t="shared" si="110"/>
        <v>0</v>
      </c>
      <c r="DV124" s="161">
        <f t="shared" si="111"/>
        <v>0</v>
      </c>
      <c r="DW124" s="161">
        <f t="shared" si="112"/>
        <v>0</v>
      </c>
      <c r="DX124" s="161">
        <f t="shared" si="113"/>
        <v>0</v>
      </c>
      <c r="DY124" s="161">
        <f t="shared" si="114"/>
        <v>0</v>
      </c>
      <c r="DZ124" s="161">
        <f t="shared" si="115"/>
        <v>0</v>
      </c>
      <c r="EA124" s="161">
        <f t="shared" si="116"/>
        <v>0</v>
      </c>
      <c r="EB124" s="161">
        <f t="shared" si="117"/>
        <v>0</v>
      </c>
      <c r="EC124" s="161">
        <f t="shared" si="118"/>
        <v>0</v>
      </c>
      <c r="ED124" s="161">
        <f t="shared" si="119"/>
        <v>0</v>
      </c>
      <c r="EE124" s="161">
        <f t="shared" si="120"/>
        <v>0</v>
      </c>
      <c r="EF124" s="161">
        <f t="shared" si="121"/>
        <v>0</v>
      </c>
      <c r="EG124" s="161">
        <f t="shared" si="122"/>
        <v>0</v>
      </c>
      <c r="EH124" s="161">
        <f t="shared" si="123"/>
        <v>0</v>
      </c>
      <c r="EI124" s="161">
        <f t="shared" si="124"/>
        <v>0</v>
      </c>
      <c r="EJ124" s="161">
        <f t="shared" si="125"/>
        <v>0</v>
      </c>
      <c r="EK124" s="147">
        <f t="shared" si="132"/>
        <v>0</v>
      </c>
      <c r="EL124" s="149"/>
      <c r="EN124" s="146"/>
      <c r="EO124" s="146"/>
      <c r="EP124" s="139">
        <f t="shared" si="133"/>
        <v>0</v>
      </c>
      <c r="EQ124" s="139">
        <f t="shared" si="134"/>
        <v>0</v>
      </c>
      <c r="ER124" s="139">
        <f t="shared" si="135"/>
        <v>0</v>
      </c>
      <c r="ES124" s="139">
        <f t="shared" si="136"/>
        <v>0</v>
      </c>
      <c r="ET124" s="139">
        <f t="shared" si="137"/>
        <v>0</v>
      </c>
      <c r="EU124" s="139">
        <f t="shared" si="138"/>
        <v>0</v>
      </c>
      <c r="EV124" s="139">
        <f t="shared" si="139"/>
        <v>0</v>
      </c>
      <c r="EW124" s="139">
        <f t="shared" si="140"/>
        <v>0</v>
      </c>
      <c r="EX124" s="139">
        <f t="shared" si="141"/>
        <v>0</v>
      </c>
      <c r="EY124" s="139">
        <f t="shared" si="142"/>
        <v>0</v>
      </c>
      <c r="EZ124" s="139">
        <f t="shared" si="143"/>
        <v>0</v>
      </c>
      <c r="FA124" s="139">
        <f t="shared" si="144"/>
        <v>0</v>
      </c>
      <c r="FB124" s="139">
        <f t="shared" si="145"/>
        <v>0</v>
      </c>
      <c r="FC124" s="139">
        <f t="shared" si="146"/>
        <v>0</v>
      </c>
      <c r="FD124" s="139">
        <f t="shared" si="147"/>
        <v>0</v>
      </c>
      <c r="FE124" s="139">
        <f t="shared" si="148"/>
        <v>0</v>
      </c>
      <c r="FF124" s="139">
        <f t="shared" si="149"/>
        <v>0</v>
      </c>
      <c r="FG124" s="139">
        <f t="shared" si="150"/>
        <v>0</v>
      </c>
      <c r="FH124" s="139">
        <f t="shared" si="151"/>
        <v>0</v>
      </c>
      <c r="FI124" s="139">
        <f t="shared" si="152"/>
        <v>0</v>
      </c>
      <c r="FJ124" s="139">
        <f t="shared" si="153"/>
        <v>0</v>
      </c>
      <c r="FK124" s="139">
        <f t="shared" si="154"/>
        <v>0</v>
      </c>
      <c r="FL124" s="139">
        <f t="shared" si="155"/>
        <v>0</v>
      </c>
      <c r="FM124" s="139">
        <f t="shared" si="156"/>
        <v>0</v>
      </c>
      <c r="FN124" s="139">
        <f t="shared" si="157"/>
        <v>0</v>
      </c>
      <c r="FO124" s="139">
        <f t="shared" si="158"/>
        <v>0</v>
      </c>
      <c r="FP124" s="139">
        <f t="shared" si="159"/>
        <v>0</v>
      </c>
      <c r="FQ124" s="139">
        <f t="shared" si="160"/>
        <v>0</v>
      </c>
      <c r="FR124" s="139">
        <f t="shared" si="161"/>
        <v>0</v>
      </c>
      <c r="FS124" s="139">
        <f t="shared" si="162"/>
        <v>0</v>
      </c>
      <c r="FT124" s="139">
        <f t="shared" si="163"/>
        <v>0</v>
      </c>
      <c r="FU124" s="148">
        <f t="shared" si="164"/>
        <v>0</v>
      </c>
      <c r="FV124" s="149"/>
      <c r="FY124" s="213">
        <v>119</v>
      </c>
      <c r="FZ124">
        <v>2.7705984438954863</v>
      </c>
      <c r="GA124">
        <v>12.99244470855194</v>
      </c>
      <c r="GB124">
        <v>5.6297639563655233</v>
      </c>
      <c r="GC124">
        <v>0.93809528275072762</v>
      </c>
      <c r="GD124">
        <v>1.9061549062212806</v>
      </c>
      <c r="GE124">
        <v>2.4035923587023471</v>
      </c>
      <c r="GF124">
        <v>0</v>
      </c>
      <c r="GG124">
        <v>1.9984475587149273</v>
      </c>
      <c r="GH124">
        <v>2.7417834741637517</v>
      </c>
      <c r="GI124">
        <v>3.4000801257681381</v>
      </c>
      <c r="GJ124"/>
      <c r="GK124"/>
      <c r="GL124"/>
      <c r="GM124"/>
      <c r="GN124" s="208"/>
      <c r="GO124" s="208"/>
      <c r="GP124" s="208"/>
      <c r="GQ124" s="208"/>
      <c r="GR124" s="208"/>
      <c r="GS124" s="208"/>
      <c r="GT124" s="208"/>
      <c r="GU124" s="213">
        <v>119</v>
      </c>
    </row>
    <row r="125" spans="1:203" s="7" customFormat="1">
      <c r="A125" s="1"/>
      <c r="B125" s="76">
        <f ca="1">IF(C125="", "", RAND())</f>
        <v>0.417990253407865</v>
      </c>
      <c r="C125">
        <v>7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38.593853451573125</v>
      </c>
      <c r="AO125">
        <v>6.3215507874825807</v>
      </c>
      <c r="AP125">
        <v>210.04526410352855</v>
      </c>
      <c r="AQ125">
        <v>37.88576824762405</v>
      </c>
      <c r="AR125">
        <v>5.8011356231162843</v>
      </c>
      <c r="AS125">
        <v>89.103874472044353</v>
      </c>
      <c r="AT125" t="e">
        <v>#DIV/0!</v>
      </c>
      <c r="AU125" t="e">
        <v>#DIV/0!</v>
      </c>
      <c r="AV125"/>
      <c r="AW125"/>
      <c r="AX125" s="146"/>
      <c r="AY125" s="76">
        <f t="shared" ca="1" si="88"/>
        <v>0.14596634504777062</v>
      </c>
      <c r="AZ125">
        <v>8</v>
      </c>
      <c r="BA125" s="129">
        <f t="shared" si="131"/>
        <v>39747</v>
      </c>
      <c r="BB125" s="207">
        <v>0</v>
      </c>
      <c r="BC125" s="207">
        <v>0</v>
      </c>
      <c r="BD125" s="207">
        <v>0</v>
      </c>
      <c r="BE125" s="207">
        <v>0</v>
      </c>
      <c r="BF125" s="207">
        <v>0</v>
      </c>
      <c r="BG125" s="207">
        <v>0</v>
      </c>
      <c r="BH125" s="207">
        <v>0</v>
      </c>
      <c r="BI125" s="207">
        <v>0</v>
      </c>
      <c r="BJ125" s="207">
        <v>0</v>
      </c>
      <c r="BK125" s="207">
        <v>0</v>
      </c>
      <c r="BL125" s="207">
        <v>0</v>
      </c>
      <c r="BM125" s="207">
        <v>0</v>
      </c>
      <c r="BN125" s="207">
        <v>0</v>
      </c>
      <c r="BO125" s="207">
        <v>0</v>
      </c>
      <c r="BP125" s="207">
        <v>0</v>
      </c>
      <c r="BQ125" s="207">
        <v>0</v>
      </c>
      <c r="BR125" s="207">
        <v>0</v>
      </c>
      <c r="BS125" s="207">
        <v>0</v>
      </c>
      <c r="BT125" s="207">
        <v>0</v>
      </c>
      <c r="BU125" s="207">
        <v>0</v>
      </c>
      <c r="BV125" s="207">
        <v>0</v>
      </c>
      <c r="BW125" s="207">
        <v>0</v>
      </c>
      <c r="BX125" s="207">
        <v>0</v>
      </c>
      <c r="BY125" s="207">
        <v>0</v>
      </c>
      <c r="BZ125" s="207">
        <v>0</v>
      </c>
      <c r="CA125" s="207">
        <v>0</v>
      </c>
      <c r="CB125" s="207">
        <v>0</v>
      </c>
      <c r="CC125" s="207">
        <v>0</v>
      </c>
      <c r="CD125" s="207">
        <v>0</v>
      </c>
      <c r="CE125" s="207">
        <v>0</v>
      </c>
      <c r="CF125" s="207">
        <v>0</v>
      </c>
      <c r="CG125" s="147"/>
      <c r="CH125" s="176"/>
      <c r="CJ125" s="146"/>
      <c r="CK125" s="76">
        <f t="shared" ca="1" si="90"/>
        <v>0.1676735592770342</v>
      </c>
      <c r="CL125" s="179">
        <f t="shared" si="91"/>
        <v>8</v>
      </c>
      <c r="CM125" s="180">
        <f t="shared" si="92"/>
        <v>39747</v>
      </c>
      <c r="CN125" s="208">
        <v>0</v>
      </c>
      <c r="CO125" s="208">
        <v>0</v>
      </c>
      <c r="CP125" s="208">
        <v>0</v>
      </c>
      <c r="CQ125" s="208">
        <v>0</v>
      </c>
      <c r="CR125" s="208">
        <v>0</v>
      </c>
      <c r="CS125" s="208">
        <v>0</v>
      </c>
      <c r="CT125" s="208">
        <v>0</v>
      </c>
      <c r="CU125" s="208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3"/>
        <v>9.6000000000000002E-2</v>
      </c>
      <c r="DB125" s="146"/>
      <c r="DC125" s="76">
        <f t="shared" ca="1" si="51"/>
        <v>0.72697304718316147</v>
      </c>
      <c r="DD125">
        <f t="shared" si="94"/>
        <v>8</v>
      </c>
      <c r="DE125" s="129">
        <f t="shared" si="130"/>
        <v>39747</v>
      </c>
      <c r="DF125" s="161">
        <f t="shared" si="95"/>
        <v>0</v>
      </c>
      <c r="DG125" s="161">
        <f t="shared" si="96"/>
        <v>0</v>
      </c>
      <c r="DH125" s="161">
        <f t="shared" si="97"/>
        <v>0</v>
      </c>
      <c r="DI125" s="161">
        <f t="shared" si="98"/>
        <v>0</v>
      </c>
      <c r="DJ125" s="161">
        <f t="shared" si="99"/>
        <v>0</v>
      </c>
      <c r="DK125" s="161">
        <f t="shared" si="100"/>
        <v>0</v>
      </c>
      <c r="DL125" s="161">
        <f t="shared" si="101"/>
        <v>0</v>
      </c>
      <c r="DM125" s="161">
        <f t="shared" si="102"/>
        <v>0</v>
      </c>
      <c r="DN125" s="161">
        <f t="shared" si="103"/>
        <v>0</v>
      </c>
      <c r="DO125" s="161">
        <f t="shared" si="104"/>
        <v>0</v>
      </c>
      <c r="DP125" s="161">
        <f t="shared" si="105"/>
        <v>0</v>
      </c>
      <c r="DQ125" s="161">
        <f t="shared" si="106"/>
        <v>0</v>
      </c>
      <c r="DR125" s="161">
        <f t="shared" si="107"/>
        <v>0</v>
      </c>
      <c r="DS125" s="161">
        <f t="shared" si="108"/>
        <v>0</v>
      </c>
      <c r="DT125" s="161">
        <f t="shared" si="109"/>
        <v>0</v>
      </c>
      <c r="DU125" s="161">
        <f t="shared" si="110"/>
        <v>0</v>
      </c>
      <c r="DV125" s="161">
        <f t="shared" si="111"/>
        <v>0</v>
      </c>
      <c r="DW125" s="161">
        <f t="shared" si="112"/>
        <v>0</v>
      </c>
      <c r="DX125" s="161">
        <f t="shared" si="113"/>
        <v>0</v>
      </c>
      <c r="DY125" s="161">
        <f t="shared" si="114"/>
        <v>0</v>
      </c>
      <c r="DZ125" s="161">
        <f t="shared" si="115"/>
        <v>0</v>
      </c>
      <c r="EA125" s="161">
        <f t="shared" si="116"/>
        <v>0</v>
      </c>
      <c r="EB125" s="161">
        <f t="shared" si="117"/>
        <v>0</v>
      </c>
      <c r="EC125" s="161">
        <f t="shared" si="118"/>
        <v>0</v>
      </c>
      <c r="ED125" s="161">
        <f t="shared" si="119"/>
        <v>0</v>
      </c>
      <c r="EE125" s="161">
        <f t="shared" si="120"/>
        <v>0</v>
      </c>
      <c r="EF125" s="161">
        <f t="shared" si="121"/>
        <v>0</v>
      </c>
      <c r="EG125" s="161">
        <f t="shared" si="122"/>
        <v>0</v>
      </c>
      <c r="EH125" s="161">
        <f t="shared" si="123"/>
        <v>0</v>
      </c>
      <c r="EI125" s="161">
        <f t="shared" si="124"/>
        <v>0</v>
      </c>
      <c r="EJ125" s="161">
        <f t="shared" si="125"/>
        <v>0</v>
      </c>
      <c r="EK125" s="147">
        <f t="shared" si="132"/>
        <v>0</v>
      </c>
      <c r="EL125" s="149"/>
      <c r="EN125" s="146"/>
      <c r="EO125" s="146"/>
      <c r="EP125" s="139">
        <f t="shared" si="133"/>
        <v>0</v>
      </c>
      <c r="EQ125" s="139">
        <f t="shared" si="134"/>
        <v>0</v>
      </c>
      <c r="ER125" s="139">
        <f t="shared" si="135"/>
        <v>0</v>
      </c>
      <c r="ES125" s="139">
        <f t="shared" si="136"/>
        <v>0</v>
      </c>
      <c r="ET125" s="139">
        <f t="shared" si="137"/>
        <v>0</v>
      </c>
      <c r="EU125" s="139">
        <f t="shared" si="138"/>
        <v>0</v>
      </c>
      <c r="EV125" s="139">
        <f t="shared" si="139"/>
        <v>0</v>
      </c>
      <c r="EW125" s="139">
        <f t="shared" si="140"/>
        <v>0</v>
      </c>
      <c r="EX125" s="139">
        <f t="shared" si="141"/>
        <v>0</v>
      </c>
      <c r="EY125" s="139">
        <f t="shared" si="142"/>
        <v>0</v>
      </c>
      <c r="EZ125" s="139">
        <f t="shared" si="143"/>
        <v>0</v>
      </c>
      <c r="FA125" s="139">
        <f t="shared" si="144"/>
        <v>0</v>
      </c>
      <c r="FB125" s="139">
        <f t="shared" si="145"/>
        <v>0</v>
      </c>
      <c r="FC125" s="139">
        <f t="shared" si="146"/>
        <v>0</v>
      </c>
      <c r="FD125" s="139">
        <f t="shared" si="147"/>
        <v>0</v>
      </c>
      <c r="FE125" s="139">
        <f t="shared" si="148"/>
        <v>0</v>
      </c>
      <c r="FF125" s="139">
        <f t="shared" si="149"/>
        <v>0</v>
      </c>
      <c r="FG125" s="139">
        <f t="shared" si="150"/>
        <v>0</v>
      </c>
      <c r="FH125" s="139">
        <f t="shared" si="151"/>
        <v>0</v>
      </c>
      <c r="FI125" s="139">
        <f t="shared" si="152"/>
        <v>0</v>
      </c>
      <c r="FJ125" s="139">
        <f t="shared" si="153"/>
        <v>0</v>
      </c>
      <c r="FK125" s="139">
        <f t="shared" si="154"/>
        <v>0</v>
      </c>
      <c r="FL125" s="139">
        <f t="shared" si="155"/>
        <v>0</v>
      </c>
      <c r="FM125" s="139">
        <f t="shared" si="156"/>
        <v>0</v>
      </c>
      <c r="FN125" s="139">
        <f t="shared" si="157"/>
        <v>0</v>
      </c>
      <c r="FO125" s="139">
        <f t="shared" si="158"/>
        <v>0</v>
      </c>
      <c r="FP125" s="139">
        <f t="shared" si="159"/>
        <v>0</v>
      </c>
      <c r="FQ125" s="139">
        <f t="shared" si="160"/>
        <v>0</v>
      </c>
      <c r="FR125" s="139">
        <f t="shared" si="161"/>
        <v>0</v>
      </c>
      <c r="FS125" s="139">
        <f t="shared" si="162"/>
        <v>0</v>
      </c>
      <c r="FT125" s="139">
        <f t="shared" si="163"/>
        <v>0</v>
      </c>
      <c r="FU125" s="148">
        <f t="shared" si="164"/>
        <v>0</v>
      </c>
      <c r="FV125" s="149"/>
      <c r="FY125" s="213">
        <v>120</v>
      </c>
      <c r="FZ125">
        <v>0</v>
      </c>
      <c r="GA125">
        <v>9.8944263824181515</v>
      </c>
      <c r="GB125">
        <v>4.9670007897642847</v>
      </c>
      <c r="GC125">
        <v>2.3505772380318346</v>
      </c>
      <c r="GD125">
        <v>3.0596433478072464</v>
      </c>
      <c r="GE125">
        <v>3.7062207469934823</v>
      </c>
      <c r="GF125">
        <v>1.9093924997602409</v>
      </c>
      <c r="GG125">
        <v>3.358132631311662</v>
      </c>
      <c r="GH125">
        <v>4.7564346711748797</v>
      </c>
      <c r="GI125">
        <v>4.1644405526661989</v>
      </c>
      <c r="GJ125"/>
      <c r="GK125"/>
      <c r="GL125"/>
      <c r="GM125"/>
      <c r="GN125" s="208"/>
      <c r="GO125" s="208"/>
      <c r="GP125" s="208"/>
      <c r="GQ125" s="208"/>
      <c r="GR125" s="208"/>
      <c r="GS125" s="208"/>
      <c r="GT125" s="208"/>
      <c r="GU125" s="213">
        <v>120</v>
      </c>
    </row>
    <row r="126" spans="1:203" s="7" customFormat="1">
      <c r="A126" s="1"/>
      <c r="B126" s="76">
        <f ca="1">IF(C126="", "", RAND())</f>
        <v>0.34473748528653014</v>
      </c>
      <c r="C126">
        <v>2</v>
      </c>
      <c r="D126">
        <v>39747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20.721076630001114</v>
      </c>
      <c r="AO126">
        <v>4.4541178373058443</v>
      </c>
      <c r="AP126">
        <v>214.94357386482679</v>
      </c>
      <c r="AQ126">
        <v>29.302690151502539</v>
      </c>
      <c r="AR126">
        <v>4.0491980339144034</v>
      </c>
      <c r="AS126">
        <v>60.883443859211987</v>
      </c>
      <c r="AT126" t="e">
        <v>#DIV/0!</v>
      </c>
      <c r="AU126" t="e">
        <v>#DIV/0!</v>
      </c>
      <c r="AV126"/>
      <c r="AW126"/>
      <c r="AX126" s="146"/>
      <c r="AY126" s="76">
        <f t="shared" ca="1" si="88"/>
        <v>0.78944488583341954</v>
      </c>
      <c r="AZ126">
        <v>9</v>
      </c>
      <c r="BA126" s="129">
        <f t="shared" si="131"/>
        <v>39747</v>
      </c>
      <c r="BB126" s="207">
        <v>0</v>
      </c>
      <c r="BC126" s="207">
        <v>0</v>
      </c>
      <c r="BD126" s="207">
        <v>0</v>
      </c>
      <c r="BE126" s="207">
        <v>0</v>
      </c>
      <c r="BF126" s="207">
        <v>0</v>
      </c>
      <c r="BG126" s="207">
        <v>0</v>
      </c>
      <c r="BH126" s="207">
        <v>0</v>
      </c>
      <c r="BI126" s="207">
        <v>0</v>
      </c>
      <c r="BJ126" s="207">
        <v>0</v>
      </c>
      <c r="BK126" s="207">
        <v>0</v>
      </c>
      <c r="BL126" s="207">
        <v>0</v>
      </c>
      <c r="BM126" s="207">
        <v>0</v>
      </c>
      <c r="BN126" s="207">
        <v>0</v>
      </c>
      <c r="BO126" s="207">
        <v>0</v>
      </c>
      <c r="BP126" s="207">
        <v>0</v>
      </c>
      <c r="BQ126" s="207">
        <v>0</v>
      </c>
      <c r="BR126" s="207">
        <v>0</v>
      </c>
      <c r="BS126" s="207">
        <v>0</v>
      </c>
      <c r="BT126" s="207">
        <v>0</v>
      </c>
      <c r="BU126" s="207">
        <v>0</v>
      </c>
      <c r="BV126" s="207">
        <v>0</v>
      </c>
      <c r="BW126" s="207">
        <v>0</v>
      </c>
      <c r="BX126" s="207">
        <v>0</v>
      </c>
      <c r="BY126" s="207">
        <v>0</v>
      </c>
      <c r="BZ126" s="207">
        <v>0</v>
      </c>
      <c r="CA126" s="207">
        <v>0</v>
      </c>
      <c r="CB126" s="207">
        <v>0</v>
      </c>
      <c r="CC126" s="207">
        <v>0</v>
      </c>
      <c r="CD126" s="207">
        <v>0</v>
      </c>
      <c r="CE126" s="207">
        <v>0</v>
      </c>
      <c r="CF126" s="207">
        <v>0</v>
      </c>
      <c r="CG126" s="147"/>
      <c r="CH126" s="176"/>
      <c r="CJ126" s="146"/>
      <c r="CK126" s="76">
        <f t="shared" ca="1" si="90"/>
        <v>0.97362664389639475</v>
      </c>
      <c r="CL126" s="179">
        <f t="shared" si="91"/>
        <v>9</v>
      </c>
      <c r="CM126" s="180">
        <f t="shared" si="92"/>
        <v>39747</v>
      </c>
      <c r="CN126" s="208">
        <v>0</v>
      </c>
      <c r="CO126" s="208">
        <v>0</v>
      </c>
      <c r="CP126" s="208">
        <v>0</v>
      </c>
      <c r="CQ126" s="208">
        <v>0</v>
      </c>
      <c r="CR126" s="208">
        <v>0</v>
      </c>
      <c r="CS126" s="208">
        <v>0</v>
      </c>
      <c r="CT126" s="208">
        <v>0</v>
      </c>
      <c r="CU126" s="208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3"/>
        <v>9.6000000000000002E-2</v>
      </c>
      <c r="DB126" s="146"/>
      <c r="DC126" s="76">
        <f t="shared" ca="1" si="51"/>
        <v>0.94022905826315739</v>
      </c>
      <c r="DD126">
        <f t="shared" si="94"/>
        <v>9</v>
      </c>
      <c r="DE126" s="129">
        <f t="shared" si="130"/>
        <v>39747</v>
      </c>
      <c r="DF126" s="161">
        <f t="shared" si="95"/>
        <v>0</v>
      </c>
      <c r="DG126" s="161">
        <f t="shared" si="96"/>
        <v>0</v>
      </c>
      <c r="DH126" s="161">
        <f t="shared" si="97"/>
        <v>0</v>
      </c>
      <c r="DI126" s="161">
        <f t="shared" si="98"/>
        <v>0</v>
      </c>
      <c r="DJ126" s="161">
        <f t="shared" si="99"/>
        <v>0</v>
      </c>
      <c r="DK126" s="161">
        <f t="shared" si="100"/>
        <v>0</v>
      </c>
      <c r="DL126" s="161">
        <f t="shared" si="101"/>
        <v>0</v>
      </c>
      <c r="DM126" s="161">
        <f t="shared" si="102"/>
        <v>0</v>
      </c>
      <c r="DN126" s="161">
        <f t="shared" si="103"/>
        <v>0</v>
      </c>
      <c r="DO126" s="161">
        <f t="shared" si="104"/>
        <v>0</v>
      </c>
      <c r="DP126" s="161">
        <f t="shared" si="105"/>
        <v>0</v>
      </c>
      <c r="DQ126" s="161">
        <f t="shared" si="106"/>
        <v>0</v>
      </c>
      <c r="DR126" s="161">
        <f t="shared" si="107"/>
        <v>0</v>
      </c>
      <c r="DS126" s="161">
        <f t="shared" si="108"/>
        <v>0</v>
      </c>
      <c r="DT126" s="161">
        <f t="shared" si="109"/>
        <v>0</v>
      </c>
      <c r="DU126" s="161">
        <f t="shared" si="110"/>
        <v>0</v>
      </c>
      <c r="DV126" s="161">
        <f t="shared" si="111"/>
        <v>0</v>
      </c>
      <c r="DW126" s="161">
        <f t="shared" si="112"/>
        <v>0</v>
      </c>
      <c r="DX126" s="161">
        <f t="shared" si="113"/>
        <v>0</v>
      </c>
      <c r="DY126" s="161">
        <f t="shared" si="114"/>
        <v>0</v>
      </c>
      <c r="DZ126" s="161">
        <f t="shared" si="115"/>
        <v>0</v>
      </c>
      <c r="EA126" s="161">
        <f t="shared" si="116"/>
        <v>0</v>
      </c>
      <c r="EB126" s="161">
        <f t="shared" si="117"/>
        <v>0</v>
      </c>
      <c r="EC126" s="161">
        <f t="shared" si="118"/>
        <v>0</v>
      </c>
      <c r="ED126" s="161">
        <f t="shared" si="119"/>
        <v>0</v>
      </c>
      <c r="EE126" s="161">
        <f t="shared" si="120"/>
        <v>0</v>
      </c>
      <c r="EF126" s="161">
        <f t="shared" si="121"/>
        <v>0</v>
      </c>
      <c r="EG126" s="161">
        <f t="shared" si="122"/>
        <v>0</v>
      </c>
      <c r="EH126" s="161">
        <f t="shared" si="123"/>
        <v>0</v>
      </c>
      <c r="EI126" s="161">
        <f t="shared" si="124"/>
        <v>0</v>
      </c>
      <c r="EJ126" s="161">
        <f t="shared" si="125"/>
        <v>0</v>
      </c>
      <c r="EK126" s="147">
        <f t="shared" si="132"/>
        <v>0</v>
      </c>
      <c r="EL126" s="149"/>
      <c r="EN126" s="146"/>
      <c r="EO126" s="146"/>
      <c r="EP126" s="139">
        <f t="shared" si="133"/>
        <v>0</v>
      </c>
      <c r="EQ126" s="139">
        <f t="shared" si="134"/>
        <v>0</v>
      </c>
      <c r="ER126" s="139">
        <f t="shared" si="135"/>
        <v>0</v>
      </c>
      <c r="ES126" s="139">
        <f t="shared" si="136"/>
        <v>0</v>
      </c>
      <c r="ET126" s="139">
        <f t="shared" si="137"/>
        <v>0</v>
      </c>
      <c r="EU126" s="139">
        <f t="shared" si="138"/>
        <v>0</v>
      </c>
      <c r="EV126" s="139">
        <f t="shared" si="139"/>
        <v>0</v>
      </c>
      <c r="EW126" s="139">
        <f t="shared" si="140"/>
        <v>0</v>
      </c>
      <c r="EX126" s="139">
        <f t="shared" si="141"/>
        <v>0</v>
      </c>
      <c r="EY126" s="139">
        <f t="shared" si="142"/>
        <v>0</v>
      </c>
      <c r="EZ126" s="139">
        <f t="shared" si="143"/>
        <v>0</v>
      </c>
      <c r="FA126" s="139">
        <f t="shared" si="144"/>
        <v>0</v>
      </c>
      <c r="FB126" s="139">
        <f t="shared" si="145"/>
        <v>0</v>
      </c>
      <c r="FC126" s="139">
        <f t="shared" si="146"/>
        <v>0</v>
      </c>
      <c r="FD126" s="139">
        <f t="shared" si="147"/>
        <v>0</v>
      </c>
      <c r="FE126" s="139">
        <f t="shared" si="148"/>
        <v>0</v>
      </c>
      <c r="FF126" s="139">
        <f t="shared" si="149"/>
        <v>0</v>
      </c>
      <c r="FG126" s="139">
        <f t="shared" si="150"/>
        <v>0</v>
      </c>
      <c r="FH126" s="139">
        <f t="shared" si="151"/>
        <v>0</v>
      </c>
      <c r="FI126" s="139">
        <f t="shared" si="152"/>
        <v>0</v>
      </c>
      <c r="FJ126" s="139">
        <f t="shared" si="153"/>
        <v>0</v>
      </c>
      <c r="FK126" s="139">
        <f t="shared" si="154"/>
        <v>0</v>
      </c>
      <c r="FL126" s="139">
        <f t="shared" si="155"/>
        <v>0</v>
      </c>
      <c r="FM126" s="139">
        <f t="shared" si="156"/>
        <v>0</v>
      </c>
      <c r="FN126" s="139">
        <f t="shared" si="157"/>
        <v>0</v>
      </c>
      <c r="FO126" s="139">
        <f t="shared" si="158"/>
        <v>0</v>
      </c>
      <c r="FP126" s="139">
        <f t="shared" si="159"/>
        <v>0</v>
      </c>
      <c r="FQ126" s="139">
        <f t="shared" si="160"/>
        <v>0</v>
      </c>
      <c r="FR126" s="139">
        <f t="shared" si="161"/>
        <v>0</v>
      </c>
      <c r="FS126" s="139">
        <f t="shared" si="162"/>
        <v>0</v>
      </c>
      <c r="FT126" s="139">
        <f t="shared" si="163"/>
        <v>0</v>
      </c>
      <c r="FU126" s="148">
        <f t="shared" si="164"/>
        <v>0</v>
      </c>
      <c r="FV126" s="149"/>
      <c r="FY126" s="213">
        <v>121</v>
      </c>
      <c r="FZ126">
        <v>1.596276202757001</v>
      </c>
      <c r="GA126">
        <v>20.091276903404221</v>
      </c>
      <c r="GB126">
        <v>8.9570423085710935</v>
      </c>
      <c r="GC126">
        <v>0.90506288060384632</v>
      </c>
      <c r="GD126">
        <v>2.2239286746757121</v>
      </c>
      <c r="GE126">
        <v>3.3945682833490896</v>
      </c>
      <c r="GF126">
        <v>0.47734812494006024</v>
      </c>
      <c r="GG126">
        <v>3.010288929946956</v>
      </c>
      <c r="GH126">
        <v>4.1932713486148003</v>
      </c>
      <c r="GI126">
        <v>4.7032572989823578</v>
      </c>
      <c r="GJ126"/>
      <c r="GK126"/>
      <c r="GL126"/>
      <c r="GM126"/>
      <c r="GN126" s="208"/>
      <c r="GO126" s="208"/>
      <c r="GP126" s="208"/>
      <c r="GQ126" s="208"/>
      <c r="GR126" s="208"/>
      <c r="GS126" s="208"/>
      <c r="GT126" s="208"/>
      <c r="GU126" s="213">
        <v>121</v>
      </c>
    </row>
    <row r="127" spans="1:203" s="7" customFormat="1">
      <c r="A127" s="1"/>
      <c r="B127" s="76">
        <f ca="1">IF(C127="", "", RAND())</f>
        <v>9.1505785746761603E-2</v>
      </c>
      <c r="C127">
        <v>8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36.476943488238661</v>
      </c>
      <c r="AO127">
        <v>6.8840051537458535</v>
      </c>
      <c r="AP127">
        <v>216.24175716707305</v>
      </c>
      <c r="AQ127">
        <v>41.002822509003238</v>
      </c>
      <c r="AR127">
        <v>6.2581865034053203</v>
      </c>
      <c r="AS127">
        <v>105.74751592366609</v>
      </c>
      <c r="AT127" t="e">
        <v>#DIV/0!</v>
      </c>
      <c r="AU127" t="e">
        <v>#DIV/0!</v>
      </c>
      <c r="AV127"/>
      <c r="AW127"/>
      <c r="AX127" s="146"/>
      <c r="AY127" s="76">
        <f t="shared" ca="1" si="88"/>
        <v>0.13376027652386124</v>
      </c>
      <c r="AZ127">
        <v>10</v>
      </c>
      <c r="BA127" s="129">
        <f t="shared" si="131"/>
        <v>39747</v>
      </c>
      <c r="BB127" s="207">
        <v>0</v>
      </c>
      <c r="BC127" s="207">
        <v>0</v>
      </c>
      <c r="BD127" s="207">
        <v>0</v>
      </c>
      <c r="BE127" s="207">
        <v>0</v>
      </c>
      <c r="BF127" s="207">
        <v>0</v>
      </c>
      <c r="BG127" s="207">
        <v>0</v>
      </c>
      <c r="BH127" s="207">
        <v>0</v>
      </c>
      <c r="BI127" s="207">
        <v>0</v>
      </c>
      <c r="BJ127" s="207">
        <v>0</v>
      </c>
      <c r="BK127" s="207">
        <v>0</v>
      </c>
      <c r="BL127" s="207">
        <v>0</v>
      </c>
      <c r="BM127" s="207">
        <v>0</v>
      </c>
      <c r="BN127" s="207">
        <v>0</v>
      </c>
      <c r="BO127" s="207">
        <v>0</v>
      </c>
      <c r="BP127" s="207">
        <v>0</v>
      </c>
      <c r="BQ127" s="207">
        <v>0</v>
      </c>
      <c r="BR127" s="207">
        <v>0</v>
      </c>
      <c r="BS127" s="207">
        <v>0</v>
      </c>
      <c r="BT127" s="207">
        <v>0</v>
      </c>
      <c r="BU127" s="207">
        <v>0</v>
      </c>
      <c r="BV127" s="207">
        <v>0</v>
      </c>
      <c r="BW127" s="207">
        <v>0</v>
      </c>
      <c r="BX127" s="207">
        <v>0</v>
      </c>
      <c r="BY127" s="207">
        <v>0</v>
      </c>
      <c r="BZ127" s="207">
        <v>0</v>
      </c>
      <c r="CA127" s="207">
        <v>0</v>
      </c>
      <c r="CB127" s="207">
        <v>0</v>
      </c>
      <c r="CC127" s="207">
        <v>0</v>
      </c>
      <c r="CD127" s="207">
        <v>0</v>
      </c>
      <c r="CE127" s="207">
        <v>0</v>
      </c>
      <c r="CF127" s="207">
        <v>0</v>
      </c>
      <c r="CG127" s="147"/>
      <c r="CH127" s="176"/>
      <c r="CJ127" s="146"/>
      <c r="CK127" s="76">
        <f t="shared" ca="1" si="90"/>
        <v>0.93327009186612853</v>
      </c>
      <c r="CL127" s="179">
        <f t="shared" si="91"/>
        <v>10</v>
      </c>
      <c r="CM127" s="180">
        <f t="shared" si="92"/>
        <v>39747</v>
      </c>
      <c r="CN127" s="208">
        <v>0</v>
      </c>
      <c r="CO127" s="208">
        <v>0</v>
      </c>
      <c r="CP127" s="208">
        <v>0</v>
      </c>
      <c r="CQ127" s="208">
        <v>0</v>
      </c>
      <c r="CR127" s="208">
        <v>0</v>
      </c>
      <c r="CS127" s="208">
        <v>0</v>
      </c>
      <c r="CT127" s="208">
        <v>0</v>
      </c>
      <c r="CU127" s="208">
        <v>0</v>
      </c>
      <c r="CV127" s="160"/>
      <c r="CW127" s="178">
        <v>1</v>
      </c>
      <c r="CX127">
        <f>350/56</f>
        <v>6.25</v>
      </c>
      <c r="CY127" s="164"/>
      <c r="CZ127" s="177">
        <f t="shared" si="93"/>
        <v>9.6000000000000002E-2</v>
      </c>
      <c r="DB127" s="146"/>
      <c r="DC127" s="76">
        <f t="shared" ca="1" si="51"/>
        <v>0.89657314817550304</v>
      </c>
      <c r="DD127">
        <f t="shared" si="94"/>
        <v>10</v>
      </c>
      <c r="DE127" s="129">
        <f t="shared" si="130"/>
        <v>39747</v>
      </c>
      <c r="DF127" s="161">
        <f t="shared" si="95"/>
        <v>0</v>
      </c>
      <c r="DG127" s="161">
        <f t="shared" si="96"/>
        <v>0</v>
      </c>
      <c r="DH127" s="161">
        <f t="shared" si="97"/>
        <v>0</v>
      </c>
      <c r="DI127" s="161">
        <f t="shared" si="98"/>
        <v>0</v>
      </c>
      <c r="DJ127" s="161">
        <f t="shared" si="99"/>
        <v>0</v>
      </c>
      <c r="DK127" s="161">
        <f t="shared" si="100"/>
        <v>0</v>
      </c>
      <c r="DL127" s="161">
        <f t="shared" si="101"/>
        <v>0</v>
      </c>
      <c r="DM127" s="161">
        <f t="shared" si="102"/>
        <v>0</v>
      </c>
      <c r="DN127" s="161">
        <f t="shared" si="103"/>
        <v>0</v>
      </c>
      <c r="DO127" s="161">
        <f t="shared" si="104"/>
        <v>0</v>
      </c>
      <c r="DP127" s="161">
        <f t="shared" si="105"/>
        <v>0</v>
      </c>
      <c r="DQ127" s="161">
        <f t="shared" si="106"/>
        <v>0</v>
      </c>
      <c r="DR127" s="161">
        <f t="shared" si="107"/>
        <v>0</v>
      </c>
      <c r="DS127" s="161">
        <f t="shared" si="108"/>
        <v>0</v>
      </c>
      <c r="DT127" s="161">
        <f t="shared" si="109"/>
        <v>0</v>
      </c>
      <c r="DU127" s="161">
        <f t="shared" si="110"/>
        <v>0</v>
      </c>
      <c r="DV127" s="161">
        <f t="shared" si="111"/>
        <v>0</v>
      </c>
      <c r="DW127" s="161">
        <f t="shared" si="112"/>
        <v>0</v>
      </c>
      <c r="DX127" s="161">
        <f t="shared" si="113"/>
        <v>0</v>
      </c>
      <c r="DY127" s="161">
        <f t="shared" si="114"/>
        <v>0</v>
      </c>
      <c r="DZ127" s="161">
        <f t="shared" si="115"/>
        <v>0</v>
      </c>
      <c r="EA127" s="161">
        <f t="shared" si="116"/>
        <v>0</v>
      </c>
      <c r="EB127" s="161">
        <f t="shared" si="117"/>
        <v>0</v>
      </c>
      <c r="EC127" s="161">
        <f t="shared" si="118"/>
        <v>0</v>
      </c>
      <c r="ED127" s="161">
        <f t="shared" si="119"/>
        <v>0</v>
      </c>
      <c r="EE127" s="161">
        <f t="shared" si="120"/>
        <v>0</v>
      </c>
      <c r="EF127" s="161">
        <f t="shared" si="121"/>
        <v>0</v>
      </c>
      <c r="EG127" s="161">
        <f t="shared" si="122"/>
        <v>0</v>
      </c>
      <c r="EH127" s="161">
        <f t="shared" si="123"/>
        <v>0</v>
      </c>
      <c r="EI127" s="161">
        <f t="shared" si="124"/>
        <v>0</v>
      </c>
      <c r="EJ127" s="161">
        <f t="shared" si="125"/>
        <v>0</v>
      </c>
      <c r="EK127" s="147">
        <f t="shared" si="132"/>
        <v>0</v>
      </c>
      <c r="EL127" s="149"/>
      <c r="EN127" s="146"/>
      <c r="EO127" s="146"/>
      <c r="EP127" s="139">
        <f t="shared" si="133"/>
        <v>0</v>
      </c>
      <c r="EQ127" s="139">
        <f t="shared" si="134"/>
        <v>0</v>
      </c>
      <c r="ER127" s="139">
        <f t="shared" si="135"/>
        <v>0</v>
      </c>
      <c r="ES127" s="139">
        <f t="shared" si="136"/>
        <v>0</v>
      </c>
      <c r="ET127" s="139">
        <f t="shared" si="137"/>
        <v>0</v>
      </c>
      <c r="EU127" s="139">
        <f t="shared" si="138"/>
        <v>0</v>
      </c>
      <c r="EV127" s="139">
        <f t="shared" si="139"/>
        <v>0</v>
      </c>
      <c r="EW127" s="139">
        <f t="shared" si="140"/>
        <v>0</v>
      </c>
      <c r="EX127" s="139">
        <f t="shared" si="141"/>
        <v>0</v>
      </c>
      <c r="EY127" s="139">
        <f t="shared" si="142"/>
        <v>0</v>
      </c>
      <c r="EZ127" s="139">
        <f t="shared" si="143"/>
        <v>0</v>
      </c>
      <c r="FA127" s="139">
        <f t="shared" si="144"/>
        <v>0</v>
      </c>
      <c r="FB127" s="139">
        <f t="shared" si="145"/>
        <v>0</v>
      </c>
      <c r="FC127" s="139">
        <f t="shared" si="146"/>
        <v>0</v>
      </c>
      <c r="FD127" s="139">
        <f t="shared" si="147"/>
        <v>0</v>
      </c>
      <c r="FE127" s="139">
        <f t="shared" si="148"/>
        <v>0</v>
      </c>
      <c r="FF127" s="139">
        <f t="shared" si="149"/>
        <v>0</v>
      </c>
      <c r="FG127" s="139">
        <f t="shared" si="150"/>
        <v>0</v>
      </c>
      <c r="FH127" s="139">
        <f t="shared" si="151"/>
        <v>0</v>
      </c>
      <c r="FI127" s="139">
        <f t="shared" si="152"/>
        <v>0</v>
      </c>
      <c r="FJ127" s="139">
        <f t="shared" si="153"/>
        <v>0</v>
      </c>
      <c r="FK127" s="139">
        <f t="shared" si="154"/>
        <v>0</v>
      </c>
      <c r="FL127" s="139">
        <f t="shared" si="155"/>
        <v>0</v>
      </c>
      <c r="FM127" s="139">
        <f t="shared" si="156"/>
        <v>0</v>
      </c>
      <c r="FN127" s="139">
        <f t="shared" si="157"/>
        <v>0</v>
      </c>
      <c r="FO127" s="139">
        <f t="shared" si="158"/>
        <v>0</v>
      </c>
      <c r="FP127" s="139">
        <f t="shared" si="159"/>
        <v>0</v>
      </c>
      <c r="FQ127" s="139">
        <f t="shared" si="160"/>
        <v>0</v>
      </c>
      <c r="FR127" s="139">
        <f t="shared" si="161"/>
        <v>0</v>
      </c>
      <c r="FS127" s="139">
        <f t="shared" si="162"/>
        <v>0</v>
      </c>
      <c r="FT127" s="139">
        <f t="shared" si="163"/>
        <v>0</v>
      </c>
      <c r="FU127" s="148">
        <f t="shared" si="164"/>
        <v>0</v>
      </c>
      <c r="FV127" s="149"/>
      <c r="FY127" s="213">
        <v>122</v>
      </c>
      <c r="FZ127">
        <v>4.7888286082710039</v>
      </c>
      <c r="GA127">
        <v>16.004147351375309</v>
      </c>
      <c r="GB127">
        <v>5.075915406054591</v>
      </c>
      <c r="GC127">
        <v>1.6119124332079018</v>
      </c>
      <c r="GD127">
        <v>2.458179617379602</v>
      </c>
      <c r="GE127">
        <v>2.4750089363309504</v>
      </c>
      <c r="GF127">
        <v>0</v>
      </c>
      <c r="GG127">
        <v>5.0380339738105313</v>
      </c>
      <c r="GH127">
        <v>7.1928331357584732</v>
      </c>
      <c r="GI127">
        <v>4.7264011387882476</v>
      </c>
      <c r="GJ127"/>
      <c r="GK127"/>
      <c r="GL127"/>
      <c r="GM127"/>
      <c r="GN127" s="208"/>
      <c r="GO127" s="208"/>
      <c r="GP127" s="208"/>
      <c r="GQ127" s="208"/>
      <c r="GR127" s="208"/>
      <c r="GS127" s="208"/>
      <c r="GT127" s="208"/>
      <c r="GU127" s="213">
        <v>122</v>
      </c>
    </row>
    <row r="128" spans="1:203" s="7" customFormat="1">
      <c r="A128" s="128"/>
      <c r="B128" s="76">
        <f ca="1">IF(C128="", "", RAND())</f>
        <v>0.33205267331131605</v>
      </c>
      <c r="C128">
        <v>2</v>
      </c>
      <c r="D128">
        <v>39775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23.842536401764686</v>
      </c>
      <c r="AO128">
        <v>6.2249942853337945</v>
      </c>
      <c r="AP128">
        <v>301.19202663312655</v>
      </c>
      <c r="AQ128">
        <v>40.92931855878637</v>
      </c>
      <c r="AR128">
        <v>5.821899526517992</v>
      </c>
      <c r="AS128">
        <v>72.315408164467968</v>
      </c>
      <c r="AT128" t="e">
        <v>#DIV/0!</v>
      </c>
      <c r="AU128" t="e">
        <v>#DIV/0!</v>
      </c>
      <c r="AV128"/>
      <c r="AW128"/>
      <c r="AX128" s="128"/>
      <c r="AY128" s="76">
        <f t="shared" ca="1" si="88"/>
        <v>0.33808515868097899</v>
      </c>
      <c r="AZ128">
        <v>1</v>
      </c>
      <c r="BA128" s="129">
        <f>IF(AZ128="", "",$C$8)</f>
        <v>39775</v>
      </c>
      <c r="BB128" s="207">
        <v>0</v>
      </c>
      <c r="BC128" s="207">
        <v>0</v>
      </c>
      <c r="BD128" s="207">
        <v>0</v>
      </c>
      <c r="BE128" s="207">
        <v>0</v>
      </c>
      <c r="BF128" s="207">
        <v>0</v>
      </c>
      <c r="BG128" s="207">
        <v>0</v>
      </c>
      <c r="BH128" s="207">
        <v>0</v>
      </c>
      <c r="BI128" s="207">
        <v>0</v>
      </c>
      <c r="BJ128" s="207">
        <v>0</v>
      </c>
      <c r="BK128" s="207">
        <v>0</v>
      </c>
      <c r="BL128" s="207">
        <v>0</v>
      </c>
      <c r="BM128" s="207">
        <v>0</v>
      </c>
      <c r="BN128" s="207">
        <v>0</v>
      </c>
      <c r="BO128" s="207">
        <v>0</v>
      </c>
      <c r="BP128" s="207">
        <v>0</v>
      </c>
      <c r="BQ128" s="207">
        <v>0</v>
      </c>
      <c r="BR128" s="207">
        <v>0</v>
      </c>
      <c r="BS128" s="207">
        <v>0</v>
      </c>
      <c r="BT128" s="207">
        <v>0</v>
      </c>
      <c r="BU128" s="207">
        <v>0</v>
      </c>
      <c r="BV128" s="207">
        <v>0</v>
      </c>
      <c r="BW128" s="207">
        <v>0</v>
      </c>
      <c r="BX128" s="207">
        <v>0</v>
      </c>
      <c r="BY128" s="207">
        <v>0</v>
      </c>
      <c r="BZ128" s="207">
        <v>0</v>
      </c>
      <c r="CA128" s="207">
        <v>0</v>
      </c>
      <c r="CB128" s="207">
        <v>0</v>
      </c>
      <c r="CC128" s="207">
        <v>0</v>
      </c>
      <c r="CD128" s="207">
        <v>0</v>
      </c>
      <c r="CE128" s="207">
        <v>0</v>
      </c>
      <c r="CF128" s="207">
        <v>0</v>
      </c>
      <c r="CG128" s="147"/>
      <c r="CH128" s="176"/>
      <c r="CJ128" s="128"/>
      <c r="CK128" s="76">
        <f t="shared" ca="1" si="90"/>
        <v>0.19919174580711374</v>
      </c>
      <c r="CL128" s="179">
        <f t="shared" si="91"/>
        <v>1</v>
      </c>
      <c r="CM128" s="180">
        <f t="shared" si="92"/>
        <v>39775</v>
      </c>
      <c r="CN128" s="208">
        <v>0</v>
      </c>
      <c r="CO128" s="208">
        <v>0</v>
      </c>
      <c r="CP128" s="208">
        <v>0</v>
      </c>
      <c r="CQ128" s="208">
        <v>0</v>
      </c>
      <c r="CR128" s="208">
        <v>0</v>
      </c>
      <c r="CS128" s="208">
        <v>0</v>
      </c>
      <c r="CT128" s="208">
        <v>0</v>
      </c>
      <c r="CU128" s="20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3"/>
        <v>9.6000000000000002E-2</v>
      </c>
      <c r="DB128" s="128"/>
      <c r="DC128" s="76">
        <f t="shared" ca="1" si="51"/>
        <v>3.6755306401820675E-2</v>
      </c>
      <c r="DD128">
        <f t="shared" si="94"/>
        <v>1</v>
      </c>
      <c r="DE128" s="129">
        <f t="shared" ref="DE128:DE137" si="165">IF((DD128)="", "", $C$8)</f>
        <v>39775</v>
      </c>
      <c r="DF128" s="161">
        <f t="shared" si="95"/>
        <v>0</v>
      </c>
      <c r="DG128" s="161">
        <f t="shared" si="96"/>
        <v>0</v>
      </c>
      <c r="DH128" s="161">
        <f t="shared" si="97"/>
        <v>0</v>
      </c>
      <c r="DI128" s="161">
        <f t="shared" si="98"/>
        <v>0</v>
      </c>
      <c r="DJ128" s="161">
        <f t="shared" si="99"/>
        <v>0</v>
      </c>
      <c r="DK128" s="161">
        <f t="shared" si="100"/>
        <v>0</v>
      </c>
      <c r="DL128" s="161">
        <f t="shared" si="101"/>
        <v>0</v>
      </c>
      <c r="DM128" s="161">
        <f t="shared" si="102"/>
        <v>0</v>
      </c>
      <c r="DN128" s="161">
        <f t="shared" si="103"/>
        <v>0</v>
      </c>
      <c r="DO128" s="161">
        <f t="shared" si="104"/>
        <v>0</v>
      </c>
      <c r="DP128" s="161">
        <f t="shared" si="105"/>
        <v>0</v>
      </c>
      <c r="DQ128" s="161">
        <f t="shared" si="106"/>
        <v>0</v>
      </c>
      <c r="DR128" s="161">
        <f t="shared" si="107"/>
        <v>0</v>
      </c>
      <c r="DS128" s="161">
        <f t="shared" si="108"/>
        <v>0</v>
      </c>
      <c r="DT128" s="161">
        <f t="shared" si="109"/>
        <v>0</v>
      </c>
      <c r="DU128" s="161">
        <f t="shared" si="110"/>
        <v>0</v>
      </c>
      <c r="DV128" s="161">
        <f t="shared" si="111"/>
        <v>0</v>
      </c>
      <c r="DW128" s="161">
        <f t="shared" si="112"/>
        <v>0</v>
      </c>
      <c r="DX128" s="161">
        <f t="shared" si="113"/>
        <v>0</v>
      </c>
      <c r="DY128" s="161">
        <f t="shared" si="114"/>
        <v>0</v>
      </c>
      <c r="DZ128" s="161">
        <f t="shared" si="115"/>
        <v>0</v>
      </c>
      <c r="EA128" s="161">
        <f t="shared" si="116"/>
        <v>0</v>
      </c>
      <c r="EB128" s="161">
        <f t="shared" si="117"/>
        <v>0</v>
      </c>
      <c r="EC128" s="161">
        <f t="shared" si="118"/>
        <v>0</v>
      </c>
      <c r="ED128" s="161">
        <f t="shared" si="119"/>
        <v>0</v>
      </c>
      <c r="EE128" s="161">
        <f t="shared" si="120"/>
        <v>0</v>
      </c>
      <c r="EF128" s="161">
        <f t="shared" si="121"/>
        <v>0</v>
      </c>
      <c r="EG128" s="161">
        <f t="shared" si="122"/>
        <v>0</v>
      </c>
      <c r="EH128" s="161">
        <f t="shared" si="123"/>
        <v>0</v>
      </c>
      <c r="EI128" s="161">
        <f t="shared" si="124"/>
        <v>0</v>
      </c>
      <c r="EJ128" s="161">
        <f t="shared" si="125"/>
        <v>0</v>
      </c>
      <c r="EK128" s="147">
        <f t="shared" si="132"/>
        <v>0</v>
      </c>
      <c r="EL128" s="149"/>
      <c r="EN128" s="146"/>
      <c r="EO128" s="146"/>
      <c r="EP128" s="139">
        <f t="shared" si="133"/>
        <v>0</v>
      </c>
      <c r="EQ128" s="139">
        <f t="shared" si="134"/>
        <v>0</v>
      </c>
      <c r="ER128" s="139">
        <f t="shared" si="135"/>
        <v>0</v>
      </c>
      <c r="ES128" s="139">
        <f t="shared" si="136"/>
        <v>0</v>
      </c>
      <c r="ET128" s="139">
        <f t="shared" si="137"/>
        <v>0</v>
      </c>
      <c r="EU128" s="139">
        <f t="shared" si="138"/>
        <v>0</v>
      </c>
      <c r="EV128" s="139">
        <f t="shared" si="139"/>
        <v>0</v>
      </c>
      <c r="EW128" s="139">
        <f t="shared" si="140"/>
        <v>0</v>
      </c>
      <c r="EX128" s="139">
        <f t="shared" si="141"/>
        <v>0</v>
      </c>
      <c r="EY128" s="139">
        <f t="shared" si="142"/>
        <v>0</v>
      </c>
      <c r="EZ128" s="139">
        <f t="shared" si="143"/>
        <v>0</v>
      </c>
      <c r="FA128" s="139">
        <f t="shared" si="144"/>
        <v>0</v>
      </c>
      <c r="FB128" s="139">
        <f t="shared" si="145"/>
        <v>0</v>
      </c>
      <c r="FC128" s="139">
        <f t="shared" si="146"/>
        <v>0</v>
      </c>
      <c r="FD128" s="139">
        <f t="shared" si="147"/>
        <v>0</v>
      </c>
      <c r="FE128" s="139">
        <f t="shared" si="148"/>
        <v>0</v>
      </c>
      <c r="FF128" s="139">
        <f t="shared" si="149"/>
        <v>0</v>
      </c>
      <c r="FG128" s="139">
        <f t="shared" si="150"/>
        <v>0</v>
      </c>
      <c r="FH128" s="139">
        <f t="shared" si="151"/>
        <v>0</v>
      </c>
      <c r="FI128" s="139">
        <f t="shared" si="152"/>
        <v>0</v>
      </c>
      <c r="FJ128" s="139">
        <f t="shared" si="153"/>
        <v>0</v>
      </c>
      <c r="FK128" s="139">
        <f t="shared" si="154"/>
        <v>0</v>
      </c>
      <c r="FL128" s="139">
        <f t="shared" si="155"/>
        <v>0</v>
      </c>
      <c r="FM128" s="139">
        <f t="shared" si="156"/>
        <v>0</v>
      </c>
      <c r="FN128" s="139">
        <f t="shared" si="157"/>
        <v>0</v>
      </c>
      <c r="FO128" s="139">
        <f t="shared" si="158"/>
        <v>0</v>
      </c>
      <c r="FP128" s="139">
        <f t="shared" si="159"/>
        <v>0</v>
      </c>
      <c r="FQ128" s="139">
        <f t="shared" si="160"/>
        <v>0</v>
      </c>
      <c r="FR128" s="139">
        <f t="shared" si="161"/>
        <v>0</v>
      </c>
      <c r="FS128" s="139">
        <f t="shared" si="162"/>
        <v>0</v>
      </c>
      <c r="FT128" s="139">
        <f t="shared" si="163"/>
        <v>0</v>
      </c>
      <c r="FU128" s="148">
        <f t="shared" si="164"/>
        <v>0</v>
      </c>
      <c r="FV128" s="149"/>
      <c r="FY128" s="213">
        <v>123</v>
      </c>
      <c r="FZ128">
        <v>0</v>
      </c>
      <c r="GA128">
        <v>10.283166204296485</v>
      </c>
      <c r="GB128">
        <v>5.2066532357189788</v>
      </c>
      <c r="GC128">
        <v>1.0155829094419531</v>
      </c>
      <c r="GD128">
        <v>2.2165485802631015</v>
      </c>
      <c r="GE128">
        <v>4.0862487576328732</v>
      </c>
      <c r="GF128">
        <v>1.9093924997602409</v>
      </c>
      <c r="GG128">
        <v>0.32021626990213425</v>
      </c>
      <c r="GH128">
        <v>0.42174726757246522</v>
      </c>
      <c r="GI128">
        <v>3.1385735336561762</v>
      </c>
      <c r="GJ128"/>
      <c r="GK128"/>
      <c r="GL128"/>
      <c r="GM128"/>
      <c r="GN128" s="208"/>
      <c r="GO128" s="208"/>
      <c r="GP128" s="208"/>
      <c r="GQ128" s="208"/>
      <c r="GR128" s="208"/>
      <c r="GS128" s="208"/>
      <c r="GT128" s="208"/>
      <c r="GU128" s="213">
        <v>123</v>
      </c>
    </row>
    <row r="129" spans="1:203" s="7" customFormat="1">
      <c r="A129" s="1"/>
      <c r="B129" s="76">
        <f ca="1">IF(C129="", "", RAND())</f>
        <v>0.23434456975393214</v>
      </c>
      <c r="C129">
        <v>3</v>
      </c>
      <c r="D129">
        <v>39775</v>
      </c>
      <c r="E129">
        <v>0</v>
      </c>
      <c r="F129">
        <v>52.083333333333336</v>
      </c>
      <c r="G129">
        <v>416.66666666666669</v>
      </c>
      <c r="H129">
        <v>52.083333333333336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15.966526821572</v>
      </c>
      <c r="AO129">
        <v>6.1826159020033682</v>
      </c>
      <c r="AP129">
        <v>216.27925304406205</v>
      </c>
      <c r="AQ129">
        <v>42.242992816047945</v>
      </c>
      <c r="AR129">
        <v>5.6205599109121529</v>
      </c>
      <c r="AS129">
        <v>51.169668109060346</v>
      </c>
      <c r="AT129" t="e">
        <v>#DIV/0!</v>
      </c>
      <c r="AU129" t="e">
        <v>#DIV/0!</v>
      </c>
      <c r="AV129"/>
      <c r="AW129"/>
      <c r="AX129" s="146"/>
      <c r="AY129" s="76">
        <f t="shared" ca="1" si="88"/>
        <v>0.30176626632434722</v>
      </c>
      <c r="AZ129">
        <v>2</v>
      </c>
      <c r="BA129" s="129">
        <f t="shared" ref="BA129:BA137" si="166">IF(AZ129="", "",$C$8)</f>
        <v>39775</v>
      </c>
      <c r="BB129" s="207">
        <v>0</v>
      </c>
      <c r="BC129" s="207">
        <v>0</v>
      </c>
      <c r="BD129" s="207">
        <v>0</v>
      </c>
      <c r="BE129" s="207">
        <v>0</v>
      </c>
      <c r="BF129" s="207">
        <v>0</v>
      </c>
      <c r="BG129" s="207">
        <v>0</v>
      </c>
      <c r="BH129" s="207">
        <v>0</v>
      </c>
      <c r="BI129" s="207">
        <v>0</v>
      </c>
      <c r="BJ129" s="207">
        <v>0</v>
      </c>
      <c r="BK129" s="207">
        <v>0</v>
      </c>
      <c r="BL129" s="207">
        <v>0</v>
      </c>
      <c r="BM129" s="207">
        <v>0</v>
      </c>
      <c r="BN129" s="207">
        <v>0</v>
      </c>
      <c r="BO129" s="207">
        <v>0</v>
      </c>
      <c r="BP129" s="207">
        <v>0</v>
      </c>
      <c r="BQ129" s="207">
        <v>0</v>
      </c>
      <c r="BR129" s="207">
        <v>0</v>
      </c>
      <c r="BS129" s="207">
        <v>0</v>
      </c>
      <c r="BT129" s="207">
        <v>0</v>
      </c>
      <c r="BU129" s="207">
        <v>0</v>
      </c>
      <c r="BV129" s="207">
        <v>0</v>
      </c>
      <c r="BW129" s="207">
        <v>0</v>
      </c>
      <c r="BX129" s="207">
        <v>0</v>
      </c>
      <c r="BY129" s="207">
        <v>0</v>
      </c>
      <c r="BZ129" s="207">
        <v>0</v>
      </c>
      <c r="CA129" s="207">
        <v>0</v>
      </c>
      <c r="CB129" s="207">
        <v>0</v>
      </c>
      <c r="CC129" s="207">
        <v>0</v>
      </c>
      <c r="CD129" s="207">
        <v>0</v>
      </c>
      <c r="CE129" s="207">
        <v>0</v>
      </c>
      <c r="CF129" s="207">
        <v>0</v>
      </c>
      <c r="CG129" s="147"/>
      <c r="CH129" s="176"/>
      <c r="CJ129" s="146"/>
      <c r="CK129" s="76">
        <f t="shared" ca="1" si="90"/>
        <v>2.6552733622959845E-2</v>
      </c>
      <c r="CL129" s="179">
        <f t="shared" si="91"/>
        <v>2</v>
      </c>
      <c r="CM129" s="180">
        <f t="shared" si="92"/>
        <v>39775</v>
      </c>
      <c r="CN129" s="208">
        <v>0</v>
      </c>
      <c r="CO129" s="208">
        <v>0</v>
      </c>
      <c r="CP129" s="208">
        <v>0</v>
      </c>
      <c r="CQ129" s="208">
        <v>0</v>
      </c>
      <c r="CR129" s="208">
        <v>0</v>
      </c>
      <c r="CS129" s="208">
        <v>0</v>
      </c>
      <c r="CT129" s="208">
        <v>0</v>
      </c>
      <c r="CU129" s="208">
        <v>0</v>
      </c>
      <c r="CV129" s="160"/>
      <c r="CW129">
        <v>1</v>
      </c>
      <c r="CX129">
        <f>20/11</f>
        <v>1.8181818181818181</v>
      </c>
      <c r="CY129" s="160"/>
      <c r="CZ129" s="177">
        <f t="shared" si="93"/>
        <v>9.6000000000000002E-2</v>
      </c>
      <c r="DB129" s="146"/>
      <c r="DC129" s="76">
        <f t="shared" ca="1" si="51"/>
        <v>0.10259014666651778</v>
      </c>
      <c r="DD129">
        <f t="shared" si="94"/>
        <v>2</v>
      </c>
      <c r="DE129" s="129">
        <f t="shared" si="165"/>
        <v>39775</v>
      </c>
      <c r="DF129" s="161">
        <f t="shared" si="95"/>
        <v>0</v>
      </c>
      <c r="DG129" s="161">
        <f t="shared" si="96"/>
        <v>0</v>
      </c>
      <c r="DH129" s="161">
        <f t="shared" si="97"/>
        <v>0</v>
      </c>
      <c r="DI129" s="161">
        <f t="shared" si="98"/>
        <v>0</v>
      </c>
      <c r="DJ129" s="161">
        <f t="shared" si="99"/>
        <v>0</v>
      </c>
      <c r="DK129" s="161">
        <f t="shared" si="100"/>
        <v>0</v>
      </c>
      <c r="DL129" s="161">
        <f t="shared" si="101"/>
        <v>0</v>
      </c>
      <c r="DM129" s="161">
        <f t="shared" si="102"/>
        <v>0</v>
      </c>
      <c r="DN129" s="161">
        <f t="shared" si="103"/>
        <v>0</v>
      </c>
      <c r="DO129" s="161">
        <f t="shared" si="104"/>
        <v>0</v>
      </c>
      <c r="DP129" s="161">
        <f t="shared" si="105"/>
        <v>0</v>
      </c>
      <c r="DQ129" s="161">
        <f t="shared" si="106"/>
        <v>0</v>
      </c>
      <c r="DR129" s="161">
        <f t="shared" si="107"/>
        <v>0</v>
      </c>
      <c r="DS129" s="161">
        <f t="shared" si="108"/>
        <v>0</v>
      </c>
      <c r="DT129" s="161">
        <f t="shared" si="109"/>
        <v>0</v>
      </c>
      <c r="DU129" s="161">
        <f t="shared" si="110"/>
        <v>0</v>
      </c>
      <c r="DV129" s="161">
        <f t="shared" si="111"/>
        <v>0</v>
      </c>
      <c r="DW129" s="161">
        <f t="shared" si="112"/>
        <v>0</v>
      </c>
      <c r="DX129" s="161">
        <f t="shared" si="113"/>
        <v>0</v>
      </c>
      <c r="DY129" s="161">
        <f t="shared" si="114"/>
        <v>0</v>
      </c>
      <c r="DZ129" s="161">
        <f t="shared" si="115"/>
        <v>0</v>
      </c>
      <c r="EA129" s="161">
        <f t="shared" si="116"/>
        <v>0</v>
      </c>
      <c r="EB129" s="161">
        <f t="shared" si="117"/>
        <v>0</v>
      </c>
      <c r="EC129" s="161">
        <f t="shared" si="118"/>
        <v>0</v>
      </c>
      <c r="ED129" s="161">
        <f t="shared" si="119"/>
        <v>0</v>
      </c>
      <c r="EE129" s="161">
        <f t="shared" si="120"/>
        <v>0</v>
      </c>
      <c r="EF129" s="161">
        <f t="shared" si="121"/>
        <v>0</v>
      </c>
      <c r="EG129" s="161">
        <f t="shared" si="122"/>
        <v>0</v>
      </c>
      <c r="EH129" s="161">
        <f t="shared" si="123"/>
        <v>0</v>
      </c>
      <c r="EI129" s="161">
        <f t="shared" si="124"/>
        <v>0</v>
      </c>
      <c r="EJ129" s="161">
        <f t="shared" si="125"/>
        <v>0</v>
      </c>
      <c r="EK129" s="147">
        <f t="shared" si="132"/>
        <v>0</v>
      </c>
      <c r="EL129" s="149"/>
      <c r="EN129" s="146"/>
      <c r="EO129" s="146"/>
      <c r="EP129" s="139">
        <f t="shared" si="133"/>
        <v>0</v>
      </c>
      <c r="EQ129" s="139">
        <f t="shared" si="134"/>
        <v>0</v>
      </c>
      <c r="ER129" s="139">
        <f t="shared" si="135"/>
        <v>0</v>
      </c>
      <c r="ES129" s="139">
        <f t="shared" si="136"/>
        <v>0</v>
      </c>
      <c r="ET129" s="139">
        <f t="shared" si="137"/>
        <v>0</v>
      </c>
      <c r="EU129" s="139">
        <f t="shared" si="138"/>
        <v>0</v>
      </c>
      <c r="EV129" s="139">
        <f t="shared" si="139"/>
        <v>0</v>
      </c>
      <c r="EW129" s="139">
        <f t="shared" si="140"/>
        <v>0</v>
      </c>
      <c r="EX129" s="139">
        <f t="shared" si="141"/>
        <v>0</v>
      </c>
      <c r="EY129" s="139">
        <f t="shared" si="142"/>
        <v>0</v>
      </c>
      <c r="EZ129" s="139">
        <f t="shared" si="143"/>
        <v>0</v>
      </c>
      <c r="FA129" s="139">
        <f t="shared" si="144"/>
        <v>0</v>
      </c>
      <c r="FB129" s="139">
        <f t="shared" si="145"/>
        <v>0</v>
      </c>
      <c r="FC129" s="139">
        <f t="shared" si="146"/>
        <v>0</v>
      </c>
      <c r="FD129" s="139">
        <f t="shared" si="147"/>
        <v>0</v>
      </c>
      <c r="FE129" s="139">
        <f t="shared" si="148"/>
        <v>0</v>
      </c>
      <c r="FF129" s="139">
        <f t="shared" si="149"/>
        <v>0</v>
      </c>
      <c r="FG129" s="139">
        <f t="shared" si="150"/>
        <v>0</v>
      </c>
      <c r="FH129" s="139">
        <f t="shared" si="151"/>
        <v>0</v>
      </c>
      <c r="FI129" s="139">
        <f t="shared" si="152"/>
        <v>0</v>
      </c>
      <c r="FJ129" s="139">
        <f t="shared" si="153"/>
        <v>0</v>
      </c>
      <c r="FK129" s="139">
        <f t="shared" si="154"/>
        <v>0</v>
      </c>
      <c r="FL129" s="139">
        <f t="shared" si="155"/>
        <v>0</v>
      </c>
      <c r="FM129" s="139">
        <f t="shared" si="156"/>
        <v>0</v>
      </c>
      <c r="FN129" s="139">
        <f t="shared" si="157"/>
        <v>0</v>
      </c>
      <c r="FO129" s="139">
        <f t="shared" si="158"/>
        <v>0</v>
      </c>
      <c r="FP129" s="139">
        <f t="shared" si="159"/>
        <v>0</v>
      </c>
      <c r="FQ129" s="139">
        <f t="shared" si="160"/>
        <v>0</v>
      </c>
      <c r="FR129" s="139">
        <f t="shared" si="161"/>
        <v>0</v>
      </c>
      <c r="FS129" s="139">
        <f t="shared" si="162"/>
        <v>0</v>
      </c>
      <c r="FT129" s="139">
        <f t="shared" si="163"/>
        <v>0</v>
      </c>
      <c r="FU129" s="148">
        <f t="shared" si="164"/>
        <v>0</v>
      </c>
      <c r="FV129" s="149"/>
      <c r="FY129" s="213">
        <v>124</v>
      </c>
      <c r="FZ129">
        <v>1.7614833617077283</v>
      </c>
      <c r="GA129">
        <v>8.6847048066311103</v>
      </c>
      <c r="GB129">
        <v>4.39332410337102</v>
      </c>
      <c r="GC129">
        <v>0.2951909588237156</v>
      </c>
      <c r="GD129">
        <v>1.2529387604584723</v>
      </c>
      <c r="GE129">
        <v>2.6670478136350688</v>
      </c>
      <c r="GF129">
        <v>0.95469624988012047</v>
      </c>
      <c r="GG129">
        <v>4.8262265142285186</v>
      </c>
      <c r="GH129">
        <v>7.0280305487024703</v>
      </c>
      <c r="GI129">
        <v>3.4934899497468095</v>
      </c>
      <c r="GJ129"/>
      <c r="GK129"/>
      <c r="GL129"/>
      <c r="GM129"/>
      <c r="GN129" s="208"/>
      <c r="GO129" s="208"/>
      <c r="GP129" s="208"/>
      <c r="GQ129" s="208"/>
      <c r="GR129" s="208"/>
      <c r="GS129" s="208"/>
      <c r="GT129" s="208"/>
      <c r="GU129" s="213">
        <v>124</v>
      </c>
    </row>
    <row r="130" spans="1:203" s="7" customFormat="1">
      <c r="A130" s="1"/>
      <c r="B130" s="76">
        <f ca="1">IF(C130="", "", RAND())</f>
        <v>0.41933599826563661</v>
      </c>
      <c r="C130">
        <v>6</v>
      </c>
      <c r="D130">
        <v>39775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23.806547619047617</v>
      </c>
      <c r="AO130">
        <v>6.608572458799979</v>
      </c>
      <c r="AP130">
        <v>141.03365006138588</v>
      </c>
      <c r="AQ130">
        <v>42.616366919960356</v>
      </c>
      <c r="AR130">
        <v>6.1706069569417972</v>
      </c>
      <c r="AS130">
        <v>67.392247065424897</v>
      </c>
      <c r="AT130" t="e">
        <v>#DIV/0!</v>
      </c>
      <c r="AU130" t="e">
        <v>#DIV/0!</v>
      </c>
      <c r="AV130"/>
      <c r="AW130"/>
      <c r="AX130" s="146"/>
      <c r="AY130" s="76">
        <f t="shared" ca="1" si="88"/>
        <v>0.88385161140305901</v>
      </c>
      <c r="AZ130">
        <v>3</v>
      </c>
      <c r="BA130" s="129">
        <f t="shared" si="166"/>
        <v>39775</v>
      </c>
      <c r="BB130" s="207">
        <v>0</v>
      </c>
      <c r="BC130" s="207">
        <v>0</v>
      </c>
      <c r="BD130" s="207">
        <v>0</v>
      </c>
      <c r="BE130" s="207">
        <v>0</v>
      </c>
      <c r="BF130" s="207">
        <v>0</v>
      </c>
      <c r="BG130" s="207">
        <v>0</v>
      </c>
      <c r="BH130" s="207">
        <v>0</v>
      </c>
      <c r="BI130" s="207">
        <v>0</v>
      </c>
      <c r="BJ130" s="207">
        <v>0</v>
      </c>
      <c r="BK130" s="207">
        <v>0</v>
      </c>
      <c r="BL130" s="207">
        <v>0</v>
      </c>
      <c r="BM130" s="207">
        <v>0</v>
      </c>
      <c r="BN130" s="207">
        <v>0</v>
      </c>
      <c r="BO130" s="207">
        <v>0</v>
      </c>
      <c r="BP130" s="207">
        <v>0</v>
      </c>
      <c r="BQ130" s="207">
        <v>0</v>
      </c>
      <c r="BR130" s="207">
        <v>0</v>
      </c>
      <c r="BS130" s="207">
        <v>0</v>
      </c>
      <c r="BT130" s="207">
        <v>0</v>
      </c>
      <c r="BU130" s="207">
        <v>0</v>
      </c>
      <c r="BV130" s="207">
        <v>0</v>
      </c>
      <c r="BW130" s="207">
        <v>0</v>
      </c>
      <c r="BX130" s="207">
        <v>0</v>
      </c>
      <c r="BY130" s="207">
        <v>0</v>
      </c>
      <c r="BZ130" s="207">
        <v>0</v>
      </c>
      <c r="CA130" s="207">
        <v>0</v>
      </c>
      <c r="CB130" s="207">
        <v>0</v>
      </c>
      <c r="CC130" s="207">
        <v>0</v>
      </c>
      <c r="CD130" s="207">
        <v>0</v>
      </c>
      <c r="CE130" s="207">
        <v>0</v>
      </c>
      <c r="CF130" s="207">
        <v>0</v>
      </c>
      <c r="CG130" s="147"/>
      <c r="CH130" s="176"/>
      <c r="CJ130" s="146"/>
      <c r="CK130" s="76">
        <f t="shared" ca="1" si="90"/>
        <v>0.76213578907885671</v>
      </c>
      <c r="CL130" s="179">
        <f t="shared" si="91"/>
        <v>3</v>
      </c>
      <c r="CM130" s="180">
        <f t="shared" si="92"/>
        <v>39775</v>
      </c>
      <c r="CN130" s="208">
        <v>0</v>
      </c>
      <c r="CO130" s="208">
        <v>1</v>
      </c>
      <c r="CP130" s="208">
        <v>8</v>
      </c>
      <c r="CQ130" s="208">
        <v>1</v>
      </c>
      <c r="CR130" s="208">
        <v>0</v>
      </c>
      <c r="CS130" s="208">
        <v>0</v>
      </c>
      <c r="CT130" s="208">
        <v>0</v>
      </c>
      <c r="CU130" s="208">
        <v>0</v>
      </c>
      <c r="CV130" s="160"/>
      <c r="CW130">
        <v>1</v>
      </c>
      <c r="CX130">
        <f>50/10</f>
        <v>5</v>
      </c>
      <c r="CY130" s="160"/>
      <c r="CZ130" s="177">
        <f t="shared" si="93"/>
        <v>9.6000000000000002E-2</v>
      </c>
      <c r="DB130" s="146"/>
      <c r="DC130" s="76">
        <f t="shared" ca="1" si="51"/>
        <v>0.4789373446681644</v>
      </c>
      <c r="DD130">
        <f t="shared" si="94"/>
        <v>3</v>
      </c>
      <c r="DE130" s="129">
        <f t="shared" si="165"/>
        <v>39775</v>
      </c>
      <c r="DF130" s="161">
        <f t="shared" si="95"/>
        <v>0</v>
      </c>
      <c r="DG130" s="161">
        <f t="shared" si="96"/>
        <v>52.083333333333336</v>
      </c>
      <c r="DH130" s="161">
        <f t="shared" si="97"/>
        <v>416.66666666666669</v>
      </c>
      <c r="DI130" s="161">
        <f t="shared" si="98"/>
        <v>52.083333333333336</v>
      </c>
      <c r="DJ130" s="161">
        <f t="shared" si="99"/>
        <v>0</v>
      </c>
      <c r="DK130" s="161">
        <f t="shared" si="100"/>
        <v>0</v>
      </c>
      <c r="DL130" s="161">
        <f t="shared" si="101"/>
        <v>0</v>
      </c>
      <c r="DM130" s="161">
        <f t="shared" si="102"/>
        <v>0</v>
      </c>
      <c r="DN130" s="161">
        <f t="shared" si="103"/>
        <v>0</v>
      </c>
      <c r="DO130" s="161">
        <f t="shared" si="104"/>
        <v>0</v>
      </c>
      <c r="DP130" s="161">
        <f t="shared" si="105"/>
        <v>0</v>
      </c>
      <c r="DQ130" s="161">
        <f t="shared" si="106"/>
        <v>0</v>
      </c>
      <c r="DR130" s="161">
        <f t="shared" si="107"/>
        <v>0</v>
      </c>
      <c r="DS130" s="161">
        <f t="shared" si="108"/>
        <v>0</v>
      </c>
      <c r="DT130" s="161">
        <f t="shared" si="109"/>
        <v>0</v>
      </c>
      <c r="DU130" s="161">
        <f t="shared" si="110"/>
        <v>0</v>
      </c>
      <c r="DV130" s="161">
        <f t="shared" si="111"/>
        <v>0</v>
      </c>
      <c r="DW130" s="161">
        <f t="shared" si="112"/>
        <v>0</v>
      </c>
      <c r="DX130" s="161">
        <f t="shared" si="113"/>
        <v>0</v>
      </c>
      <c r="DY130" s="161">
        <f t="shared" si="114"/>
        <v>0</v>
      </c>
      <c r="DZ130" s="161">
        <f t="shared" si="115"/>
        <v>0</v>
      </c>
      <c r="EA130" s="161">
        <f t="shared" si="116"/>
        <v>0</v>
      </c>
      <c r="EB130" s="161">
        <f t="shared" si="117"/>
        <v>0</v>
      </c>
      <c r="EC130" s="161">
        <f t="shared" si="118"/>
        <v>0</v>
      </c>
      <c r="ED130" s="161">
        <f t="shared" si="119"/>
        <v>0</v>
      </c>
      <c r="EE130" s="161">
        <f t="shared" si="120"/>
        <v>0</v>
      </c>
      <c r="EF130" s="161">
        <f t="shared" si="121"/>
        <v>0</v>
      </c>
      <c r="EG130" s="161">
        <f t="shared" si="122"/>
        <v>0</v>
      </c>
      <c r="EH130" s="161">
        <f t="shared" si="123"/>
        <v>0</v>
      </c>
      <c r="EI130" s="161">
        <f t="shared" si="124"/>
        <v>0</v>
      </c>
      <c r="EJ130" s="161">
        <f t="shared" si="125"/>
        <v>0</v>
      </c>
      <c r="EK130" s="147">
        <f t="shared" si="132"/>
        <v>520.83333333333337</v>
      </c>
      <c r="EL130" s="149"/>
      <c r="EN130" s="146"/>
      <c r="EO130" s="146"/>
      <c r="EP130" s="139">
        <f t="shared" si="133"/>
        <v>0</v>
      </c>
      <c r="EQ130" s="139">
        <f t="shared" si="134"/>
        <v>0.60058854166666664</v>
      </c>
      <c r="ER130" s="139">
        <f t="shared" si="135"/>
        <v>30.515045909173875</v>
      </c>
      <c r="ES130" s="139">
        <f t="shared" si="136"/>
        <v>11.247588747463091</v>
      </c>
      <c r="ET130" s="139">
        <f t="shared" si="137"/>
        <v>0</v>
      </c>
      <c r="EU130" s="139">
        <f t="shared" si="138"/>
        <v>0</v>
      </c>
      <c r="EV130" s="139">
        <f t="shared" si="139"/>
        <v>0</v>
      </c>
      <c r="EW130" s="139">
        <f t="shared" si="140"/>
        <v>0</v>
      </c>
      <c r="EX130" s="139">
        <f t="shared" si="141"/>
        <v>0</v>
      </c>
      <c r="EY130" s="139">
        <f t="shared" si="142"/>
        <v>0</v>
      </c>
      <c r="EZ130" s="139">
        <f t="shared" si="143"/>
        <v>0</v>
      </c>
      <c r="FA130" s="139">
        <f t="shared" si="144"/>
        <v>0</v>
      </c>
      <c r="FB130" s="139">
        <f t="shared" si="145"/>
        <v>0</v>
      </c>
      <c r="FC130" s="139">
        <f t="shared" si="146"/>
        <v>0</v>
      </c>
      <c r="FD130" s="139">
        <f t="shared" si="147"/>
        <v>0</v>
      </c>
      <c r="FE130" s="139">
        <f t="shared" si="148"/>
        <v>0</v>
      </c>
      <c r="FF130" s="139">
        <f t="shared" si="149"/>
        <v>0</v>
      </c>
      <c r="FG130" s="139">
        <f t="shared" si="150"/>
        <v>0</v>
      </c>
      <c r="FH130" s="139">
        <f t="shared" si="151"/>
        <v>0</v>
      </c>
      <c r="FI130" s="139">
        <f t="shared" si="152"/>
        <v>0</v>
      </c>
      <c r="FJ130" s="139">
        <f t="shared" si="153"/>
        <v>0</v>
      </c>
      <c r="FK130" s="139">
        <f t="shared" si="154"/>
        <v>0</v>
      </c>
      <c r="FL130" s="139">
        <f t="shared" si="155"/>
        <v>0</v>
      </c>
      <c r="FM130" s="139">
        <f t="shared" si="156"/>
        <v>0</v>
      </c>
      <c r="FN130" s="139">
        <f t="shared" si="157"/>
        <v>0</v>
      </c>
      <c r="FO130" s="139">
        <f t="shared" si="158"/>
        <v>0</v>
      </c>
      <c r="FP130" s="139">
        <f t="shared" si="159"/>
        <v>0</v>
      </c>
      <c r="FQ130" s="139">
        <f t="shared" si="160"/>
        <v>0</v>
      </c>
      <c r="FR130" s="139">
        <f t="shared" si="161"/>
        <v>0</v>
      </c>
      <c r="FS130" s="139">
        <f t="shared" si="162"/>
        <v>0</v>
      </c>
      <c r="FT130" s="139">
        <f t="shared" si="163"/>
        <v>0</v>
      </c>
      <c r="FU130" s="148">
        <f t="shared" si="164"/>
        <v>42.363223198303629</v>
      </c>
      <c r="FV130" s="149"/>
      <c r="FY130" s="213">
        <v>125</v>
      </c>
      <c r="FZ130">
        <v>5.9631508494094883</v>
      </c>
      <c r="GA130">
        <v>20.291688624290511</v>
      </c>
      <c r="GB130">
        <v>7.2966923633628227</v>
      </c>
      <c r="GC130">
        <v>3.6033534837389767</v>
      </c>
      <c r="GD130">
        <v>4.4229463905128021</v>
      </c>
      <c r="GE130">
        <v>3.3494262881027748</v>
      </c>
      <c r="GF130">
        <v>0</v>
      </c>
      <c r="GG130">
        <v>5.7565971458515968</v>
      </c>
      <c r="GH130">
        <v>8.1415607890361557</v>
      </c>
      <c r="GI130">
        <v>6.6516610418515629</v>
      </c>
      <c r="GJ130"/>
      <c r="GK130"/>
      <c r="GL130"/>
      <c r="GM130"/>
      <c r="GN130" s="208"/>
      <c r="GO130" s="208"/>
      <c r="GP130" s="208"/>
      <c r="GQ130" s="208"/>
      <c r="GR130" s="208"/>
      <c r="GS130" s="208"/>
      <c r="GT130" s="208"/>
      <c r="GU130" s="213">
        <v>125</v>
      </c>
    </row>
    <row r="131" spans="1:203" s="7" customFormat="1">
      <c r="A131" s="1"/>
      <c r="B131" s="76">
        <f ca="1">IF(C131="", "", RAND())</f>
        <v>0.39651846767307131</v>
      </c>
      <c r="C131">
        <v>8</v>
      </c>
      <c r="D131">
        <v>39775</v>
      </c>
      <c r="E131">
        <v>0</v>
      </c>
      <c r="F131">
        <v>52.083333333333336</v>
      </c>
      <c r="G131">
        <v>364.58333333333331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48.800202245764659</v>
      </c>
      <c r="AO131">
        <v>9.0477363392298802</v>
      </c>
      <c r="AP131">
        <v>201.9083714652264</v>
      </c>
      <c r="AQ131">
        <v>59.579748430382658</v>
      </c>
      <c r="AR131">
        <v>8.2252148538453458</v>
      </c>
      <c r="AS131">
        <v>122.62181611331182</v>
      </c>
      <c r="AT131" t="e">
        <v>#DIV/0!</v>
      </c>
      <c r="AU131" t="e">
        <v>#DIV/0!</v>
      </c>
      <c r="AV131"/>
      <c r="AW131"/>
      <c r="AX131" s="146"/>
      <c r="AY131" s="76">
        <f t="shared" ca="1" si="88"/>
        <v>0.40189672238471097</v>
      </c>
      <c r="AZ131">
        <v>4</v>
      </c>
      <c r="BA131" s="129">
        <f t="shared" si="166"/>
        <v>39775</v>
      </c>
      <c r="BB131" s="207">
        <v>0</v>
      </c>
      <c r="BC131" s="207">
        <v>0</v>
      </c>
      <c r="BD131" s="207">
        <v>0</v>
      </c>
      <c r="BE131" s="207">
        <v>0</v>
      </c>
      <c r="BF131" s="207">
        <v>0</v>
      </c>
      <c r="BG131" s="207">
        <v>0</v>
      </c>
      <c r="BH131" s="207">
        <v>0</v>
      </c>
      <c r="BI131" s="207">
        <v>0</v>
      </c>
      <c r="BJ131" s="207">
        <v>0</v>
      </c>
      <c r="BK131" s="207">
        <v>0</v>
      </c>
      <c r="BL131" s="207">
        <v>0</v>
      </c>
      <c r="BM131" s="207">
        <v>0</v>
      </c>
      <c r="BN131" s="207">
        <v>0</v>
      </c>
      <c r="BO131" s="207">
        <v>0</v>
      </c>
      <c r="BP131" s="207">
        <v>0</v>
      </c>
      <c r="BQ131" s="207">
        <v>0</v>
      </c>
      <c r="BR131" s="207">
        <v>0</v>
      </c>
      <c r="BS131" s="207">
        <v>0</v>
      </c>
      <c r="BT131" s="207">
        <v>0</v>
      </c>
      <c r="BU131" s="207">
        <v>0</v>
      </c>
      <c r="BV131" s="207">
        <v>0</v>
      </c>
      <c r="BW131" s="207">
        <v>0</v>
      </c>
      <c r="BX131" s="207">
        <v>0</v>
      </c>
      <c r="BY131" s="207">
        <v>0</v>
      </c>
      <c r="BZ131" s="207">
        <v>0</v>
      </c>
      <c r="CA131" s="207">
        <v>0</v>
      </c>
      <c r="CB131" s="207">
        <v>0</v>
      </c>
      <c r="CC131" s="207">
        <v>0</v>
      </c>
      <c r="CD131" s="207">
        <v>0</v>
      </c>
      <c r="CE131" s="207">
        <v>0</v>
      </c>
      <c r="CF131" s="207">
        <v>0</v>
      </c>
      <c r="CG131" s="147"/>
      <c r="CH131" s="176"/>
      <c r="CJ131" s="146"/>
      <c r="CK131" s="76">
        <f t="shared" ca="1" si="90"/>
        <v>0.42433496738476606</v>
      </c>
      <c r="CL131" s="179">
        <f t="shared" si="91"/>
        <v>4</v>
      </c>
      <c r="CM131" s="180">
        <f t="shared" si="92"/>
        <v>39775</v>
      </c>
      <c r="CN131" s="208">
        <v>0</v>
      </c>
      <c r="CO131" s="208">
        <v>0</v>
      </c>
      <c r="CP131" s="208">
        <v>0</v>
      </c>
      <c r="CQ131" s="208">
        <v>0</v>
      </c>
      <c r="CR131" s="208">
        <v>0</v>
      </c>
      <c r="CS131" s="208">
        <v>0</v>
      </c>
      <c r="CT131" s="208">
        <v>0</v>
      </c>
      <c r="CU131" s="208">
        <v>0</v>
      </c>
      <c r="CV131" s="160"/>
      <c r="CW131">
        <v>1</v>
      </c>
      <c r="CX131">
        <v>1</v>
      </c>
      <c r="CY131" s="160"/>
      <c r="CZ131" s="177">
        <f t="shared" si="93"/>
        <v>9.6000000000000002E-2</v>
      </c>
      <c r="DB131" s="146"/>
      <c r="DC131" s="76">
        <f t="shared" ca="1" si="51"/>
        <v>0.91998452447887935</v>
      </c>
      <c r="DD131">
        <f t="shared" si="94"/>
        <v>4</v>
      </c>
      <c r="DE131" s="129">
        <f t="shared" si="165"/>
        <v>39775</v>
      </c>
      <c r="DF131" s="161">
        <f t="shared" si="95"/>
        <v>0</v>
      </c>
      <c r="DG131" s="161">
        <f t="shared" si="96"/>
        <v>0</v>
      </c>
      <c r="DH131" s="161">
        <f t="shared" si="97"/>
        <v>0</v>
      </c>
      <c r="DI131" s="161">
        <f t="shared" si="98"/>
        <v>0</v>
      </c>
      <c r="DJ131" s="161">
        <f t="shared" si="99"/>
        <v>0</v>
      </c>
      <c r="DK131" s="161">
        <f t="shared" si="100"/>
        <v>0</v>
      </c>
      <c r="DL131" s="161">
        <f t="shared" si="101"/>
        <v>0</v>
      </c>
      <c r="DM131" s="161">
        <f t="shared" si="102"/>
        <v>0</v>
      </c>
      <c r="DN131" s="161">
        <f t="shared" si="103"/>
        <v>0</v>
      </c>
      <c r="DO131" s="161">
        <f t="shared" si="104"/>
        <v>0</v>
      </c>
      <c r="DP131" s="161">
        <f t="shared" si="105"/>
        <v>0</v>
      </c>
      <c r="DQ131" s="161">
        <f t="shared" si="106"/>
        <v>0</v>
      </c>
      <c r="DR131" s="161">
        <f t="shared" si="107"/>
        <v>0</v>
      </c>
      <c r="DS131" s="161">
        <f t="shared" si="108"/>
        <v>0</v>
      </c>
      <c r="DT131" s="161">
        <f t="shared" si="109"/>
        <v>0</v>
      </c>
      <c r="DU131" s="161">
        <f t="shared" si="110"/>
        <v>0</v>
      </c>
      <c r="DV131" s="161">
        <f t="shared" si="111"/>
        <v>0</v>
      </c>
      <c r="DW131" s="161">
        <f t="shared" si="112"/>
        <v>0</v>
      </c>
      <c r="DX131" s="161">
        <f t="shared" si="113"/>
        <v>0</v>
      </c>
      <c r="DY131" s="161">
        <f t="shared" si="114"/>
        <v>0</v>
      </c>
      <c r="DZ131" s="161">
        <f t="shared" si="115"/>
        <v>0</v>
      </c>
      <c r="EA131" s="161">
        <f t="shared" si="116"/>
        <v>0</v>
      </c>
      <c r="EB131" s="161">
        <f t="shared" si="117"/>
        <v>0</v>
      </c>
      <c r="EC131" s="161">
        <f t="shared" si="118"/>
        <v>0</v>
      </c>
      <c r="ED131" s="161">
        <f t="shared" si="119"/>
        <v>0</v>
      </c>
      <c r="EE131" s="161">
        <f t="shared" si="120"/>
        <v>0</v>
      </c>
      <c r="EF131" s="161">
        <f t="shared" si="121"/>
        <v>0</v>
      </c>
      <c r="EG131" s="161">
        <f t="shared" si="122"/>
        <v>0</v>
      </c>
      <c r="EH131" s="161">
        <f t="shared" si="123"/>
        <v>0</v>
      </c>
      <c r="EI131" s="161">
        <f t="shared" si="124"/>
        <v>0</v>
      </c>
      <c r="EJ131" s="161">
        <f t="shared" si="125"/>
        <v>0</v>
      </c>
      <c r="EK131" s="147">
        <f t="shared" si="132"/>
        <v>0</v>
      </c>
      <c r="EL131" s="149"/>
      <c r="EN131" s="146"/>
      <c r="EO131" s="146"/>
      <c r="EP131" s="139">
        <f t="shared" si="133"/>
        <v>0</v>
      </c>
      <c r="EQ131" s="139">
        <f t="shared" si="134"/>
        <v>0</v>
      </c>
      <c r="ER131" s="139">
        <f t="shared" si="135"/>
        <v>0</v>
      </c>
      <c r="ES131" s="139">
        <f t="shared" si="136"/>
        <v>0</v>
      </c>
      <c r="ET131" s="139">
        <f t="shared" si="137"/>
        <v>0</v>
      </c>
      <c r="EU131" s="139">
        <f t="shared" si="138"/>
        <v>0</v>
      </c>
      <c r="EV131" s="139">
        <f t="shared" si="139"/>
        <v>0</v>
      </c>
      <c r="EW131" s="139">
        <f t="shared" si="140"/>
        <v>0</v>
      </c>
      <c r="EX131" s="139">
        <f t="shared" si="141"/>
        <v>0</v>
      </c>
      <c r="EY131" s="139">
        <f t="shared" si="142"/>
        <v>0</v>
      </c>
      <c r="EZ131" s="139">
        <f t="shared" si="143"/>
        <v>0</v>
      </c>
      <c r="FA131" s="139">
        <f t="shared" si="144"/>
        <v>0</v>
      </c>
      <c r="FB131" s="139">
        <f t="shared" si="145"/>
        <v>0</v>
      </c>
      <c r="FC131" s="139">
        <f t="shared" si="146"/>
        <v>0</v>
      </c>
      <c r="FD131" s="139">
        <f t="shared" si="147"/>
        <v>0</v>
      </c>
      <c r="FE131" s="139">
        <f t="shared" si="148"/>
        <v>0</v>
      </c>
      <c r="FF131" s="139">
        <f t="shared" si="149"/>
        <v>0</v>
      </c>
      <c r="FG131" s="139">
        <f t="shared" si="150"/>
        <v>0</v>
      </c>
      <c r="FH131" s="139">
        <f t="shared" si="151"/>
        <v>0</v>
      </c>
      <c r="FI131" s="139">
        <f t="shared" si="152"/>
        <v>0</v>
      </c>
      <c r="FJ131" s="139">
        <f t="shared" si="153"/>
        <v>0</v>
      </c>
      <c r="FK131" s="139">
        <f t="shared" si="154"/>
        <v>0</v>
      </c>
      <c r="FL131" s="139">
        <f t="shared" si="155"/>
        <v>0</v>
      </c>
      <c r="FM131" s="139">
        <f t="shared" si="156"/>
        <v>0</v>
      </c>
      <c r="FN131" s="139">
        <f t="shared" si="157"/>
        <v>0</v>
      </c>
      <c r="FO131" s="139">
        <f t="shared" si="158"/>
        <v>0</v>
      </c>
      <c r="FP131" s="139">
        <f t="shared" si="159"/>
        <v>0</v>
      </c>
      <c r="FQ131" s="139">
        <f t="shared" si="160"/>
        <v>0</v>
      </c>
      <c r="FR131" s="139">
        <f t="shared" si="161"/>
        <v>0</v>
      </c>
      <c r="FS131" s="139">
        <f t="shared" si="162"/>
        <v>0</v>
      </c>
      <c r="FT131" s="139">
        <f t="shared" si="163"/>
        <v>0</v>
      </c>
      <c r="FU131" s="148">
        <f t="shared" si="164"/>
        <v>0</v>
      </c>
      <c r="FV131" s="149"/>
      <c r="FY131" s="213">
        <v>126</v>
      </c>
      <c r="FZ131">
        <v>0</v>
      </c>
      <c r="GA131">
        <v>16.591941549215385</v>
      </c>
      <c r="GB131">
        <v>8.3599096213819841</v>
      </c>
      <c r="GC131">
        <v>1.7212153121190044</v>
      </c>
      <c r="GD131">
        <v>2.0833228942270563</v>
      </c>
      <c r="GE131">
        <v>1.8315114879270877</v>
      </c>
      <c r="GF131">
        <v>0.47734812494006024</v>
      </c>
      <c r="GG131">
        <v>5.6498583892175525</v>
      </c>
      <c r="GH131">
        <v>8.0009783665119993</v>
      </c>
      <c r="GI131">
        <v>4.6858381188195972</v>
      </c>
      <c r="GJ131"/>
      <c r="GK131"/>
      <c r="GL131"/>
      <c r="GM131"/>
      <c r="GN131" s="208"/>
      <c r="GO131" s="208"/>
      <c r="GP131" s="208"/>
      <c r="GQ131" s="208"/>
      <c r="GR131" s="208"/>
      <c r="GS131" s="208"/>
      <c r="GT131" s="208"/>
      <c r="GU131" s="213">
        <v>126</v>
      </c>
    </row>
    <row r="132" spans="1:203" s="7" customFormat="1">
      <c r="A132" s="1"/>
      <c r="B132" s="76">
        <f ca="1">IF(C132="", "", RAND())</f>
        <v>0.4458076552823147</v>
      </c>
      <c r="C132">
        <v>10</v>
      </c>
      <c r="D132">
        <v>39775</v>
      </c>
      <c r="E132">
        <v>0</v>
      </c>
      <c r="F132">
        <v>0</v>
      </c>
      <c r="G132">
        <v>62.5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28.580357142857146</v>
      </c>
      <c r="AO132">
        <v>8.0084705037129247</v>
      </c>
      <c r="AP132">
        <v>241.85262344529005</v>
      </c>
      <c r="AQ132">
        <v>51.797188059144553</v>
      </c>
      <c r="AR132">
        <v>7.2804277306481122</v>
      </c>
      <c r="AS132">
        <v>88.954095128737478</v>
      </c>
      <c r="AT132" t="e">
        <v>#DIV/0!</v>
      </c>
      <c r="AU132" t="e">
        <v>#DIV/0!</v>
      </c>
      <c r="AV132"/>
      <c r="AW132"/>
      <c r="AX132" s="146"/>
      <c r="AY132" s="76">
        <f t="shared" ca="1" si="88"/>
        <v>0.14813292757044483</v>
      </c>
      <c r="AZ132">
        <v>5</v>
      </c>
      <c r="BA132" s="129">
        <f t="shared" si="166"/>
        <v>39775</v>
      </c>
      <c r="BB132" s="207">
        <v>0</v>
      </c>
      <c r="BC132" s="207">
        <v>0</v>
      </c>
      <c r="BD132" s="207">
        <v>0</v>
      </c>
      <c r="BE132" s="207">
        <v>0</v>
      </c>
      <c r="BF132" s="207">
        <v>0</v>
      </c>
      <c r="BG132" s="207">
        <v>0</v>
      </c>
      <c r="BH132" s="207">
        <v>0</v>
      </c>
      <c r="BI132" s="207">
        <v>0</v>
      </c>
      <c r="BJ132" s="207">
        <v>0</v>
      </c>
      <c r="BK132" s="207">
        <v>0</v>
      </c>
      <c r="BL132" s="207">
        <v>0</v>
      </c>
      <c r="BM132" s="207">
        <v>0</v>
      </c>
      <c r="BN132" s="207">
        <v>0</v>
      </c>
      <c r="BO132" s="207">
        <v>0</v>
      </c>
      <c r="BP132" s="207">
        <v>0</v>
      </c>
      <c r="BQ132" s="207">
        <v>0</v>
      </c>
      <c r="BR132" s="207">
        <v>0</v>
      </c>
      <c r="BS132" s="207">
        <v>0</v>
      </c>
      <c r="BT132" s="207">
        <v>0</v>
      </c>
      <c r="BU132" s="207">
        <v>0</v>
      </c>
      <c r="BV132" s="207">
        <v>0</v>
      </c>
      <c r="BW132" s="207">
        <v>0</v>
      </c>
      <c r="BX132" s="207">
        <v>0</v>
      </c>
      <c r="BY132" s="207">
        <v>0</v>
      </c>
      <c r="BZ132" s="207">
        <v>0</v>
      </c>
      <c r="CA132" s="207">
        <v>0</v>
      </c>
      <c r="CB132" s="207">
        <v>0</v>
      </c>
      <c r="CC132" s="207">
        <v>0</v>
      </c>
      <c r="CD132" s="207">
        <v>0</v>
      </c>
      <c r="CE132" s="207">
        <v>0</v>
      </c>
      <c r="CF132" s="207">
        <v>0</v>
      </c>
      <c r="CG132" s="147"/>
      <c r="CH132" s="176"/>
      <c r="CJ132" s="146"/>
      <c r="CK132" s="76">
        <f t="shared" ca="1" si="90"/>
        <v>0.23817552694927135</v>
      </c>
      <c r="CL132" s="179">
        <f t="shared" si="91"/>
        <v>5</v>
      </c>
      <c r="CM132" s="180">
        <f t="shared" si="92"/>
        <v>39775</v>
      </c>
      <c r="CN132" s="208">
        <v>0</v>
      </c>
      <c r="CO132" s="208">
        <v>0</v>
      </c>
      <c r="CP132" s="208">
        <v>4</v>
      </c>
      <c r="CQ132" s="208">
        <v>0</v>
      </c>
      <c r="CR132" s="208">
        <v>0</v>
      </c>
      <c r="CS132" s="208">
        <v>0</v>
      </c>
      <c r="CT132" s="208">
        <v>0</v>
      </c>
      <c r="CU132" s="208">
        <v>0</v>
      </c>
      <c r="CV132" s="160"/>
      <c r="CW132">
        <v>1</v>
      </c>
      <c r="CX132">
        <f>20/7</f>
        <v>2.8571428571428572</v>
      </c>
      <c r="CY132" s="160"/>
      <c r="CZ132" s="177">
        <f t="shared" si="93"/>
        <v>9.6000000000000002E-2</v>
      </c>
      <c r="DB132" s="146"/>
      <c r="DC132" s="76">
        <f t="shared" ca="1" si="51"/>
        <v>0.90151752821717679</v>
      </c>
      <c r="DD132">
        <f t="shared" si="94"/>
        <v>5</v>
      </c>
      <c r="DE132" s="129">
        <f t="shared" si="165"/>
        <v>39775</v>
      </c>
      <c r="DF132" s="161">
        <f t="shared" si="95"/>
        <v>0</v>
      </c>
      <c r="DG132" s="161">
        <f t="shared" si="96"/>
        <v>0</v>
      </c>
      <c r="DH132" s="161">
        <f t="shared" si="97"/>
        <v>119.04761904761905</v>
      </c>
      <c r="DI132" s="161">
        <f t="shared" si="98"/>
        <v>0</v>
      </c>
      <c r="DJ132" s="161">
        <f t="shared" si="99"/>
        <v>0</v>
      </c>
      <c r="DK132" s="161">
        <f t="shared" si="100"/>
        <v>0</v>
      </c>
      <c r="DL132" s="161">
        <f t="shared" si="101"/>
        <v>0</v>
      </c>
      <c r="DM132" s="161">
        <f t="shared" si="102"/>
        <v>0</v>
      </c>
      <c r="DN132" s="161">
        <f t="shared" si="103"/>
        <v>0</v>
      </c>
      <c r="DO132" s="161">
        <f t="shared" si="104"/>
        <v>0</v>
      </c>
      <c r="DP132" s="161">
        <f t="shared" si="105"/>
        <v>0</v>
      </c>
      <c r="DQ132" s="161">
        <f t="shared" si="106"/>
        <v>0</v>
      </c>
      <c r="DR132" s="161">
        <f t="shared" si="107"/>
        <v>0</v>
      </c>
      <c r="DS132" s="161">
        <f t="shared" si="108"/>
        <v>0</v>
      </c>
      <c r="DT132" s="161">
        <f t="shared" si="109"/>
        <v>0</v>
      </c>
      <c r="DU132" s="161">
        <f t="shared" si="110"/>
        <v>0</v>
      </c>
      <c r="DV132" s="161">
        <f t="shared" si="111"/>
        <v>0</v>
      </c>
      <c r="DW132" s="161">
        <f t="shared" si="112"/>
        <v>0</v>
      </c>
      <c r="DX132" s="161">
        <f t="shared" si="113"/>
        <v>0</v>
      </c>
      <c r="DY132" s="161">
        <f t="shared" si="114"/>
        <v>0</v>
      </c>
      <c r="DZ132" s="161">
        <f t="shared" si="115"/>
        <v>0</v>
      </c>
      <c r="EA132" s="161">
        <f t="shared" si="116"/>
        <v>0</v>
      </c>
      <c r="EB132" s="161">
        <f t="shared" si="117"/>
        <v>0</v>
      </c>
      <c r="EC132" s="161">
        <f t="shared" si="118"/>
        <v>0</v>
      </c>
      <c r="ED132" s="161">
        <f t="shared" si="119"/>
        <v>0</v>
      </c>
      <c r="EE132" s="161">
        <f t="shared" si="120"/>
        <v>0</v>
      </c>
      <c r="EF132" s="161">
        <f t="shared" si="121"/>
        <v>0</v>
      </c>
      <c r="EG132" s="161">
        <f t="shared" si="122"/>
        <v>0</v>
      </c>
      <c r="EH132" s="161">
        <f t="shared" si="123"/>
        <v>0</v>
      </c>
      <c r="EI132" s="161">
        <f t="shared" si="124"/>
        <v>0</v>
      </c>
      <c r="EJ132" s="161">
        <f t="shared" si="125"/>
        <v>0</v>
      </c>
      <c r="EK132" s="147">
        <f t="shared" si="132"/>
        <v>119.04761904761905</v>
      </c>
      <c r="EL132" s="149"/>
      <c r="EN132" s="146"/>
      <c r="EO132" s="146"/>
      <c r="EP132" s="139">
        <f t="shared" si="133"/>
        <v>0</v>
      </c>
      <c r="EQ132" s="139">
        <f t="shared" si="134"/>
        <v>0</v>
      </c>
      <c r="ER132" s="139">
        <f t="shared" si="135"/>
        <v>8.7185845454782491</v>
      </c>
      <c r="ES132" s="139">
        <f t="shared" si="136"/>
        <v>0</v>
      </c>
      <c r="ET132" s="139">
        <f t="shared" si="137"/>
        <v>0</v>
      </c>
      <c r="EU132" s="139">
        <f t="shared" si="138"/>
        <v>0</v>
      </c>
      <c r="EV132" s="139">
        <f t="shared" si="139"/>
        <v>0</v>
      </c>
      <c r="EW132" s="139">
        <f t="shared" si="140"/>
        <v>0</v>
      </c>
      <c r="EX132" s="139">
        <f t="shared" si="141"/>
        <v>0</v>
      </c>
      <c r="EY132" s="139">
        <f t="shared" si="142"/>
        <v>0</v>
      </c>
      <c r="EZ132" s="139">
        <f t="shared" si="143"/>
        <v>0</v>
      </c>
      <c r="FA132" s="139">
        <f t="shared" si="144"/>
        <v>0</v>
      </c>
      <c r="FB132" s="139">
        <f t="shared" si="145"/>
        <v>0</v>
      </c>
      <c r="FC132" s="139">
        <f t="shared" si="146"/>
        <v>0</v>
      </c>
      <c r="FD132" s="139">
        <f t="shared" si="147"/>
        <v>0</v>
      </c>
      <c r="FE132" s="139">
        <f t="shared" si="148"/>
        <v>0</v>
      </c>
      <c r="FF132" s="139">
        <f t="shared" si="149"/>
        <v>0</v>
      </c>
      <c r="FG132" s="139">
        <f t="shared" si="150"/>
        <v>0</v>
      </c>
      <c r="FH132" s="139">
        <f t="shared" si="151"/>
        <v>0</v>
      </c>
      <c r="FI132" s="139">
        <f t="shared" si="152"/>
        <v>0</v>
      </c>
      <c r="FJ132" s="139">
        <f t="shared" si="153"/>
        <v>0</v>
      </c>
      <c r="FK132" s="139">
        <f t="shared" si="154"/>
        <v>0</v>
      </c>
      <c r="FL132" s="139">
        <f t="shared" si="155"/>
        <v>0</v>
      </c>
      <c r="FM132" s="139">
        <f t="shared" si="156"/>
        <v>0</v>
      </c>
      <c r="FN132" s="139">
        <f t="shared" si="157"/>
        <v>0</v>
      </c>
      <c r="FO132" s="139">
        <f t="shared" si="158"/>
        <v>0</v>
      </c>
      <c r="FP132" s="139">
        <f t="shared" si="159"/>
        <v>0</v>
      </c>
      <c r="FQ132" s="139">
        <f t="shared" si="160"/>
        <v>0</v>
      </c>
      <c r="FR132" s="139">
        <f t="shared" si="161"/>
        <v>0</v>
      </c>
      <c r="FS132" s="139">
        <f t="shared" si="162"/>
        <v>0</v>
      </c>
      <c r="FT132" s="139">
        <f t="shared" si="163"/>
        <v>0</v>
      </c>
      <c r="FU132" s="148">
        <f t="shared" si="164"/>
        <v>8.7185845454782491</v>
      </c>
      <c r="FV132" s="149"/>
      <c r="FY132" s="213">
        <v>127</v>
      </c>
      <c r="FZ132">
        <v>3.7797135260832437</v>
      </c>
      <c r="GA132">
        <v>17.003780441952763</v>
      </c>
      <c r="GB132">
        <v>6.489235071951919</v>
      </c>
      <c r="GC132">
        <v>1.792540314766641</v>
      </c>
      <c r="GD132">
        <v>2.6218682890067542</v>
      </c>
      <c r="GE132">
        <v>2.8185183164823995</v>
      </c>
      <c r="GF132">
        <v>0.47734812494006024</v>
      </c>
      <c r="GG132">
        <v>0.32021626990213425</v>
      </c>
      <c r="GH132">
        <v>0.42174726757246522</v>
      </c>
      <c r="GI132">
        <v>4.0142615769740955</v>
      </c>
      <c r="GJ132"/>
      <c r="GK132"/>
      <c r="GL132"/>
      <c r="GM132"/>
      <c r="GN132" s="208"/>
      <c r="GO132" s="208"/>
      <c r="GP132" s="208"/>
      <c r="GQ132" s="208"/>
      <c r="GR132" s="208"/>
      <c r="GS132" s="208"/>
      <c r="GT132" s="208"/>
      <c r="GU132" s="213">
        <v>127</v>
      </c>
    </row>
    <row r="133" spans="1:203" s="7" customFormat="1">
      <c r="A133" s="1"/>
      <c r="B133" s="76">
        <f ca="1">IF(C133="", "", RAND())</f>
        <v>0.33589691642913522</v>
      </c>
      <c r="C133">
        <v>4</v>
      </c>
      <c r="D133">
        <v>39775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18.706930760810071</v>
      </c>
      <c r="AO133">
        <v>6.7011792323548462</v>
      </c>
      <c r="AP133">
        <v>258.00954776566044</v>
      </c>
      <c r="AQ133">
        <v>45.725754783632176</v>
      </c>
      <c r="AR133">
        <v>6.2547949329007668</v>
      </c>
      <c r="AS133">
        <v>68.148518641264431</v>
      </c>
      <c r="AT133" t="e">
        <v>#DIV/0!</v>
      </c>
      <c r="AU133" t="e">
        <v>#DIV/0!</v>
      </c>
      <c r="AV133"/>
      <c r="AW133"/>
      <c r="AX133" s="146"/>
      <c r="AY133" s="76">
        <f t="shared" ca="1" si="88"/>
        <v>0.86724006951606736</v>
      </c>
      <c r="AZ133">
        <v>6</v>
      </c>
      <c r="BA133" s="129">
        <f t="shared" si="166"/>
        <v>39775</v>
      </c>
      <c r="BB133" s="207">
        <v>0</v>
      </c>
      <c r="BC133" s="207">
        <v>0</v>
      </c>
      <c r="BD133" s="207">
        <v>0</v>
      </c>
      <c r="BE133" s="207">
        <v>0</v>
      </c>
      <c r="BF133" s="207">
        <v>0</v>
      </c>
      <c r="BG133" s="207">
        <v>0</v>
      </c>
      <c r="BH133" s="207">
        <v>0</v>
      </c>
      <c r="BI133" s="207">
        <v>0</v>
      </c>
      <c r="BJ133" s="207">
        <v>0</v>
      </c>
      <c r="BK133" s="207">
        <v>0</v>
      </c>
      <c r="BL133" s="207">
        <v>0</v>
      </c>
      <c r="BM133" s="207">
        <v>0</v>
      </c>
      <c r="BN133" s="207">
        <v>0</v>
      </c>
      <c r="BO133" s="207">
        <v>0</v>
      </c>
      <c r="BP133" s="207">
        <v>0</v>
      </c>
      <c r="BQ133" s="207">
        <v>0</v>
      </c>
      <c r="BR133" s="207">
        <v>0</v>
      </c>
      <c r="BS133" s="207">
        <v>0</v>
      </c>
      <c r="BT133" s="207">
        <v>0</v>
      </c>
      <c r="BU133" s="207">
        <v>0</v>
      </c>
      <c r="BV133" s="207">
        <v>0</v>
      </c>
      <c r="BW133" s="207">
        <v>0</v>
      </c>
      <c r="BX133" s="207">
        <v>0</v>
      </c>
      <c r="BY133" s="207">
        <v>0</v>
      </c>
      <c r="BZ133" s="207">
        <v>0</v>
      </c>
      <c r="CA133" s="207">
        <v>0</v>
      </c>
      <c r="CB133" s="207">
        <v>0</v>
      </c>
      <c r="CC133" s="207">
        <v>0</v>
      </c>
      <c r="CD133" s="207">
        <v>0</v>
      </c>
      <c r="CE133" s="207">
        <v>0</v>
      </c>
      <c r="CF133" s="207">
        <v>0</v>
      </c>
      <c r="CG133" s="147"/>
      <c r="CH133" s="176"/>
      <c r="CJ133" s="146"/>
      <c r="CK133" s="76">
        <f t="shared" ca="1" si="90"/>
        <v>0.82905509254095056</v>
      </c>
      <c r="CL133" s="179">
        <f t="shared" si="91"/>
        <v>6</v>
      </c>
      <c r="CM133" s="180">
        <f t="shared" si="92"/>
        <v>39775</v>
      </c>
      <c r="CN133" s="208">
        <v>0</v>
      </c>
      <c r="CO133" s="208">
        <v>0</v>
      </c>
      <c r="CP133" s="208">
        <v>0</v>
      </c>
      <c r="CQ133" s="208">
        <v>0</v>
      </c>
      <c r="CR133" s="208">
        <v>0</v>
      </c>
      <c r="CS133" s="208">
        <v>0</v>
      </c>
      <c r="CT133" s="208">
        <v>0</v>
      </c>
      <c r="CU133" s="208">
        <v>0</v>
      </c>
      <c r="CV133" s="160"/>
      <c r="CW133">
        <v>1</v>
      </c>
      <c r="CX133">
        <v>1</v>
      </c>
      <c r="CY133" s="164"/>
      <c r="CZ133" s="177">
        <f t="shared" si="93"/>
        <v>9.6000000000000002E-2</v>
      </c>
      <c r="DB133" s="146"/>
      <c r="DC133" s="76">
        <f t="shared" ca="1" si="51"/>
        <v>0.23604184716083854</v>
      </c>
      <c r="DD133">
        <f t="shared" si="94"/>
        <v>6</v>
      </c>
      <c r="DE133" s="129">
        <f t="shared" si="165"/>
        <v>39775</v>
      </c>
      <c r="DF133" s="161">
        <f t="shared" si="95"/>
        <v>0</v>
      </c>
      <c r="DG133" s="161">
        <f t="shared" si="96"/>
        <v>0</v>
      </c>
      <c r="DH133" s="161">
        <f t="shared" si="97"/>
        <v>0</v>
      </c>
      <c r="DI133" s="161">
        <f t="shared" si="98"/>
        <v>0</v>
      </c>
      <c r="DJ133" s="161">
        <f t="shared" si="99"/>
        <v>0</v>
      </c>
      <c r="DK133" s="161">
        <f t="shared" si="100"/>
        <v>0</v>
      </c>
      <c r="DL133" s="161">
        <f t="shared" si="101"/>
        <v>0</v>
      </c>
      <c r="DM133" s="161">
        <f t="shared" si="102"/>
        <v>0</v>
      </c>
      <c r="DN133" s="161">
        <f t="shared" si="103"/>
        <v>0</v>
      </c>
      <c r="DO133" s="161">
        <f t="shared" si="104"/>
        <v>0</v>
      </c>
      <c r="DP133" s="161">
        <f t="shared" si="105"/>
        <v>0</v>
      </c>
      <c r="DQ133" s="161">
        <f t="shared" si="106"/>
        <v>0</v>
      </c>
      <c r="DR133" s="161">
        <f t="shared" si="107"/>
        <v>0</v>
      </c>
      <c r="DS133" s="161">
        <f t="shared" si="108"/>
        <v>0</v>
      </c>
      <c r="DT133" s="161">
        <f t="shared" si="109"/>
        <v>0</v>
      </c>
      <c r="DU133" s="161">
        <f t="shared" si="110"/>
        <v>0</v>
      </c>
      <c r="DV133" s="161">
        <f t="shared" si="111"/>
        <v>0</v>
      </c>
      <c r="DW133" s="161">
        <f t="shared" si="112"/>
        <v>0</v>
      </c>
      <c r="DX133" s="161">
        <f t="shared" si="113"/>
        <v>0</v>
      </c>
      <c r="DY133" s="161">
        <f t="shared" si="114"/>
        <v>0</v>
      </c>
      <c r="DZ133" s="161">
        <f t="shared" si="115"/>
        <v>0</v>
      </c>
      <c r="EA133" s="161">
        <f t="shared" si="116"/>
        <v>0</v>
      </c>
      <c r="EB133" s="161">
        <f t="shared" si="117"/>
        <v>0</v>
      </c>
      <c r="EC133" s="161">
        <f t="shared" si="118"/>
        <v>0</v>
      </c>
      <c r="ED133" s="161">
        <f t="shared" si="119"/>
        <v>0</v>
      </c>
      <c r="EE133" s="161">
        <f t="shared" si="120"/>
        <v>0</v>
      </c>
      <c r="EF133" s="161">
        <f t="shared" si="121"/>
        <v>0</v>
      </c>
      <c r="EG133" s="161">
        <f t="shared" si="122"/>
        <v>0</v>
      </c>
      <c r="EH133" s="161">
        <f t="shared" si="123"/>
        <v>0</v>
      </c>
      <c r="EI133" s="161">
        <f t="shared" si="124"/>
        <v>0</v>
      </c>
      <c r="EJ133" s="161">
        <f t="shared" si="125"/>
        <v>0</v>
      </c>
      <c r="EK133" s="147">
        <f t="shared" si="132"/>
        <v>0</v>
      </c>
      <c r="EL133" s="149"/>
      <c r="EN133" s="146"/>
      <c r="EO133" s="146"/>
      <c r="EP133" s="139">
        <f t="shared" si="133"/>
        <v>0</v>
      </c>
      <c r="EQ133" s="139">
        <f t="shared" si="134"/>
        <v>0</v>
      </c>
      <c r="ER133" s="139">
        <f t="shared" si="135"/>
        <v>0</v>
      </c>
      <c r="ES133" s="139">
        <f t="shared" si="136"/>
        <v>0</v>
      </c>
      <c r="ET133" s="139">
        <f t="shared" si="137"/>
        <v>0</v>
      </c>
      <c r="EU133" s="139">
        <f t="shared" si="138"/>
        <v>0</v>
      </c>
      <c r="EV133" s="139">
        <f t="shared" si="139"/>
        <v>0</v>
      </c>
      <c r="EW133" s="139">
        <f t="shared" si="140"/>
        <v>0</v>
      </c>
      <c r="EX133" s="139">
        <f t="shared" si="141"/>
        <v>0</v>
      </c>
      <c r="EY133" s="139">
        <f t="shared" si="142"/>
        <v>0</v>
      </c>
      <c r="EZ133" s="139">
        <f t="shared" si="143"/>
        <v>0</v>
      </c>
      <c r="FA133" s="139">
        <f t="shared" si="144"/>
        <v>0</v>
      </c>
      <c r="FB133" s="139">
        <f t="shared" si="145"/>
        <v>0</v>
      </c>
      <c r="FC133" s="139">
        <f t="shared" si="146"/>
        <v>0</v>
      </c>
      <c r="FD133" s="139">
        <f t="shared" si="147"/>
        <v>0</v>
      </c>
      <c r="FE133" s="139">
        <f t="shared" si="148"/>
        <v>0</v>
      </c>
      <c r="FF133" s="139">
        <f t="shared" si="149"/>
        <v>0</v>
      </c>
      <c r="FG133" s="139">
        <f t="shared" si="150"/>
        <v>0</v>
      </c>
      <c r="FH133" s="139">
        <f t="shared" si="151"/>
        <v>0</v>
      </c>
      <c r="FI133" s="139">
        <f t="shared" si="152"/>
        <v>0</v>
      </c>
      <c r="FJ133" s="139">
        <f t="shared" si="153"/>
        <v>0</v>
      </c>
      <c r="FK133" s="139">
        <f t="shared" si="154"/>
        <v>0</v>
      </c>
      <c r="FL133" s="139">
        <f t="shared" si="155"/>
        <v>0</v>
      </c>
      <c r="FM133" s="139">
        <f t="shared" si="156"/>
        <v>0</v>
      </c>
      <c r="FN133" s="139">
        <f t="shared" si="157"/>
        <v>0</v>
      </c>
      <c r="FO133" s="139">
        <f t="shared" si="158"/>
        <v>0</v>
      </c>
      <c r="FP133" s="139">
        <f t="shared" si="159"/>
        <v>0</v>
      </c>
      <c r="FQ133" s="139">
        <f t="shared" si="160"/>
        <v>0</v>
      </c>
      <c r="FR133" s="139">
        <f t="shared" si="161"/>
        <v>0</v>
      </c>
      <c r="FS133" s="139">
        <f t="shared" si="162"/>
        <v>0</v>
      </c>
      <c r="FT133" s="139">
        <f t="shared" si="163"/>
        <v>0</v>
      </c>
      <c r="FU133" s="148">
        <f t="shared" si="164"/>
        <v>0</v>
      </c>
      <c r="FV133" s="149"/>
      <c r="FY133" s="213">
        <v>128</v>
      </c>
      <c r="FZ133">
        <v>3.192552405514002</v>
      </c>
      <c r="GA133">
        <v>18.382476590085258</v>
      </c>
      <c r="GB133">
        <v>7.3215002180997315</v>
      </c>
      <c r="GC133">
        <v>1.4778593518102259</v>
      </c>
      <c r="GD133">
        <v>1.4545566698677037</v>
      </c>
      <c r="GE133">
        <v>1.8145528881926265</v>
      </c>
      <c r="GF133">
        <v>1.9093924997602409</v>
      </c>
      <c r="GG133">
        <v>2.5035332174879037</v>
      </c>
      <c r="GH133">
        <v>3.4093462823931233</v>
      </c>
      <c r="GI133">
        <v>4.0797421981152242</v>
      </c>
      <c r="GJ133"/>
      <c r="GK133"/>
      <c r="GL133"/>
      <c r="GM133"/>
      <c r="GN133" s="208"/>
      <c r="GO133" s="208"/>
      <c r="GP133" s="208"/>
      <c r="GQ133" s="208"/>
      <c r="GR133" s="208"/>
      <c r="GS133" s="208"/>
      <c r="GT133" s="208"/>
      <c r="GU133" s="213">
        <v>128</v>
      </c>
    </row>
    <row r="134" spans="1:203" s="7" customFormat="1">
      <c r="A134" s="1"/>
      <c r="B134" s="76">
        <f ca="1">IF(C134="", "", RAND())</f>
        <v>5.2102803267173314E-2</v>
      </c>
      <c r="C134">
        <v>9</v>
      </c>
      <c r="D134">
        <v>39775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31.614019295573094</v>
      </c>
      <c r="AO134">
        <v>7.5105264530694669</v>
      </c>
      <c r="AP134">
        <v>150.16891422558399</v>
      </c>
      <c r="AQ134">
        <v>49.02495916961351</v>
      </c>
      <c r="AR134">
        <v>6.8277513209722436</v>
      </c>
      <c r="AS134">
        <v>80.559337107242413</v>
      </c>
      <c r="AT134" t="e">
        <v>#DIV/0!</v>
      </c>
      <c r="AU134" t="e">
        <v>#DIV/0!</v>
      </c>
      <c r="AV134"/>
      <c r="AW134"/>
      <c r="AX134" s="146"/>
      <c r="AY134" s="76">
        <f t="shared" ca="1" si="88"/>
        <v>0.48315006361799107</v>
      </c>
      <c r="AZ134">
        <v>7</v>
      </c>
      <c r="BA134" s="129">
        <f t="shared" si="166"/>
        <v>39775</v>
      </c>
      <c r="BB134" s="207">
        <v>0</v>
      </c>
      <c r="BC134" s="207">
        <v>0</v>
      </c>
      <c r="BD134" s="207">
        <v>0</v>
      </c>
      <c r="BE134" s="207">
        <v>0</v>
      </c>
      <c r="BF134" s="207">
        <v>0</v>
      </c>
      <c r="BG134" s="207">
        <v>0</v>
      </c>
      <c r="BH134" s="207">
        <v>0</v>
      </c>
      <c r="BI134" s="207">
        <v>0</v>
      </c>
      <c r="BJ134" s="207">
        <v>0</v>
      </c>
      <c r="BK134" s="207">
        <v>0</v>
      </c>
      <c r="BL134" s="207">
        <v>0</v>
      </c>
      <c r="BM134" s="207">
        <v>0</v>
      </c>
      <c r="BN134" s="207">
        <v>0</v>
      </c>
      <c r="BO134" s="207">
        <v>0</v>
      </c>
      <c r="BP134" s="207">
        <v>0</v>
      </c>
      <c r="BQ134" s="207">
        <v>0</v>
      </c>
      <c r="BR134" s="207">
        <v>0</v>
      </c>
      <c r="BS134" s="207">
        <v>0</v>
      </c>
      <c r="BT134" s="207">
        <v>0</v>
      </c>
      <c r="BU134" s="207">
        <v>0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A134" s="207">
        <v>0</v>
      </c>
      <c r="CB134" s="207">
        <v>0</v>
      </c>
      <c r="CC134" s="207">
        <v>0</v>
      </c>
      <c r="CD134" s="207">
        <v>0</v>
      </c>
      <c r="CE134" s="207">
        <v>0</v>
      </c>
      <c r="CF134" s="207">
        <v>0</v>
      </c>
      <c r="CG134" s="147"/>
      <c r="CH134" s="176"/>
      <c r="CJ134" s="146"/>
      <c r="CK134" s="76">
        <f t="shared" ca="1" si="90"/>
        <v>0.44738039388507511</v>
      </c>
      <c r="CL134" s="179">
        <f t="shared" si="91"/>
        <v>7</v>
      </c>
      <c r="CM134" s="180">
        <f t="shared" si="92"/>
        <v>39775</v>
      </c>
      <c r="CN134" s="208">
        <v>0</v>
      </c>
      <c r="CO134" s="208">
        <v>0</v>
      </c>
      <c r="CP134" s="208">
        <v>0</v>
      </c>
      <c r="CQ134" s="208">
        <v>0</v>
      </c>
      <c r="CR134" s="208">
        <v>0</v>
      </c>
      <c r="CS134" s="208">
        <v>0</v>
      </c>
      <c r="CT134" s="208">
        <v>0</v>
      </c>
      <c r="CU134" s="208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3"/>
        <v>9.6000000000000002E-2</v>
      </c>
      <c r="DB134" s="146"/>
      <c r="DC134" s="76">
        <f t="shared" ca="1" si="51"/>
        <v>0.63600150683790835</v>
      </c>
      <c r="DD134">
        <f t="shared" si="94"/>
        <v>7</v>
      </c>
      <c r="DE134" s="129">
        <f t="shared" si="165"/>
        <v>39775</v>
      </c>
      <c r="DF134" s="161">
        <f t="shared" si="95"/>
        <v>0</v>
      </c>
      <c r="DG134" s="161">
        <f t="shared" si="96"/>
        <v>0</v>
      </c>
      <c r="DH134" s="161">
        <f t="shared" si="97"/>
        <v>0</v>
      </c>
      <c r="DI134" s="161">
        <f t="shared" si="98"/>
        <v>0</v>
      </c>
      <c r="DJ134" s="161">
        <f t="shared" si="99"/>
        <v>0</v>
      </c>
      <c r="DK134" s="161">
        <f t="shared" si="100"/>
        <v>0</v>
      </c>
      <c r="DL134" s="161">
        <f t="shared" si="101"/>
        <v>0</v>
      </c>
      <c r="DM134" s="161">
        <f t="shared" si="102"/>
        <v>0</v>
      </c>
      <c r="DN134" s="161">
        <f t="shared" si="103"/>
        <v>0</v>
      </c>
      <c r="DO134" s="161">
        <f t="shared" si="104"/>
        <v>0</v>
      </c>
      <c r="DP134" s="161">
        <f t="shared" si="105"/>
        <v>0</v>
      </c>
      <c r="DQ134" s="161">
        <f t="shared" si="106"/>
        <v>0</v>
      </c>
      <c r="DR134" s="161">
        <f t="shared" si="107"/>
        <v>0</v>
      </c>
      <c r="DS134" s="161">
        <f t="shared" si="108"/>
        <v>0</v>
      </c>
      <c r="DT134" s="161">
        <f t="shared" si="109"/>
        <v>0</v>
      </c>
      <c r="DU134" s="161">
        <f t="shared" si="110"/>
        <v>0</v>
      </c>
      <c r="DV134" s="161">
        <f t="shared" si="111"/>
        <v>0</v>
      </c>
      <c r="DW134" s="161">
        <f t="shared" si="112"/>
        <v>0</v>
      </c>
      <c r="DX134" s="161">
        <f t="shared" si="113"/>
        <v>0</v>
      </c>
      <c r="DY134" s="161">
        <f t="shared" si="114"/>
        <v>0</v>
      </c>
      <c r="DZ134" s="161">
        <f t="shared" si="115"/>
        <v>0</v>
      </c>
      <c r="EA134" s="161">
        <f t="shared" si="116"/>
        <v>0</v>
      </c>
      <c r="EB134" s="161">
        <f t="shared" si="117"/>
        <v>0</v>
      </c>
      <c r="EC134" s="161">
        <f t="shared" si="118"/>
        <v>0</v>
      </c>
      <c r="ED134" s="161">
        <f t="shared" si="119"/>
        <v>0</v>
      </c>
      <c r="EE134" s="161">
        <f t="shared" si="120"/>
        <v>0</v>
      </c>
      <c r="EF134" s="161">
        <f t="shared" si="121"/>
        <v>0</v>
      </c>
      <c r="EG134" s="161">
        <f t="shared" si="122"/>
        <v>0</v>
      </c>
      <c r="EH134" s="161">
        <f t="shared" si="123"/>
        <v>0</v>
      </c>
      <c r="EI134" s="161">
        <f t="shared" si="124"/>
        <v>0</v>
      </c>
      <c r="EJ134" s="161">
        <f t="shared" si="125"/>
        <v>0</v>
      </c>
      <c r="EK134" s="147">
        <f t="shared" si="132"/>
        <v>0</v>
      </c>
      <c r="EL134" s="149"/>
      <c r="EN134" s="146"/>
      <c r="EO134" s="146"/>
      <c r="EP134" s="139">
        <f t="shared" si="133"/>
        <v>0</v>
      </c>
      <c r="EQ134" s="139">
        <f t="shared" si="134"/>
        <v>0</v>
      </c>
      <c r="ER134" s="139">
        <f t="shared" si="135"/>
        <v>0</v>
      </c>
      <c r="ES134" s="139">
        <f t="shared" si="136"/>
        <v>0</v>
      </c>
      <c r="ET134" s="139">
        <f t="shared" si="137"/>
        <v>0</v>
      </c>
      <c r="EU134" s="139">
        <f t="shared" si="138"/>
        <v>0</v>
      </c>
      <c r="EV134" s="139">
        <f t="shared" si="139"/>
        <v>0</v>
      </c>
      <c r="EW134" s="139">
        <f t="shared" si="140"/>
        <v>0</v>
      </c>
      <c r="EX134" s="139">
        <f t="shared" si="141"/>
        <v>0</v>
      </c>
      <c r="EY134" s="139">
        <f t="shared" si="142"/>
        <v>0</v>
      </c>
      <c r="EZ134" s="139">
        <f t="shared" si="143"/>
        <v>0</v>
      </c>
      <c r="FA134" s="139">
        <f t="shared" si="144"/>
        <v>0</v>
      </c>
      <c r="FB134" s="139">
        <f t="shared" si="145"/>
        <v>0</v>
      </c>
      <c r="FC134" s="139">
        <f t="shared" si="146"/>
        <v>0</v>
      </c>
      <c r="FD134" s="139">
        <f t="shared" si="147"/>
        <v>0</v>
      </c>
      <c r="FE134" s="139">
        <f t="shared" si="148"/>
        <v>0</v>
      </c>
      <c r="FF134" s="139">
        <f t="shared" si="149"/>
        <v>0</v>
      </c>
      <c r="FG134" s="139">
        <f t="shared" si="150"/>
        <v>0</v>
      </c>
      <c r="FH134" s="139">
        <f t="shared" si="151"/>
        <v>0</v>
      </c>
      <c r="FI134" s="139">
        <f t="shared" si="152"/>
        <v>0</v>
      </c>
      <c r="FJ134" s="139">
        <f t="shared" si="153"/>
        <v>0</v>
      </c>
      <c r="FK134" s="139">
        <f t="shared" si="154"/>
        <v>0</v>
      </c>
      <c r="FL134" s="139">
        <f t="shared" si="155"/>
        <v>0</v>
      </c>
      <c r="FM134" s="139">
        <f t="shared" si="156"/>
        <v>0</v>
      </c>
      <c r="FN134" s="139">
        <f t="shared" si="157"/>
        <v>0</v>
      </c>
      <c r="FO134" s="139">
        <f t="shared" si="158"/>
        <v>0</v>
      </c>
      <c r="FP134" s="139">
        <f t="shared" si="159"/>
        <v>0</v>
      </c>
      <c r="FQ134" s="139">
        <f t="shared" si="160"/>
        <v>0</v>
      </c>
      <c r="FR134" s="139">
        <f t="shared" si="161"/>
        <v>0</v>
      </c>
      <c r="FS134" s="139">
        <f t="shared" si="162"/>
        <v>0</v>
      </c>
      <c r="FT134" s="139">
        <f t="shared" si="163"/>
        <v>0</v>
      </c>
      <c r="FU134" s="148">
        <f t="shared" si="164"/>
        <v>0</v>
      </c>
      <c r="FV134" s="149"/>
      <c r="FY134" s="213">
        <v>129</v>
      </c>
      <c r="FZ134">
        <v>2.1834373233262436</v>
      </c>
      <c r="GA134">
        <v>22.404746105087014</v>
      </c>
      <c r="GB134">
        <v>10.170796179123005</v>
      </c>
      <c r="GC134">
        <v>0.93809528275072762</v>
      </c>
      <c r="GD134">
        <v>3.6984548225091296</v>
      </c>
      <c r="GE134">
        <v>6.919781449742727</v>
      </c>
      <c r="GF134">
        <v>1.432044374820181</v>
      </c>
      <c r="GG134">
        <v>4.7952589753937938</v>
      </c>
      <c r="GH134">
        <v>6.6538899777302429</v>
      </c>
      <c r="GI134">
        <v>6.5834292077729444</v>
      </c>
      <c r="GJ134"/>
      <c r="GK134"/>
      <c r="GL134"/>
      <c r="GM134"/>
      <c r="GN134" s="208"/>
      <c r="GO134" s="208"/>
      <c r="GP134" s="208"/>
      <c r="GQ134" s="208"/>
      <c r="GR134" s="208"/>
      <c r="GS134" s="208"/>
      <c r="GT134" s="208"/>
      <c r="GU134" s="213">
        <v>129</v>
      </c>
    </row>
    <row r="135" spans="1:203" s="7" customFormat="1">
      <c r="A135" s="1"/>
      <c r="B135" s="76">
        <f ca="1">IF(C135="", "", RAND())</f>
        <v>0.1250430987098432</v>
      </c>
      <c r="C135">
        <v>5</v>
      </c>
      <c r="D135">
        <v>39775</v>
      </c>
      <c r="E135">
        <v>0</v>
      </c>
      <c r="F135">
        <v>0</v>
      </c>
      <c r="G135">
        <v>119.04761904761905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22.977696500286861</v>
      </c>
      <c r="AO135">
        <v>5.0910826496452852</v>
      </c>
      <c r="AP135">
        <v>81.151260902104923</v>
      </c>
      <c r="AQ135">
        <v>34.780960815134122</v>
      </c>
      <c r="AR135">
        <v>4.7367994959417725</v>
      </c>
      <c r="AS135">
        <v>64.162839102298875</v>
      </c>
      <c r="AT135" t="e">
        <v>#DIV/0!</v>
      </c>
      <c r="AU135" t="e">
        <v>#DIV/0!</v>
      </c>
      <c r="AV135"/>
      <c r="AW135"/>
      <c r="AX135" s="146"/>
      <c r="AY135" s="76">
        <f t="shared" ca="1" si="88"/>
        <v>0.55097067242249542</v>
      </c>
      <c r="AZ135">
        <v>8</v>
      </c>
      <c r="BA135" s="129">
        <f t="shared" si="166"/>
        <v>39775</v>
      </c>
      <c r="BB135" s="207">
        <v>0</v>
      </c>
      <c r="BC135" s="207">
        <v>0</v>
      </c>
      <c r="BD135" s="207">
        <v>0</v>
      </c>
      <c r="BE135" s="207">
        <v>0</v>
      </c>
      <c r="BF135" s="207">
        <v>0</v>
      </c>
      <c r="BG135" s="207">
        <v>0</v>
      </c>
      <c r="BH135" s="207">
        <v>0</v>
      </c>
      <c r="BI135" s="207">
        <v>0</v>
      </c>
      <c r="BJ135" s="207">
        <v>0</v>
      </c>
      <c r="BK135" s="207">
        <v>0</v>
      </c>
      <c r="BL135" s="207">
        <v>0</v>
      </c>
      <c r="BM135" s="207">
        <v>0</v>
      </c>
      <c r="BN135" s="207">
        <v>0</v>
      </c>
      <c r="BO135" s="207">
        <v>0</v>
      </c>
      <c r="BP135" s="207">
        <v>0</v>
      </c>
      <c r="BQ135" s="207">
        <v>0</v>
      </c>
      <c r="BR135" s="207">
        <v>0</v>
      </c>
      <c r="BS135" s="207">
        <v>0</v>
      </c>
      <c r="BT135" s="207">
        <v>0</v>
      </c>
      <c r="BU135" s="207">
        <v>0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A135" s="207">
        <v>0</v>
      </c>
      <c r="CB135" s="207">
        <v>0</v>
      </c>
      <c r="CC135" s="207">
        <v>0</v>
      </c>
      <c r="CD135" s="207">
        <v>0</v>
      </c>
      <c r="CE135" s="207">
        <v>0</v>
      </c>
      <c r="CF135" s="207">
        <v>0</v>
      </c>
      <c r="CG135" s="147"/>
      <c r="CH135" s="176"/>
      <c r="CJ135" s="146"/>
      <c r="CK135" s="76">
        <f t="shared" ca="1" si="90"/>
        <v>0.57199524907488275</v>
      </c>
      <c r="CL135" s="179">
        <f t="shared" si="91"/>
        <v>8</v>
      </c>
      <c r="CM135" s="180">
        <f t="shared" si="92"/>
        <v>39775</v>
      </c>
      <c r="CN135" s="208">
        <v>0</v>
      </c>
      <c r="CO135" s="208">
        <v>1</v>
      </c>
      <c r="CP135" s="208">
        <v>7</v>
      </c>
      <c r="CQ135" s="208">
        <v>0</v>
      </c>
      <c r="CR135" s="208">
        <v>0</v>
      </c>
      <c r="CS135" s="208">
        <v>0</v>
      </c>
      <c r="CT135" s="208">
        <v>0</v>
      </c>
      <c r="CU135" s="208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3"/>
        <v>9.6000000000000002E-2</v>
      </c>
      <c r="DB135" s="146"/>
      <c r="DC135" s="76">
        <f t="shared" ca="1" si="51"/>
        <v>2.7502073579085184E-2</v>
      </c>
      <c r="DD135">
        <f t="shared" si="94"/>
        <v>8</v>
      </c>
      <c r="DE135" s="129">
        <f t="shared" si="165"/>
        <v>39775</v>
      </c>
      <c r="DF135" s="161">
        <f t="shared" si="95"/>
        <v>0</v>
      </c>
      <c r="DG135" s="161">
        <f t="shared" si="96"/>
        <v>52.083333333333336</v>
      </c>
      <c r="DH135" s="161">
        <f t="shared" si="97"/>
        <v>364.58333333333331</v>
      </c>
      <c r="DI135" s="161">
        <f t="shared" si="98"/>
        <v>0</v>
      </c>
      <c r="DJ135" s="161">
        <f t="shared" si="99"/>
        <v>0</v>
      </c>
      <c r="DK135" s="161">
        <f t="shared" si="100"/>
        <v>0</v>
      </c>
      <c r="DL135" s="161">
        <f t="shared" si="101"/>
        <v>0</v>
      </c>
      <c r="DM135" s="161">
        <f t="shared" si="102"/>
        <v>0</v>
      </c>
      <c r="DN135" s="161">
        <f t="shared" si="103"/>
        <v>0</v>
      </c>
      <c r="DO135" s="161">
        <f t="shared" si="104"/>
        <v>0</v>
      </c>
      <c r="DP135" s="161">
        <f t="shared" si="105"/>
        <v>0</v>
      </c>
      <c r="DQ135" s="161">
        <f t="shared" si="106"/>
        <v>0</v>
      </c>
      <c r="DR135" s="161">
        <f t="shared" si="107"/>
        <v>0</v>
      </c>
      <c r="DS135" s="161">
        <f t="shared" si="108"/>
        <v>0</v>
      </c>
      <c r="DT135" s="161">
        <f t="shared" si="109"/>
        <v>0</v>
      </c>
      <c r="DU135" s="161">
        <f t="shared" si="110"/>
        <v>0</v>
      </c>
      <c r="DV135" s="161">
        <f t="shared" si="111"/>
        <v>0</v>
      </c>
      <c r="DW135" s="161">
        <f t="shared" si="112"/>
        <v>0</v>
      </c>
      <c r="DX135" s="161">
        <f t="shared" si="113"/>
        <v>0</v>
      </c>
      <c r="DY135" s="161">
        <f t="shared" si="114"/>
        <v>0</v>
      </c>
      <c r="DZ135" s="161">
        <f t="shared" si="115"/>
        <v>0</v>
      </c>
      <c r="EA135" s="161">
        <f t="shared" si="116"/>
        <v>0</v>
      </c>
      <c r="EB135" s="161">
        <f t="shared" si="117"/>
        <v>0</v>
      </c>
      <c r="EC135" s="161">
        <f t="shared" si="118"/>
        <v>0</v>
      </c>
      <c r="ED135" s="161">
        <f t="shared" si="119"/>
        <v>0</v>
      </c>
      <c r="EE135" s="161">
        <f t="shared" si="120"/>
        <v>0</v>
      </c>
      <c r="EF135" s="161">
        <f t="shared" si="121"/>
        <v>0</v>
      </c>
      <c r="EG135" s="161">
        <f t="shared" si="122"/>
        <v>0</v>
      </c>
      <c r="EH135" s="161">
        <f t="shared" si="123"/>
        <v>0</v>
      </c>
      <c r="EI135" s="161">
        <f t="shared" si="124"/>
        <v>0</v>
      </c>
      <c r="EJ135" s="161">
        <f t="shared" si="125"/>
        <v>0</v>
      </c>
      <c r="EK135" s="147">
        <f t="shared" si="132"/>
        <v>416.66666666666663</v>
      </c>
      <c r="EL135" s="149"/>
      <c r="EN135" s="146"/>
      <c r="EO135" s="146"/>
      <c r="EP135" s="139">
        <f t="shared" si="133"/>
        <v>0</v>
      </c>
      <c r="EQ135" s="139">
        <f t="shared" si="134"/>
        <v>0.60058854166666664</v>
      </c>
      <c r="ER135" s="139">
        <f t="shared" si="135"/>
        <v>26.700665170527138</v>
      </c>
      <c r="ES135" s="139">
        <f t="shared" si="136"/>
        <v>0</v>
      </c>
      <c r="ET135" s="139">
        <f t="shared" si="137"/>
        <v>0</v>
      </c>
      <c r="EU135" s="139">
        <f t="shared" si="138"/>
        <v>0</v>
      </c>
      <c r="EV135" s="139">
        <f t="shared" si="139"/>
        <v>0</v>
      </c>
      <c r="EW135" s="139">
        <f t="shared" si="140"/>
        <v>0</v>
      </c>
      <c r="EX135" s="139">
        <f t="shared" si="141"/>
        <v>0</v>
      </c>
      <c r="EY135" s="139">
        <f t="shared" si="142"/>
        <v>0</v>
      </c>
      <c r="EZ135" s="139">
        <f t="shared" si="143"/>
        <v>0</v>
      </c>
      <c r="FA135" s="139">
        <f t="shared" si="144"/>
        <v>0</v>
      </c>
      <c r="FB135" s="139">
        <f t="shared" si="145"/>
        <v>0</v>
      </c>
      <c r="FC135" s="139">
        <f t="shared" si="146"/>
        <v>0</v>
      </c>
      <c r="FD135" s="139">
        <f t="shared" si="147"/>
        <v>0</v>
      </c>
      <c r="FE135" s="139">
        <f t="shared" si="148"/>
        <v>0</v>
      </c>
      <c r="FF135" s="139">
        <f t="shared" si="149"/>
        <v>0</v>
      </c>
      <c r="FG135" s="139">
        <f t="shared" si="150"/>
        <v>0</v>
      </c>
      <c r="FH135" s="139">
        <f t="shared" si="151"/>
        <v>0</v>
      </c>
      <c r="FI135" s="139">
        <f t="shared" si="152"/>
        <v>0</v>
      </c>
      <c r="FJ135" s="139">
        <f t="shared" si="153"/>
        <v>0</v>
      </c>
      <c r="FK135" s="139">
        <f t="shared" si="154"/>
        <v>0</v>
      </c>
      <c r="FL135" s="139">
        <f t="shared" si="155"/>
        <v>0</v>
      </c>
      <c r="FM135" s="139">
        <f t="shared" si="156"/>
        <v>0</v>
      </c>
      <c r="FN135" s="139">
        <f t="shared" si="157"/>
        <v>0</v>
      </c>
      <c r="FO135" s="139">
        <f t="shared" si="158"/>
        <v>0</v>
      </c>
      <c r="FP135" s="139">
        <f t="shared" si="159"/>
        <v>0</v>
      </c>
      <c r="FQ135" s="139">
        <f t="shared" si="160"/>
        <v>0</v>
      </c>
      <c r="FR135" s="139">
        <f t="shared" si="161"/>
        <v>0</v>
      </c>
      <c r="FS135" s="139">
        <f t="shared" si="162"/>
        <v>0</v>
      </c>
      <c r="FT135" s="139">
        <f t="shared" si="163"/>
        <v>0</v>
      </c>
      <c r="FU135" s="148">
        <f t="shared" si="164"/>
        <v>27.301253712193805</v>
      </c>
      <c r="FV135" s="149"/>
      <c r="FY135" s="213">
        <v>130</v>
      </c>
      <c r="FZ135">
        <v>1.596276202757001</v>
      </c>
      <c r="GA135">
        <v>17.803432386845586</v>
      </c>
      <c r="GB135">
        <v>8.0237635086490933</v>
      </c>
      <c r="GC135">
        <v>1.4003717251190004</v>
      </c>
      <c r="GD135">
        <v>2.511512501346687</v>
      </c>
      <c r="GE135">
        <v>2.9052728104981855</v>
      </c>
      <c r="GF135">
        <v>0</v>
      </c>
      <c r="GG135">
        <v>0.82530192867511065</v>
      </c>
      <c r="GH135">
        <v>1.0893100758018361</v>
      </c>
      <c r="GI135">
        <v>3.8479724640467325</v>
      </c>
      <c r="GJ135"/>
      <c r="GK135"/>
      <c r="GL135"/>
      <c r="GM135"/>
      <c r="GN135" s="208"/>
      <c r="GO135" s="208"/>
      <c r="GP135" s="208"/>
      <c r="GQ135" s="208"/>
      <c r="GR135" s="208"/>
      <c r="GS135" s="208"/>
      <c r="GT135" s="208"/>
      <c r="GU135" s="213">
        <v>130</v>
      </c>
    </row>
    <row r="136" spans="1:203" s="7" customFormat="1">
      <c r="A136" s="1"/>
      <c r="B136" s="76">
        <f ca="1">IF(C136="", "", RAND())</f>
        <v>0.25247800954089961</v>
      </c>
      <c r="C136">
        <v>7</v>
      </c>
      <c r="D136">
        <v>39775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37.812499999999986</v>
      </c>
      <c r="AO136">
        <v>6.4663423528795816</v>
      </c>
      <c r="AP136">
        <v>299.88740946486894</v>
      </c>
      <c r="AQ136">
        <v>38.166268859927975</v>
      </c>
      <c r="AR136">
        <v>5.8784930480723467</v>
      </c>
      <c r="AS136">
        <v>91.683998433169378</v>
      </c>
      <c r="AT136" t="e">
        <v>#DIV/0!</v>
      </c>
      <c r="AU136" t="e">
        <v>#DIV/0!</v>
      </c>
      <c r="AV136"/>
      <c r="AW136"/>
      <c r="AX136" s="146"/>
      <c r="AY136" s="76">
        <f t="shared" ca="1" si="88"/>
        <v>8.5044752474510155E-2</v>
      </c>
      <c r="AZ136">
        <v>9</v>
      </c>
      <c r="BA136" s="129">
        <f t="shared" si="166"/>
        <v>39775</v>
      </c>
      <c r="BB136" s="207">
        <v>0</v>
      </c>
      <c r="BC136" s="207">
        <v>0</v>
      </c>
      <c r="BD136" s="207">
        <v>0</v>
      </c>
      <c r="BE136" s="207">
        <v>0</v>
      </c>
      <c r="BF136" s="207">
        <v>0</v>
      </c>
      <c r="BG136" s="207">
        <v>0</v>
      </c>
      <c r="BH136" s="207">
        <v>0</v>
      </c>
      <c r="BI136" s="207">
        <v>0</v>
      </c>
      <c r="BJ136" s="207">
        <v>0</v>
      </c>
      <c r="BK136" s="207">
        <v>0</v>
      </c>
      <c r="BL136" s="207">
        <v>0</v>
      </c>
      <c r="BM136" s="207">
        <v>0</v>
      </c>
      <c r="BN136" s="207">
        <v>0</v>
      </c>
      <c r="BO136" s="207">
        <v>0</v>
      </c>
      <c r="BP136" s="207">
        <v>0</v>
      </c>
      <c r="BQ136" s="207">
        <v>0</v>
      </c>
      <c r="BR136" s="207">
        <v>0</v>
      </c>
      <c r="BS136" s="207">
        <v>0</v>
      </c>
      <c r="BT136" s="207">
        <v>0</v>
      </c>
      <c r="BU136" s="207">
        <v>0</v>
      </c>
      <c r="BV136" s="207">
        <v>0</v>
      </c>
      <c r="BW136" s="207">
        <v>0</v>
      </c>
      <c r="BX136" s="207">
        <v>0</v>
      </c>
      <c r="BY136" s="207">
        <v>0</v>
      </c>
      <c r="BZ136" s="207">
        <v>0</v>
      </c>
      <c r="CA136" s="207">
        <v>0</v>
      </c>
      <c r="CB136" s="207">
        <v>0</v>
      </c>
      <c r="CC136" s="207">
        <v>0</v>
      </c>
      <c r="CD136" s="207">
        <v>0</v>
      </c>
      <c r="CE136" s="207">
        <v>0</v>
      </c>
      <c r="CF136" s="207">
        <v>0</v>
      </c>
      <c r="CG136" s="147"/>
      <c r="CH136" s="176"/>
      <c r="CJ136" s="146"/>
      <c r="CK136" s="76">
        <f t="shared" ca="1" si="90"/>
        <v>0.28387797317819818</v>
      </c>
      <c r="CL136" s="179">
        <f t="shared" si="91"/>
        <v>9</v>
      </c>
      <c r="CM136" s="180">
        <f t="shared" si="92"/>
        <v>39775</v>
      </c>
      <c r="CN136" s="208">
        <v>0</v>
      </c>
      <c r="CO136" s="208">
        <v>0</v>
      </c>
      <c r="CP136" s="208">
        <v>0</v>
      </c>
      <c r="CQ136" s="208">
        <v>0</v>
      </c>
      <c r="CR136" s="208">
        <v>0</v>
      </c>
      <c r="CS136" s="208">
        <v>0</v>
      </c>
      <c r="CT136" s="208">
        <v>0</v>
      </c>
      <c r="CU136" s="208">
        <v>0</v>
      </c>
      <c r="CV136" s="160"/>
      <c r="CW136">
        <v>1</v>
      </c>
      <c r="CX136">
        <v>1</v>
      </c>
      <c r="CY136" s="164"/>
      <c r="CZ136" s="177">
        <f t="shared" si="93"/>
        <v>9.6000000000000002E-2</v>
      </c>
      <c r="DB136" s="146"/>
      <c r="DC136" s="76">
        <f t="shared" ca="1" si="51"/>
        <v>0.86820281327635884</v>
      </c>
      <c r="DD136">
        <f t="shared" si="94"/>
        <v>9</v>
      </c>
      <c r="DE136" s="129">
        <f t="shared" si="165"/>
        <v>39775</v>
      </c>
      <c r="DF136" s="161">
        <f t="shared" si="95"/>
        <v>0</v>
      </c>
      <c r="DG136" s="161">
        <f t="shared" si="96"/>
        <v>0</v>
      </c>
      <c r="DH136" s="161">
        <f t="shared" si="97"/>
        <v>0</v>
      </c>
      <c r="DI136" s="161">
        <f t="shared" si="98"/>
        <v>0</v>
      </c>
      <c r="DJ136" s="161">
        <f t="shared" si="99"/>
        <v>0</v>
      </c>
      <c r="DK136" s="161">
        <f t="shared" si="100"/>
        <v>0</v>
      </c>
      <c r="DL136" s="161">
        <f t="shared" si="101"/>
        <v>0</v>
      </c>
      <c r="DM136" s="161">
        <f t="shared" si="102"/>
        <v>0</v>
      </c>
      <c r="DN136" s="161">
        <f t="shared" si="103"/>
        <v>0</v>
      </c>
      <c r="DO136" s="161">
        <f t="shared" si="104"/>
        <v>0</v>
      </c>
      <c r="DP136" s="161">
        <f t="shared" si="105"/>
        <v>0</v>
      </c>
      <c r="DQ136" s="161">
        <f t="shared" si="106"/>
        <v>0</v>
      </c>
      <c r="DR136" s="161">
        <f t="shared" si="107"/>
        <v>0</v>
      </c>
      <c r="DS136" s="161">
        <f t="shared" si="108"/>
        <v>0</v>
      </c>
      <c r="DT136" s="161">
        <f t="shared" si="109"/>
        <v>0</v>
      </c>
      <c r="DU136" s="161">
        <f t="shared" si="110"/>
        <v>0</v>
      </c>
      <c r="DV136" s="161">
        <f t="shared" si="111"/>
        <v>0</v>
      </c>
      <c r="DW136" s="161">
        <f t="shared" si="112"/>
        <v>0</v>
      </c>
      <c r="DX136" s="161">
        <f t="shared" si="113"/>
        <v>0</v>
      </c>
      <c r="DY136" s="161">
        <f t="shared" si="114"/>
        <v>0</v>
      </c>
      <c r="DZ136" s="161">
        <f t="shared" si="115"/>
        <v>0</v>
      </c>
      <c r="EA136" s="161">
        <f t="shared" si="116"/>
        <v>0</v>
      </c>
      <c r="EB136" s="161">
        <f t="shared" si="117"/>
        <v>0</v>
      </c>
      <c r="EC136" s="161">
        <f t="shared" si="118"/>
        <v>0</v>
      </c>
      <c r="ED136" s="161">
        <f t="shared" si="119"/>
        <v>0</v>
      </c>
      <c r="EE136" s="161">
        <f t="shared" si="120"/>
        <v>0</v>
      </c>
      <c r="EF136" s="161">
        <f t="shared" si="121"/>
        <v>0</v>
      </c>
      <c r="EG136" s="161">
        <f t="shared" si="122"/>
        <v>0</v>
      </c>
      <c r="EH136" s="161">
        <f t="shared" si="123"/>
        <v>0</v>
      </c>
      <c r="EI136" s="161">
        <f t="shared" si="124"/>
        <v>0</v>
      </c>
      <c r="EJ136" s="161">
        <f t="shared" si="125"/>
        <v>0</v>
      </c>
      <c r="EK136" s="147">
        <f t="shared" si="132"/>
        <v>0</v>
      </c>
      <c r="EL136" s="149"/>
      <c r="EN136" s="146"/>
      <c r="EO136" s="146"/>
      <c r="EP136" s="139">
        <f t="shared" si="133"/>
        <v>0</v>
      </c>
      <c r="EQ136" s="139">
        <f t="shared" si="134"/>
        <v>0</v>
      </c>
      <c r="ER136" s="139">
        <f t="shared" si="135"/>
        <v>0</v>
      </c>
      <c r="ES136" s="139">
        <f t="shared" si="136"/>
        <v>0</v>
      </c>
      <c r="ET136" s="139">
        <f t="shared" si="137"/>
        <v>0</v>
      </c>
      <c r="EU136" s="139">
        <f t="shared" si="138"/>
        <v>0</v>
      </c>
      <c r="EV136" s="139">
        <f t="shared" si="139"/>
        <v>0</v>
      </c>
      <c r="EW136" s="139">
        <f t="shared" si="140"/>
        <v>0</v>
      </c>
      <c r="EX136" s="139">
        <f t="shared" si="141"/>
        <v>0</v>
      </c>
      <c r="EY136" s="139">
        <f t="shared" si="142"/>
        <v>0</v>
      </c>
      <c r="EZ136" s="139">
        <f t="shared" si="143"/>
        <v>0</v>
      </c>
      <c r="FA136" s="139">
        <f t="shared" si="144"/>
        <v>0</v>
      </c>
      <c r="FB136" s="139">
        <f t="shared" si="145"/>
        <v>0</v>
      </c>
      <c r="FC136" s="139">
        <f t="shared" si="146"/>
        <v>0</v>
      </c>
      <c r="FD136" s="139">
        <f t="shared" si="147"/>
        <v>0</v>
      </c>
      <c r="FE136" s="139">
        <f t="shared" si="148"/>
        <v>0</v>
      </c>
      <c r="FF136" s="139">
        <f t="shared" si="149"/>
        <v>0</v>
      </c>
      <c r="FG136" s="139">
        <f t="shared" si="150"/>
        <v>0</v>
      </c>
      <c r="FH136" s="139">
        <f t="shared" si="151"/>
        <v>0</v>
      </c>
      <c r="FI136" s="139">
        <f t="shared" si="152"/>
        <v>0</v>
      </c>
      <c r="FJ136" s="139">
        <f t="shared" si="153"/>
        <v>0</v>
      </c>
      <c r="FK136" s="139">
        <f t="shared" si="154"/>
        <v>0</v>
      </c>
      <c r="FL136" s="139">
        <f t="shared" si="155"/>
        <v>0</v>
      </c>
      <c r="FM136" s="139">
        <f t="shared" si="156"/>
        <v>0</v>
      </c>
      <c r="FN136" s="139">
        <f t="shared" si="157"/>
        <v>0</v>
      </c>
      <c r="FO136" s="139">
        <f t="shared" si="158"/>
        <v>0</v>
      </c>
      <c r="FP136" s="139">
        <f t="shared" si="159"/>
        <v>0</v>
      </c>
      <c r="FQ136" s="139">
        <f t="shared" si="160"/>
        <v>0</v>
      </c>
      <c r="FR136" s="139">
        <f t="shared" si="161"/>
        <v>0</v>
      </c>
      <c r="FS136" s="139">
        <f t="shared" si="162"/>
        <v>0</v>
      </c>
      <c r="FT136" s="139">
        <f t="shared" si="163"/>
        <v>0</v>
      </c>
      <c r="FU136" s="148">
        <f t="shared" si="164"/>
        <v>0</v>
      </c>
      <c r="FV136" s="149"/>
      <c r="FY136" s="213">
        <v>131</v>
      </c>
      <c r="FZ136">
        <v>0</v>
      </c>
      <c r="GA136">
        <v>15.939394005227378</v>
      </c>
      <c r="GB136">
        <v>7.9857987303341345</v>
      </c>
      <c r="GC136">
        <v>0.86060765605950218</v>
      </c>
      <c r="GD136">
        <v>1.3795264704404677</v>
      </c>
      <c r="GE136">
        <v>1.4577584293019186</v>
      </c>
      <c r="GF136">
        <v>0</v>
      </c>
      <c r="GG136">
        <v>9.219798480111228</v>
      </c>
      <c r="GH136">
        <v>12.922215624742883</v>
      </c>
      <c r="GI136">
        <v>4.9616686957317961</v>
      </c>
      <c r="GJ136"/>
      <c r="GK136"/>
      <c r="GL136"/>
      <c r="GM136"/>
      <c r="GN136" s="208"/>
      <c r="GO136" s="208"/>
      <c r="GP136" s="208"/>
      <c r="GQ136" s="208"/>
      <c r="GR136" s="208"/>
      <c r="GS136" s="208"/>
      <c r="GT136" s="208"/>
      <c r="GU136" s="213">
        <v>131</v>
      </c>
    </row>
    <row r="137" spans="1:203" s="7" customFormat="1">
      <c r="A137" s="1"/>
      <c r="B137" s="76">
        <f ca="1">IF(C137="", "", RAND())</f>
        <v>0.57221591890742518</v>
      </c>
      <c r="C137">
        <v>1</v>
      </c>
      <c r="D137">
        <v>39775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27.168343736192718</v>
      </c>
      <c r="AO137">
        <v>7.4439757230914338</v>
      </c>
      <c r="AP137">
        <v>142.23849492567317</v>
      </c>
      <c r="AQ137">
        <v>49.55232095584514</v>
      </c>
      <c r="AR137">
        <v>6.7672506573558486</v>
      </c>
      <c r="AS137">
        <v>80.55848303895749</v>
      </c>
      <c r="AT137" t="e">
        <v>#DIV/0!</v>
      </c>
      <c r="AU137" t="e">
        <v>#DIV/0!</v>
      </c>
      <c r="AV137"/>
      <c r="AW137"/>
      <c r="AX137" s="146"/>
      <c r="AY137" s="76">
        <f t="shared" ca="1" si="88"/>
        <v>0.33891571711107726</v>
      </c>
      <c r="AZ137">
        <v>10</v>
      </c>
      <c r="BA137" s="129">
        <f t="shared" si="166"/>
        <v>39775</v>
      </c>
      <c r="BB137" s="207">
        <v>0</v>
      </c>
      <c r="BC137" s="207">
        <v>0</v>
      </c>
      <c r="BD137" s="207">
        <v>0</v>
      </c>
      <c r="BE137" s="207">
        <v>0</v>
      </c>
      <c r="BF137" s="207">
        <v>0</v>
      </c>
      <c r="BG137" s="207">
        <v>0</v>
      </c>
      <c r="BH137" s="207">
        <v>0</v>
      </c>
      <c r="BI137" s="207">
        <v>0</v>
      </c>
      <c r="BJ137" s="207">
        <v>0</v>
      </c>
      <c r="BK137" s="207">
        <v>0</v>
      </c>
      <c r="BL137" s="207">
        <v>0</v>
      </c>
      <c r="BM137" s="207">
        <v>0</v>
      </c>
      <c r="BN137" s="207">
        <v>0</v>
      </c>
      <c r="BO137" s="207">
        <v>0</v>
      </c>
      <c r="BP137" s="207">
        <v>0</v>
      </c>
      <c r="BQ137" s="207">
        <v>0</v>
      </c>
      <c r="BR137" s="207">
        <v>0</v>
      </c>
      <c r="BS137" s="207">
        <v>0</v>
      </c>
      <c r="BT137" s="207">
        <v>0</v>
      </c>
      <c r="BU137" s="207">
        <v>0</v>
      </c>
      <c r="BV137" s="207">
        <v>0</v>
      </c>
      <c r="BW137" s="207">
        <v>0</v>
      </c>
      <c r="BX137" s="207">
        <v>0</v>
      </c>
      <c r="BY137" s="207">
        <v>0</v>
      </c>
      <c r="BZ137" s="207">
        <v>0</v>
      </c>
      <c r="CA137" s="207">
        <v>0</v>
      </c>
      <c r="CB137" s="207">
        <v>0</v>
      </c>
      <c r="CC137" s="207">
        <v>0</v>
      </c>
      <c r="CD137" s="207">
        <v>0</v>
      </c>
      <c r="CE137" s="207">
        <v>0</v>
      </c>
      <c r="CF137" s="207">
        <v>0</v>
      </c>
      <c r="CG137" s="147"/>
      <c r="CH137" s="176"/>
      <c r="CJ137" s="146"/>
      <c r="CK137" s="76">
        <f t="shared" ca="1" si="90"/>
        <v>2.6397819150059121E-4</v>
      </c>
      <c r="CL137" s="179">
        <f t="shared" si="91"/>
        <v>10</v>
      </c>
      <c r="CM137" s="180">
        <f t="shared" si="92"/>
        <v>39775</v>
      </c>
      <c r="CN137" s="208">
        <v>0</v>
      </c>
      <c r="CO137" s="208">
        <v>0</v>
      </c>
      <c r="CP137" s="208">
        <v>6</v>
      </c>
      <c r="CQ137" s="208">
        <v>0</v>
      </c>
      <c r="CR137" s="208">
        <v>0</v>
      </c>
      <c r="CS137" s="208">
        <v>0</v>
      </c>
      <c r="CT137" s="208">
        <v>0</v>
      </c>
      <c r="CU137" s="208">
        <v>0</v>
      </c>
      <c r="CV137" s="160"/>
      <c r="CW137">
        <v>1</v>
      </c>
      <c r="CX137">
        <v>1</v>
      </c>
      <c r="CY137" s="164"/>
      <c r="CZ137" s="177">
        <f t="shared" si="93"/>
        <v>9.6000000000000002E-2</v>
      </c>
      <c r="DB137" s="146"/>
      <c r="DC137" s="76">
        <f t="shared" ca="1" si="51"/>
        <v>0.25695008392979091</v>
      </c>
      <c r="DD137">
        <f t="shared" si="94"/>
        <v>10</v>
      </c>
      <c r="DE137" s="129">
        <f t="shared" si="165"/>
        <v>39775</v>
      </c>
      <c r="DF137" s="161">
        <f t="shared" si="95"/>
        <v>0</v>
      </c>
      <c r="DG137" s="161">
        <f t="shared" si="96"/>
        <v>0</v>
      </c>
      <c r="DH137" s="161">
        <f t="shared" si="97"/>
        <v>62.5</v>
      </c>
      <c r="DI137" s="161">
        <f t="shared" si="98"/>
        <v>0</v>
      </c>
      <c r="DJ137" s="161">
        <f t="shared" si="99"/>
        <v>0</v>
      </c>
      <c r="DK137" s="161">
        <f t="shared" si="100"/>
        <v>0</v>
      </c>
      <c r="DL137" s="161">
        <f t="shared" si="101"/>
        <v>0</v>
      </c>
      <c r="DM137" s="161">
        <f t="shared" si="102"/>
        <v>0</v>
      </c>
      <c r="DN137" s="161">
        <f t="shared" si="103"/>
        <v>0</v>
      </c>
      <c r="DO137" s="161">
        <f t="shared" si="104"/>
        <v>0</v>
      </c>
      <c r="DP137" s="161">
        <f t="shared" si="105"/>
        <v>0</v>
      </c>
      <c r="DQ137" s="161">
        <f t="shared" si="106"/>
        <v>0</v>
      </c>
      <c r="DR137" s="161">
        <f t="shared" si="107"/>
        <v>0</v>
      </c>
      <c r="DS137" s="161">
        <f t="shared" si="108"/>
        <v>0</v>
      </c>
      <c r="DT137" s="161">
        <f t="shared" si="109"/>
        <v>0</v>
      </c>
      <c r="DU137" s="161">
        <f t="shared" si="110"/>
        <v>0</v>
      </c>
      <c r="DV137" s="161">
        <f t="shared" si="111"/>
        <v>0</v>
      </c>
      <c r="DW137" s="161">
        <f t="shared" si="112"/>
        <v>0</v>
      </c>
      <c r="DX137" s="161">
        <f t="shared" si="113"/>
        <v>0</v>
      </c>
      <c r="DY137" s="161">
        <f t="shared" si="114"/>
        <v>0</v>
      </c>
      <c r="DZ137" s="161">
        <f t="shared" si="115"/>
        <v>0</v>
      </c>
      <c r="EA137" s="161">
        <f t="shared" si="116"/>
        <v>0</v>
      </c>
      <c r="EB137" s="161">
        <f t="shared" si="117"/>
        <v>0</v>
      </c>
      <c r="EC137" s="161">
        <f t="shared" si="118"/>
        <v>0</v>
      </c>
      <c r="ED137" s="161">
        <f t="shared" si="119"/>
        <v>0</v>
      </c>
      <c r="EE137" s="161">
        <f t="shared" si="120"/>
        <v>0</v>
      </c>
      <c r="EF137" s="161">
        <f t="shared" si="121"/>
        <v>0</v>
      </c>
      <c r="EG137" s="161">
        <f t="shared" si="122"/>
        <v>0</v>
      </c>
      <c r="EH137" s="161">
        <f t="shared" si="123"/>
        <v>0</v>
      </c>
      <c r="EI137" s="161">
        <f t="shared" si="124"/>
        <v>0</v>
      </c>
      <c r="EJ137" s="161">
        <f t="shared" si="125"/>
        <v>0</v>
      </c>
      <c r="EK137" s="147">
        <f t="shared" si="132"/>
        <v>62.5</v>
      </c>
      <c r="EL137" s="149"/>
      <c r="EN137" s="146"/>
      <c r="EO137" s="146"/>
      <c r="EP137" s="139">
        <f t="shared" si="133"/>
        <v>0</v>
      </c>
      <c r="EQ137" s="139">
        <f t="shared" si="134"/>
        <v>0</v>
      </c>
      <c r="ER137" s="139">
        <f t="shared" si="135"/>
        <v>4.5772568863760812</v>
      </c>
      <c r="ES137" s="139">
        <f t="shared" si="136"/>
        <v>0</v>
      </c>
      <c r="ET137" s="139">
        <f t="shared" si="137"/>
        <v>0</v>
      </c>
      <c r="EU137" s="139">
        <f t="shared" si="138"/>
        <v>0</v>
      </c>
      <c r="EV137" s="139">
        <f t="shared" si="139"/>
        <v>0</v>
      </c>
      <c r="EW137" s="139">
        <f t="shared" si="140"/>
        <v>0</v>
      </c>
      <c r="EX137" s="139">
        <f t="shared" si="141"/>
        <v>0</v>
      </c>
      <c r="EY137" s="139">
        <f t="shared" si="142"/>
        <v>0</v>
      </c>
      <c r="EZ137" s="139">
        <f t="shared" si="143"/>
        <v>0</v>
      </c>
      <c r="FA137" s="139">
        <f t="shared" si="144"/>
        <v>0</v>
      </c>
      <c r="FB137" s="139">
        <f t="shared" si="145"/>
        <v>0</v>
      </c>
      <c r="FC137" s="139">
        <f t="shared" si="146"/>
        <v>0</v>
      </c>
      <c r="FD137" s="139">
        <f t="shared" si="147"/>
        <v>0</v>
      </c>
      <c r="FE137" s="139">
        <f t="shared" si="148"/>
        <v>0</v>
      </c>
      <c r="FF137" s="139">
        <f t="shared" si="149"/>
        <v>0</v>
      </c>
      <c r="FG137" s="139">
        <f t="shared" si="150"/>
        <v>0</v>
      </c>
      <c r="FH137" s="139">
        <f t="shared" si="151"/>
        <v>0</v>
      </c>
      <c r="FI137" s="139">
        <f t="shared" si="152"/>
        <v>0</v>
      </c>
      <c r="FJ137" s="139">
        <f t="shared" si="153"/>
        <v>0</v>
      </c>
      <c r="FK137" s="139">
        <f t="shared" si="154"/>
        <v>0</v>
      </c>
      <c r="FL137" s="139">
        <f t="shared" si="155"/>
        <v>0</v>
      </c>
      <c r="FM137" s="139">
        <f t="shared" si="156"/>
        <v>0</v>
      </c>
      <c r="FN137" s="139">
        <f t="shared" si="157"/>
        <v>0</v>
      </c>
      <c r="FO137" s="139">
        <f t="shared" si="158"/>
        <v>0</v>
      </c>
      <c r="FP137" s="139">
        <f t="shared" si="159"/>
        <v>0</v>
      </c>
      <c r="FQ137" s="139">
        <f t="shared" si="160"/>
        <v>0</v>
      </c>
      <c r="FR137" s="139">
        <f t="shared" si="161"/>
        <v>0</v>
      </c>
      <c r="FS137" s="139">
        <f t="shared" si="162"/>
        <v>0</v>
      </c>
      <c r="FT137" s="139">
        <f t="shared" si="163"/>
        <v>0</v>
      </c>
      <c r="FU137" s="148">
        <f t="shared" si="164"/>
        <v>4.5772568863760812</v>
      </c>
      <c r="FV137" s="149"/>
      <c r="FY137" s="213">
        <v>132</v>
      </c>
      <c r="FZ137">
        <v>0</v>
      </c>
      <c r="GA137">
        <v>20.716654057100435</v>
      </c>
      <c r="GB137">
        <v>10.353455082247631</v>
      </c>
      <c r="GC137">
        <v>0.92455288473654584</v>
      </c>
      <c r="GD137">
        <v>1.5546058279495456</v>
      </c>
      <c r="GE137">
        <v>2.0045808763440718</v>
      </c>
      <c r="GF137">
        <v>0.47734812494006024</v>
      </c>
      <c r="GG137">
        <v>4.4767127591777358</v>
      </c>
      <c r="GH137">
        <v>6.3485049681500838</v>
      </c>
      <c r="GI137">
        <v>4.6931653608238078</v>
      </c>
      <c r="GJ137"/>
      <c r="GK137"/>
      <c r="GL137"/>
      <c r="GM137"/>
      <c r="GN137" s="208"/>
      <c r="GO137" s="208"/>
      <c r="GP137" s="208"/>
      <c r="GQ137" s="208"/>
      <c r="GR137" s="208"/>
      <c r="GS137" s="208"/>
      <c r="GT137" s="208"/>
      <c r="GU137" s="213">
        <v>132</v>
      </c>
    </row>
    <row r="138" spans="1:203" s="7" customFormat="1">
      <c r="A138" s="128"/>
      <c r="B138" s="76">
        <f ca="1">IF(C138="", "", RAND())</f>
        <v>0.36278413202029824</v>
      </c>
      <c r="C138">
        <v>2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20.833333333333332</v>
      </c>
      <c r="K138">
        <v>10.416666666666666</v>
      </c>
      <c r="L138">
        <v>10.416666666666666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28.456110154905339</v>
      </c>
      <c r="AO138">
        <v>7.588963537736733</v>
      </c>
      <c r="AP138">
        <v>263.9306568351177</v>
      </c>
      <c r="AQ138">
        <v>49.371260600976612</v>
      </c>
      <c r="AR138">
        <v>6.8990577615788471</v>
      </c>
      <c r="AS138">
        <v>82.435133464004636</v>
      </c>
      <c r="AT138" t="e">
        <v>#DIV/0!</v>
      </c>
      <c r="AU138" t="e">
        <v>#DIV/0!</v>
      </c>
      <c r="AV138"/>
      <c r="AW138"/>
      <c r="AX138" s="128"/>
      <c r="AY138" s="76">
        <f t="shared" ca="1" si="88"/>
        <v>0.58108151505588257</v>
      </c>
      <c r="AZ138">
        <v>1</v>
      </c>
      <c r="BA138" s="129">
        <f>IF(AZ138="", "",$C$9)</f>
        <v>39799</v>
      </c>
      <c r="BB138" s="207">
        <v>0</v>
      </c>
      <c r="BC138" s="207">
        <v>0</v>
      </c>
      <c r="BD138" s="207">
        <v>0</v>
      </c>
      <c r="BE138" s="207">
        <v>0</v>
      </c>
      <c r="BF138" s="207">
        <v>0</v>
      </c>
      <c r="BG138" s="207">
        <v>0</v>
      </c>
      <c r="BH138" s="207">
        <v>0</v>
      </c>
      <c r="BI138" s="207">
        <v>0</v>
      </c>
      <c r="BJ138" s="207">
        <v>0</v>
      </c>
      <c r="BK138" s="207">
        <v>0</v>
      </c>
      <c r="BL138" s="207">
        <v>0</v>
      </c>
      <c r="BM138" s="207">
        <v>0</v>
      </c>
      <c r="BN138" s="207">
        <v>0</v>
      </c>
      <c r="BO138" s="207">
        <v>0</v>
      </c>
      <c r="BP138" s="207">
        <v>0</v>
      </c>
      <c r="BQ138" s="207">
        <v>0</v>
      </c>
      <c r="BR138" s="207">
        <v>0</v>
      </c>
      <c r="BS138" s="207">
        <v>0</v>
      </c>
      <c r="BT138" s="207">
        <v>0</v>
      </c>
      <c r="BU138" s="207">
        <v>0</v>
      </c>
      <c r="BV138" s="207">
        <v>0</v>
      </c>
      <c r="BW138" s="207">
        <v>0</v>
      </c>
      <c r="BX138" s="207">
        <v>0</v>
      </c>
      <c r="BY138" s="207">
        <v>0</v>
      </c>
      <c r="BZ138" s="207">
        <v>0</v>
      </c>
      <c r="CA138" s="207">
        <v>0</v>
      </c>
      <c r="CB138" s="207">
        <v>0</v>
      </c>
      <c r="CC138" s="207">
        <v>0</v>
      </c>
      <c r="CD138" s="207">
        <v>0</v>
      </c>
      <c r="CE138" s="207">
        <v>0</v>
      </c>
      <c r="CF138" s="207">
        <v>0</v>
      </c>
      <c r="CG138" s="147"/>
      <c r="CH138" s="176"/>
      <c r="CJ138" s="128"/>
      <c r="CK138" s="76">
        <f t="shared" ca="1" si="90"/>
        <v>0.44769446403504021</v>
      </c>
      <c r="CL138" s="179">
        <f t="shared" si="91"/>
        <v>1</v>
      </c>
      <c r="CM138" s="180">
        <f t="shared" si="92"/>
        <v>39799</v>
      </c>
      <c r="CN138" s="208">
        <v>0</v>
      </c>
      <c r="CO138" s="208">
        <v>0</v>
      </c>
      <c r="CP138" s="208">
        <v>2</v>
      </c>
      <c r="CQ138" s="208">
        <v>0</v>
      </c>
      <c r="CR138" s="208">
        <v>0</v>
      </c>
      <c r="CS138" s="208">
        <v>0</v>
      </c>
      <c r="CT138" s="208">
        <v>0</v>
      </c>
      <c r="CU138" s="208">
        <v>0</v>
      </c>
      <c r="CV138" s="160"/>
      <c r="CW138">
        <v>1</v>
      </c>
      <c r="CX138">
        <v>8</v>
      </c>
      <c r="CY138" s="160"/>
      <c r="CZ138" s="177">
        <f t="shared" si="93"/>
        <v>9.6000000000000002E-2</v>
      </c>
      <c r="DB138" s="128"/>
      <c r="DC138" s="76">
        <f t="shared" ca="1" si="51"/>
        <v>0.92868156256172818</v>
      </c>
      <c r="DD138">
        <f t="shared" si="94"/>
        <v>1</v>
      </c>
      <c r="DE138" s="129">
        <f t="shared" ref="DE138:DE147" si="167">IF((DD138)="","",$C$9)</f>
        <v>39799</v>
      </c>
      <c r="DF138" s="161">
        <f t="shared" si="95"/>
        <v>0</v>
      </c>
      <c r="DG138" s="161">
        <f t="shared" si="96"/>
        <v>0</v>
      </c>
      <c r="DH138" s="161">
        <f t="shared" si="97"/>
        <v>166.66666666666666</v>
      </c>
      <c r="DI138" s="161">
        <f t="shared" si="98"/>
        <v>0</v>
      </c>
      <c r="DJ138" s="161">
        <f t="shared" si="99"/>
        <v>0</v>
      </c>
      <c r="DK138" s="161">
        <f t="shared" si="100"/>
        <v>0</v>
      </c>
      <c r="DL138" s="161">
        <f t="shared" si="101"/>
        <v>0</v>
      </c>
      <c r="DM138" s="161">
        <f t="shared" si="102"/>
        <v>0</v>
      </c>
      <c r="DN138" s="161">
        <f t="shared" si="103"/>
        <v>0</v>
      </c>
      <c r="DO138" s="161">
        <f t="shared" si="104"/>
        <v>0</v>
      </c>
      <c r="DP138" s="161">
        <f t="shared" si="105"/>
        <v>0</v>
      </c>
      <c r="DQ138" s="161">
        <f t="shared" si="106"/>
        <v>0</v>
      </c>
      <c r="DR138" s="161">
        <f t="shared" si="107"/>
        <v>0</v>
      </c>
      <c r="DS138" s="161">
        <f t="shared" si="108"/>
        <v>0</v>
      </c>
      <c r="DT138" s="161">
        <f t="shared" si="109"/>
        <v>0</v>
      </c>
      <c r="DU138" s="161">
        <f t="shared" si="110"/>
        <v>0</v>
      </c>
      <c r="DV138" s="161">
        <f t="shared" si="111"/>
        <v>0</v>
      </c>
      <c r="DW138" s="161">
        <f t="shared" si="112"/>
        <v>0</v>
      </c>
      <c r="DX138" s="161">
        <f t="shared" si="113"/>
        <v>0</v>
      </c>
      <c r="DY138" s="161">
        <f t="shared" si="114"/>
        <v>0</v>
      </c>
      <c r="DZ138" s="161">
        <f t="shared" si="115"/>
        <v>0</v>
      </c>
      <c r="EA138" s="161">
        <f t="shared" si="116"/>
        <v>0</v>
      </c>
      <c r="EB138" s="161">
        <f t="shared" si="117"/>
        <v>0</v>
      </c>
      <c r="EC138" s="161">
        <f t="shared" si="118"/>
        <v>0</v>
      </c>
      <c r="ED138" s="161">
        <f t="shared" si="119"/>
        <v>0</v>
      </c>
      <c r="EE138" s="161">
        <f t="shared" si="120"/>
        <v>0</v>
      </c>
      <c r="EF138" s="161">
        <f t="shared" si="121"/>
        <v>0</v>
      </c>
      <c r="EG138" s="161">
        <f t="shared" si="122"/>
        <v>0</v>
      </c>
      <c r="EH138" s="161">
        <f t="shared" si="123"/>
        <v>0</v>
      </c>
      <c r="EI138" s="161">
        <f t="shared" si="124"/>
        <v>0</v>
      </c>
      <c r="EJ138" s="161">
        <f t="shared" si="125"/>
        <v>0</v>
      </c>
      <c r="EK138" s="147">
        <f t="shared" si="132"/>
        <v>166.66666666666666</v>
      </c>
      <c r="EL138" s="149"/>
      <c r="EN138" s="146"/>
      <c r="EO138" s="146"/>
      <c r="EP138" s="139">
        <f t="shared" si="133"/>
        <v>0</v>
      </c>
      <c r="EQ138" s="139">
        <f t="shared" si="134"/>
        <v>0</v>
      </c>
      <c r="ER138" s="139">
        <f t="shared" si="135"/>
        <v>12.206018363669548</v>
      </c>
      <c r="ES138" s="139">
        <f t="shared" si="136"/>
        <v>0</v>
      </c>
      <c r="ET138" s="139">
        <f t="shared" si="137"/>
        <v>0</v>
      </c>
      <c r="EU138" s="139">
        <f t="shared" si="138"/>
        <v>0</v>
      </c>
      <c r="EV138" s="139">
        <f t="shared" si="139"/>
        <v>0</v>
      </c>
      <c r="EW138" s="139">
        <f t="shared" si="140"/>
        <v>0</v>
      </c>
      <c r="EX138" s="139">
        <f t="shared" si="141"/>
        <v>0</v>
      </c>
      <c r="EY138" s="139">
        <f t="shared" si="142"/>
        <v>0</v>
      </c>
      <c r="EZ138" s="139">
        <f t="shared" si="143"/>
        <v>0</v>
      </c>
      <c r="FA138" s="139">
        <f t="shared" si="144"/>
        <v>0</v>
      </c>
      <c r="FB138" s="139">
        <f t="shared" si="145"/>
        <v>0</v>
      </c>
      <c r="FC138" s="139">
        <f t="shared" si="146"/>
        <v>0</v>
      </c>
      <c r="FD138" s="139">
        <f t="shared" si="147"/>
        <v>0</v>
      </c>
      <c r="FE138" s="139">
        <f t="shared" si="148"/>
        <v>0</v>
      </c>
      <c r="FF138" s="139">
        <f t="shared" si="149"/>
        <v>0</v>
      </c>
      <c r="FG138" s="139">
        <f t="shared" si="150"/>
        <v>0</v>
      </c>
      <c r="FH138" s="139">
        <f t="shared" si="151"/>
        <v>0</v>
      </c>
      <c r="FI138" s="139">
        <f t="shared" si="152"/>
        <v>0</v>
      </c>
      <c r="FJ138" s="139">
        <f t="shared" si="153"/>
        <v>0</v>
      </c>
      <c r="FK138" s="139">
        <f t="shared" si="154"/>
        <v>0</v>
      </c>
      <c r="FL138" s="139">
        <f t="shared" si="155"/>
        <v>0</v>
      </c>
      <c r="FM138" s="139">
        <f t="shared" si="156"/>
        <v>0</v>
      </c>
      <c r="FN138" s="139">
        <f t="shared" si="157"/>
        <v>0</v>
      </c>
      <c r="FO138" s="139">
        <f t="shared" si="158"/>
        <v>0</v>
      </c>
      <c r="FP138" s="139">
        <f t="shared" si="159"/>
        <v>0</v>
      </c>
      <c r="FQ138" s="139">
        <f t="shared" si="160"/>
        <v>0</v>
      </c>
      <c r="FR138" s="139">
        <f t="shared" si="161"/>
        <v>0</v>
      </c>
      <c r="FS138" s="139">
        <f t="shared" si="162"/>
        <v>0</v>
      </c>
      <c r="FT138" s="139">
        <f t="shared" si="163"/>
        <v>0</v>
      </c>
      <c r="FU138" s="148">
        <f t="shared" si="164"/>
        <v>12.206018363669548</v>
      </c>
      <c r="FV138" s="149"/>
      <c r="FY138" s="213">
        <v>133</v>
      </c>
      <c r="FZ138">
        <v>4.9540357672217299</v>
      </c>
      <c r="GA138">
        <v>19.236360016443683</v>
      </c>
      <c r="GB138">
        <v>7.751189400535301</v>
      </c>
      <c r="GC138">
        <v>1.3228840984277752</v>
      </c>
      <c r="GD138">
        <v>2.2021954878696288</v>
      </c>
      <c r="GE138">
        <v>2.6962753334596057</v>
      </c>
      <c r="GF138">
        <v>0.47734812494006024</v>
      </c>
      <c r="GG138">
        <v>4.6885202187597494</v>
      </c>
      <c r="GH138">
        <v>6.5133075552060884</v>
      </c>
      <c r="GI138">
        <v>5.1552520288467516</v>
      </c>
      <c r="GJ138"/>
      <c r="GK138"/>
      <c r="GL138"/>
      <c r="GM138"/>
      <c r="GN138" s="208"/>
      <c r="GO138" s="208"/>
      <c r="GP138" s="208"/>
      <c r="GQ138" s="208"/>
      <c r="GR138" s="208"/>
      <c r="GS138" s="208"/>
      <c r="GT138" s="208"/>
      <c r="GU138" s="213">
        <v>133</v>
      </c>
    </row>
    <row r="139" spans="1:203" s="7" customFormat="1">
      <c r="A139" s="1"/>
      <c r="B139" s="76">
        <f ca="1">IF(C139="", "", RAND())</f>
        <v>0.14963182215391813</v>
      </c>
      <c r="C139">
        <v>6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22.134699512335057</v>
      </c>
      <c r="AO139">
        <v>4.8408180053248371</v>
      </c>
      <c r="AP139">
        <v>179.76125107352905</v>
      </c>
      <c r="AQ139">
        <v>28.598129258244406</v>
      </c>
      <c r="AR139">
        <v>4.4007436412043965</v>
      </c>
      <c r="AS139">
        <v>59.260700972495343</v>
      </c>
      <c r="AT139" t="e">
        <v>#DIV/0!</v>
      </c>
      <c r="AU139" t="e">
        <v>#DIV/0!</v>
      </c>
      <c r="AV139"/>
      <c r="AW139"/>
      <c r="AX139" s="146"/>
      <c r="AY139" s="76">
        <f t="shared" ca="1" si="88"/>
        <v>0.37368834767387682</v>
      </c>
      <c r="AZ139">
        <v>2</v>
      </c>
      <c r="BA139" s="129">
        <f t="shared" ref="BA139:BA147" si="168">IF(AZ139="", "",$C$9)</f>
        <v>39799</v>
      </c>
      <c r="BB139" s="207">
        <v>0</v>
      </c>
      <c r="BC139" s="207">
        <v>0</v>
      </c>
      <c r="BD139" s="207">
        <v>0</v>
      </c>
      <c r="BE139" s="207">
        <v>0</v>
      </c>
      <c r="BF139" s="207">
        <v>0</v>
      </c>
      <c r="BG139" s="207">
        <v>2</v>
      </c>
      <c r="BH139" s="207">
        <v>1</v>
      </c>
      <c r="BI139" s="207">
        <v>1</v>
      </c>
      <c r="BJ139" s="207">
        <v>0</v>
      </c>
      <c r="BK139" s="207">
        <v>0</v>
      </c>
      <c r="BL139" s="207">
        <v>0</v>
      </c>
      <c r="BM139" s="207">
        <v>0</v>
      </c>
      <c r="BN139" s="207">
        <v>0</v>
      </c>
      <c r="BO139" s="207">
        <v>0</v>
      </c>
      <c r="BP139" s="207">
        <v>0</v>
      </c>
      <c r="BQ139" s="207">
        <v>0</v>
      </c>
      <c r="BR139" s="207">
        <v>0</v>
      </c>
      <c r="BS139" s="207">
        <v>0</v>
      </c>
      <c r="BT139" s="207">
        <v>0</v>
      </c>
      <c r="BU139" s="207">
        <v>0</v>
      </c>
      <c r="BV139" s="207">
        <v>0</v>
      </c>
      <c r="BW139" s="207">
        <v>0</v>
      </c>
      <c r="BX139" s="207">
        <v>0</v>
      </c>
      <c r="BY139" s="207">
        <v>0</v>
      </c>
      <c r="BZ139" s="207">
        <v>0</v>
      </c>
      <c r="CA139" s="207">
        <v>0</v>
      </c>
      <c r="CB139" s="207">
        <v>0</v>
      </c>
      <c r="CC139" s="207">
        <v>0</v>
      </c>
      <c r="CD139" s="207">
        <v>0</v>
      </c>
      <c r="CE139" s="207">
        <v>0</v>
      </c>
      <c r="CF139" s="207">
        <v>0</v>
      </c>
      <c r="CG139" s="147"/>
      <c r="CH139" s="176"/>
      <c r="CJ139" s="146"/>
      <c r="CK139" s="76">
        <f t="shared" ca="1" si="90"/>
        <v>2.8782817985266718E-3</v>
      </c>
      <c r="CL139" s="179">
        <f t="shared" si="91"/>
        <v>2</v>
      </c>
      <c r="CM139" s="180">
        <f t="shared" si="92"/>
        <v>39799</v>
      </c>
      <c r="CN139" s="208">
        <v>0</v>
      </c>
      <c r="CO139" s="208">
        <v>0</v>
      </c>
      <c r="CP139" s="208">
        <v>0</v>
      </c>
      <c r="CQ139" s="208">
        <v>0</v>
      </c>
      <c r="CR139" s="208">
        <v>0</v>
      </c>
      <c r="CS139" s="208">
        <v>0</v>
      </c>
      <c r="CT139" s="208">
        <v>0</v>
      </c>
      <c r="CU139" s="208">
        <v>0</v>
      </c>
      <c r="CV139" s="160"/>
      <c r="CW139">
        <v>1</v>
      </c>
      <c r="CX139">
        <v>1</v>
      </c>
      <c r="CY139" s="160"/>
      <c r="CZ139" s="177">
        <f t="shared" si="93"/>
        <v>9.6000000000000002E-2</v>
      </c>
      <c r="DB139" s="146"/>
      <c r="DC139" s="76">
        <f t="shared" ca="1" si="51"/>
        <v>0.16412993968012302</v>
      </c>
      <c r="DD139">
        <f t="shared" si="94"/>
        <v>2</v>
      </c>
      <c r="DE139" s="129">
        <f t="shared" si="167"/>
        <v>39799</v>
      </c>
      <c r="DF139" s="161">
        <f t="shared" si="95"/>
        <v>0</v>
      </c>
      <c r="DG139" s="161">
        <f t="shared" si="96"/>
        <v>0</v>
      </c>
      <c r="DH139" s="161">
        <f t="shared" si="97"/>
        <v>0</v>
      </c>
      <c r="DI139" s="161">
        <f t="shared" si="98"/>
        <v>0</v>
      </c>
      <c r="DJ139" s="161">
        <f t="shared" si="99"/>
        <v>0</v>
      </c>
      <c r="DK139" s="161">
        <f t="shared" si="100"/>
        <v>20.833333333333332</v>
      </c>
      <c r="DL139" s="161">
        <f t="shared" si="101"/>
        <v>10.416666666666666</v>
      </c>
      <c r="DM139" s="161">
        <f t="shared" si="102"/>
        <v>10.416666666666666</v>
      </c>
      <c r="DN139" s="161">
        <f t="shared" si="103"/>
        <v>0</v>
      </c>
      <c r="DO139" s="161">
        <f t="shared" si="104"/>
        <v>0</v>
      </c>
      <c r="DP139" s="161">
        <f t="shared" si="105"/>
        <v>0</v>
      </c>
      <c r="DQ139" s="161">
        <f t="shared" si="106"/>
        <v>0</v>
      </c>
      <c r="DR139" s="161">
        <f t="shared" si="107"/>
        <v>0</v>
      </c>
      <c r="DS139" s="161">
        <f t="shared" si="108"/>
        <v>0</v>
      </c>
      <c r="DT139" s="161">
        <f t="shared" si="109"/>
        <v>0</v>
      </c>
      <c r="DU139" s="161">
        <f t="shared" si="110"/>
        <v>0</v>
      </c>
      <c r="DV139" s="161">
        <f t="shared" si="111"/>
        <v>0</v>
      </c>
      <c r="DW139" s="161">
        <f t="shared" si="112"/>
        <v>0</v>
      </c>
      <c r="DX139" s="161">
        <f t="shared" si="113"/>
        <v>0</v>
      </c>
      <c r="DY139" s="161">
        <f t="shared" si="114"/>
        <v>0</v>
      </c>
      <c r="DZ139" s="161">
        <f t="shared" si="115"/>
        <v>0</v>
      </c>
      <c r="EA139" s="161">
        <f t="shared" si="116"/>
        <v>0</v>
      </c>
      <c r="EB139" s="161">
        <f t="shared" si="117"/>
        <v>0</v>
      </c>
      <c r="EC139" s="161">
        <f t="shared" si="118"/>
        <v>0</v>
      </c>
      <c r="ED139" s="161">
        <f t="shared" si="119"/>
        <v>0</v>
      </c>
      <c r="EE139" s="161">
        <f t="shared" si="120"/>
        <v>0</v>
      </c>
      <c r="EF139" s="161">
        <f t="shared" si="121"/>
        <v>0</v>
      </c>
      <c r="EG139" s="161">
        <f t="shared" si="122"/>
        <v>0</v>
      </c>
      <c r="EH139" s="161">
        <f t="shared" si="123"/>
        <v>0</v>
      </c>
      <c r="EI139" s="161">
        <f t="shared" si="124"/>
        <v>0</v>
      </c>
      <c r="EJ139" s="161">
        <f t="shared" si="125"/>
        <v>0</v>
      </c>
      <c r="EK139" s="147">
        <f t="shared" si="132"/>
        <v>41.666666666666664</v>
      </c>
      <c r="EL139" s="149"/>
      <c r="EN139" s="146"/>
      <c r="EO139" s="146"/>
      <c r="EP139" s="139">
        <f t="shared" si="133"/>
        <v>0</v>
      </c>
      <c r="EQ139" s="139">
        <f t="shared" si="134"/>
        <v>0</v>
      </c>
      <c r="ER139" s="139">
        <f t="shared" si="135"/>
        <v>0</v>
      </c>
      <c r="ES139" s="139">
        <f t="shared" si="136"/>
        <v>0</v>
      </c>
      <c r="ET139" s="139">
        <f t="shared" si="137"/>
        <v>0</v>
      </c>
      <c r="EU139" s="139">
        <f t="shared" si="138"/>
        <v>17.570739301935784</v>
      </c>
      <c r="EV139" s="139">
        <f t="shared" si="139"/>
        <v>14.286847949341793</v>
      </c>
      <c r="EW139" s="139">
        <f t="shared" si="140"/>
        <v>21.551798137789032</v>
      </c>
      <c r="EX139" s="139">
        <f t="shared" si="141"/>
        <v>0</v>
      </c>
      <c r="EY139" s="139">
        <f t="shared" si="142"/>
        <v>0</v>
      </c>
      <c r="EZ139" s="139">
        <f t="shared" si="143"/>
        <v>0</v>
      </c>
      <c r="FA139" s="139">
        <f t="shared" si="144"/>
        <v>0</v>
      </c>
      <c r="FB139" s="139">
        <f t="shared" si="145"/>
        <v>0</v>
      </c>
      <c r="FC139" s="139">
        <f t="shared" si="146"/>
        <v>0</v>
      </c>
      <c r="FD139" s="139">
        <f t="shared" si="147"/>
        <v>0</v>
      </c>
      <c r="FE139" s="139">
        <f t="shared" si="148"/>
        <v>0</v>
      </c>
      <c r="FF139" s="139">
        <f t="shared" si="149"/>
        <v>0</v>
      </c>
      <c r="FG139" s="139">
        <f t="shared" si="150"/>
        <v>0</v>
      </c>
      <c r="FH139" s="139">
        <f t="shared" si="151"/>
        <v>0</v>
      </c>
      <c r="FI139" s="139">
        <f t="shared" si="152"/>
        <v>0</v>
      </c>
      <c r="FJ139" s="139">
        <f t="shared" si="153"/>
        <v>0</v>
      </c>
      <c r="FK139" s="139">
        <f t="shared" si="154"/>
        <v>0</v>
      </c>
      <c r="FL139" s="139">
        <f t="shared" si="155"/>
        <v>0</v>
      </c>
      <c r="FM139" s="139">
        <f t="shared" si="156"/>
        <v>0</v>
      </c>
      <c r="FN139" s="139">
        <f t="shared" si="157"/>
        <v>0</v>
      </c>
      <c r="FO139" s="139">
        <f t="shared" si="158"/>
        <v>0</v>
      </c>
      <c r="FP139" s="139">
        <f t="shared" si="159"/>
        <v>0</v>
      </c>
      <c r="FQ139" s="139">
        <f t="shared" si="160"/>
        <v>0</v>
      </c>
      <c r="FR139" s="139">
        <f t="shared" si="161"/>
        <v>0</v>
      </c>
      <c r="FS139" s="139">
        <f t="shared" si="162"/>
        <v>0</v>
      </c>
      <c r="FT139" s="139">
        <f t="shared" si="163"/>
        <v>0</v>
      </c>
      <c r="FU139" s="148">
        <f t="shared" si="164"/>
        <v>53.409385389066614</v>
      </c>
      <c r="FV139" s="149"/>
      <c r="FY139" s="213">
        <v>134</v>
      </c>
      <c r="FZ139">
        <v>1.1743222411384853</v>
      </c>
      <c r="GA139">
        <v>11.915660454421843</v>
      </c>
      <c r="GB139">
        <v>5.8994802181190593</v>
      </c>
      <c r="GC139">
        <v>7.7487626691225331E-2</v>
      </c>
      <c r="GD139">
        <v>1.0854517008801787</v>
      </c>
      <c r="GE139">
        <v>2.0816818641205512</v>
      </c>
      <c r="GF139">
        <v>0</v>
      </c>
      <c r="GG139">
        <v>1.9984475587149273</v>
      </c>
      <c r="GH139">
        <v>2.7417834741637517</v>
      </c>
      <c r="GI139">
        <v>2.7993427661121806</v>
      </c>
      <c r="GJ139"/>
      <c r="GK139"/>
      <c r="GL139"/>
      <c r="GM139"/>
      <c r="GN139" s="208"/>
      <c r="GO139" s="208"/>
      <c r="GP139" s="208"/>
      <c r="GQ139" s="208"/>
      <c r="GR139" s="208"/>
      <c r="GS139" s="208"/>
      <c r="GT139" s="208"/>
      <c r="GU139" s="213">
        <v>134</v>
      </c>
    </row>
    <row r="140" spans="1:203" s="7" customFormat="1">
      <c r="A140" s="1"/>
      <c r="B140" s="76">
        <f ca="1">IF(C140="", "", RAND())</f>
        <v>0.68582286584533336</v>
      </c>
      <c r="C140">
        <v>3</v>
      </c>
      <c r="D140">
        <v>39799</v>
      </c>
      <c r="E140">
        <v>0</v>
      </c>
      <c r="F140">
        <v>0</v>
      </c>
      <c r="G140">
        <v>250</v>
      </c>
      <c r="H140">
        <v>83.333333333333329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14.286467297762476</v>
      </c>
      <c r="AO140">
        <v>5.4753490021641689</v>
      </c>
      <c r="AP140">
        <v>257.51044364965384</v>
      </c>
      <c r="AQ140">
        <v>35.357133067185039</v>
      </c>
      <c r="AR140">
        <v>5.1404038145456052</v>
      </c>
      <c r="AS140">
        <v>50.170411736616707</v>
      </c>
      <c r="AT140" t="e">
        <v>#DIV/0!</v>
      </c>
      <c r="AU140" t="e">
        <v>#DIV/0!</v>
      </c>
      <c r="AV140"/>
      <c r="AW140"/>
      <c r="AX140" s="146"/>
      <c r="AY140" s="76">
        <f t="shared" ca="1" si="88"/>
        <v>0.73640670616100312</v>
      </c>
      <c r="AZ140">
        <v>3</v>
      </c>
      <c r="BA140" s="129">
        <f t="shared" si="168"/>
        <v>39799</v>
      </c>
      <c r="BB140" s="207">
        <v>0</v>
      </c>
      <c r="BC140" s="207">
        <v>0</v>
      </c>
      <c r="BD140" s="207">
        <v>0</v>
      </c>
      <c r="BE140" s="207">
        <v>0</v>
      </c>
      <c r="BF140" s="207">
        <v>0</v>
      </c>
      <c r="BG140" s="207">
        <v>0</v>
      </c>
      <c r="BH140" s="207">
        <v>0</v>
      </c>
      <c r="BI140" s="207">
        <v>0</v>
      </c>
      <c r="BJ140" s="207">
        <v>0</v>
      </c>
      <c r="BK140" s="207">
        <v>0</v>
      </c>
      <c r="BL140" s="207">
        <v>0</v>
      </c>
      <c r="BM140" s="207">
        <v>0</v>
      </c>
      <c r="BN140" s="207">
        <v>0</v>
      </c>
      <c r="BO140" s="207">
        <v>0</v>
      </c>
      <c r="BP140" s="207">
        <v>0</v>
      </c>
      <c r="BQ140" s="207">
        <v>0</v>
      </c>
      <c r="BR140" s="207">
        <v>0</v>
      </c>
      <c r="BS140" s="207">
        <v>0</v>
      </c>
      <c r="BT140" s="207">
        <v>0</v>
      </c>
      <c r="BU140" s="207">
        <v>0</v>
      </c>
      <c r="BV140" s="207">
        <v>0</v>
      </c>
      <c r="BW140" s="207">
        <v>0</v>
      </c>
      <c r="BX140" s="207">
        <v>0</v>
      </c>
      <c r="BY140" s="207">
        <v>0</v>
      </c>
      <c r="BZ140" s="207">
        <v>0</v>
      </c>
      <c r="CA140" s="207">
        <v>0</v>
      </c>
      <c r="CB140" s="207">
        <v>0</v>
      </c>
      <c r="CC140" s="207">
        <v>0</v>
      </c>
      <c r="CD140" s="207">
        <v>0</v>
      </c>
      <c r="CE140" s="207">
        <v>0</v>
      </c>
      <c r="CF140" s="207">
        <v>0</v>
      </c>
      <c r="CG140" s="147"/>
      <c r="CH140" s="176"/>
      <c r="CJ140" s="146"/>
      <c r="CK140" s="76">
        <f t="shared" ca="1" si="90"/>
        <v>0.28974212269493993</v>
      </c>
      <c r="CL140" s="179">
        <f t="shared" si="91"/>
        <v>3</v>
      </c>
      <c r="CM140" s="180">
        <f t="shared" si="92"/>
        <v>39799</v>
      </c>
      <c r="CN140" s="208">
        <v>0</v>
      </c>
      <c r="CO140" s="208">
        <v>0</v>
      </c>
      <c r="CP140" s="208">
        <v>3</v>
      </c>
      <c r="CQ140" s="208">
        <v>1</v>
      </c>
      <c r="CR140" s="208">
        <v>0</v>
      </c>
      <c r="CS140" s="208">
        <v>0</v>
      </c>
      <c r="CT140" s="208">
        <v>0</v>
      </c>
      <c r="CU140" s="208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3"/>
        <v>9.6000000000000002E-2</v>
      </c>
      <c r="DB140" s="146"/>
      <c r="DC140" s="76">
        <f t="shared" ca="1" si="51"/>
        <v>0.4180845277282903</v>
      </c>
      <c r="DD140">
        <f t="shared" si="94"/>
        <v>3</v>
      </c>
      <c r="DE140" s="129">
        <f t="shared" si="167"/>
        <v>39799</v>
      </c>
      <c r="DF140" s="161">
        <f t="shared" si="95"/>
        <v>0</v>
      </c>
      <c r="DG140" s="161">
        <f t="shared" si="96"/>
        <v>0</v>
      </c>
      <c r="DH140" s="161">
        <f t="shared" si="97"/>
        <v>250</v>
      </c>
      <c r="DI140" s="161">
        <f t="shared" si="98"/>
        <v>83.333333333333329</v>
      </c>
      <c r="DJ140" s="161">
        <f t="shared" si="99"/>
        <v>0</v>
      </c>
      <c r="DK140" s="161">
        <f t="shared" si="100"/>
        <v>0</v>
      </c>
      <c r="DL140" s="161">
        <f t="shared" si="101"/>
        <v>0</v>
      </c>
      <c r="DM140" s="161">
        <f t="shared" si="102"/>
        <v>0</v>
      </c>
      <c r="DN140" s="161">
        <f t="shared" si="103"/>
        <v>0</v>
      </c>
      <c r="DO140" s="161">
        <f t="shared" si="104"/>
        <v>0</v>
      </c>
      <c r="DP140" s="161">
        <f t="shared" si="105"/>
        <v>0</v>
      </c>
      <c r="DQ140" s="161">
        <f t="shared" si="106"/>
        <v>0</v>
      </c>
      <c r="DR140" s="161">
        <f t="shared" si="107"/>
        <v>0</v>
      </c>
      <c r="DS140" s="161">
        <f t="shared" si="108"/>
        <v>0</v>
      </c>
      <c r="DT140" s="161">
        <f t="shared" si="109"/>
        <v>0</v>
      </c>
      <c r="DU140" s="161">
        <f t="shared" si="110"/>
        <v>0</v>
      </c>
      <c r="DV140" s="161">
        <f t="shared" si="111"/>
        <v>0</v>
      </c>
      <c r="DW140" s="161">
        <f t="shared" si="112"/>
        <v>0</v>
      </c>
      <c r="DX140" s="161">
        <f t="shared" si="113"/>
        <v>0</v>
      </c>
      <c r="DY140" s="161">
        <f t="shared" si="114"/>
        <v>0</v>
      </c>
      <c r="DZ140" s="161">
        <f t="shared" si="115"/>
        <v>0</v>
      </c>
      <c r="EA140" s="161">
        <f t="shared" si="116"/>
        <v>0</v>
      </c>
      <c r="EB140" s="161">
        <f t="shared" si="117"/>
        <v>0</v>
      </c>
      <c r="EC140" s="161">
        <f t="shared" si="118"/>
        <v>0</v>
      </c>
      <c r="ED140" s="161">
        <f t="shared" si="119"/>
        <v>0</v>
      </c>
      <c r="EE140" s="161">
        <f t="shared" si="120"/>
        <v>0</v>
      </c>
      <c r="EF140" s="161">
        <f t="shared" si="121"/>
        <v>0</v>
      </c>
      <c r="EG140" s="161">
        <f t="shared" si="122"/>
        <v>0</v>
      </c>
      <c r="EH140" s="161">
        <f t="shared" si="123"/>
        <v>0</v>
      </c>
      <c r="EI140" s="161">
        <f t="shared" si="124"/>
        <v>0</v>
      </c>
      <c r="EJ140" s="161">
        <f t="shared" si="125"/>
        <v>0</v>
      </c>
      <c r="EK140" s="147">
        <f t="shared" si="132"/>
        <v>333.33333333333331</v>
      </c>
      <c r="EL140" s="149"/>
      <c r="EN140" s="146"/>
      <c r="EO140" s="146"/>
      <c r="EP140" s="139">
        <f t="shared" si="133"/>
        <v>0</v>
      </c>
      <c r="EQ140" s="139">
        <f t="shared" si="134"/>
        <v>0</v>
      </c>
      <c r="ER140" s="139">
        <f t="shared" si="135"/>
        <v>18.309027545504325</v>
      </c>
      <c r="ES140" s="139">
        <f t="shared" si="136"/>
        <v>17.996141995940945</v>
      </c>
      <c r="ET140" s="139">
        <f t="shared" si="137"/>
        <v>0</v>
      </c>
      <c r="EU140" s="139">
        <f t="shared" si="138"/>
        <v>0</v>
      </c>
      <c r="EV140" s="139">
        <f t="shared" si="139"/>
        <v>0</v>
      </c>
      <c r="EW140" s="139">
        <f t="shared" si="140"/>
        <v>0</v>
      </c>
      <c r="EX140" s="139">
        <f t="shared" si="141"/>
        <v>0</v>
      </c>
      <c r="EY140" s="139">
        <f t="shared" si="142"/>
        <v>0</v>
      </c>
      <c r="EZ140" s="139">
        <f t="shared" si="143"/>
        <v>0</v>
      </c>
      <c r="FA140" s="139">
        <f t="shared" si="144"/>
        <v>0</v>
      </c>
      <c r="FB140" s="139">
        <f t="shared" si="145"/>
        <v>0</v>
      </c>
      <c r="FC140" s="139">
        <f t="shared" si="146"/>
        <v>0</v>
      </c>
      <c r="FD140" s="139">
        <f t="shared" si="147"/>
        <v>0</v>
      </c>
      <c r="FE140" s="139">
        <f t="shared" si="148"/>
        <v>0</v>
      </c>
      <c r="FF140" s="139">
        <f t="shared" si="149"/>
        <v>0</v>
      </c>
      <c r="FG140" s="139">
        <f t="shared" si="150"/>
        <v>0</v>
      </c>
      <c r="FH140" s="139">
        <f t="shared" si="151"/>
        <v>0</v>
      </c>
      <c r="FI140" s="139">
        <f t="shared" si="152"/>
        <v>0</v>
      </c>
      <c r="FJ140" s="139">
        <f t="shared" si="153"/>
        <v>0</v>
      </c>
      <c r="FK140" s="139">
        <f t="shared" si="154"/>
        <v>0</v>
      </c>
      <c r="FL140" s="139">
        <f t="shared" si="155"/>
        <v>0</v>
      </c>
      <c r="FM140" s="139">
        <f t="shared" si="156"/>
        <v>0</v>
      </c>
      <c r="FN140" s="139">
        <f t="shared" si="157"/>
        <v>0</v>
      </c>
      <c r="FO140" s="139">
        <f t="shared" si="158"/>
        <v>0</v>
      </c>
      <c r="FP140" s="139">
        <f t="shared" si="159"/>
        <v>0</v>
      </c>
      <c r="FQ140" s="139">
        <f t="shared" si="160"/>
        <v>0</v>
      </c>
      <c r="FR140" s="139">
        <f t="shared" si="161"/>
        <v>0</v>
      </c>
      <c r="FS140" s="139">
        <f t="shared" si="162"/>
        <v>0</v>
      </c>
      <c r="FT140" s="139">
        <f t="shared" si="163"/>
        <v>0</v>
      </c>
      <c r="FU140" s="148">
        <f t="shared" si="164"/>
        <v>36.305169541445267</v>
      </c>
      <c r="FV140" s="149"/>
      <c r="FY140" s="213">
        <v>135</v>
      </c>
      <c r="FZ140">
        <v>0.58716112056924263</v>
      </c>
      <c r="GA140">
        <v>21.076966471409332</v>
      </c>
      <c r="GB140">
        <v>10.446291531098343</v>
      </c>
      <c r="GC140">
        <v>0.75746740119198852</v>
      </c>
      <c r="GD140">
        <v>1.2422090971588167</v>
      </c>
      <c r="GE140">
        <v>1.9208813957936428</v>
      </c>
      <c r="GF140">
        <v>0.95469624988012047</v>
      </c>
      <c r="GG140">
        <v>2.2917257579058905</v>
      </c>
      <c r="GH140">
        <v>3.2445436953371196</v>
      </c>
      <c r="GI140">
        <v>4.1768184565564956</v>
      </c>
      <c r="GJ140"/>
      <c r="GK140"/>
      <c r="GL140"/>
      <c r="GM140"/>
      <c r="GN140" s="208"/>
      <c r="GO140" s="208"/>
      <c r="GP140" s="208"/>
      <c r="GQ140" s="208"/>
      <c r="GR140" s="208"/>
      <c r="GS140" s="208"/>
      <c r="GT140" s="208"/>
      <c r="GU140" s="213">
        <v>135</v>
      </c>
    </row>
    <row r="141" spans="1:203" s="7" customFormat="1">
      <c r="A141" s="1"/>
      <c r="B141" s="76">
        <f ca="1">IF(C141="", "", RAND())</f>
        <v>0.53126073492794745</v>
      </c>
      <c r="C141">
        <v>1</v>
      </c>
      <c r="D141">
        <v>39799</v>
      </c>
      <c r="E141">
        <v>0</v>
      </c>
      <c r="F141">
        <v>0</v>
      </c>
      <c r="G141">
        <v>166.66666666666666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54.610222499192176</v>
      </c>
      <c r="AO141">
        <v>10.271936393043909</v>
      </c>
      <c r="AP141">
        <v>272.82526132730277</v>
      </c>
      <c r="AQ141">
        <v>65.477076976156695</v>
      </c>
      <c r="AR141">
        <v>9.4466665353950674</v>
      </c>
      <c r="AS141">
        <v>129.23226140970499</v>
      </c>
      <c r="AT141" t="e">
        <v>#DIV/0!</v>
      </c>
      <c r="AU141" t="e">
        <v>#DIV/0!</v>
      </c>
      <c r="AV141"/>
      <c r="AW141"/>
      <c r="AX141" s="146"/>
      <c r="AY141" s="76">
        <f t="shared" ca="1" si="88"/>
        <v>0.27394312004755772</v>
      </c>
      <c r="AZ141">
        <v>4</v>
      </c>
      <c r="BA141" s="129">
        <f t="shared" si="168"/>
        <v>39799</v>
      </c>
      <c r="BB141" s="207">
        <v>0</v>
      </c>
      <c r="BC141" s="207">
        <v>0</v>
      </c>
      <c r="BD141" s="207">
        <v>0</v>
      </c>
      <c r="BE141" s="207">
        <v>0</v>
      </c>
      <c r="BF141" s="207">
        <v>0</v>
      </c>
      <c r="BG141" s="207">
        <v>0</v>
      </c>
      <c r="BH141" s="207">
        <v>0</v>
      </c>
      <c r="BI141" s="207">
        <v>0</v>
      </c>
      <c r="BJ141" s="207">
        <v>0</v>
      </c>
      <c r="BK141" s="207">
        <v>0</v>
      </c>
      <c r="BL141" s="207">
        <v>0</v>
      </c>
      <c r="BM141" s="207">
        <v>0</v>
      </c>
      <c r="BN141" s="207">
        <v>0</v>
      </c>
      <c r="BO141" s="207">
        <v>0</v>
      </c>
      <c r="BP141" s="207">
        <v>0</v>
      </c>
      <c r="BQ141" s="207">
        <v>0</v>
      </c>
      <c r="BR141" s="207">
        <v>0</v>
      </c>
      <c r="BS141" s="207">
        <v>0</v>
      </c>
      <c r="BT141" s="207">
        <v>0</v>
      </c>
      <c r="BU141" s="207">
        <v>0</v>
      </c>
      <c r="BV141" s="207">
        <v>0</v>
      </c>
      <c r="BW141" s="207">
        <v>0</v>
      </c>
      <c r="BX141" s="207">
        <v>0</v>
      </c>
      <c r="BY141" s="207">
        <v>0</v>
      </c>
      <c r="BZ141" s="207">
        <v>0</v>
      </c>
      <c r="CA141" s="207">
        <v>0</v>
      </c>
      <c r="CB141" s="207">
        <v>0</v>
      </c>
      <c r="CC141" s="207">
        <v>0</v>
      </c>
      <c r="CD141" s="207">
        <v>0</v>
      </c>
      <c r="CE141" s="207">
        <v>0</v>
      </c>
      <c r="CF141" s="207">
        <v>0</v>
      </c>
      <c r="CG141" s="147"/>
      <c r="CH141" s="176"/>
      <c r="CJ141" s="146"/>
      <c r="CK141" s="76">
        <f t="shared" ca="1" si="90"/>
        <v>0.8520193950148931</v>
      </c>
      <c r="CL141" s="179">
        <f t="shared" si="91"/>
        <v>4</v>
      </c>
      <c r="CM141" s="180">
        <f t="shared" si="92"/>
        <v>39799</v>
      </c>
      <c r="CN141" s="208">
        <v>0</v>
      </c>
      <c r="CO141" s="208">
        <v>0</v>
      </c>
      <c r="CP141" s="208">
        <v>0</v>
      </c>
      <c r="CQ141" s="208">
        <v>0</v>
      </c>
      <c r="CR141" s="208">
        <v>0</v>
      </c>
      <c r="CS141" s="208">
        <v>0</v>
      </c>
      <c r="CT141" s="208">
        <v>0</v>
      </c>
      <c r="CU141" s="208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3"/>
        <v>9.6000000000000002E-2</v>
      </c>
      <c r="DB141" s="146"/>
      <c r="DC141" s="76">
        <f t="shared" ca="1" si="51"/>
        <v>0.76571481580093526</v>
      </c>
      <c r="DD141">
        <f t="shared" si="94"/>
        <v>4</v>
      </c>
      <c r="DE141" s="129">
        <f t="shared" si="167"/>
        <v>39799</v>
      </c>
      <c r="DF141" s="161">
        <f t="shared" si="95"/>
        <v>0</v>
      </c>
      <c r="DG141" s="161">
        <f t="shared" si="96"/>
        <v>0</v>
      </c>
      <c r="DH141" s="161">
        <f t="shared" si="97"/>
        <v>0</v>
      </c>
      <c r="DI141" s="161">
        <f t="shared" si="98"/>
        <v>0</v>
      </c>
      <c r="DJ141" s="161">
        <f t="shared" si="99"/>
        <v>0</v>
      </c>
      <c r="DK141" s="161">
        <f t="shared" si="100"/>
        <v>0</v>
      </c>
      <c r="DL141" s="161">
        <f t="shared" si="101"/>
        <v>0</v>
      </c>
      <c r="DM141" s="161">
        <f t="shared" si="102"/>
        <v>0</v>
      </c>
      <c r="DN141" s="161">
        <f t="shared" si="103"/>
        <v>0</v>
      </c>
      <c r="DO141" s="161">
        <f t="shared" si="104"/>
        <v>0</v>
      </c>
      <c r="DP141" s="161">
        <f t="shared" si="105"/>
        <v>0</v>
      </c>
      <c r="DQ141" s="161">
        <f t="shared" si="106"/>
        <v>0</v>
      </c>
      <c r="DR141" s="161">
        <f t="shared" si="107"/>
        <v>0</v>
      </c>
      <c r="DS141" s="161">
        <f t="shared" si="108"/>
        <v>0</v>
      </c>
      <c r="DT141" s="161">
        <f t="shared" si="109"/>
        <v>0</v>
      </c>
      <c r="DU141" s="161">
        <f t="shared" si="110"/>
        <v>0</v>
      </c>
      <c r="DV141" s="161">
        <f t="shared" si="111"/>
        <v>0</v>
      </c>
      <c r="DW141" s="161">
        <f t="shared" si="112"/>
        <v>0</v>
      </c>
      <c r="DX141" s="161">
        <f t="shared" si="113"/>
        <v>0</v>
      </c>
      <c r="DY141" s="161">
        <f t="shared" si="114"/>
        <v>0</v>
      </c>
      <c r="DZ141" s="161">
        <f t="shared" si="115"/>
        <v>0</v>
      </c>
      <c r="EA141" s="161">
        <f t="shared" si="116"/>
        <v>0</v>
      </c>
      <c r="EB141" s="161">
        <f t="shared" si="117"/>
        <v>0</v>
      </c>
      <c r="EC141" s="161">
        <f t="shared" si="118"/>
        <v>0</v>
      </c>
      <c r="ED141" s="161">
        <f t="shared" si="119"/>
        <v>0</v>
      </c>
      <c r="EE141" s="161">
        <f t="shared" si="120"/>
        <v>0</v>
      </c>
      <c r="EF141" s="161">
        <f t="shared" si="121"/>
        <v>0</v>
      </c>
      <c r="EG141" s="161">
        <f t="shared" si="122"/>
        <v>0</v>
      </c>
      <c r="EH141" s="161">
        <f t="shared" si="123"/>
        <v>0</v>
      </c>
      <c r="EI141" s="161">
        <f t="shared" si="124"/>
        <v>0</v>
      </c>
      <c r="EJ141" s="161">
        <f t="shared" si="125"/>
        <v>0</v>
      </c>
      <c r="EK141" s="147">
        <f t="shared" si="132"/>
        <v>0</v>
      </c>
      <c r="EL141" s="149"/>
      <c r="EN141" s="146"/>
      <c r="EO141" s="146"/>
      <c r="EP141" s="139">
        <f t="shared" si="133"/>
        <v>0</v>
      </c>
      <c r="EQ141" s="139">
        <f t="shared" si="134"/>
        <v>0</v>
      </c>
      <c r="ER141" s="139">
        <f t="shared" si="135"/>
        <v>0</v>
      </c>
      <c r="ES141" s="139">
        <f t="shared" si="136"/>
        <v>0</v>
      </c>
      <c r="ET141" s="139">
        <f t="shared" si="137"/>
        <v>0</v>
      </c>
      <c r="EU141" s="139">
        <f t="shared" si="138"/>
        <v>0</v>
      </c>
      <c r="EV141" s="139">
        <f t="shared" si="139"/>
        <v>0</v>
      </c>
      <c r="EW141" s="139">
        <f t="shared" si="140"/>
        <v>0</v>
      </c>
      <c r="EX141" s="139">
        <f t="shared" si="141"/>
        <v>0</v>
      </c>
      <c r="EY141" s="139">
        <f t="shared" si="142"/>
        <v>0</v>
      </c>
      <c r="EZ141" s="139">
        <f t="shared" si="143"/>
        <v>0</v>
      </c>
      <c r="FA141" s="139">
        <f t="shared" si="144"/>
        <v>0</v>
      </c>
      <c r="FB141" s="139">
        <f t="shared" si="145"/>
        <v>0</v>
      </c>
      <c r="FC141" s="139">
        <f t="shared" si="146"/>
        <v>0</v>
      </c>
      <c r="FD141" s="139">
        <f t="shared" si="147"/>
        <v>0</v>
      </c>
      <c r="FE141" s="139">
        <f t="shared" si="148"/>
        <v>0</v>
      </c>
      <c r="FF141" s="139">
        <f t="shared" si="149"/>
        <v>0</v>
      </c>
      <c r="FG141" s="139">
        <f t="shared" si="150"/>
        <v>0</v>
      </c>
      <c r="FH141" s="139">
        <f t="shared" si="151"/>
        <v>0</v>
      </c>
      <c r="FI141" s="139">
        <f t="shared" si="152"/>
        <v>0</v>
      </c>
      <c r="FJ141" s="139">
        <f t="shared" si="153"/>
        <v>0</v>
      </c>
      <c r="FK141" s="139">
        <f t="shared" si="154"/>
        <v>0</v>
      </c>
      <c r="FL141" s="139">
        <f t="shared" si="155"/>
        <v>0</v>
      </c>
      <c r="FM141" s="139">
        <f t="shared" si="156"/>
        <v>0</v>
      </c>
      <c r="FN141" s="139">
        <f t="shared" si="157"/>
        <v>0</v>
      </c>
      <c r="FO141" s="139">
        <f t="shared" si="158"/>
        <v>0</v>
      </c>
      <c r="FP141" s="139">
        <f t="shared" si="159"/>
        <v>0</v>
      </c>
      <c r="FQ141" s="139">
        <f t="shared" si="160"/>
        <v>0</v>
      </c>
      <c r="FR141" s="139">
        <f t="shared" si="161"/>
        <v>0</v>
      </c>
      <c r="FS141" s="139">
        <f t="shared" si="162"/>
        <v>0</v>
      </c>
      <c r="FT141" s="139">
        <f t="shared" si="163"/>
        <v>0</v>
      </c>
      <c r="FU141" s="148">
        <f t="shared" si="164"/>
        <v>0</v>
      </c>
      <c r="FV141" s="149"/>
      <c r="FY141" s="213">
        <v>136</v>
      </c>
      <c r="FZ141">
        <v>2.1834373233262436</v>
      </c>
      <c r="GA141">
        <v>8.879178226833341</v>
      </c>
      <c r="GB141">
        <v>3.5471026620779309</v>
      </c>
      <c r="GC141">
        <v>1.2271236175308544</v>
      </c>
      <c r="GD141">
        <v>1.661881898295942</v>
      </c>
      <c r="GE141">
        <v>1.7504414040591776</v>
      </c>
      <c r="GF141">
        <v>0.47734812494006024</v>
      </c>
      <c r="GG141">
        <v>1.9422120028551086</v>
      </c>
      <c r="GH141">
        <v>2.565018114784734</v>
      </c>
      <c r="GI141">
        <v>2.7146971576837386</v>
      </c>
      <c r="GJ141"/>
      <c r="GK141"/>
      <c r="GL141"/>
      <c r="GM141"/>
      <c r="GN141" s="208"/>
      <c r="GO141" s="208"/>
      <c r="GP141" s="208"/>
      <c r="GQ141" s="208"/>
      <c r="GR141" s="208"/>
      <c r="GS141" s="208"/>
      <c r="GT141" s="208"/>
      <c r="GU141" s="213">
        <v>136</v>
      </c>
    </row>
    <row r="142" spans="1:203" s="7" customFormat="1">
      <c r="A142" s="1"/>
      <c r="B142" s="76">
        <f ca="1">IF(C142="", "", RAND())</f>
        <v>0.1315860234245172</v>
      </c>
      <c r="C142">
        <v>8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34.634767106191603</v>
      </c>
      <c r="AO142">
        <v>7.3436176619900255</v>
      </c>
      <c r="AP142">
        <v>391.01991777887315</v>
      </c>
      <c r="AQ142">
        <v>49.401923864359723</v>
      </c>
      <c r="AR142">
        <v>6.6760160563545679</v>
      </c>
      <c r="AS142">
        <v>94.667097642262192</v>
      </c>
      <c r="AT142" t="e">
        <v>#DIV/0!</v>
      </c>
      <c r="AU142" t="e">
        <v>#DIV/0!</v>
      </c>
      <c r="AV142"/>
      <c r="AW142"/>
      <c r="AX142" s="146"/>
      <c r="AY142" s="76">
        <f t="shared" ca="1" si="88"/>
        <v>0.64393330036823504</v>
      </c>
      <c r="AZ142">
        <v>5</v>
      </c>
      <c r="BA142" s="129">
        <f t="shared" si="168"/>
        <v>39799</v>
      </c>
      <c r="BB142" s="207">
        <v>0</v>
      </c>
      <c r="BC142" s="207">
        <v>0</v>
      </c>
      <c r="BD142" s="207">
        <v>0</v>
      </c>
      <c r="BE142" s="207">
        <v>0</v>
      </c>
      <c r="BF142" s="207">
        <v>0</v>
      </c>
      <c r="BG142" s="207">
        <v>0</v>
      </c>
      <c r="BH142" s="207">
        <v>0</v>
      </c>
      <c r="BI142" s="207">
        <v>0</v>
      </c>
      <c r="BJ142" s="207">
        <v>0</v>
      </c>
      <c r="BK142" s="207">
        <v>0</v>
      </c>
      <c r="BL142" s="207">
        <v>0</v>
      </c>
      <c r="BM142" s="207">
        <v>0</v>
      </c>
      <c r="BN142" s="207">
        <v>0</v>
      </c>
      <c r="BO142" s="207">
        <v>0</v>
      </c>
      <c r="BP142" s="207">
        <v>0</v>
      </c>
      <c r="BQ142" s="207">
        <v>0</v>
      </c>
      <c r="BR142" s="207">
        <v>0</v>
      </c>
      <c r="BS142" s="207">
        <v>0</v>
      </c>
      <c r="BT142" s="207">
        <v>0</v>
      </c>
      <c r="BU142" s="207">
        <v>0</v>
      </c>
      <c r="BV142" s="207">
        <v>0</v>
      </c>
      <c r="BW142" s="207">
        <v>0</v>
      </c>
      <c r="BX142" s="207">
        <v>0</v>
      </c>
      <c r="BY142" s="207">
        <v>0</v>
      </c>
      <c r="BZ142" s="207">
        <v>0</v>
      </c>
      <c r="CA142" s="207">
        <v>0</v>
      </c>
      <c r="CB142" s="207">
        <v>0</v>
      </c>
      <c r="CC142" s="207">
        <v>0</v>
      </c>
      <c r="CD142" s="207">
        <v>0</v>
      </c>
      <c r="CE142" s="207">
        <v>0</v>
      </c>
      <c r="CF142" s="207">
        <v>0</v>
      </c>
      <c r="CG142" s="147"/>
      <c r="CH142" s="176"/>
      <c r="CJ142" s="146"/>
      <c r="CK142" s="76">
        <f t="shared" ca="1" si="90"/>
        <v>0.14602972354899491</v>
      </c>
      <c r="CL142" s="179">
        <f t="shared" si="91"/>
        <v>5</v>
      </c>
      <c r="CM142" s="180">
        <f t="shared" si="92"/>
        <v>39799</v>
      </c>
      <c r="CN142" s="208">
        <v>0</v>
      </c>
      <c r="CO142" s="208">
        <v>0</v>
      </c>
      <c r="CP142" s="208">
        <v>0</v>
      </c>
      <c r="CQ142" s="208">
        <v>0</v>
      </c>
      <c r="CR142" s="208">
        <v>0</v>
      </c>
      <c r="CS142" s="208">
        <v>0</v>
      </c>
      <c r="CT142" s="208">
        <v>0</v>
      </c>
      <c r="CU142" s="208">
        <v>0</v>
      </c>
      <c r="CV142" s="160"/>
      <c r="CW142">
        <v>1</v>
      </c>
      <c r="CX142">
        <f>350/52</f>
        <v>6.7307692307692308</v>
      </c>
      <c r="CY142" s="160"/>
      <c r="CZ142" s="177">
        <f t="shared" si="93"/>
        <v>9.6000000000000002E-2</v>
      </c>
      <c r="DB142" s="146"/>
      <c r="DC142" s="76">
        <f t="shared" ca="1" si="51"/>
        <v>0.98749784874025903</v>
      </c>
      <c r="DD142">
        <f t="shared" si="94"/>
        <v>5</v>
      </c>
      <c r="DE142" s="129">
        <f t="shared" si="167"/>
        <v>39799</v>
      </c>
      <c r="DF142" s="161">
        <f t="shared" si="95"/>
        <v>0</v>
      </c>
      <c r="DG142" s="161">
        <f t="shared" si="96"/>
        <v>0</v>
      </c>
      <c r="DH142" s="161">
        <f t="shared" si="97"/>
        <v>0</v>
      </c>
      <c r="DI142" s="161">
        <f t="shared" si="98"/>
        <v>0</v>
      </c>
      <c r="DJ142" s="161">
        <f t="shared" si="99"/>
        <v>0</v>
      </c>
      <c r="DK142" s="161">
        <f t="shared" si="100"/>
        <v>0</v>
      </c>
      <c r="DL142" s="161">
        <f t="shared" si="101"/>
        <v>0</v>
      </c>
      <c r="DM142" s="161">
        <f t="shared" si="102"/>
        <v>0</v>
      </c>
      <c r="DN142" s="161">
        <f t="shared" si="103"/>
        <v>0</v>
      </c>
      <c r="DO142" s="161">
        <f t="shared" si="104"/>
        <v>0</v>
      </c>
      <c r="DP142" s="161">
        <f t="shared" si="105"/>
        <v>0</v>
      </c>
      <c r="DQ142" s="161">
        <f t="shared" si="106"/>
        <v>0</v>
      </c>
      <c r="DR142" s="161">
        <f t="shared" si="107"/>
        <v>0</v>
      </c>
      <c r="DS142" s="161">
        <f t="shared" si="108"/>
        <v>0</v>
      </c>
      <c r="DT142" s="161">
        <f t="shared" si="109"/>
        <v>0</v>
      </c>
      <c r="DU142" s="161">
        <f t="shared" si="110"/>
        <v>0</v>
      </c>
      <c r="DV142" s="161">
        <f t="shared" si="111"/>
        <v>0</v>
      </c>
      <c r="DW142" s="161">
        <f t="shared" si="112"/>
        <v>0</v>
      </c>
      <c r="DX142" s="161">
        <f t="shared" si="113"/>
        <v>0</v>
      </c>
      <c r="DY142" s="161">
        <f t="shared" si="114"/>
        <v>0</v>
      </c>
      <c r="DZ142" s="161">
        <f t="shared" si="115"/>
        <v>0</v>
      </c>
      <c r="EA142" s="161">
        <f t="shared" si="116"/>
        <v>0</v>
      </c>
      <c r="EB142" s="161">
        <f t="shared" si="117"/>
        <v>0</v>
      </c>
      <c r="EC142" s="161">
        <f t="shared" si="118"/>
        <v>0</v>
      </c>
      <c r="ED142" s="161">
        <f t="shared" si="119"/>
        <v>0</v>
      </c>
      <c r="EE142" s="161">
        <f t="shared" si="120"/>
        <v>0</v>
      </c>
      <c r="EF142" s="161">
        <f t="shared" si="121"/>
        <v>0</v>
      </c>
      <c r="EG142" s="161">
        <f t="shared" si="122"/>
        <v>0</v>
      </c>
      <c r="EH142" s="161">
        <f t="shared" si="123"/>
        <v>0</v>
      </c>
      <c r="EI142" s="161">
        <f t="shared" si="124"/>
        <v>0</v>
      </c>
      <c r="EJ142" s="161">
        <f t="shared" si="125"/>
        <v>0</v>
      </c>
      <c r="EK142" s="147">
        <f t="shared" si="132"/>
        <v>0</v>
      </c>
      <c r="EL142" s="149"/>
      <c r="EN142" s="146"/>
      <c r="EO142" s="146"/>
      <c r="EP142" s="139">
        <f t="shared" si="133"/>
        <v>0</v>
      </c>
      <c r="EQ142" s="139">
        <f t="shared" si="134"/>
        <v>0</v>
      </c>
      <c r="ER142" s="139">
        <f t="shared" si="135"/>
        <v>0</v>
      </c>
      <c r="ES142" s="139">
        <f t="shared" si="136"/>
        <v>0</v>
      </c>
      <c r="ET142" s="139">
        <f t="shared" si="137"/>
        <v>0</v>
      </c>
      <c r="EU142" s="139">
        <f t="shared" si="138"/>
        <v>0</v>
      </c>
      <c r="EV142" s="139">
        <f t="shared" si="139"/>
        <v>0</v>
      </c>
      <c r="EW142" s="139">
        <f t="shared" si="140"/>
        <v>0</v>
      </c>
      <c r="EX142" s="139">
        <f t="shared" si="141"/>
        <v>0</v>
      </c>
      <c r="EY142" s="139">
        <f t="shared" si="142"/>
        <v>0</v>
      </c>
      <c r="EZ142" s="139">
        <f t="shared" si="143"/>
        <v>0</v>
      </c>
      <c r="FA142" s="139">
        <f t="shared" si="144"/>
        <v>0</v>
      </c>
      <c r="FB142" s="139">
        <f t="shared" si="145"/>
        <v>0</v>
      </c>
      <c r="FC142" s="139">
        <f t="shared" si="146"/>
        <v>0</v>
      </c>
      <c r="FD142" s="139">
        <f t="shared" si="147"/>
        <v>0</v>
      </c>
      <c r="FE142" s="139">
        <f t="shared" si="148"/>
        <v>0</v>
      </c>
      <c r="FF142" s="139">
        <f t="shared" si="149"/>
        <v>0</v>
      </c>
      <c r="FG142" s="139">
        <f t="shared" si="150"/>
        <v>0</v>
      </c>
      <c r="FH142" s="139">
        <f t="shared" si="151"/>
        <v>0</v>
      </c>
      <c r="FI142" s="139">
        <f t="shared" si="152"/>
        <v>0</v>
      </c>
      <c r="FJ142" s="139">
        <f t="shared" si="153"/>
        <v>0</v>
      </c>
      <c r="FK142" s="139">
        <f t="shared" si="154"/>
        <v>0</v>
      </c>
      <c r="FL142" s="139">
        <f t="shared" si="155"/>
        <v>0</v>
      </c>
      <c r="FM142" s="139">
        <f t="shared" si="156"/>
        <v>0</v>
      </c>
      <c r="FN142" s="139">
        <f t="shared" si="157"/>
        <v>0</v>
      </c>
      <c r="FO142" s="139">
        <f t="shared" si="158"/>
        <v>0</v>
      </c>
      <c r="FP142" s="139">
        <f t="shared" si="159"/>
        <v>0</v>
      </c>
      <c r="FQ142" s="139">
        <f t="shared" si="160"/>
        <v>0</v>
      </c>
      <c r="FR142" s="139">
        <f t="shared" si="161"/>
        <v>0</v>
      </c>
      <c r="FS142" s="139">
        <f t="shared" si="162"/>
        <v>0</v>
      </c>
      <c r="FT142" s="139">
        <f t="shared" si="163"/>
        <v>0</v>
      </c>
      <c r="FU142" s="148">
        <f t="shared" si="164"/>
        <v>0</v>
      </c>
      <c r="FV142" s="149"/>
      <c r="FY142" s="213">
        <v>137</v>
      </c>
      <c r="FZ142">
        <v>2.1834373233262436</v>
      </c>
      <c r="GA142">
        <v>9.6862164581697066</v>
      </c>
      <c r="GB142">
        <v>3.9570564591464237</v>
      </c>
      <c r="GC142">
        <v>1.6180750572514906</v>
      </c>
      <c r="GD142">
        <v>2.9632474103948958</v>
      </c>
      <c r="GE142">
        <v>4.0703342822110953</v>
      </c>
      <c r="GF142">
        <v>0.95469624988012047</v>
      </c>
      <c r="GG142">
        <v>3.4648713879457071</v>
      </c>
      <c r="GH142">
        <v>4.8970170936990343</v>
      </c>
      <c r="GI142">
        <v>4.0577485643372357</v>
      </c>
      <c r="GJ142"/>
      <c r="GK142"/>
      <c r="GL142"/>
      <c r="GM142"/>
      <c r="GN142" s="208"/>
      <c r="GO142" s="208"/>
      <c r="GP142" s="208"/>
      <c r="GQ142" s="208"/>
      <c r="GR142" s="208"/>
      <c r="GS142" s="208"/>
      <c r="GT142" s="208"/>
      <c r="GU142" s="213">
        <v>137</v>
      </c>
    </row>
    <row r="143" spans="1:203" s="7" customFormat="1">
      <c r="A143" s="1"/>
      <c r="B143" s="76">
        <f ca="1">IF(C143="", "", RAND())</f>
        <v>0.33481482666908691</v>
      </c>
      <c r="C143">
        <v>9</v>
      </c>
      <c r="D143">
        <v>39799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28.231425702811244</v>
      </c>
      <c r="AO143">
        <v>6.2147995729941794</v>
      </c>
      <c r="AP143">
        <v>93.244519168475321</v>
      </c>
      <c r="AQ143">
        <v>39.739229199632462</v>
      </c>
      <c r="AR143">
        <v>5.7040890644904643</v>
      </c>
      <c r="AS143">
        <v>68.554668204328692</v>
      </c>
      <c r="AT143" t="e">
        <v>#DIV/0!</v>
      </c>
      <c r="AU143" t="e">
        <v>#DIV/0!</v>
      </c>
      <c r="AV143"/>
      <c r="AW143"/>
      <c r="AX143" s="146"/>
      <c r="AY143" s="76">
        <f t="shared" ca="1" si="88"/>
        <v>0.81243613077581767</v>
      </c>
      <c r="AZ143">
        <v>6</v>
      </c>
      <c r="BA143" s="129">
        <f t="shared" si="168"/>
        <v>39799</v>
      </c>
      <c r="BB143" s="207">
        <v>0</v>
      </c>
      <c r="BC143" s="207">
        <v>0</v>
      </c>
      <c r="BD143" s="207">
        <v>0</v>
      </c>
      <c r="BE143" s="207">
        <v>0</v>
      </c>
      <c r="BF143" s="207">
        <v>0</v>
      </c>
      <c r="BG143" s="207">
        <v>0</v>
      </c>
      <c r="BH143" s="207">
        <v>0</v>
      </c>
      <c r="BI143" s="207">
        <v>0</v>
      </c>
      <c r="BJ143" s="207">
        <v>0</v>
      </c>
      <c r="BK143" s="207">
        <v>0</v>
      </c>
      <c r="BL143" s="207">
        <v>0</v>
      </c>
      <c r="BM143" s="207">
        <v>0</v>
      </c>
      <c r="BN143" s="207">
        <v>0</v>
      </c>
      <c r="BO143" s="207">
        <v>0</v>
      </c>
      <c r="BP143" s="207">
        <v>0</v>
      </c>
      <c r="BQ143" s="207">
        <v>0</v>
      </c>
      <c r="BR143" s="207">
        <v>0</v>
      </c>
      <c r="BS143" s="207">
        <v>0</v>
      </c>
      <c r="BT143" s="207">
        <v>0</v>
      </c>
      <c r="BU143" s="207">
        <v>0</v>
      </c>
      <c r="BV143" s="207">
        <v>0</v>
      </c>
      <c r="BW143" s="207">
        <v>0</v>
      </c>
      <c r="BX143" s="207">
        <v>0</v>
      </c>
      <c r="BY143" s="207">
        <v>0</v>
      </c>
      <c r="BZ143" s="207">
        <v>0</v>
      </c>
      <c r="CA143" s="207">
        <v>0</v>
      </c>
      <c r="CB143" s="207">
        <v>0</v>
      </c>
      <c r="CC143" s="207">
        <v>0</v>
      </c>
      <c r="CD143" s="207">
        <v>0</v>
      </c>
      <c r="CE143" s="207">
        <v>0</v>
      </c>
      <c r="CF143" s="207">
        <v>0</v>
      </c>
      <c r="CG143" s="147"/>
      <c r="CH143" s="176"/>
      <c r="CJ143" s="146"/>
      <c r="CK143" s="76">
        <f t="shared" ca="1" si="90"/>
        <v>7.5565637065212243E-2</v>
      </c>
      <c r="CL143" s="179">
        <f t="shared" si="91"/>
        <v>6</v>
      </c>
      <c r="CM143" s="180">
        <f t="shared" si="92"/>
        <v>39799</v>
      </c>
      <c r="CN143" s="208">
        <v>0</v>
      </c>
      <c r="CO143" s="208">
        <v>0</v>
      </c>
      <c r="CP143" s="208">
        <v>0</v>
      </c>
      <c r="CQ143" s="208">
        <v>0</v>
      </c>
      <c r="CR143" s="208">
        <v>0</v>
      </c>
      <c r="CS143" s="208">
        <v>0</v>
      </c>
      <c r="CT143" s="208">
        <v>0</v>
      </c>
      <c r="CU143" s="208">
        <v>0</v>
      </c>
      <c r="CV143" s="160"/>
      <c r="CW143">
        <v>1</v>
      </c>
      <c r="CX143">
        <v>1</v>
      </c>
      <c r="CY143" s="160"/>
      <c r="CZ143" s="177">
        <f t="shared" si="93"/>
        <v>9.6000000000000002E-2</v>
      </c>
      <c r="DB143" s="146"/>
      <c r="DC143" s="76">
        <f t="shared" ca="1" si="51"/>
        <v>0.26423307065206547</v>
      </c>
      <c r="DD143">
        <f t="shared" si="94"/>
        <v>6</v>
      </c>
      <c r="DE143" s="129">
        <f t="shared" si="167"/>
        <v>39799</v>
      </c>
      <c r="DF143" s="161">
        <f t="shared" si="95"/>
        <v>0</v>
      </c>
      <c r="DG143" s="161">
        <f t="shared" si="96"/>
        <v>0</v>
      </c>
      <c r="DH143" s="161">
        <f t="shared" si="97"/>
        <v>0</v>
      </c>
      <c r="DI143" s="161">
        <f t="shared" si="98"/>
        <v>0</v>
      </c>
      <c r="DJ143" s="161">
        <f t="shared" si="99"/>
        <v>0</v>
      </c>
      <c r="DK143" s="161">
        <f t="shared" si="100"/>
        <v>0</v>
      </c>
      <c r="DL143" s="161">
        <f t="shared" si="101"/>
        <v>0</v>
      </c>
      <c r="DM143" s="161">
        <f t="shared" si="102"/>
        <v>0</v>
      </c>
      <c r="DN143" s="161">
        <f t="shared" si="103"/>
        <v>0</v>
      </c>
      <c r="DO143" s="161">
        <f t="shared" si="104"/>
        <v>0</v>
      </c>
      <c r="DP143" s="161">
        <f t="shared" si="105"/>
        <v>0</v>
      </c>
      <c r="DQ143" s="161">
        <f t="shared" si="106"/>
        <v>0</v>
      </c>
      <c r="DR143" s="161">
        <f t="shared" si="107"/>
        <v>0</v>
      </c>
      <c r="DS143" s="161">
        <f t="shared" si="108"/>
        <v>0</v>
      </c>
      <c r="DT143" s="161">
        <f t="shared" si="109"/>
        <v>0</v>
      </c>
      <c r="DU143" s="161">
        <f t="shared" si="110"/>
        <v>0</v>
      </c>
      <c r="DV143" s="161">
        <f t="shared" si="111"/>
        <v>0</v>
      </c>
      <c r="DW143" s="161">
        <f t="shared" si="112"/>
        <v>0</v>
      </c>
      <c r="DX143" s="161">
        <f t="shared" si="113"/>
        <v>0</v>
      </c>
      <c r="DY143" s="161">
        <f t="shared" si="114"/>
        <v>0</v>
      </c>
      <c r="DZ143" s="161">
        <f t="shared" si="115"/>
        <v>0</v>
      </c>
      <c r="EA143" s="161">
        <f t="shared" si="116"/>
        <v>0</v>
      </c>
      <c r="EB143" s="161">
        <f t="shared" si="117"/>
        <v>0</v>
      </c>
      <c r="EC143" s="161">
        <f t="shared" si="118"/>
        <v>0</v>
      </c>
      <c r="ED143" s="161">
        <f t="shared" si="119"/>
        <v>0</v>
      </c>
      <c r="EE143" s="161">
        <f t="shared" si="120"/>
        <v>0</v>
      </c>
      <c r="EF143" s="161">
        <f t="shared" si="121"/>
        <v>0</v>
      </c>
      <c r="EG143" s="161">
        <f t="shared" si="122"/>
        <v>0</v>
      </c>
      <c r="EH143" s="161">
        <f t="shared" si="123"/>
        <v>0</v>
      </c>
      <c r="EI143" s="161">
        <f t="shared" si="124"/>
        <v>0</v>
      </c>
      <c r="EJ143" s="161">
        <f t="shared" si="125"/>
        <v>0</v>
      </c>
      <c r="EK143" s="147">
        <f t="shared" si="132"/>
        <v>0</v>
      </c>
      <c r="EL143" s="149"/>
      <c r="EN143" s="146"/>
      <c r="EO143" s="146"/>
      <c r="EP143" s="139">
        <f t="shared" si="133"/>
        <v>0</v>
      </c>
      <c r="EQ143" s="139">
        <f t="shared" si="134"/>
        <v>0</v>
      </c>
      <c r="ER143" s="139">
        <f t="shared" si="135"/>
        <v>0</v>
      </c>
      <c r="ES143" s="139">
        <f t="shared" si="136"/>
        <v>0</v>
      </c>
      <c r="ET143" s="139">
        <f t="shared" si="137"/>
        <v>0</v>
      </c>
      <c r="EU143" s="139">
        <f t="shared" si="138"/>
        <v>0</v>
      </c>
      <c r="EV143" s="139">
        <f t="shared" si="139"/>
        <v>0</v>
      </c>
      <c r="EW143" s="139">
        <f t="shared" si="140"/>
        <v>0</v>
      </c>
      <c r="EX143" s="139">
        <f t="shared" si="141"/>
        <v>0</v>
      </c>
      <c r="EY143" s="139">
        <f t="shared" si="142"/>
        <v>0</v>
      </c>
      <c r="EZ143" s="139">
        <f t="shared" si="143"/>
        <v>0</v>
      </c>
      <c r="FA143" s="139">
        <f t="shared" si="144"/>
        <v>0</v>
      </c>
      <c r="FB143" s="139">
        <f t="shared" si="145"/>
        <v>0</v>
      </c>
      <c r="FC143" s="139">
        <f t="shared" si="146"/>
        <v>0</v>
      </c>
      <c r="FD143" s="139">
        <f t="shared" si="147"/>
        <v>0</v>
      </c>
      <c r="FE143" s="139">
        <f t="shared" si="148"/>
        <v>0</v>
      </c>
      <c r="FF143" s="139">
        <f t="shared" si="149"/>
        <v>0</v>
      </c>
      <c r="FG143" s="139">
        <f t="shared" si="150"/>
        <v>0</v>
      </c>
      <c r="FH143" s="139">
        <f t="shared" si="151"/>
        <v>0</v>
      </c>
      <c r="FI143" s="139">
        <f t="shared" si="152"/>
        <v>0</v>
      </c>
      <c r="FJ143" s="139">
        <f t="shared" si="153"/>
        <v>0</v>
      </c>
      <c r="FK143" s="139">
        <f t="shared" si="154"/>
        <v>0</v>
      </c>
      <c r="FL143" s="139">
        <f t="shared" si="155"/>
        <v>0</v>
      </c>
      <c r="FM143" s="139">
        <f t="shared" si="156"/>
        <v>0</v>
      </c>
      <c r="FN143" s="139">
        <f t="shared" si="157"/>
        <v>0</v>
      </c>
      <c r="FO143" s="139">
        <f t="shared" si="158"/>
        <v>0</v>
      </c>
      <c r="FP143" s="139">
        <f t="shared" si="159"/>
        <v>0</v>
      </c>
      <c r="FQ143" s="139">
        <f t="shared" si="160"/>
        <v>0</v>
      </c>
      <c r="FR143" s="139">
        <f t="shared" si="161"/>
        <v>0</v>
      </c>
      <c r="FS143" s="139">
        <f t="shared" si="162"/>
        <v>0</v>
      </c>
      <c r="FT143" s="139">
        <f t="shared" si="163"/>
        <v>0</v>
      </c>
      <c r="FU143" s="148">
        <f t="shared" si="164"/>
        <v>0</v>
      </c>
      <c r="FV143" s="149"/>
      <c r="FY143" s="213">
        <v>138</v>
      </c>
      <c r="FZ143">
        <v>2.7705984438954863</v>
      </c>
      <c r="GA143">
        <v>18.726759414229431</v>
      </c>
      <c r="GB143">
        <v>8.494368066475138</v>
      </c>
      <c r="GC143">
        <v>2.9604491598119655</v>
      </c>
      <c r="GD143">
        <v>3.7946026850573737</v>
      </c>
      <c r="GE143">
        <v>3.960036678518648</v>
      </c>
      <c r="GF143">
        <v>1.432044374820181</v>
      </c>
      <c r="GG143">
        <v>3.6766788475277208</v>
      </c>
      <c r="GH143">
        <v>5.061819680755038</v>
      </c>
      <c r="GI143">
        <v>5.9301188967208187</v>
      </c>
      <c r="GJ143"/>
      <c r="GK143"/>
      <c r="GL143"/>
      <c r="GM143"/>
      <c r="GN143" s="208"/>
      <c r="GO143" s="208"/>
      <c r="GP143" s="208"/>
      <c r="GQ143" s="208"/>
      <c r="GR143" s="208"/>
      <c r="GS143" s="208"/>
      <c r="GT143" s="208"/>
      <c r="GU143" s="213">
        <v>138</v>
      </c>
    </row>
    <row r="144" spans="1:203" s="7" customFormat="1">
      <c r="A144" s="1"/>
      <c r="B144" s="76">
        <f ca="1">IF(C144="", "", RAND())</f>
        <v>0.99162177054907019</v>
      </c>
      <c r="C144">
        <v>7</v>
      </c>
      <c r="D144">
        <v>39799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28.168993296667786</v>
      </c>
      <c r="AO144">
        <v>6.290283676705112</v>
      </c>
      <c r="AP144">
        <v>155.32953756489482</v>
      </c>
      <c r="AQ144">
        <v>45.545512321326051</v>
      </c>
      <c r="AR144">
        <v>5.7184397060955563</v>
      </c>
      <c r="AS144">
        <v>75.601487581428202</v>
      </c>
      <c r="AT144" t="e">
        <v>#DIV/0!</v>
      </c>
      <c r="AU144" t="e">
        <v>#DIV/0!</v>
      </c>
      <c r="AV144"/>
      <c r="AW144"/>
      <c r="AX144" s="146"/>
      <c r="AY144" s="76">
        <f t="shared" ca="1" si="88"/>
        <v>0.81789588147722014</v>
      </c>
      <c r="AZ144">
        <v>7</v>
      </c>
      <c r="BA144" s="129">
        <f t="shared" si="168"/>
        <v>39799</v>
      </c>
      <c r="BB144" s="207">
        <v>0</v>
      </c>
      <c r="BC144" s="207">
        <v>0</v>
      </c>
      <c r="BD144" s="207">
        <v>0</v>
      </c>
      <c r="BE144" s="207">
        <v>0</v>
      </c>
      <c r="BF144" s="207">
        <v>0</v>
      </c>
      <c r="BG144" s="207">
        <v>0</v>
      </c>
      <c r="BH144" s="207">
        <v>0</v>
      </c>
      <c r="BI144" s="207">
        <v>0</v>
      </c>
      <c r="BJ144" s="207">
        <v>0</v>
      </c>
      <c r="BK144" s="207">
        <v>0</v>
      </c>
      <c r="BL144" s="207">
        <v>0</v>
      </c>
      <c r="BM144" s="207">
        <v>0</v>
      </c>
      <c r="BN144" s="207">
        <v>0</v>
      </c>
      <c r="BO144" s="207">
        <v>0</v>
      </c>
      <c r="BP144" s="207">
        <v>0</v>
      </c>
      <c r="BQ144" s="207">
        <v>0</v>
      </c>
      <c r="BR144" s="207">
        <v>0</v>
      </c>
      <c r="BS144" s="207">
        <v>0</v>
      </c>
      <c r="BT144" s="207">
        <v>0</v>
      </c>
      <c r="BU144" s="207">
        <v>0</v>
      </c>
      <c r="BV144" s="207">
        <v>0</v>
      </c>
      <c r="BW144" s="207">
        <v>0</v>
      </c>
      <c r="BX144" s="207">
        <v>0</v>
      </c>
      <c r="BY144" s="207">
        <v>0</v>
      </c>
      <c r="BZ144" s="207">
        <v>0</v>
      </c>
      <c r="CA144" s="207">
        <v>0</v>
      </c>
      <c r="CB144" s="207">
        <v>0</v>
      </c>
      <c r="CC144" s="207">
        <v>0</v>
      </c>
      <c r="CD144" s="207">
        <v>0</v>
      </c>
      <c r="CE144" s="207">
        <v>0</v>
      </c>
      <c r="CF144" s="207">
        <v>0</v>
      </c>
      <c r="CG144" s="147"/>
      <c r="CH144" s="176"/>
      <c r="CJ144" s="146"/>
      <c r="CK144" s="76">
        <f t="shared" ca="1" si="90"/>
        <v>0.4469140762151349</v>
      </c>
      <c r="CL144" s="179">
        <f t="shared" si="91"/>
        <v>7</v>
      </c>
      <c r="CM144" s="180">
        <f t="shared" si="92"/>
        <v>39799</v>
      </c>
      <c r="CN144" s="208">
        <v>0</v>
      </c>
      <c r="CO144" s="208">
        <v>0</v>
      </c>
      <c r="CP144" s="208">
        <v>0</v>
      </c>
      <c r="CQ144" s="208">
        <v>0</v>
      </c>
      <c r="CR144" s="208">
        <v>0</v>
      </c>
      <c r="CS144" s="208">
        <v>0</v>
      </c>
      <c r="CT144" s="208">
        <v>0</v>
      </c>
      <c r="CU144" s="208">
        <v>0</v>
      </c>
      <c r="CV144" s="160"/>
      <c r="CW144">
        <v>1</v>
      </c>
      <c r="CX144">
        <f>350/60</f>
        <v>5.833333333333333</v>
      </c>
      <c r="CY144" s="165"/>
      <c r="CZ144" s="177">
        <f t="shared" si="93"/>
        <v>9.6000000000000002E-2</v>
      </c>
      <c r="DB144" s="146"/>
      <c r="DC144" s="76">
        <f t="shared" ca="1" si="51"/>
        <v>0.74230376574237766</v>
      </c>
      <c r="DD144">
        <f t="shared" si="94"/>
        <v>7</v>
      </c>
      <c r="DE144" s="129">
        <f t="shared" si="167"/>
        <v>39799</v>
      </c>
      <c r="DF144" s="161">
        <f t="shared" si="95"/>
        <v>0</v>
      </c>
      <c r="DG144" s="161">
        <f t="shared" si="96"/>
        <v>0</v>
      </c>
      <c r="DH144" s="161">
        <f t="shared" si="97"/>
        <v>0</v>
      </c>
      <c r="DI144" s="161">
        <f t="shared" si="98"/>
        <v>0</v>
      </c>
      <c r="DJ144" s="161">
        <f t="shared" si="99"/>
        <v>0</v>
      </c>
      <c r="DK144" s="161">
        <f t="shared" si="100"/>
        <v>0</v>
      </c>
      <c r="DL144" s="161">
        <f t="shared" si="101"/>
        <v>0</v>
      </c>
      <c r="DM144" s="161">
        <f t="shared" si="102"/>
        <v>0</v>
      </c>
      <c r="DN144" s="161">
        <f t="shared" si="103"/>
        <v>0</v>
      </c>
      <c r="DO144" s="161">
        <f t="shared" si="104"/>
        <v>0</v>
      </c>
      <c r="DP144" s="161">
        <f t="shared" si="105"/>
        <v>0</v>
      </c>
      <c r="DQ144" s="161">
        <f t="shared" si="106"/>
        <v>0</v>
      </c>
      <c r="DR144" s="161">
        <f t="shared" si="107"/>
        <v>0</v>
      </c>
      <c r="DS144" s="161">
        <f t="shared" si="108"/>
        <v>0</v>
      </c>
      <c r="DT144" s="161">
        <f t="shared" si="109"/>
        <v>0</v>
      </c>
      <c r="DU144" s="161">
        <f t="shared" si="110"/>
        <v>0</v>
      </c>
      <c r="DV144" s="161">
        <f t="shared" si="111"/>
        <v>0</v>
      </c>
      <c r="DW144" s="161">
        <f t="shared" si="112"/>
        <v>0</v>
      </c>
      <c r="DX144" s="161">
        <f t="shared" si="113"/>
        <v>0</v>
      </c>
      <c r="DY144" s="161">
        <f t="shared" si="114"/>
        <v>0</v>
      </c>
      <c r="DZ144" s="161">
        <f t="shared" si="115"/>
        <v>0</v>
      </c>
      <c r="EA144" s="161">
        <f t="shared" si="116"/>
        <v>0</v>
      </c>
      <c r="EB144" s="161">
        <f t="shared" si="117"/>
        <v>0</v>
      </c>
      <c r="EC144" s="161">
        <f t="shared" si="118"/>
        <v>0</v>
      </c>
      <c r="ED144" s="161">
        <f t="shared" si="119"/>
        <v>0</v>
      </c>
      <c r="EE144" s="161">
        <f t="shared" si="120"/>
        <v>0</v>
      </c>
      <c r="EF144" s="161">
        <f t="shared" si="121"/>
        <v>0</v>
      </c>
      <c r="EG144" s="161">
        <f t="shared" si="122"/>
        <v>0</v>
      </c>
      <c r="EH144" s="161">
        <f t="shared" si="123"/>
        <v>0</v>
      </c>
      <c r="EI144" s="161">
        <f t="shared" si="124"/>
        <v>0</v>
      </c>
      <c r="EJ144" s="161">
        <f t="shared" si="125"/>
        <v>0</v>
      </c>
      <c r="EK144" s="147">
        <f t="shared" si="132"/>
        <v>0</v>
      </c>
      <c r="EL144" s="149"/>
      <c r="EN144" s="146"/>
      <c r="EO144" s="146"/>
      <c r="EP144" s="139">
        <f t="shared" si="133"/>
        <v>0</v>
      </c>
      <c r="EQ144" s="139">
        <f t="shared" si="134"/>
        <v>0</v>
      </c>
      <c r="ER144" s="139">
        <f t="shared" si="135"/>
        <v>0</v>
      </c>
      <c r="ES144" s="139">
        <f t="shared" si="136"/>
        <v>0</v>
      </c>
      <c r="ET144" s="139">
        <f t="shared" si="137"/>
        <v>0</v>
      </c>
      <c r="EU144" s="139">
        <f t="shared" si="138"/>
        <v>0</v>
      </c>
      <c r="EV144" s="139">
        <f t="shared" si="139"/>
        <v>0</v>
      </c>
      <c r="EW144" s="139">
        <f t="shared" si="140"/>
        <v>0</v>
      </c>
      <c r="EX144" s="139">
        <f t="shared" si="141"/>
        <v>0</v>
      </c>
      <c r="EY144" s="139">
        <f t="shared" si="142"/>
        <v>0</v>
      </c>
      <c r="EZ144" s="139">
        <f t="shared" si="143"/>
        <v>0</v>
      </c>
      <c r="FA144" s="139">
        <f t="shared" si="144"/>
        <v>0</v>
      </c>
      <c r="FB144" s="139">
        <f t="shared" si="145"/>
        <v>0</v>
      </c>
      <c r="FC144" s="139">
        <f t="shared" si="146"/>
        <v>0</v>
      </c>
      <c r="FD144" s="139">
        <f t="shared" si="147"/>
        <v>0</v>
      </c>
      <c r="FE144" s="139">
        <f t="shared" si="148"/>
        <v>0</v>
      </c>
      <c r="FF144" s="139">
        <f t="shared" si="149"/>
        <v>0</v>
      </c>
      <c r="FG144" s="139">
        <f t="shared" si="150"/>
        <v>0</v>
      </c>
      <c r="FH144" s="139">
        <f t="shared" si="151"/>
        <v>0</v>
      </c>
      <c r="FI144" s="139">
        <f t="shared" si="152"/>
        <v>0</v>
      </c>
      <c r="FJ144" s="139">
        <f t="shared" si="153"/>
        <v>0</v>
      </c>
      <c r="FK144" s="139">
        <f t="shared" si="154"/>
        <v>0</v>
      </c>
      <c r="FL144" s="139">
        <f t="shared" si="155"/>
        <v>0</v>
      </c>
      <c r="FM144" s="139">
        <f t="shared" si="156"/>
        <v>0</v>
      </c>
      <c r="FN144" s="139">
        <f t="shared" si="157"/>
        <v>0</v>
      </c>
      <c r="FO144" s="139">
        <f t="shared" si="158"/>
        <v>0</v>
      </c>
      <c r="FP144" s="139">
        <f t="shared" si="159"/>
        <v>0</v>
      </c>
      <c r="FQ144" s="139">
        <f t="shared" si="160"/>
        <v>0</v>
      </c>
      <c r="FR144" s="139">
        <f t="shared" si="161"/>
        <v>0</v>
      </c>
      <c r="FS144" s="139">
        <f t="shared" si="162"/>
        <v>0</v>
      </c>
      <c r="FT144" s="139">
        <f t="shared" si="163"/>
        <v>0</v>
      </c>
      <c r="FU144" s="148">
        <f t="shared" si="164"/>
        <v>0</v>
      </c>
      <c r="FV144" s="149"/>
      <c r="FY144" s="213">
        <v>139</v>
      </c>
      <c r="FZ144">
        <v>2.1834373233262436</v>
      </c>
      <c r="GA144">
        <v>13.573877109079511</v>
      </c>
      <c r="GB144">
        <v>5.8804514536039516</v>
      </c>
      <c r="GC144">
        <v>0.93809528275072762</v>
      </c>
      <c r="GD144">
        <v>1.1396926526586244</v>
      </c>
      <c r="GE144">
        <v>1.1398170308115541</v>
      </c>
      <c r="GF144">
        <v>0.47734812494006024</v>
      </c>
      <c r="GG144">
        <v>2.9035501733129117</v>
      </c>
      <c r="GH144">
        <v>4.0526889260906458</v>
      </c>
      <c r="GI144">
        <v>3.2006179272491742</v>
      </c>
      <c r="GJ144"/>
      <c r="GK144"/>
      <c r="GL144"/>
      <c r="GM144"/>
      <c r="GN144" s="208"/>
      <c r="GO144" s="208"/>
      <c r="GP144" s="208"/>
      <c r="GQ144" s="208"/>
      <c r="GR144" s="208"/>
      <c r="GS144" s="208"/>
      <c r="GT144" s="208"/>
      <c r="GU144" s="213">
        <v>139</v>
      </c>
    </row>
    <row r="145" spans="1:203" s="7" customFormat="1">
      <c r="A145" s="1"/>
      <c r="B145" s="76">
        <f ca="1">IF(C145="", "", RAND())</f>
        <v>0.94274650637141288</v>
      </c>
      <c r="C145">
        <v>5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35.049296117145104</v>
      </c>
      <c r="AO145">
        <v>10.296941412941695</v>
      </c>
      <c r="AP145">
        <v>181.87379022736246</v>
      </c>
      <c r="AQ145">
        <v>65.779933698256002</v>
      </c>
      <c r="AR145">
        <v>9.415127100806389</v>
      </c>
      <c r="AS145">
        <v>108.42927212672285</v>
      </c>
      <c r="AT145" t="e">
        <v>#DIV/0!</v>
      </c>
      <c r="AU145" t="e">
        <v>#DIV/0!</v>
      </c>
      <c r="AV145"/>
      <c r="AW145"/>
      <c r="AX145" s="146"/>
      <c r="AY145" s="76">
        <f t="shared" ca="1" si="88"/>
        <v>0.19699370712102571</v>
      </c>
      <c r="AZ145">
        <v>8</v>
      </c>
      <c r="BA145" s="129">
        <f t="shared" si="168"/>
        <v>39799</v>
      </c>
      <c r="BB145" s="207">
        <v>0</v>
      </c>
      <c r="BC145" s="207">
        <v>0</v>
      </c>
      <c r="BD145" s="207">
        <v>0</v>
      </c>
      <c r="BE145" s="207">
        <v>0</v>
      </c>
      <c r="BF145" s="207">
        <v>0</v>
      </c>
      <c r="BG145" s="207">
        <v>0</v>
      </c>
      <c r="BH145" s="207">
        <v>0</v>
      </c>
      <c r="BI145" s="207">
        <v>0</v>
      </c>
      <c r="BJ145" s="207">
        <v>0</v>
      </c>
      <c r="BK145" s="207">
        <v>0</v>
      </c>
      <c r="BL145" s="207">
        <v>0</v>
      </c>
      <c r="BM145" s="207">
        <v>0</v>
      </c>
      <c r="BN145" s="207">
        <v>0</v>
      </c>
      <c r="BO145" s="207">
        <v>0</v>
      </c>
      <c r="BP145" s="207">
        <v>0</v>
      </c>
      <c r="BQ145" s="207">
        <v>0</v>
      </c>
      <c r="BR145" s="207">
        <v>0</v>
      </c>
      <c r="BS145" s="207">
        <v>0</v>
      </c>
      <c r="BT145" s="207">
        <v>0</v>
      </c>
      <c r="BU145" s="207">
        <v>0</v>
      </c>
      <c r="BV145" s="207">
        <v>0</v>
      </c>
      <c r="BW145" s="207">
        <v>0</v>
      </c>
      <c r="BX145" s="207">
        <v>0</v>
      </c>
      <c r="BY145" s="207">
        <v>0</v>
      </c>
      <c r="BZ145" s="207">
        <v>0</v>
      </c>
      <c r="CA145" s="207">
        <v>0</v>
      </c>
      <c r="CB145" s="207">
        <v>0</v>
      </c>
      <c r="CC145" s="207">
        <v>0</v>
      </c>
      <c r="CD145" s="207">
        <v>0</v>
      </c>
      <c r="CE145" s="207">
        <v>0</v>
      </c>
      <c r="CF145" s="207">
        <v>0</v>
      </c>
      <c r="CG145" s="147"/>
      <c r="CH145" s="176"/>
      <c r="CJ145" s="146"/>
      <c r="CK145" s="76">
        <f t="shared" ca="1" si="90"/>
        <v>0.35157850774359822</v>
      </c>
      <c r="CL145" s="179">
        <f t="shared" si="91"/>
        <v>8</v>
      </c>
      <c r="CM145" s="180">
        <f t="shared" si="92"/>
        <v>39799</v>
      </c>
      <c r="CN145" s="208">
        <v>0</v>
      </c>
      <c r="CO145" s="208">
        <v>0</v>
      </c>
      <c r="CP145" s="208">
        <v>0</v>
      </c>
      <c r="CQ145" s="208">
        <v>0</v>
      </c>
      <c r="CR145" s="208">
        <v>0</v>
      </c>
      <c r="CS145" s="208">
        <v>0</v>
      </c>
      <c r="CT145" s="208">
        <v>0</v>
      </c>
      <c r="CU145" s="208">
        <v>0</v>
      </c>
      <c r="CV145" s="160"/>
      <c r="CW145">
        <v>1</v>
      </c>
      <c r="CX145">
        <f>350/49</f>
        <v>7.1428571428571432</v>
      </c>
      <c r="CY145" s="165"/>
      <c r="CZ145" s="177">
        <f t="shared" si="93"/>
        <v>9.6000000000000002E-2</v>
      </c>
      <c r="DB145" s="146"/>
      <c r="DC145" s="76">
        <f t="shared" ca="1" si="51"/>
        <v>0.60271201863920343</v>
      </c>
      <c r="DD145">
        <f t="shared" si="94"/>
        <v>8</v>
      </c>
      <c r="DE145" s="129">
        <f t="shared" si="167"/>
        <v>39799</v>
      </c>
      <c r="DF145" s="161">
        <f t="shared" si="95"/>
        <v>0</v>
      </c>
      <c r="DG145" s="161">
        <f t="shared" si="96"/>
        <v>0</v>
      </c>
      <c r="DH145" s="161">
        <f t="shared" si="97"/>
        <v>0</v>
      </c>
      <c r="DI145" s="161">
        <f t="shared" si="98"/>
        <v>0</v>
      </c>
      <c r="DJ145" s="161">
        <f t="shared" si="99"/>
        <v>0</v>
      </c>
      <c r="DK145" s="161">
        <f t="shared" si="100"/>
        <v>0</v>
      </c>
      <c r="DL145" s="161">
        <f t="shared" si="101"/>
        <v>0</v>
      </c>
      <c r="DM145" s="161">
        <f t="shared" si="102"/>
        <v>0</v>
      </c>
      <c r="DN145" s="161">
        <f t="shared" si="103"/>
        <v>0</v>
      </c>
      <c r="DO145" s="161">
        <f t="shared" si="104"/>
        <v>0</v>
      </c>
      <c r="DP145" s="161">
        <f t="shared" si="105"/>
        <v>0</v>
      </c>
      <c r="DQ145" s="161">
        <f t="shared" si="106"/>
        <v>0</v>
      </c>
      <c r="DR145" s="161">
        <f t="shared" si="107"/>
        <v>0</v>
      </c>
      <c r="DS145" s="161">
        <f t="shared" si="108"/>
        <v>0</v>
      </c>
      <c r="DT145" s="161">
        <f t="shared" si="109"/>
        <v>0</v>
      </c>
      <c r="DU145" s="161">
        <f t="shared" si="110"/>
        <v>0</v>
      </c>
      <c r="DV145" s="161">
        <f t="shared" si="111"/>
        <v>0</v>
      </c>
      <c r="DW145" s="161">
        <f t="shared" si="112"/>
        <v>0</v>
      </c>
      <c r="DX145" s="161">
        <f t="shared" si="113"/>
        <v>0</v>
      </c>
      <c r="DY145" s="161">
        <f t="shared" si="114"/>
        <v>0</v>
      </c>
      <c r="DZ145" s="161">
        <f t="shared" si="115"/>
        <v>0</v>
      </c>
      <c r="EA145" s="161">
        <f t="shared" si="116"/>
        <v>0</v>
      </c>
      <c r="EB145" s="161">
        <f t="shared" si="117"/>
        <v>0</v>
      </c>
      <c r="EC145" s="161">
        <f t="shared" si="118"/>
        <v>0</v>
      </c>
      <c r="ED145" s="161">
        <f t="shared" si="119"/>
        <v>0</v>
      </c>
      <c r="EE145" s="161">
        <f t="shared" si="120"/>
        <v>0</v>
      </c>
      <c r="EF145" s="161">
        <f t="shared" si="121"/>
        <v>0</v>
      </c>
      <c r="EG145" s="161">
        <f t="shared" si="122"/>
        <v>0</v>
      </c>
      <c r="EH145" s="161">
        <f t="shared" si="123"/>
        <v>0</v>
      </c>
      <c r="EI145" s="161">
        <f t="shared" si="124"/>
        <v>0</v>
      </c>
      <c r="EJ145" s="161">
        <f t="shared" si="125"/>
        <v>0</v>
      </c>
      <c r="EK145" s="147">
        <f t="shared" si="132"/>
        <v>0</v>
      </c>
      <c r="EL145" s="149"/>
      <c r="EN145" s="146"/>
      <c r="EO145" s="146"/>
      <c r="EP145" s="139">
        <f t="shared" si="133"/>
        <v>0</v>
      </c>
      <c r="EQ145" s="139">
        <f t="shared" si="134"/>
        <v>0</v>
      </c>
      <c r="ER145" s="139">
        <f t="shared" si="135"/>
        <v>0</v>
      </c>
      <c r="ES145" s="139">
        <f t="shared" si="136"/>
        <v>0</v>
      </c>
      <c r="ET145" s="139">
        <f t="shared" si="137"/>
        <v>0</v>
      </c>
      <c r="EU145" s="139">
        <f t="shared" si="138"/>
        <v>0</v>
      </c>
      <c r="EV145" s="139">
        <f t="shared" si="139"/>
        <v>0</v>
      </c>
      <c r="EW145" s="139">
        <f t="shared" si="140"/>
        <v>0</v>
      </c>
      <c r="EX145" s="139">
        <f t="shared" si="141"/>
        <v>0</v>
      </c>
      <c r="EY145" s="139">
        <f t="shared" si="142"/>
        <v>0</v>
      </c>
      <c r="EZ145" s="139">
        <f t="shared" si="143"/>
        <v>0</v>
      </c>
      <c r="FA145" s="139">
        <f t="shared" si="144"/>
        <v>0</v>
      </c>
      <c r="FB145" s="139">
        <f t="shared" si="145"/>
        <v>0</v>
      </c>
      <c r="FC145" s="139">
        <f t="shared" si="146"/>
        <v>0</v>
      </c>
      <c r="FD145" s="139">
        <f t="shared" si="147"/>
        <v>0</v>
      </c>
      <c r="FE145" s="139">
        <f t="shared" si="148"/>
        <v>0</v>
      </c>
      <c r="FF145" s="139">
        <f t="shared" si="149"/>
        <v>0</v>
      </c>
      <c r="FG145" s="139">
        <f t="shared" si="150"/>
        <v>0</v>
      </c>
      <c r="FH145" s="139">
        <f t="shared" si="151"/>
        <v>0</v>
      </c>
      <c r="FI145" s="139">
        <f t="shared" si="152"/>
        <v>0</v>
      </c>
      <c r="FJ145" s="139">
        <f t="shared" si="153"/>
        <v>0</v>
      </c>
      <c r="FK145" s="139">
        <f t="shared" si="154"/>
        <v>0</v>
      </c>
      <c r="FL145" s="139">
        <f t="shared" si="155"/>
        <v>0</v>
      </c>
      <c r="FM145" s="139">
        <f t="shared" si="156"/>
        <v>0</v>
      </c>
      <c r="FN145" s="139">
        <f t="shared" si="157"/>
        <v>0</v>
      </c>
      <c r="FO145" s="139">
        <f t="shared" si="158"/>
        <v>0</v>
      </c>
      <c r="FP145" s="139">
        <f t="shared" si="159"/>
        <v>0</v>
      </c>
      <c r="FQ145" s="139">
        <f t="shared" si="160"/>
        <v>0</v>
      </c>
      <c r="FR145" s="139">
        <f t="shared" si="161"/>
        <v>0</v>
      </c>
      <c r="FS145" s="139">
        <f t="shared" si="162"/>
        <v>0</v>
      </c>
      <c r="FT145" s="139">
        <f t="shared" si="163"/>
        <v>0</v>
      </c>
      <c r="FU145" s="148">
        <f t="shared" si="164"/>
        <v>0</v>
      </c>
      <c r="FV145" s="149"/>
      <c r="FY145" s="213">
        <v>140</v>
      </c>
      <c r="FZ145">
        <v>3.7797135260832437</v>
      </c>
      <c r="GA145">
        <v>17.466121323987579</v>
      </c>
      <c r="GB145">
        <v>6.8129308819587253</v>
      </c>
      <c r="GC145">
        <v>1.4003717251190004</v>
      </c>
      <c r="GD145">
        <v>2.2283413124415343</v>
      </c>
      <c r="GE145">
        <v>2.3358213364054454</v>
      </c>
      <c r="GF145">
        <v>0</v>
      </c>
      <c r="GG145">
        <v>4.1834345599867726</v>
      </c>
      <c r="GH145">
        <v>5.8457447469767168</v>
      </c>
      <c r="GI145">
        <v>4.5724736239400219</v>
      </c>
      <c r="GJ145"/>
      <c r="GK145"/>
      <c r="GL145"/>
      <c r="GM145"/>
      <c r="GN145" s="208"/>
      <c r="GO145" s="208"/>
      <c r="GP145" s="208"/>
      <c r="GQ145" s="208"/>
      <c r="GR145" s="208"/>
      <c r="GS145" s="208"/>
      <c r="GT145" s="208"/>
      <c r="GU145" s="213">
        <v>140</v>
      </c>
    </row>
    <row r="146" spans="1:203" s="7" customFormat="1">
      <c r="A146" s="1"/>
      <c r="B146" s="76">
        <f ca="1">IF(C146="", "", RAND())</f>
        <v>0.18054070809413503</v>
      </c>
      <c r="C146">
        <v>10</v>
      </c>
      <c r="D146">
        <v>39799</v>
      </c>
      <c r="E146">
        <v>20.833333333333332</v>
      </c>
      <c r="F146">
        <v>20.833333333333332</v>
      </c>
      <c r="G146">
        <v>31.25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35.263496308715979</v>
      </c>
      <c r="AO146">
        <v>5.8069188159067915</v>
      </c>
      <c r="AP146">
        <v>85.020019063847641</v>
      </c>
      <c r="AQ146">
        <v>40.003213603739226</v>
      </c>
      <c r="AR146">
        <v>5.2790171053698103</v>
      </c>
      <c r="AS146">
        <v>78.808293949579607</v>
      </c>
      <c r="AT146" t="e">
        <v>#DIV/0!</v>
      </c>
      <c r="AU146" t="e">
        <v>#DIV/0!</v>
      </c>
      <c r="AV146"/>
      <c r="AW146"/>
      <c r="AX146" s="146"/>
      <c r="AY146" s="76">
        <f t="shared" ca="1" si="88"/>
        <v>0.28392488946770822</v>
      </c>
      <c r="AZ146">
        <v>9</v>
      </c>
      <c r="BA146" s="129">
        <f t="shared" si="168"/>
        <v>39799</v>
      </c>
      <c r="BB146" s="207">
        <v>0</v>
      </c>
      <c r="BC146" s="207">
        <v>0</v>
      </c>
      <c r="BD146" s="207">
        <v>0</v>
      </c>
      <c r="BE146" s="207">
        <v>0</v>
      </c>
      <c r="BF146" s="207">
        <v>0</v>
      </c>
      <c r="BG146" s="207">
        <v>0</v>
      </c>
      <c r="BH146" s="207">
        <v>0</v>
      </c>
      <c r="BI146" s="207">
        <v>0</v>
      </c>
      <c r="BJ146" s="207">
        <v>0</v>
      </c>
      <c r="BK146" s="207">
        <v>0</v>
      </c>
      <c r="BL146" s="207">
        <v>0</v>
      </c>
      <c r="BM146" s="207">
        <v>0</v>
      </c>
      <c r="BN146" s="207">
        <v>0</v>
      </c>
      <c r="BO146" s="207">
        <v>0</v>
      </c>
      <c r="BP146" s="207">
        <v>0</v>
      </c>
      <c r="BQ146" s="207">
        <v>0</v>
      </c>
      <c r="BR146" s="207">
        <v>0</v>
      </c>
      <c r="BS146" s="207">
        <v>0</v>
      </c>
      <c r="BT146" s="207">
        <v>0</v>
      </c>
      <c r="BU146" s="207">
        <v>0</v>
      </c>
      <c r="BV146" s="207">
        <v>0</v>
      </c>
      <c r="BW146" s="207">
        <v>0</v>
      </c>
      <c r="BX146" s="207">
        <v>0</v>
      </c>
      <c r="BY146" s="207">
        <v>0</v>
      </c>
      <c r="BZ146" s="207">
        <v>0</v>
      </c>
      <c r="CA146" s="207">
        <v>0</v>
      </c>
      <c r="CB146" s="207">
        <v>0</v>
      </c>
      <c r="CC146" s="207">
        <v>0</v>
      </c>
      <c r="CD146" s="207">
        <v>0</v>
      </c>
      <c r="CE146" s="207">
        <v>0</v>
      </c>
      <c r="CF146" s="207">
        <v>0</v>
      </c>
      <c r="CG146" s="147"/>
      <c r="CH146" s="176"/>
      <c r="CJ146" s="146"/>
      <c r="CK146" s="76">
        <f t="shared" ca="1" si="90"/>
        <v>0.69655199752975072</v>
      </c>
      <c r="CL146" s="179">
        <f t="shared" si="91"/>
        <v>9</v>
      </c>
      <c r="CM146" s="180">
        <f t="shared" si="92"/>
        <v>39799</v>
      </c>
      <c r="CN146" s="208">
        <v>0</v>
      </c>
      <c r="CO146" s="208">
        <v>0</v>
      </c>
      <c r="CP146" s="208">
        <v>0</v>
      </c>
      <c r="CQ146" s="208">
        <v>0</v>
      </c>
      <c r="CR146" s="208">
        <v>0</v>
      </c>
      <c r="CS146" s="208">
        <v>0</v>
      </c>
      <c r="CT146" s="208">
        <v>0</v>
      </c>
      <c r="CU146" s="208">
        <v>0</v>
      </c>
      <c r="CV146" s="160"/>
      <c r="CW146">
        <v>1</v>
      </c>
      <c r="CX146">
        <f>475/86</f>
        <v>5.5232558139534884</v>
      </c>
      <c r="CY146" s="165"/>
      <c r="CZ146" s="177">
        <f t="shared" si="93"/>
        <v>9.6000000000000002E-2</v>
      </c>
      <c r="DB146" s="146"/>
      <c r="DC146" s="76">
        <f t="shared" ca="1" si="51"/>
        <v>0.574831589799353</v>
      </c>
      <c r="DD146">
        <f t="shared" si="94"/>
        <v>9</v>
      </c>
      <c r="DE146" s="129">
        <f t="shared" si="167"/>
        <v>39799</v>
      </c>
      <c r="DF146" s="161">
        <f t="shared" si="95"/>
        <v>0</v>
      </c>
      <c r="DG146" s="161">
        <f t="shared" si="96"/>
        <v>0</v>
      </c>
      <c r="DH146" s="161">
        <f t="shared" si="97"/>
        <v>0</v>
      </c>
      <c r="DI146" s="161">
        <f t="shared" si="98"/>
        <v>0</v>
      </c>
      <c r="DJ146" s="161">
        <f t="shared" si="99"/>
        <v>0</v>
      </c>
      <c r="DK146" s="161">
        <f t="shared" si="100"/>
        <v>0</v>
      </c>
      <c r="DL146" s="161">
        <f t="shared" si="101"/>
        <v>0</v>
      </c>
      <c r="DM146" s="161">
        <f t="shared" si="102"/>
        <v>0</v>
      </c>
      <c r="DN146" s="161">
        <f t="shared" si="103"/>
        <v>0</v>
      </c>
      <c r="DO146" s="161">
        <f t="shared" si="104"/>
        <v>0</v>
      </c>
      <c r="DP146" s="161">
        <f t="shared" si="105"/>
        <v>0</v>
      </c>
      <c r="DQ146" s="161">
        <f t="shared" si="106"/>
        <v>0</v>
      </c>
      <c r="DR146" s="161">
        <f t="shared" si="107"/>
        <v>0</v>
      </c>
      <c r="DS146" s="161">
        <f t="shared" si="108"/>
        <v>0</v>
      </c>
      <c r="DT146" s="161">
        <f t="shared" si="109"/>
        <v>0</v>
      </c>
      <c r="DU146" s="161">
        <f t="shared" si="110"/>
        <v>0</v>
      </c>
      <c r="DV146" s="161">
        <f t="shared" si="111"/>
        <v>0</v>
      </c>
      <c r="DW146" s="161">
        <f t="shared" si="112"/>
        <v>0</v>
      </c>
      <c r="DX146" s="161">
        <f t="shared" si="113"/>
        <v>0</v>
      </c>
      <c r="DY146" s="161">
        <f t="shared" si="114"/>
        <v>0</v>
      </c>
      <c r="DZ146" s="161">
        <f t="shared" si="115"/>
        <v>0</v>
      </c>
      <c r="EA146" s="161">
        <f t="shared" si="116"/>
        <v>0</v>
      </c>
      <c r="EB146" s="161">
        <f t="shared" si="117"/>
        <v>0</v>
      </c>
      <c r="EC146" s="161">
        <f t="shared" si="118"/>
        <v>0</v>
      </c>
      <c r="ED146" s="161">
        <f t="shared" si="119"/>
        <v>0</v>
      </c>
      <c r="EE146" s="161">
        <f t="shared" si="120"/>
        <v>0</v>
      </c>
      <c r="EF146" s="161">
        <f t="shared" si="121"/>
        <v>0</v>
      </c>
      <c r="EG146" s="161">
        <f t="shared" si="122"/>
        <v>0</v>
      </c>
      <c r="EH146" s="161">
        <f t="shared" si="123"/>
        <v>0</v>
      </c>
      <c r="EI146" s="161">
        <f t="shared" si="124"/>
        <v>0</v>
      </c>
      <c r="EJ146" s="161">
        <f t="shared" si="125"/>
        <v>0</v>
      </c>
      <c r="EK146" s="147">
        <f t="shared" si="132"/>
        <v>0</v>
      </c>
      <c r="EL146" s="149"/>
      <c r="EN146" s="146"/>
      <c r="EO146" s="146"/>
      <c r="EP146" s="139">
        <f t="shared" si="133"/>
        <v>0</v>
      </c>
      <c r="EQ146" s="139">
        <f t="shared" si="134"/>
        <v>0</v>
      </c>
      <c r="ER146" s="139">
        <f t="shared" si="135"/>
        <v>0</v>
      </c>
      <c r="ES146" s="139">
        <f t="shared" si="136"/>
        <v>0</v>
      </c>
      <c r="ET146" s="139">
        <f t="shared" si="137"/>
        <v>0</v>
      </c>
      <c r="EU146" s="139">
        <f t="shared" si="138"/>
        <v>0</v>
      </c>
      <c r="EV146" s="139">
        <f t="shared" si="139"/>
        <v>0</v>
      </c>
      <c r="EW146" s="139">
        <f t="shared" si="140"/>
        <v>0</v>
      </c>
      <c r="EX146" s="139">
        <f t="shared" si="141"/>
        <v>0</v>
      </c>
      <c r="EY146" s="139">
        <f t="shared" si="142"/>
        <v>0</v>
      </c>
      <c r="EZ146" s="139">
        <f t="shared" si="143"/>
        <v>0</v>
      </c>
      <c r="FA146" s="139">
        <f t="shared" si="144"/>
        <v>0</v>
      </c>
      <c r="FB146" s="139">
        <f t="shared" si="145"/>
        <v>0</v>
      </c>
      <c r="FC146" s="139">
        <f t="shared" si="146"/>
        <v>0</v>
      </c>
      <c r="FD146" s="139">
        <f t="shared" si="147"/>
        <v>0</v>
      </c>
      <c r="FE146" s="139">
        <f t="shared" si="148"/>
        <v>0</v>
      </c>
      <c r="FF146" s="139">
        <f t="shared" si="149"/>
        <v>0</v>
      </c>
      <c r="FG146" s="139">
        <f t="shared" si="150"/>
        <v>0</v>
      </c>
      <c r="FH146" s="139">
        <f t="shared" si="151"/>
        <v>0</v>
      </c>
      <c r="FI146" s="139">
        <f t="shared" si="152"/>
        <v>0</v>
      </c>
      <c r="FJ146" s="139">
        <f t="shared" si="153"/>
        <v>0</v>
      </c>
      <c r="FK146" s="139">
        <f t="shared" si="154"/>
        <v>0</v>
      </c>
      <c r="FL146" s="139">
        <f t="shared" si="155"/>
        <v>0</v>
      </c>
      <c r="FM146" s="139">
        <f t="shared" si="156"/>
        <v>0</v>
      </c>
      <c r="FN146" s="139">
        <f t="shared" si="157"/>
        <v>0</v>
      </c>
      <c r="FO146" s="139">
        <f t="shared" si="158"/>
        <v>0</v>
      </c>
      <c r="FP146" s="139">
        <f t="shared" si="159"/>
        <v>0</v>
      </c>
      <c r="FQ146" s="139">
        <f t="shared" si="160"/>
        <v>0</v>
      </c>
      <c r="FR146" s="139">
        <f t="shared" si="161"/>
        <v>0</v>
      </c>
      <c r="FS146" s="139">
        <f t="shared" si="162"/>
        <v>0</v>
      </c>
      <c r="FT146" s="139">
        <f t="shared" si="163"/>
        <v>0</v>
      </c>
      <c r="FU146" s="148">
        <f t="shared" si="164"/>
        <v>0</v>
      </c>
      <c r="FV146" s="149"/>
      <c r="FY146" s="213">
        <v>141</v>
      </c>
      <c r="FZ146">
        <v>0.58716112056924263</v>
      </c>
      <c r="GA146">
        <v>12.210698306546222</v>
      </c>
      <c r="GB146">
        <v>6.0470955867902667</v>
      </c>
      <c r="GC146">
        <v>0.22508310610308313</v>
      </c>
      <c r="GD146">
        <v>0.24010101418778637</v>
      </c>
      <c r="GE146">
        <v>0.13554204459380273</v>
      </c>
      <c r="GF146">
        <v>0</v>
      </c>
      <c r="GG146">
        <v>4.931295217176487</v>
      </c>
      <c r="GH146">
        <v>7.0522507132343177</v>
      </c>
      <c r="GI146">
        <v>2.9225508413203491</v>
      </c>
      <c r="GJ146"/>
      <c r="GK146"/>
      <c r="GL146"/>
      <c r="GM146"/>
      <c r="GN146" s="208"/>
      <c r="GO146" s="208"/>
      <c r="GP146" s="208"/>
      <c r="GQ146" s="208"/>
      <c r="GR146" s="208"/>
      <c r="GS146" s="208"/>
      <c r="GT146" s="208"/>
      <c r="GU146" s="213">
        <v>141</v>
      </c>
    </row>
    <row r="147" spans="1:203" s="7" customFormat="1">
      <c r="A147" s="1"/>
      <c r="B147" s="76">
        <f ca="1">IF(C147="", "", RAND())</f>
        <v>0.76611209519185319</v>
      </c>
      <c r="C147">
        <v>4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21.752326630001118</v>
      </c>
      <c r="AO147">
        <v>7.9280163029908142</v>
      </c>
      <c r="AP147">
        <v>436.66885902512308</v>
      </c>
      <c r="AQ147">
        <v>54.72676809194931</v>
      </c>
      <c r="AR147">
        <v>7.2072875481734657</v>
      </c>
      <c r="AS147">
        <v>70.940457930743264</v>
      </c>
      <c r="AT147" t="e">
        <v>#DIV/0!</v>
      </c>
      <c r="AU147" t="e">
        <v>#DIV/0!</v>
      </c>
      <c r="AV147"/>
      <c r="AW147"/>
      <c r="AX147" s="146"/>
      <c r="AY147" s="76">
        <f t="shared" ca="1" si="88"/>
        <v>9.6109623300993263E-2</v>
      </c>
      <c r="AZ147">
        <v>10</v>
      </c>
      <c r="BA147" s="129">
        <f t="shared" si="168"/>
        <v>39799</v>
      </c>
      <c r="BB147" s="207">
        <v>0</v>
      </c>
      <c r="BC147" s="207">
        <v>0</v>
      </c>
      <c r="BD147" s="207">
        <v>0</v>
      </c>
      <c r="BE147" s="207">
        <v>0</v>
      </c>
      <c r="BF147" s="207">
        <v>0</v>
      </c>
      <c r="BG147" s="207">
        <v>0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M147" s="207">
        <v>0</v>
      </c>
      <c r="BN147" s="207">
        <v>0</v>
      </c>
      <c r="BO147" s="207">
        <v>0</v>
      </c>
      <c r="BP147" s="207">
        <v>0</v>
      </c>
      <c r="BQ147" s="207">
        <v>0</v>
      </c>
      <c r="BR147" s="207">
        <v>0</v>
      </c>
      <c r="BS147" s="207">
        <v>0</v>
      </c>
      <c r="BT147" s="207">
        <v>0</v>
      </c>
      <c r="BU147" s="207">
        <v>0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A147" s="207">
        <v>0</v>
      </c>
      <c r="CB147" s="207">
        <v>0</v>
      </c>
      <c r="CC147" s="207">
        <v>0</v>
      </c>
      <c r="CD147" s="207">
        <v>0</v>
      </c>
      <c r="CE147" s="207">
        <v>0</v>
      </c>
      <c r="CF147" s="207">
        <v>0</v>
      </c>
      <c r="CG147" s="147"/>
      <c r="CH147" s="176"/>
      <c r="CJ147" s="146"/>
      <c r="CK147" s="76">
        <f t="shared" ca="1" si="90"/>
        <v>0.80561915850018107</v>
      </c>
      <c r="CL147" s="179">
        <f t="shared" si="91"/>
        <v>10</v>
      </c>
      <c r="CM147" s="180">
        <f t="shared" si="92"/>
        <v>39799</v>
      </c>
      <c r="CN147" s="208">
        <v>2</v>
      </c>
      <c r="CO147" s="208">
        <v>2</v>
      </c>
      <c r="CP147" s="208">
        <v>3</v>
      </c>
      <c r="CQ147" s="208">
        <v>0</v>
      </c>
      <c r="CR147" s="208">
        <v>0</v>
      </c>
      <c r="CS147" s="208">
        <v>0</v>
      </c>
      <c r="CT147" s="208">
        <v>0</v>
      </c>
      <c r="CU147" s="208">
        <v>0</v>
      </c>
      <c r="CV147" s="160"/>
      <c r="CW147">
        <v>1</v>
      </c>
      <c r="CX147">
        <v>1</v>
      </c>
      <c r="CY147" s="165"/>
      <c r="CZ147" s="177">
        <f t="shared" si="93"/>
        <v>9.6000000000000002E-2</v>
      </c>
      <c r="DB147" s="146"/>
      <c r="DC147" s="76">
        <f t="shared" ca="1" si="51"/>
        <v>0.70196052330197301</v>
      </c>
      <c r="DD147">
        <f t="shared" si="94"/>
        <v>10</v>
      </c>
      <c r="DE147" s="129">
        <f t="shared" si="167"/>
        <v>39799</v>
      </c>
      <c r="DF147" s="161">
        <f t="shared" si="95"/>
        <v>20.833333333333332</v>
      </c>
      <c r="DG147" s="161">
        <f t="shared" si="96"/>
        <v>20.833333333333332</v>
      </c>
      <c r="DH147" s="161">
        <f t="shared" si="97"/>
        <v>31.25</v>
      </c>
      <c r="DI147" s="161">
        <f t="shared" si="98"/>
        <v>0</v>
      </c>
      <c r="DJ147" s="161">
        <f t="shared" si="99"/>
        <v>0</v>
      </c>
      <c r="DK147" s="161">
        <f t="shared" si="100"/>
        <v>0</v>
      </c>
      <c r="DL147" s="161">
        <f t="shared" si="101"/>
        <v>0</v>
      </c>
      <c r="DM147" s="161">
        <f t="shared" si="102"/>
        <v>0</v>
      </c>
      <c r="DN147" s="161">
        <f t="shared" si="103"/>
        <v>0</v>
      </c>
      <c r="DO147" s="161">
        <f t="shared" si="104"/>
        <v>0</v>
      </c>
      <c r="DP147" s="161">
        <f t="shared" si="105"/>
        <v>0</v>
      </c>
      <c r="DQ147" s="161">
        <f t="shared" si="106"/>
        <v>0</v>
      </c>
      <c r="DR147" s="161">
        <f t="shared" si="107"/>
        <v>0</v>
      </c>
      <c r="DS147" s="161">
        <f t="shared" si="108"/>
        <v>0</v>
      </c>
      <c r="DT147" s="161">
        <f t="shared" si="109"/>
        <v>0</v>
      </c>
      <c r="DU147" s="161">
        <f t="shared" si="110"/>
        <v>0</v>
      </c>
      <c r="DV147" s="161">
        <f t="shared" si="111"/>
        <v>0</v>
      </c>
      <c r="DW147" s="161">
        <f t="shared" si="112"/>
        <v>0</v>
      </c>
      <c r="DX147" s="161">
        <f t="shared" si="113"/>
        <v>0</v>
      </c>
      <c r="DY147" s="161">
        <f t="shared" si="114"/>
        <v>0</v>
      </c>
      <c r="DZ147" s="161">
        <f t="shared" si="115"/>
        <v>0</v>
      </c>
      <c r="EA147" s="161">
        <f t="shared" si="116"/>
        <v>0</v>
      </c>
      <c r="EB147" s="161">
        <f t="shared" si="117"/>
        <v>0</v>
      </c>
      <c r="EC147" s="161">
        <f t="shared" si="118"/>
        <v>0</v>
      </c>
      <c r="ED147" s="161">
        <f t="shared" si="119"/>
        <v>0</v>
      </c>
      <c r="EE147" s="161">
        <f t="shared" si="120"/>
        <v>0</v>
      </c>
      <c r="EF147" s="161">
        <f t="shared" si="121"/>
        <v>0</v>
      </c>
      <c r="EG147" s="161">
        <f t="shared" si="122"/>
        <v>0</v>
      </c>
      <c r="EH147" s="161">
        <f t="shared" si="123"/>
        <v>0</v>
      </c>
      <c r="EI147" s="161">
        <f t="shared" si="124"/>
        <v>0</v>
      </c>
      <c r="EJ147" s="161">
        <f t="shared" si="125"/>
        <v>0</v>
      </c>
      <c r="EK147" s="147">
        <f t="shared" si="132"/>
        <v>72.916666666666657</v>
      </c>
      <c r="EL147" s="149"/>
      <c r="EN147" s="146"/>
      <c r="EO147" s="146"/>
      <c r="EP147" s="139">
        <f t="shared" si="133"/>
        <v>3.782596663481106E-2</v>
      </c>
      <c r="EQ147" s="139">
        <f t="shared" si="134"/>
        <v>0.24023541666666665</v>
      </c>
      <c r="ER147" s="139">
        <f t="shared" si="135"/>
        <v>2.2886284431880406</v>
      </c>
      <c r="ES147" s="139">
        <f t="shared" si="136"/>
        <v>0</v>
      </c>
      <c r="ET147" s="139">
        <f t="shared" si="137"/>
        <v>0</v>
      </c>
      <c r="EU147" s="139">
        <f t="shared" si="138"/>
        <v>0</v>
      </c>
      <c r="EV147" s="139">
        <f t="shared" si="139"/>
        <v>0</v>
      </c>
      <c r="EW147" s="139">
        <f t="shared" si="140"/>
        <v>0</v>
      </c>
      <c r="EX147" s="139">
        <f t="shared" si="141"/>
        <v>0</v>
      </c>
      <c r="EY147" s="139">
        <f t="shared" si="142"/>
        <v>0</v>
      </c>
      <c r="EZ147" s="139">
        <f t="shared" si="143"/>
        <v>0</v>
      </c>
      <c r="FA147" s="139">
        <f t="shared" si="144"/>
        <v>0</v>
      </c>
      <c r="FB147" s="139">
        <f t="shared" si="145"/>
        <v>0</v>
      </c>
      <c r="FC147" s="139">
        <f t="shared" si="146"/>
        <v>0</v>
      </c>
      <c r="FD147" s="139">
        <f t="shared" si="147"/>
        <v>0</v>
      </c>
      <c r="FE147" s="139">
        <f t="shared" si="148"/>
        <v>0</v>
      </c>
      <c r="FF147" s="139">
        <f t="shared" si="149"/>
        <v>0</v>
      </c>
      <c r="FG147" s="139">
        <f t="shared" si="150"/>
        <v>0</v>
      </c>
      <c r="FH147" s="139">
        <f t="shared" si="151"/>
        <v>0</v>
      </c>
      <c r="FI147" s="139">
        <f t="shared" si="152"/>
        <v>0</v>
      </c>
      <c r="FJ147" s="139">
        <f t="shared" si="153"/>
        <v>0</v>
      </c>
      <c r="FK147" s="139">
        <f t="shared" si="154"/>
        <v>0</v>
      </c>
      <c r="FL147" s="139">
        <f t="shared" si="155"/>
        <v>0</v>
      </c>
      <c r="FM147" s="139">
        <f t="shared" si="156"/>
        <v>0</v>
      </c>
      <c r="FN147" s="139">
        <f t="shared" si="157"/>
        <v>0</v>
      </c>
      <c r="FO147" s="139">
        <f t="shared" si="158"/>
        <v>0</v>
      </c>
      <c r="FP147" s="139">
        <f t="shared" si="159"/>
        <v>0</v>
      </c>
      <c r="FQ147" s="139">
        <f t="shared" si="160"/>
        <v>0</v>
      </c>
      <c r="FR147" s="139">
        <f t="shared" si="161"/>
        <v>0</v>
      </c>
      <c r="FS147" s="139">
        <f t="shared" si="162"/>
        <v>0</v>
      </c>
      <c r="FT147" s="139">
        <f t="shared" si="163"/>
        <v>0</v>
      </c>
      <c r="FU147" s="148">
        <f t="shared" si="164"/>
        <v>2.5666898264895184</v>
      </c>
      <c r="FV147" s="149"/>
      <c r="FY147" s="213">
        <v>142</v>
      </c>
      <c r="FZ147">
        <v>1.596276202757001</v>
      </c>
      <c r="GA147">
        <v>15.990822764247707</v>
      </c>
      <c r="GB147">
        <v>7.0146185495984597</v>
      </c>
      <c r="GC147">
        <v>1.3808817209863009</v>
      </c>
      <c r="GD147">
        <v>2.0878357844079045</v>
      </c>
      <c r="GE147">
        <v>2.3743648388778098</v>
      </c>
      <c r="GF147">
        <v>0.47734812494006024</v>
      </c>
      <c r="GG147">
        <v>3.1463251717296488</v>
      </c>
      <c r="GH147">
        <v>4.591632084118876</v>
      </c>
      <c r="GI147">
        <v>4.129921037619126</v>
      </c>
      <c r="GJ147"/>
      <c r="GK147"/>
      <c r="GL147"/>
      <c r="GM147"/>
      <c r="GN147" s="208"/>
      <c r="GO147" s="208"/>
      <c r="GP147" s="208"/>
      <c r="GQ147" s="208"/>
      <c r="GR147" s="208"/>
      <c r="GS147" s="208"/>
      <c r="GT147" s="208"/>
      <c r="GU147" s="213">
        <v>142</v>
      </c>
    </row>
    <row r="148" spans="1:203" s="7" customFormat="1">
      <c r="A148" s="128"/>
      <c r="B148" s="76">
        <f ca="1">IF(C148="", "", RAND())</f>
        <v>2.809542239490348E-2</v>
      </c>
      <c r="C148">
        <v>9</v>
      </c>
      <c r="D148">
        <v>39847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27.25985262890643</v>
      </c>
      <c r="AO148">
        <v>7.4152366036400466</v>
      </c>
      <c r="AP148">
        <v>388.05177805610106</v>
      </c>
      <c r="AQ148">
        <v>51.549579941469908</v>
      </c>
      <c r="AR148">
        <v>6.7411241851273136</v>
      </c>
      <c r="AS148">
        <v>78.844880240829923</v>
      </c>
      <c r="AT148" t="e">
        <v>#DIV/0!</v>
      </c>
      <c r="AU148" t="e">
        <v>#DIV/0!</v>
      </c>
      <c r="AV148"/>
      <c r="AW148"/>
      <c r="AX148" s="128"/>
      <c r="AY148" s="76">
        <f t="shared" ca="1" si="88"/>
        <v>0.41087078257756171</v>
      </c>
      <c r="AZ148">
        <v>1</v>
      </c>
      <c r="BA148" s="129">
        <f>IF(AZ148="", "",$C$10)</f>
        <v>39847</v>
      </c>
      <c r="BB148" s="207">
        <v>0</v>
      </c>
      <c r="BC148" s="207">
        <v>0</v>
      </c>
      <c r="BD148" s="207">
        <v>0</v>
      </c>
      <c r="BE148" s="207">
        <v>0</v>
      </c>
      <c r="BF148" s="207">
        <v>0</v>
      </c>
      <c r="BG148" s="207">
        <v>0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M148" s="207">
        <v>0</v>
      </c>
      <c r="BN148" s="207">
        <v>0</v>
      </c>
      <c r="BO148" s="207">
        <v>0</v>
      </c>
      <c r="BP148" s="207">
        <v>0</v>
      </c>
      <c r="BQ148" s="207">
        <v>0</v>
      </c>
      <c r="BR148" s="207">
        <v>0</v>
      </c>
      <c r="BS148" s="207">
        <v>0</v>
      </c>
      <c r="BT148" s="207">
        <v>0</v>
      </c>
      <c r="BU148" s="207">
        <v>0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A148" s="207">
        <v>0</v>
      </c>
      <c r="CB148" s="207">
        <v>0</v>
      </c>
      <c r="CC148" s="207">
        <v>0</v>
      </c>
      <c r="CD148" s="207">
        <v>0</v>
      </c>
      <c r="CE148" s="207">
        <v>0</v>
      </c>
      <c r="CF148" s="207">
        <v>0</v>
      </c>
      <c r="CG148" s="147"/>
      <c r="CH148" s="176"/>
      <c r="CJ148" s="128"/>
      <c r="CK148" s="76">
        <f t="shared" ca="1" si="90"/>
        <v>0.11710424095006999</v>
      </c>
      <c r="CL148" s="179">
        <f t="shared" si="91"/>
        <v>1</v>
      </c>
      <c r="CM148" s="180">
        <f t="shared" si="92"/>
        <v>39847</v>
      </c>
      <c r="CN148" s="208">
        <v>0</v>
      </c>
      <c r="CO148" s="208">
        <v>0</v>
      </c>
      <c r="CP148" s="208">
        <v>0</v>
      </c>
      <c r="CQ148" s="208">
        <v>0</v>
      </c>
      <c r="CR148" s="208">
        <v>0</v>
      </c>
      <c r="CS148" s="208">
        <v>0</v>
      </c>
      <c r="CT148" s="208">
        <v>0</v>
      </c>
      <c r="CU148" s="208">
        <v>0</v>
      </c>
      <c r="CV148" s="160"/>
      <c r="CW148">
        <v>1</v>
      </c>
      <c r="CX148">
        <v>1</v>
      </c>
      <c r="CY148" s="160"/>
      <c r="CZ148" s="177">
        <f t="shared" si="93"/>
        <v>9.6000000000000002E-2</v>
      </c>
      <c r="DB148" s="128"/>
      <c r="DC148" s="76">
        <f t="shared" ca="1" si="51"/>
        <v>0.90977110835342723</v>
      </c>
      <c r="DD148">
        <f t="shared" si="94"/>
        <v>1</v>
      </c>
      <c r="DE148" s="129">
        <f t="shared" ref="DE148:DE157" si="169">IF((DD148)="", "", $C$10)</f>
        <v>39847</v>
      </c>
      <c r="DF148" s="161">
        <f t="shared" si="95"/>
        <v>0</v>
      </c>
      <c r="DG148" s="161">
        <f t="shared" si="96"/>
        <v>0</v>
      </c>
      <c r="DH148" s="161">
        <f t="shared" si="97"/>
        <v>0</v>
      </c>
      <c r="DI148" s="161">
        <f t="shared" si="98"/>
        <v>0</v>
      </c>
      <c r="DJ148" s="161">
        <f t="shared" si="99"/>
        <v>0</v>
      </c>
      <c r="DK148" s="161">
        <f t="shared" si="100"/>
        <v>0</v>
      </c>
      <c r="DL148" s="161">
        <f t="shared" si="101"/>
        <v>0</v>
      </c>
      <c r="DM148" s="161">
        <f t="shared" si="102"/>
        <v>0</v>
      </c>
      <c r="DN148" s="161">
        <f t="shared" si="103"/>
        <v>0</v>
      </c>
      <c r="DO148" s="161">
        <f t="shared" si="104"/>
        <v>0</v>
      </c>
      <c r="DP148" s="161">
        <f t="shared" si="105"/>
        <v>0</v>
      </c>
      <c r="DQ148" s="161">
        <f t="shared" si="106"/>
        <v>0</v>
      </c>
      <c r="DR148" s="161">
        <f t="shared" si="107"/>
        <v>0</v>
      </c>
      <c r="DS148" s="161">
        <f t="shared" si="108"/>
        <v>0</v>
      </c>
      <c r="DT148" s="161">
        <f t="shared" si="109"/>
        <v>0</v>
      </c>
      <c r="DU148" s="161">
        <f t="shared" si="110"/>
        <v>0</v>
      </c>
      <c r="DV148" s="161">
        <f t="shared" si="111"/>
        <v>0</v>
      </c>
      <c r="DW148" s="161">
        <f t="shared" si="112"/>
        <v>0</v>
      </c>
      <c r="DX148" s="161">
        <f t="shared" si="113"/>
        <v>0</v>
      </c>
      <c r="DY148" s="161">
        <f t="shared" si="114"/>
        <v>0</v>
      </c>
      <c r="DZ148" s="161">
        <f t="shared" si="115"/>
        <v>0</v>
      </c>
      <c r="EA148" s="161">
        <f t="shared" si="116"/>
        <v>0</v>
      </c>
      <c r="EB148" s="161">
        <f t="shared" si="117"/>
        <v>0</v>
      </c>
      <c r="EC148" s="161">
        <f t="shared" si="118"/>
        <v>0</v>
      </c>
      <c r="ED148" s="161">
        <f t="shared" si="119"/>
        <v>0</v>
      </c>
      <c r="EE148" s="161">
        <f t="shared" si="120"/>
        <v>0</v>
      </c>
      <c r="EF148" s="161">
        <f t="shared" si="121"/>
        <v>0</v>
      </c>
      <c r="EG148" s="161">
        <f t="shared" si="122"/>
        <v>0</v>
      </c>
      <c r="EH148" s="161">
        <f t="shared" si="123"/>
        <v>0</v>
      </c>
      <c r="EI148" s="161">
        <f t="shared" si="124"/>
        <v>0</v>
      </c>
      <c r="EJ148" s="161">
        <f t="shared" si="125"/>
        <v>0</v>
      </c>
      <c r="EK148" s="147">
        <f t="shared" si="132"/>
        <v>0</v>
      </c>
      <c r="EL148" s="149"/>
      <c r="EN148" s="146"/>
      <c r="EO148" s="146"/>
      <c r="EP148" s="139">
        <f t="shared" si="133"/>
        <v>0</v>
      </c>
      <c r="EQ148" s="139">
        <f t="shared" si="134"/>
        <v>0</v>
      </c>
      <c r="ER148" s="139">
        <f t="shared" si="135"/>
        <v>0</v>
      </c>
      <c r="ES148" s="139">
        <f t="shared" si="136"/>
        <v>0</v>
      </c>
      <c r="ET148" s="139">
        <f t="shared" si="137"/>
        <v>0</v>
      </c>
      <c r="EU148" s="139">
        <f t="shared" si="138"/>
        <v>0</v>
      </c>
      <c r="EV148" s="139">
        <f t="shared" si="139"/>
        <v>0</v>
      </c>
      <c r="EW148" s="139">
        <f t="shared" si="140"/>
        <v>0</v>
      </c>
      <c r="EX148" s="139">
        <f t="shared" si="141"/>
        <v>0</v>
      </c>
      <c r="EY148" s="139">
        <f t="shared" si="142"/>
        <v>0</v>
      </c>
      <c r="EZ148" s="139">
        <f t="shared" si="143"/>
        <v>0</v>
      </c>
      <c r="FA148" s="139">
        <f t="shared" si="144"/>
        <v>0</v>
      </c>
      <c r="FB148" s="139">
        <f t="shared" si="145"/>
        <v>0</v>
      </c>
      <c r="FC148" s="139">
        <f t="shared" si="146"/>
        <v>0</v>
      </c>
      <c r="FD148" s="139">
        <f t="shared" si="147"/>
        <v>0</v>
      </c>
      <c r="FE148" s="139">
        <f t="shared" si="148"/>
        <v>0</v>
      </c>
      <c r="FF148" s="139">
        <f t="shared" si="149"/>
        <v>0</v>
      </c>
      <c r="FG148" s="139">
        <f t="shared" si="150"/>
        <v>0</v>
      </c>
      <c r="FH148" s="139">
        <f t="shared" si="151"/>
        <v>0</v>
      </c>
      <c r="FI148" s="139">
        <f t="shared" si="152"/>
        <v>0</v>
      </c>
      <c r="FJ148" s="139">
        <f t="shared" si="153"/>
        <v>0</v>
      </c>
      <c r="FK148" s="139">
        <f t="shared" si="154"/>
        <v>0</v>
      </c>
      <c r="FL148" s="139">
        <f t="shared" si="155"/>
        <v>0</v>
      </c>
      <c r="FM148" s="139">
        <f t="shared" si="156"/>
        <v>0</v>
      </c>
      <c r="FN148" s="139">
        <f t="shared" si="157"/>
        <v>0</v>
      </c>
      <c r="FO148" s="139">
        <f t="shared" si="158"/>
        <v>0</v>
      </c>
      <c r="FP148" s="139">
        <f t="shared" si="159"/>
        <v>0</v>
      </c>
      <c r="FQ148" s="139">
        <f t="shared" si="160"/>
        <v>0</v>
      </c>
      <c r="FR148" s="139">
        <f t="shared" si="161"/>
        <v>0</v>
      </c>
      <c r="FS148" s="139">
        <f t="shared" si="162"/>
        <v>0</v>
      </c>
      <c r="FT148" s="139">
        <f t="shared" si="163"/>
        <v>0</v>
      </c>
      <c r="FU148" s="148">
        <f t="shared" si="164"/>
        <v>0</v>
      </c>
      <c r="FV148" s="149"/>
      <c r="FY148" s="213">
        <v>143</v>
      </c>
      <c r="FZ148">
        <v>1.1743222411384853</v>
      </c>
      <c r="GA148">
        <v>11.966674688284801</v>
      </c>
      <c r="GB148">
        <v>6.0149098986971063</v>
      </c>
      <c r="GC148">
        <v>1.8626481674872735</v>
      </c>
      <c r="GD148">
        <v>2.5256552783544102</v>
      </c>
      <c r="GE148">
        <v>2.5062613281399106</v>
      </c>
      <c r="GF148">
        <v>0.47734812494006024</v>
      </c>
      <c r="GG148">
        <v>6.9280727222053375</v>
      </c>
      <c r="GH148">
        <v>9.6776719294057649</v>
      </c>
      <c r="GI148">
        <v>4.7953616307958926</v>
      </c>
      <c r="GJ148"/>
      <c r="GK148"/>
      <c r="GL148"/>
      <c r="GM148"/>
      <c r="GN148" s="208"/>
      <c r="GO148" s="208"/>
      <c r="GP148" s="208"/>
      <c r="GQ148" s="208"/>
      <c r="GR148" s="208"/>
      <c r="GS148" s="208"/>
      <c r="GT148" s="208"/>
      <c r="GU148" s="213">
        <v>143</v>
      </c>
    </row>
    <row r="149" spans="1:203" s="7" customFormat="1">
      <c r="A149" s="77"/>
      <c r="B149" s="76">
        <f ca="1">IF(C149="", "", RAND())</f>
        <v>0.5974266480100705</v>
      </c>
      <c r="C149">
        <v>10</v>
      </c>
      <c r="D149">
        <v>39847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31.996459771763579</v>
      </c>
      <c r="AO149">
        <v>7.8533562800508872</v>
      </c>
      <c r="AP149">
        <v>168.92365357222221</v>
      </c>
      <c r="AQ149">
        <v>54.997368031710373</v>
      </c>
      <c r="AR149">
        <v>7.3022286126244405</v>
      </c>
      <c r="AS149">
        <v>81.180295444688369</v>
      </c>
      <c r="AT149" t="e">
        <v>#DIV/0!</v>
      </c>
      <c r="AU149" t="e">
        <v>#DIV/0!</v>
      </c>
      <c r="AV149"/>
      <c r="AW149"/>
      <c r="AX149" s="151"/>
      <c r="AY149" s="76">
        <f t="shared" ca="1" si="88"/>
        <v>0.211291120741258</v>
      </c>
      <c r="AZ149">
        <v>2</v>
      </c>
      <c r="BA149" s="129">
        <f t="shared" ref="BA149:BA157" si="170">IF(AZ149="", "",$C$10)</f>
        <v>39847</v>
      </c>
      <c r="BB149" s="207">
        <v>0</v>
      </c>
      <c r="BC149" s="207">
        <v>0</v>
      </c>
      <c r="BD149" s="207">
        <v>0</v>
      </c>
      <c r="BE149" s="207">
        <v>0</v>
      </c>
      <c r="BF149" s="207">
        <v>0</v>
      </c>
      <c r="BG149" s="207">
        <v>0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M149" s="207">
        <v>0</v>
      </c>
      <c r="BN149" s="207">
        <v>0</v>
      </c>
      <c r="BO149" s="207">
        <v>0</v>
      </c>
      <c r="BP149" s="207">
        <v>0</v>
      </c>
      <c r="BQ149" s="207">
        <v>0</v>
      </c>
      <c r="BR149" s="207">
        <v>0</v>
      </c>
      <c r="BS149" s="207">
        <v>0</v>
      </c>
      <c r="BT149" s="207">
        <v>0</v>
      </c>
      <c r="BU149" s="207">
        <v>0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A149" s="207">
        <v>0</v>
      </c>
      <c r="CB149" s="207">
        <v>0</v>
      </c>
      <c r="CC149" s="207">
        <v>0</v>
      </c>
      <c r="CD149" s="207">
        <v>0</v>
      </c>
      <c r="CE149" s="207">
        <v>0</v>
      </c>
      <c r="CF149" s="207">
        <v>0</v>
      </c>
      <c r="CG149" s="147"/>
      <c r="CH149" s="176"/>
      <c r="CJ149" s="151"/>
      <c r="CK149" s="76">
        <f t="shared" ca="1" si="90"/>
        <v>0.14976050720193346</v>
      </c>
      <c r="CL149" s="179">
        <f t="shared" si="91"/>
        <v>2</v>
      </c>
      <c r="CM149" s="180">
        <f t="shared" si="92"/>
        <v>39847</v>
      </c>
      <c r="CN149" s="208">
        <v>0</v>
      </c>
      <c r="CO149" s="208">
        <v>0</v>
      </c>
      <c r="CP149" s="208">
        <v>0</v>
      </c>
      <c r="CQ149" s="208">
        <v>0</v>
      </c>
      <c r="CR149" s="208">
        <v>0</v>
      </c>
      <c r="CS149" s="208">
        <v>0</v>
      </c>
      <c r="CT149" s="208">
        <v>0</v>
      </c>
      <c r="CU149" s="208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3"/>
        <v>9.6000000000000002E-2</v>
      </c>
      <c r="DB149" s="151"/>
      <c r="DC149" s="76">
        <f t="shared" ca="1" si="51"/>
        <v>0.18630129088237712</v>
      </c>
      <c r="DD149">
        <f t="shared" si="94"/>
        <v>2</v>
      </c>
      <c r="DE149" s="129">
        <f t="shared" si="169"/>
        <v>39847</v>
      </c>
      <c r="DF149" s="161">
        <f t="shared" si="95"/>
        <v>0</v>
      </c>
      <c r="DG149" s="161">
        <f t="shared" si="96"/>
        <v>0</v>
      </c>
      <c r="DH149" s="161">
        <f t="shared" si="97"/>
        <v>0</v>
      </c>
      <c r="DI149" s="161">
        <f t="shared" si="98"/>
        <v>0</v>
      </c>
      <c r="DJ149" s="161">
        <f t="shared" si="99"/>
        <v>0</v>
      </c>
      <c r="DK149" s="161">
        <f t="shared" si="100"/>
        <v>0</v>
      </c>
      <c r="DL149" s="161">
        <f t="shared" si="101"/>
        <v>0</v>
      </c>
      <c r="DM149" s="161">
        <f t="shared" si="102"/>
        <v>0</v>
      </c>
      <c r="DN149" s="161">
        <f t="shared" si="103"/>
        <v>0</v>
      </c>
      <c r="DO149" s="161">
        <f t="shared" si="104"/>
        <v>0</v>
      </c>
      <c r="DP149" s="161">
        <f t="shared" si="105"/>
        <v>0</v>
      </c>
      <c r="DQ149" s="161">
        <f t="shared" si="106"/>
        <v>0</v>
      </c>
      <c r="DR149" s="161">
        <f t="shared" si="107"/>
        <v>0</v>
      </c>
      <c r="DS149" s="161">
        <f t="shared" si="108"/>
        <v>0</v>
      </c>
      <c r="DT149" s="161">
        <f t="shared" si="109"/>
        <v>0</v>
      </c>
      <c r="DU149" s="161">
        <f t="shared" si="110"/>
        <v>0</v>
      </c>
      <c r="DV149" s="161">
        <f t="shared" si="111"/>
        <v>0</v>
      </c>
      <c r="DW149" s="161">
        <f t="shared" si="112"/>
        <v>0</v>
      </c>
      <c r="DX149" s="161">
        <f t="shared" si="113"/>
        <v>0</v>
      </c>
      <c r="DY149" s="161">
        <f t="shared" si="114"/>
        <v>0</v>
      </c>
      <c r="DZ149" s="161">
        <f t="shared" si="115"/>
        <v>0</v>
      </c>
      <c r="EA149" s="161">
        <f t="shared" si="116"/>
        <v>0</v>
      </c>
      <c r="EB149" s="161">
        <f t="shared" si="117"/>
        <v>0</v>
      </c>
      <c r="EC149" s="161">
        <f t="shared" si="118"/>
        <v>0</v>
      </c>
      <c r="ED149" s="161">
        <f t="shared" si="119"/>
        <v>0</v>
      </c>
      <c r="EE149" s="161">
        <f t="shared" si="120"/>
        <v>0</v>
      </c>
      <c r="EF149" s="161">
        <f t="shared" si="121"/>
        <v>0</v>
      </c>
      <c r="EG149" s="161">
        <f t="shared" si="122"/>
        <v>0</v>
      </c>
      <c r="EH149" s="161">
        <f t="shared" si="123"/>
        <v>0</v>
      </c>
      <c r="EI149" s="161">
        <f t="shared" si="124"/>
        <v>0</v>
      </c>
      <c r="EJ149" s="161">
        <f t="shared" si="125"/>
        <v>0</v>
      </c>
      <c r="EK149" s="147">
        <f t="shared" si="132"/>
        <v>0</v>
      </c>
      <c r="EL149" s="149"/>
      <c r="EN149" s="151"/>
      <c r="EO149" s="151"/>
      <c r="EP149" s="139">
        <f t="shared" si="133"/>
        <v>0</v>
      </c>
      <c r="EQ149" s="139">
        <f t="shared" si="134"/>
        <v>0</v>
      </c>
      <c r="ER149" s="139">
        <f t="shared" si="135"/>
        <v>0</v>
      </c>
      <c r="ES149" s="139">
        <f t="shared" si="136"/>
        <v>0</v>
      </c>
      <c r="ET149" s="139">
        <f t="shared" si="137"/>
        <v>0</v>
      </c>
      <c r="EU149" s="139">
        <f t="shared" si="138"/>
        <v>0</v>
      </c>
      <c r="EV149" s="139">
        <f t="shared" si="139"/>
        <v>0</v>
      </c>
      <c r="EW149" s="139">
        <f t="shared" si="140"/>
        <v>0</v>
      </c>
      <c r="EX149" s="139">
        <f t="shared" si="141"/>
        <v>0</v>
      </c>
      <c r="EY149" s="139">
        <f t="shared" si="142"/>
        <v>0</v>
      </c>
      <c r="EZ149" s="139">
        <f t="shared" si="143"/>
        <v>0</v>
      </c>
      <c r="FA149" s="139">
        <f t="shared" si="144"/>
        <v>0</v>
      </c>
      <c r="FB149" s="139">
        <f t="shared" si="145"/>
        <v>0</v>
      </c>
      <c r="FC149" s="139">
        <f t="shared" si="146"/>
        <v>0</v>
      </c>
      <c r="FD149" s="139">
        <f t="shared" si="147"/>
        <v>0</v>
      </c>
      <c r="FE149" s="139">
        <f t="shared" si="148"/>
        <v>0</v>
      </c>
      <c r="FF149" s="139">
        <f t="shared" si="149"/>
        <v>0</v>
      </c>
      <c r="FG149" s="139">
        <f t="shared" si="150"/>
        <v>0</v>
      </c>
      <c r="FH149" s="139">
        <f t="shared" si="151"/>
        <v>0</v>
      </c>
      <c r="FI149" s="139">
        <f t="shared" si="152"/>
        <v>0</v>
      </c>
      <c r="FJ149" s="139">
        <f t="shared" si="153"/>
        <v>0</v>
      </c>
      <c r="FK149" s="139">
        <f t="shared" si="154"/>
        <v>0</v>
      </c>
      <c r="FL149" s="139">
        <f t="shared" si="155"/>
        <v>0</v>
      </c>
      <c r="FM149" s="139">
        <f t="shared" si="156"/>
        <v>0</v>
      </c>
      <c r="FN149" s="139">
        <f t="shared" si="157"/>
        <v>0</v>
      </c>
      <c r="FO149" s="139">
        <f t="shared" si="158"/>
        <v>0</v>
      </c>
      <c r="FP149" s="139">
        <f t="shared" si="159"/>
        <v>0</v>
      </c>
      <c r="FQ149" s="139">
        <f t="shared" si="160"/>
        <v>0</v>
      </c>
      <c r="FR149" s="139">
        <f t="shared" si="161"/>
        <v>0</v>
      </c>
      <c r="FS149" s="139">
        <f t="shared" si="162"/>
        <v>0</v>
      </c>
      <c r="FT149" s="139">
        <f t="shared" si="163"/>
        <v>0</v>
      </c>
      <c r="FU149" s="148">
        <f t="shared" si="164"/>
        <v>0</v>
      </c>
      <c r="FV149" s="149"/>
      <c r="FY149" s="213">
        <v>144</v>
      </c>
      <c r="FZ149">
        <v>2.7705984438954863</v>
      </c>
      <c r="GA149">
        <v>11.754295725195462</v>
      </c>
      <c r="GB149">
        <v>4.9092712728682759</v>
      </c>
      <c r="GC149">
        <v>1.426024353295289</v>
      </c>
      <c r="GD149">
        <v>1.7558171557445359</v>
      </c>
      <c r="GE149">
        <v>1.6281984210363838</v>
      </c>
      <c r="GF149">
        <v>0.47734812494006024</v>
      </c>
      <c r="GG149">
        <v>3.358132631311662</v>
      </c>
      <c r="GH149">
        <v>4.7564346711748797</v>
      </c>
      <c r="GI149">
        <v>3.5352662610256429</v>
      </c>
      <c r="GJ149"/>
      <c r="GK149"/>
      <c r="GL149"/>
      <c r="GM149"/>
      <c r="GN149" s="208"/>
      <c r="GO149" s="208"/>
      <c r="GP149" s="208"/>
      <c r="GQ149" s="208"/>
      <c r="GR149" s="208"/>
      <c r="GS149" s="208"/>
      <c r="GT149" s="208"/>
      <c r="GU149" s="213">
        <v>144</v>
      </c>
    </row>
    <row r="150" spans="1:203" s="7" customFormat="1">
      <c r="A150" s="77"/>
      <c r="B150" s="76">
        <f ca="1">IF(C150="", "", RAND())</f>
        <v>0.12268419456223345</v>
      </c>
      <c r="C150">
        <v>3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12.730672690763052</v>
      </c>
      <c r="AO150">
        <v>4.2682013713510267</v>
      </c>
      <c r="AP150">
        <v>188.75846479114827</v>
      </c>
      <c r="AQ150">
        <v>29.773657904362206</v>
      </c>
      <c r="AR150">
        <v>3.9887256065833561</v>
      </c>
      <c r="AS150">
        <v>43.056904667073205</v>
      </c>
      <c r="AT150" t="e">
        <v>#DIV/0!</v>
      </c>
      <c r="AU150" t="e">
        <v>#DIV/0!</v>
      </c>
      <c r="AV150"/>
      <c r="AW150"/>
      <c r="AX150" s="151"/>
      <c r="AY150" s="76">
        <f t="shared" ca="1" si="88"/>
        <v>0.74503638071579559</v>
      </c>
      <c r="AZ150">
        <v>3</v>
      </c>
      <c r="BA150" s="129">
        <f t="shared" si="170"/>
        <v>39847</v>
      </c>
      <c r="BB150" s="207">
        <v>0</v>
      </c>
      <c r="BC150" s="207">
        <v>0</v>
      </c>
      <c r="BD150" s="207">
        <v>0</v>
      </c>
      <c r="BE150" s="207">
        <v>0</v>
      </c>
      <c r="BF150" s="207">
        <v>0</v>
      </c>
      <c r="BG150" s="207">
        <v>0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M150" s="207">
        <v>0</v>
      </c>
      <c r="BN150" s="207">
        <v>0</v>
      </c>
      <c r="BO150" s="207">
        <v>0</v>
      </c>
      <c r="BP150" s="207">
        <v>0</v>
      </c>
      <c r="BQ150" s="207">
        <v>0</v>
      </c>
      <c r="BR150" s="207">
        <v>0</v>
      </c>
      <c r="BS150" s="207">
        <v>0</v>
      </c>
      <c r="BT150" s="207">
        <v>0</v>
      </c>
      <c r="BU150" s="207">
        <v>0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A150" s="207">
        <v>0</v>
      </c>
      <c r="CB150" s="207">
        <v>0</v>
      </c>
      <c r="CC150" s="207">
        <v>0</v>
      </c>
      <c r="CD150" s="207">
        <v>0</v>
      </c>
      <c r="CE150" s="207">
        <v>0</v>
      </c>
      <c r="CF150" s="207">
        <v>0</v>
      </c>
      <c r="CG150" s="147"/>
      <c r="CH150" s="176"/>
      <c r="CJ150" s="151"/>
      <c r="CK150" s="76">
        <f t="shared" ca="1" si="90"/>
        <v>0.30609923029097752</v>
      </c>
      <c r="CL150" s="179">
        <f t="shared" si="91"/>
        <v>3</v>
      </c>
      <c r="CM150" s="180">
        <f t="shared" si="92"/>
        <v>39847</v>
      </c>
      <c r="CN150" s="208">
        <v>0</v>
      </c>
      <c r="CO150" s="208">
        <v>0</v>
      </c>
      <c r="CP150" s="208">
        <v>0</v>
      </c>
      <c r="CQ150" s="208">
        <v>0</v>
      </c>
      <c r="CR150" s="208">
        <v>0</v>
      </c>
      <c r="CS150" s="208">
        <v>0</v>
      </c>
      <c r="CT150" s="208">
        <v>0</v>
      </c>
      <c r="CU150" s="208">
        <v>0</v>
      </c>
      <c r="CV150" s="160"/>
      <c r="CW150">
        <v>1</v>
      </c>
      <c r="CX150">
        <v>1</v>
      </c>
      <c r="CY150" s="160"/>
      <c r="CZ150" s="177">
        <f t="shared" si="93"/>
        <v>9.6000000000000002E-2</v>
      </c>
      <c r="DB150" s="151"/>
      <c r="DC150" s="76">
        <f t="shared" ca="1" si="51"/>
        <v>0.49386501068698085</v>
      </c>
      <c r="DD150">
        <f t="shared" si="94"/>
        <v>3</v>
      </c>
      <c r="DE150" s="129">
        <f t="shared" si="169"/>
        <v>39847</v>
      </c>
      <c r="DF150" s="161">
        <f t="shared" si="95"/>
        <v>0</v>
      </c>
      <c r="DG150" s="161">
        <f t="shared" si="96"/>
        <v>0</v>
      </c>
      <c r="DH150" s="161">
        <f t="shared" si="97"/>
        <v>0</v>
      </c>
      <c r="DI150" s="161">
        <f t="shared" si="98"/>
        <v>0</v>
      </c>
      <c r="DJ150" s="161">
        <f t="shared" si="99"/>
        <v>0</v>
      </c>
      <c r="DK150" s="161">
        <f t="shared" si="100"/>
        <v>0</v>
      </c>
      <c r="DL150" s="161">
        <f t="shared" si="101"/>
        <v>0</v>
      </c>
      <c r="DM150" s="161">
        <f t="shared" si="102"/>
        <v>0</v>
      </c>
      <c r="DN150" s="161">
        <f t="shared" si="103"/>
        <v>0</v>
      </c>
      <c r="DO150" s="161">
        <f t="shared" si="104"/>
        <v>0</v>
      </c>
      <c r="DP150" s="161">
        <f t="shared" si="105"/>
        <v>0</v>
      </c>
      <c r="DQ150" s="161">
        <f t="shared" si="106"/>
        <v>0</v>
      </c>
      <c r="DR150" s="161">
        <f t="shared" si="107"/>
        <v>0</v>
      </c>
      <c r="DS150" s="161">
        <f t="shared" si="108"/>
        <v>0</v>
      </c>
      <c r="DT150" s="161">
        <f t="shared" si="109"/>
        <v>0</v>
      </c>
      <c r="DU150" s="161">
        <f t="shared" si="110"/>
        <v>0</v>
      </c>
      <c r="DV150" s="161">
        <f t="shared" si="111"/>
        <v>0</v>
      </c>
      <c r="DW150" s="161">
        <f t="shared" si="112"/>
        <v>0</v>
      </c>
      <c r="DX150" s="161">
        <f t="shared" si="113"/>
        <v>0</v>
      </c>
      <c r="DY150" s="161">
        <f t="shared" si="114"/>
        <v>0</v>
      </c>
      <c r="DZ150" s="161">
        <f t="shared" si="115"/>
        <v>0</v>
      </c>
      <c r="EA150" s="161">
        <f t="shared" si="116"/>
        <v>0</v>
      </c>
      <c r="EB150" s="161">
        <f t="shared" si="117"/>
        <v>0</v>
      </c>
      <c r="EC150" s="161">
        <f t="shared" si="118"/>
        <v>0</v>
      </c>
      <c r="ED150" s="161">
        <f t="shared" si="119"/>
        <v>0</v>
      </c>
      <c r="EE150" s="161">
        <f t="shared" si="120"/>
        <v>0</v>
      </c>
      <c r="EF150" s="161">
        <f t="shared" si="121"/>
        <v>0</v>
      </c>
      <c r="EG150" s="161">
        <f t="shared" si="122"/>
        <v>0</v>
      </c>
      <c r="EH150" s="161">
        <f t="shared" si="123"/>
        <v>0</v>
      </c>
      <c r="EI150" s="161">
        <f t="shared" si="124"/>
        <v>0</v>
      </c>
      <c r="EJ150" s="161">
        <f t="shared" si="125"/>
        <v>0</v>
      </c>
      <c r="EK150" s="147">
        <f t="shared" si="132"/>
        <v>0</v>
      </c>
      <c r="EL150" s="149"/>
      <c r="EN150" s="151"/>
      <c r="EO150" s="151"/>
      <c r="EP150" s="139">
        <f t="shared" si="133"/>
        <v>0</v>
      </c>
      <c r="EQ150" s="139">
        <f t="shared" si="134"/>
        <v>0</v>
      </c>
      <c r="ER150" s="139">
        <f t="shared" si="135"/>
        <v>0</v>
      </c>
      <c r="ES150" s="139">
        <f t="shared" si="136"/>
        <v>0</v>
      </c>
      <c r="ET150" s="139">
        <f t="shared" si="137"/>
        <v>0</v>
      </c>
      <c r="EU150" s="139">
        <f t="shared" si="138"/>
        <v>0</v>
      </c>
      <c r="EV150" s="139">
        <f t="shared" si="139"/>
        <v>0</v>
      </c>
      <c r="EW150" s="139">
        <f t="shared" si="140"/>
        <v>0</v>
      </c>
      <c r="EX150" s="139">
        <f t="shared" si="141"/>
        <v>0</v>
      </c>
      <c r="EY150" s="139">
        <f t="shared" si="142"/>
        <v>0</v>
      </c>
      <c r="EZ150" s="139">
        <f t="shared" si="143"/>
        <v>0</v>
      </c>
      <c r="FA150" s="139">
        <f t="shared" si="144"/>
        <v>0</v>
      </c>
      <c r="FB150" s="139">
        <f t="shared" si="145"/>
        <v>0</v>
      </c>
      <c r="FC150" s="139">
        <f t="shared" si="146"/>
        <v>0</v>
      </c>
      <c r="FD150" s="139">
        <f t="shared" si="147"/>
        <v>0</v>
      </c>
      <c r="FE150" s="139">
        <f t="shared" si="148"/>
        <v>0</v>
      </c>
      <c r="FF150" s="139">
        <f t="shared" si="149"/>
        <v>0</v>
      </c>
      <c r="FG150" s="139">
        <f t="shared" si="150"/>
        <v>0</v>
      </c>
      <c r="FH150" s="139">
        <f t="shared" si="151"/>
        <v>0</v>
      </c>
      <c r="FI150" s="139">
        <f t="shared" si="152"/>
        <v>0</v>
      </c>
      <c r="FJ150" s="139">
        <f t="shared" si="153"/>
        <v>0</v>
      </c>
      <c r="FK150" s="139">
        <f t="shared" si="154"/>
        <v>0</v>
      </c>
      <c r="FL150" s="139">
        <f t="shared" si="155"/>
        <v>0</v>
      </c>
      <c r="FM150" s="139">
        <f t="shared" si="156"/>
        <v>0</v>
      </c>
      <c r="FN150" s="139">
        <f t="shared" si="157"/>
        <v>0</v>
      </c>
      <c r="FO150" s="139">
        <f t="shared" si="158"/>
        <v>0</v>
      </c>
      <c r="FP150" s="139">
        <f t="shared" si="159"/>
        <v>0</v>
      </c>
      <c r="FQ150" s="139">
        <f t="shared" si="160"/>
        <v>0</v>
      </c>
      <c r="FR150" s="139">
        <f t="shared" si="161"/>
        <v>0</v>
      </c>
      <c r="FS150" s="139">
        <f t="shared" si="162"/>
        <v>0</v>
      </c>
      <c r="FT150" s="139">
        <f t="shared" si="163"/>
        <v>0</v>
      </c>
      <c r="FU150" s="148">
        <f t="shared" si="164"/>
        <v>0</v>
      </c>
      <c r="FV150" s="149"/>
      <c r="FY150" s="213">
        <v>145</v>
      </c>
      <c r="FZ150">
        <v>1.596276202757001</v>
      </c>
      <c r="GA150">
        <v>15.897437600242975</v>
      </c>
      <c r="GB150">
        <v>6.8283024285463512</v>
      </c>
      <c r="GC150">
        <v>0.68735954847135594</v>
      </c>
      <c r="GD150">
        <v>1.6887551976560697</v>
      </c>
      <c r="GE150">
        <v>2.3491203979764541</v>
      </c>
      <c r="GF150">
        <v>0</v>
      </c>
      <c r="GG150">
        <v>5.8616658487995661</v>
      </c>
      <c r="GH150">
        <v>8.165780953568003</v>
      </c>
      <c r="GI150">
        <v>4.2983940479782365</v>
      </c>
      <c r="GJ150"/>
      <c r="GK150"/>
      <c r="GL150"/>
      <c r="GM150"/>
      <c r="GN150" s="208"/>
      <c r="GO150" s="208"/>
      <c r="GP150" s="208"/>
      <c r="GQ150" s="208"/>
      <c r="GR150" s="208"/>
      <c r="GS150" s="208"/>
      <c r="GT150" s="208"/>
      <c r="GU150" s="213">
        <v>145</v>
      </c>
    </row>
    <row r="151" spans="1:203" s="7" customFormat="1">
      <c r="A151" s="77"/>
      <c r="B151" s="76">
        <f ca="1">IF(C151="", "", RAND())</f>
        <v>0.48699550435166028</v>
      </c>
      <c r="C151">
        <v>5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25.770183772858264</v>
      </c>
      <c r="AO151">
        <v>6.4908461908103137</v>
      </c>
      <c r="AP151">
        <v>334.67213476410819</v>
      </c>
      <c r="AQ151">
        <v>46.698761176900987</v>
      </c>
      <c r="AR151">
        <v>5.9550405352324054</v>
      </c>
      <c r="AS151">
        <v>72.987410343131003</v>
      </c>
      <c r="AT151" t="e">
        <v>#DIV/0!</v>
      </c>
      <c r="AU151" t="e">
        <v>#DIV/0!</v>
      </c>
      <c r="AV151"/>
      <c r="AW151"/>
      <c r="AX151" s="151"/>
      <c r="AY151" s="76">
        <f t="shared" ca="1" si="88"/>
        <v>0.62643547268362121</v>
      </c>
      <c r="AZ151">
        <v>4</v>
      </c>
      <c r="BA151" s="129">
        <f t="shared" si="170"/>
        <v>39847</v>
      </c>
      <c r="BB151" s="207">
        <v>0</v>
      </c>
      <c r="BC151" s="207">
        <v>0</v>
      </c>
      <c r="BD151" s="207">
        <v>0</v>
      </c>
      <c r="BE151" s="207">
        <v>0</v>
      </c>
      <c r="BF151" s="207">
        <v>0</v>
      </c>
      <c r="BG151" s="207">
        <v>0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M151" s="207">
        <v>0</v>
      </c>
      <c r="BN151" s="207">
        <v>0</v>
      </c>
      <c r="BO151" s="207">
        <v>0</v>
      </c>
      <c r="BP151" s="207">
        <v>0</v>
      </c>
      <c r="BQ151" s="207">
        <v>0</v>
      </c>
      <c r="BR151" s="207">
        <v>0</v>
      </c>
      <c r="BS151" s="207">
        <v>0</v>
      </c>
      <c r="BT151" s="207">
        <v>0</v>
      </c>
      <c r="BU151" s="207">
        <v>0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A151" s="207">
        <v>0</v>
      </c>
      <c r="CB151" s="207">
        <v>0</v>
      </c>
      <c r="CC151" s="207">
        <v>0</v>
      </c>
      <c r="CD151" s="207">
        <v>0</v>
      </c>
      <c r="CE151" s="207">
        <v>0</v>
      </c>
      <c r="CF151" s="207">
        <v>0</v>
      </c>
      <c r="CG151" s="147"/>
      <c r="CH151" s="176"/>
      <c r="CJ151" s="151"/>
      <c r="CK151" s="76">
        <f t="shared" ca="1" si="90"/>
        <v>0.2050211693282229</v>
      </c>
      <c r="CL151" s="179">
        <f t="shared" si="91"/>
        <v>4</v>
      </c>
      <c r="CM151" s="180">
        <f t="shared" si="92"/>
        <v>39847</v>
      </c>
      <c r="CN151" s="208">
        <v>0</v>
      </c>
      <c r="CO151" s="208">
        <v>0</v>
      </c>
      <c r="CP151" s="208">
        <v>0</v>
      </c>
      <c r="CQ151" s="208">
        <v>0</v>
      </c>
      <c r="CR151" s="208">
        <v>0</v>
      </c>
      <c r="CS151" s="208">
        <v>0</v>
      </c>
      <c r="CT151" s="208">
        <v>0</v>
      </c>
      <c r="CU151" s="208">
        <v>0</v>
      </c>
      <c r="CV151" s="160"/>
      <c r="CW151">
        <v>1</v>
      </c>
      <c r="CX151">
        <v>1</v>
      </c>
      <c r="CY151" s="160"/>
      <c r="CZ151" s="177">
        <f t="shared" si="93"/>
        <v>9.6000000000000002E-2</v>
      </c>
      <c r="DB151" s="151"/>
      <c r="DC151" s="76">
        <f t="shared" ca="1" si="51"/>
        <v>0.82157670654588122</v>
      </c>
      <c r="DD151">
        <f t="shared" si="94"/>
        <v>4</v>
      </c>
      <c r="DE151" s="129">
        <f t="shared" si="169"/>
        <v>39847</v>
      </c>
      <c r="DF151" s="161">
        <f t="shared" si="95"/>
        <v>0</v>
      </c>
      <c r="DG151" s="161">
        <f t="shared" si="96"/>
        <v>0</v>
      </c>
      <c r="DH151" s="161">
        <f t="shared" si="97"/>
        <v>0</v>
      </c>
      <c r="DI151" s="161">
        <f t="shared" si="98"/>
        <v>0</v>
      </c>
      <c r="DJ151" s="161">
        <f t="shared" si="99"/>
        <v>0</v>
      </c>
      <c r="DK151" s="161">
        <f t="shared" si="100"/>
        <v>0</v>
      </c>
      <c r="DL151" s="161">
        <f t="shared" si="101"/>
        <v>0</v>
      </c>
      <c r="DM151" s="161">
        <f t="shared" si="102"/>
        <v>0</v>
      </c>
      <c r="DN151" s="161">
        <f t="shared" si="103"/>
        <v>0</v>
      </c>
      <c r="DO151" s="161">
        <f t="shared" si="104"/>
        <v>0</v>
      </c>
      <c r="DP151" s="161">
        <f t="shared" si="105"/>
        <v>0</v>
      </c>
      <c r="DQ151" s="161">
        <f t="shared" si="106"/>
        <v>0</v>
      </c>
      <c r="DR151" s="161">
        <f t="shared" si="107"/>
        <v>0</v>
      </c>
      <c r="DS151" s="161">
        <f t="shared" si="108"/>
        <v>0</v>
      </c>
      <c r="DT151" s="161">
        <f t="shared" si="109"/>
        <v>0</v>
      </c>
      <c r="DU151" s="161">
        <f t="shared" si="110"/>
        <v>0</v>
      </c>
      <c r="DV151" s="161">
        <f t="shared" si="111"/>
        <v>0</v>
      </c>
      <c r="DW151" s="161">
        <f t="shared" si="112"/>
        <v>0</v>
      </c>
      <c r="DX151" s="161">
        <f t="shared" si="113"/>
        <v>0</v>
      </c>
      <c r="DY151" s="161">
        <f t="shared" si="114"/>
        <v>0</v>
      </c>
      <c r="DZ151" s="161">
        <f t="shared" si="115"/>
        <v>0</v>
      </c>
      <c r="EA151" s="161">
        <f t="shared" si="116"/>
        <v>0</v>
      </c>
      <c r="EB151" s="161">
        <f t="shared" si="117"/>
        <v>0</v>
      </c>
      <c r="EC151" s="161">
        <f t="shared" si="118"/>
        <v>0</v>
      </c>
      <c r="ED151" s="161">
        <f t="shared" si="119"/>
        <v>0</v>
      </c>
      <c r="EE151" s="161">
        <f t="shared" si="120"/>
        <v>0</v>
      </c>
      <c r="EF151" s="161">
        <f t="shared" si="121"/>
        <v>0</v>
      </c>
      <c r="EG151" s="161">
        <f t="shared" si="122"/>
        <v>0</v>
      </c>
      <c r="EH151" s="161">
        <f t="shared" si="123"/>
        <v>0</v>
      </c>
      <c r="EI151" s="161">
        <f t="shared" si="124"/>
        <v>0</v>
      </c>
      <c r="EJ151" s="161">
        <f t="shared" si="125"/>
        <v>0</v>
      </c>
      <c r="EK151" s="147">
        <f t="shared" si="132"/>
        <v>0</v>
      </c>
      <c r="EL151" s="149"/>
      <c r="EN151" s="151"/>
      <c r="EO151" s="151"/>
      <c r="EP151" s="139">
        <f t="shared" si="133"/>
        <v>0</v>
      </c>
      <c r="EQ151" s="139">
        <f t="shared" si="134"/>
        <v>0</v>
      </c>
      <c r="ER151" s="139">
        <f t="shared" si="135"/>
        <v>0</v>
      </c>
      <c r="ES151" s="139">
        <f t="shared" si="136"/>
        <v>0</v>
      </c>
      <c r="ET151" s="139">
        <f t="shared" si="137"/>
        <v>0</v>
      </c>
      <c r="EU151" s="139">
        <f t="shared" si="138"/>
        <v>0</v>
      </c>
      <c r="EV151" s="139">
        <f t="shared" si="139"/>
        <v>0</v>
      </c>
      <c r="EW151" s="139">
        <f t="shared" si="140"/>
        <v>0</v>
      </c>
      <c r="EX151" s="139">
        <f t="shared" si="141"/>
        <v>0</v>
      </c>
      <c r="EY151" s="139">
        <f t="shared" si="142"/>
        <v>0</v>
      </c>
      <c r="EZ151" s="139">
        <f t="shared" si="143"/>
        <v>0</v>
      </c>
      <c r="FA151" s="139">
        <f t="shared" si="144"/>
        <v>0</v>
      </c>
      <c r="FB151" s="139">
        <f t="shared" si="145"/>
        <v>0</v>
      </c>
      <c r="FC151" s="139">
        <f t="shared" si="146"/>
        <v>0</v>
      </c>
      <c r="FD151" s="139">
        <f t="shared" si="147"/>
        <v>0</v>
      </c>
      <c r="FE151" s="139">
        <f t="shared" si="148"/>
        <v>0</v>
      </c>
      <c r="FF151" s="139">
        <f t="shared" si="149"/>
        <v>0</v>
      </c>
      <c r="FG151" s="139">
        <f t="shared" si="150"/>
        <v>0</v>
      </c>
      <c r="FH151" s="139">
        <f t="shared" si="151"/>
        <v>0</v>
      </c>
      <c r="FI151" s="139">
        <f t="shared" si="152"/>
        <v>0</v>
      </c>
      <c r="FJ151" s="139">
        <f t="shared" si="153"/>
        <v>0</v>
      </c>
      <c r="FK151" s="139">
        <f t="shared" si="154"/>
        <v>0</v>
      </c>
      <c r="FL151" s="139">
        <f t="shared" si="155"/>
        <v>0</v>
      </c>
      <c r="FM151" s="139">
        <f t="shared" si="156"/>
        <v>0</v>
      </c>
      <c r="FN151" s="139">
        <f t="shared" si="157"/>
        <v>0</v>
      </c>
      <c r="FO151" s="139">
        <f t="shared" si="158"/>
        <v>0</v>
      </c>
      <c r="FP151" s="139">
        <f t="shared" si="159"/>
        <v>0</v>
      </c>
      <c r="FQ151" s="139">
        <f t="shared" si="160"/>
        <v>0</v>
      </c>
      <c r="FR151" s="139">
        <f t="shared" si="161"/>
        <v>0</v>
      </c>
      <c r="FS151" s="139">
        <f t="shared" si="162"/>
        <v>0</v>
      </c>
      <c r="FT151" s="139">
        <f t="shared" si="163"/>
        <v>0</v>
      </c>
      <c r="FU151" s="148">
        <f t="shared" si="164"/>
        <v>0</v>
      </c>
      <c r="FV151" s="149"/>
      <c r="FY151" s="213">
        <v>146</v>
      </c>
      <c r="FZ151">
        <v>2.1834373233262436</v>
      </c>
      <c r="GA151">
        <v>22.807429449537697</v>
      </c>
      <c r="GB151">
        <v>10.334519068447781</v>
      </c>
      <c r="GC151">
        <v>0.60987192178013072</v>
      </c>
      <c r="GD151">
        <v>1.7795161546386777</v>
      </c>
      <c r="GE151">
        <v>2.9504148057444999</v>
      </c>
      <c r="GF151">
        <v>0.47734812494006024</v>
      </c>
      <c r="GG151">
        <v>0.10673875663404474</v>
      </c>
      <c r="GH151">
        <v>0.14058242252415507</v>
      </c>
      <c r="GI151">
        <v>4.1574146998775463</v>
      </c>
      <c r="GJ151"/>
      <c r="GK151"/>
      <c r="GL151"/>
      <c r="GM151"/>
      <c r="GN151" s="208"/>
      <c r="GO151" s="208"/>
      <c r="GP151" s="208"/>
      <c r="GQ151" s="208"/>
      <c r="GR151" s="208"/>
      <c r="GS151" s="208"/>
      <c r="GT151" s="208"/>
      <c r="GU151" s="213">
        <v>146</v>
      </c>
    </row>
    <row r="152" spans="1:203" s="7" customFormat="1">
      <c r="A152" s="77"/>
      <c r="B152" s="76">
        <f ca="1">IF(C152="", "", RAND())</f>
        <v>0.59830872018551151</v>
      </c>
      <c r="C152">
        <v>6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24.115592913526026</v>
      </c>
      <c r="AO152">
        <v>4.0722568945824067</v>
      </c>
      <c r="AP152">
        <v>89.649681797696644</v>
      </c>
      <c r="AQ152">
        <v>26.948440532387131</v>
      </c>
      <c r="AR152">
        <v>3.7563229932070352</v>
      </c>
      <c r="AS152">
        <v>60.770994329031829</v>
      </c>
      <c r="AT152" t="e">
        <v>#DIV/0!</v>
      </c>
      <c r="AU152" t="e">
        <v>#DIV/0!</v>
      </c>
      <c r="AV152"/>
      <c r="AW152"/>
      <c r="AX152" s="151"/>
      <c r="AY152" s="76">
        <f t="shared" ref="AY152:AY207" ca="1" si="171">IF(AZ152="", "", RAND())</f>
        <v>0.42498888587563699</v>
      </c>
      <c r="AZ152">
        <v>5</v>
      </c>
      <c r="BA152" s="129">
        <f t="shared" si="170"/>
        <v>39847</v>
      </c>
      <c r="BB152" s="207">
        <v>0</v>
      </c>
      <c r="BC152" s="207">
        <v>0</v>
      </c>
      <c r="BD152" s="207">
        <v>0</v>
      </c>
      <c r="BE152" s="207">
        <v>0</v>
      </c>
      <c r="BF152" s="207">
        <v>0</v>
      </c>
      <c r="BG152" s="207">
        <v>0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M152" s="207">
        <v>0</v>
      </c>
      <c r="BN152" s="207">
        <v>0</v>
      </c>
      <c r="BO152" s="207">
        <v>0</v>
      </c>
      <c r="BP152" s="207">
        <v>0</v>
      </c>
      <c r="BQ152" s="207">
        <v>0</v>
      </c>
      <c r="BR152" s="207">
        <v>0</v>
      </c>
      <c r="BS152" s="207">
        <v>0</v>
      </c>
      <c r="BT152" s="207">
        <v>0</v>
      </c>
      <c r="BU152" s="207">
        <v>0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A152" s="207">
        <v>0</v>
      </c>
      <c r="CB152" s="207">
        <v>0</v>
      </c>
      <c r="CC152" s="207">
        <v>0</v>
      </c>
      <c r="CD152" s="207">
        <v>0</v>
      </c>
      <c r="CE152" s="207">
        <v>0</v>
      </c>
      <c r="CF152" s="207">
        <v>0</v>
      </c>
      <c r="CG152" s="147"/>
      <c r="CH152" s="176"/>
      <c r="CJ152" s="151"/>
      <c r="CK152" s="76">
        <f t="shared" ca="1" si="90"/>
        <v>0.68260593499896194</v>
      </c>
      <c r="CL152" s="179">
        <f t="shared" si="91"/>
        <v>5</v>
      </c>
      <c r="CM152" s="180">
        <f t="shared" si="92"/>
        <v>39847</v>
      </c>
      <c r="CN152" s="208">
        <v>0</v>
      </c>
      <c r="CO152" s="208">
        <v>0</v>
      </c>
      <c r="CP152" s="208">
        <v>0</v>
      </c>
      <c r="CQ152" s="208">
        <v>0</v>
      </c>
      <c r="CR152" s="208">
        <v>0</v>
      </c>
      <c r="CS152" s="208">
        <v>0</v>
      </c>
      <c r="CT152" s="208">
        <v>0</v>
      </c>
      <c r="CU152" s="208">
        <v>0</v>
      </c>
      <c r="CV152" s="160"/>
      <c r="CW152">
        <v>1</v>
      </c>
      <c r="CX152">
        <v>1</v>
      </c>
      <c r="CY152" s="160"/>
      <c r="CZ152" s="177">
        <f t="shared" si="93"/>
        <v>9.6000000000000002E-2</v>
      </c>
      <c r="DB152" s="151"/>
      <c r="DC152" s="76">
        <f t="shared" ref="DC152:DC207" ca="1" si="172">IF(DD152="", "", RAND())</f>
        <v>0.88637242940776506</v>
      </c>
      <c r="DD152">
        <f t="shared" si="94"/>
        <v>5</v>
      </c>
      <c r="DE152" s="129">
        <f t="shared" si="169"/>
        <v>39847</v>
      </c>
      <c r="DF152" s="161">
        <f t="shared" si="95"/>
        <v>0</v>
      </c>
      <c r="DG152" s="161">
        <f t="shared" si="96"/>
        <v>0</v>
      </c>
      <c r="DH152" s="161">
        <f t="shared" si="97"/>
        <v>0</v>
      </c>
      <c r="DI152" s="161">
        <f t="shared" si="98"/>
        <v>0</v>
      </c>
      <c r="DJ152" s="161">
        <f t="shared" si="99"/>
        <v>0</v>
      </c>
      <c r="DK152" s="161">
        <f t="shared" si="100"/>
        <v>0</v>
      </c>
      <c r="DL152" s="161">
        <f t="shared" si="101"/>
        <v>0</v>
      </c>
      <c r="DM152" s="161">
        <f t="shared" si="102"/>
        <v>0</v>
      </c>
      <c r="DN152" s="161">
        <f t="shared" si="103"/>
        <v>0</v>
      </c>
      <c r="DO152" s="161">
        <f t="shared" si="104"/>
        <v>0</v>
      </c>
      <c r="DP152" s="161">
        <f t="shared" si="105"/>
        <v>0</v>
      </c>
      <c r="DQ152" s="161">
        <f t="shared" si="106"/>
        <v>0</v>
      </c>
      <c r="DR152" s="161">
        <f t="shared" si="107"/>
        <v>0</v>
      </c>
      <c r="DS152" s="161">
        <f t="shared" si="108"/>
        <v>0</v>
      </c>
      <c r="DT152" s="161">
        <f t="shared" si="109"/>
        <v>0</v>
      </c>
      <c r="DU152" s="161">
        <f t="shared" si="110"/>
        <v>0</v>
      </c>
      <c r="DV152" s="161">
        <f t="shared" si="111"/>
        <v>0</v>
      </c>
      <c r="DW152" s="161">
        <f t="shared" si="112"/>
        <v>0</v>
      </c>
      <c r="DX152" s="161">
        <f t="shared" si="113"/>
        <v>0</v>
      </c>
      <c r="DY152" s="161">
        <f t="shared" si="114"/>
        <v>0</v>
      </c>
      <c r="DZ152" s="161">
        <f t="shared" si="115"/>
        <v>0</v>
      </c>
      <c r="EA152" s="161">
        <f t="shared" si="116"/>
        <v>0</v>
      </c>
      <c r="EB152" s="161">
        <f t="shared" si="117"/>
        <v>0</v>
      </c>
      <c r="EC152" s="161">
        <f t="shared" si="118"/>
        <v>0</v>
      </c>
      <c r="ED152" s="161">
        <f t="shared" si="119"/>
        <v>0</v>
      </c>
      <c r="EE152" s="161">
        <f t="shared" si="120"/>
        <v>0</v>
      </c>
      <c r="EF152" s="161">
        <f t="shared" si="121"/>
        <v>0</v>
      </c>
      <c r="EG152" s="161">
        <f t="shared" si="122"/>
        <v>0</v>
      </c>
      <c r="EH152" s="161">
        <f t="shared" si="123"/>
        <v>0</v>
      </c>
      <c r="EI152" s="161">
        <f t="shared" si="124"/>
        <v>0</v>
      </c>
      <c r="EJ152" s="161">
        <f t="shared" si="125"/>
        <v>0</v>
      </c>
      <c r="EK152" s="147">
        <f t="shared" ref="EK152:EK183" si="173">IF(DF152="", "", SUM(DF152:EJ152))</f>
        <v>0</v>
      </c>
      <c r="EL152" s="149"/>
      <c r="EN152" s="151"/>
      <c r="EO152" s="151"/>
      <c r="EP152" s="139">
        <f t="shared" ref="EP152:EP183" si="174">IF(DF152="", "", DF152*G$36)</f>
        <v>0</v>
      </c>
      <c r="EQ152" s="139">
        <f t="shared" ref="EQ152:EQ183" si="175">IF(DG152="", "", DG152*H$36)</f>
        <v>0</v>
      </c>
      <c r="ER152" s="139">
        <f t="shared" ref="ER152:ER183" si="176">IF(DH152="", "", DH152*I$36)</f>
        <v>0</v>
      </c>
      <c r="ES152" s="139">
        <f t="shared" ref="ES152:ES183" si="177">IF(DI152="", "", DI152*J$36)</f>
        <v>0</v>
      </c>
      <c r="ET152" s="139">
        <f t="shared" ref="ET152:ET183" si="178">IF(DJ152="", "", DJ152*K$36)</f>
        <v>0</v>
      </c>
      <c r="EU152" s="139">
        <f t="shared" ref="EU152:EU183" si="179">IF(DK152="", "", DK152*L$36)</f>
        <v>0</v>
      </c>
      <c r="EV152" s="139">
        <f t="shared" ref="EV152:EV183" si="180">IF(DL152="", "", DL152*M$36)</f>
        <v>0</v>
      </c>
      <c r="EW152" s="139">
        <f t="shared" ref="EW152:EW183" si="181">IF(DM152="", "", DM152*N$36)</f>
        <v>0</v>
      </c>
      <c r="EX152" s="139">
        <f t="shared" ref="EX152:EX183" si="182">IF(DN152="", "", DN152*O$36)</f>
        <v>0</v>
      </c>
      <c r="EY152" s="139">
        <f t="shared" ref="EY152:EY183" si="183">IF(DO152="", "", DO152*P$36)</f>
        <v>0</v>
      </c>
      <c r="EZ152" s="139">
        <f t="shared" ref="EZ152:EZ183" si="184">IF(DP152="", "", DP152*Q$36)</f>
        <v>0</v>
      </c>
      <c r="FA152" s="139">
        <f t="shared" ref="FA152:FA183" si="185">IF(DQ152="", "", DQ152*R$36)</f>
        <v>0</v>
      </c>
      <c r="FB152" s="139">
        <f t="shared" ref="FB152:FB183" si="186">IF(DR152="", "", DR152*S$36)</f>
        <v>0</v>
      </c>
      <c r="FC152" s="139">
        <f t="shared" ref="FC152:FC183" si="187">IF(DS152="", "", DS152*T$36)</f>
        <v>0</v>
      </c>
      <c r="FD152" s="139">
        <f t="shared" ref="FD152:FD183" si="188">IF(DT152="", "", DT152*U$36)</f>
        <v>0</v>
      </c>
      <c r="FE152" s="139">
        <f t="shared" ref="FE152:FE183" si="189">IF(DU152="", "", DU152*V$36)</f>
        <v>0</v>
      </c>
      <c r="FF152" s="139">
        <f t="shared" ref="FF152:FF183" si="190">IF(DV152="", "", DV152*W$36)</f>
        <v>0</v>
      </c>
      <c r="FG152" s="139">
        <f t="shared" ref="FG152:FG183" si="191">IF(DW152="", "", DW152*X$36)</f>
        <v>0</v>
      </c>
      <c r="FH152" s="139">
        <f t="shared" ref="FH152:FH183" si="192">IF(DX152="", "", DX152*Y$36)</f>
        <v>0</v>
      </c>
      <c r="FI152" s="139">
        <f t="shared" ref="FI152:FI183" si="193">IF(DY152="", "", DY152*Z$36)</f>
        <v>0</v>
      </c>
      <c r="FJ152" s="139">
        <f t="shared" ref="FJ152:FJ183" si="194">IF(DZ152="", "", DZ152*AA$36)</f>
        <v>0</v>
      </c>
      <c r="FK152" s="139">
        <f t="shared" ref="FK152:FK183" si="195">IF(EA152="", "", EA152*AB$36)</f>
        <v>0</v>
      </c>
      <c r="FL152" s="139">
        <f t="shared" ref="FL152:FL183" si="196">IF(EB152="", "", EB152*AC$36)</f>
        <v>0</v>
      </c>
      <c r="FM152" s="139">
        <f t="shared" ref="FM152:FM183" si="197">IF(EC152="", "", EC152*AD$36)</f>
        <v>0</v>
      </c>
      <c r="FN152" s="139">
        <f t="shared" ref="FN152:FN183" si="198">IF(ED152="", "", ED152*AE$36)</f>
        <v>0</v>
      </c>
      <c r="FO152" s="139">
        <f t="shared" ref="FO152:FO183" si="199">IF(EE152="", "", EE152*AF$36)</f>
        <v>0</v>
      </c>
      <c r="FP152" s="139">
        <f t="shared" ref="FP152:FP183" si="200">IF(EF152="", "", EF152*AG$36)</f>
        <v>0</v>
      </c>
      <c r="FQ152" s="139">
        <f t="shared" ref="FQ152:FQ183" si="201">IF(EG152="", "", EG152*AH$36)</f>
        <v>0</v>
      </c>
      <c r="FR152" s="139">
        <f t="shared" ref="FR152:FR183" si="202">IF(EH152="", "", EH152*AI$36)</f>
        <v>0</v>
      </c>
      <c r="FS152" s="139">
        <f t="shared" ref="FS152:FS183" si="203">IF(EI152="", "", EI152*AJ$36)</f>
        <v>0</v>
      </c>
      <c r="FT152" s="139">
        <f t="shared" ref="FT152:FT183" si="204">IF(EJ152="", "", EJ152*AK$36)</f>
        <v>0</v>
      </c>
      <c r="FU152" s="148">
        <f t="shared" ref="FU152:FU183" si="205">IF(EP152="","",SUM(EP152:FT152))</f>
        <v>0</v>
      </c>
      <c r="FV152" s="149"/>
      <c r="FY152" s="213">
        <v>147</v>
      </c>
      <c r="FZ152">
        <v>1.596276202757001</v>
      </c>
      <c r="GA152">
        <v>22.536649966141852</v>
      </c>
      <c r="GB152">
        <v>10.238025401669583</v>
      </c>
      <c r="GC152">
        <v>0.94547505672132059</v>
      </c>
      <c r="GD152">
        <v>3.2804840735237755</v>
      </c>
      <c r="GE152">
        <v>5.4762501474696412</v>
      </c>
      <c r="GF152">
        <v>0.47734812494006024</v>
      </c>
      <c r="GG152">
        <v>1.3303875874480875</v>
      </c>
      <c r="GH152">
        <v>1.7568728840312078</v>
      </c>
      <c r="GI152">
        <v>5.2734340589095492</v>
      </c>
      <c r="GJ152"/>
      <c r="GK152"/>
      <c r="GL152"/>
      <c r="GM152"/>
      <c r="GN152" s="208"/>
      <c r="GO152" s="208"/>
      <c r="GP152" s="208"/>
      <c r="GQ152" s="208"/>
      <c r="GR152" s="208"/>
      <c r="GS152" s="208"/>
      <c r="GT152" s="208"/>
      <c r="GU152" s="213">
        <v>147</v>
      </c>
    </row>
    <row r="153" spans="1:203" s="7" customFormat="1">
      <c r="A153" s="77"/>
      <c r="B153" s="76">
        <f ca="1">IF(C153="", "", RAND())</f>
        <v>0.20490596261523386</v>
      </c>
      <c r="C153">
        <v>1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32.981407773952952</v>
      </c>
      <c r="AO153">
        <v>6.2557257382792022</v>
      </c>
      <c r="AP153">
        <v>168.23142286438969</v>
      </c>
      <c r="AQ153">
        <v>37.852700286361959</v>
      </c>
      <c r="AR153">
        <v>5.7412946692950326</v>
      </c>
      <c r="AS153">
        <v>81.49368815672301</v>
      </c>
      <c r="AT153" t="e">
        <v>#DIV/0!</v>
      </c>
      <c r="AU153" t="e">
        <v>#DIV/0!</v>
      </c>
      <c r="AV153"/>
      <c r="AW153"/>
      <c r="AX153" s="151"/>
      <c r="AY153" s="76">
        <f t="shared" ca="1" si="171"/>
        <v>6.904651467370404E-2</v>
      </c>
      <c r="AZ153">
        <v>6</v>
      </c>
      <c r="BA153" s="129">
        <f t="shared" si="170"/>
        <v>39847</v>
      </c>
      <c r="BB153" s="207">
        <v>0</v>
      </c>
      <c r="BC153" s="207">
        <v>0</v>
      </c>
      <c r="BD153" s="207">
        <v>0</v>
      </c>
      <c r="BE153" s="207">
        <v>0</v>
      </c>
      <c r="BF153" s="207">
        <v>0</v>
      </c>
      <c r="BG153" s="207">
        <v>0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M153" s="207">
        <v>0</v>
      </c>
      <c r="BN153" s="207">
        <v>0</v>
      </c>
      <c r="BO153" s="207">
        <v>0</v>
      </c>
      <c r="BP153" s="207">
        <v>0</v>
      </c>
      <c r="BQ153" s="207">
        <v>0</v>
      </c>
      <c r="BR153" s="207">
        <v>0</v>
      </c>
      <c r="BS153" s="207">
        <v>0</v>
      </c>
      <c r="BT153" s="207">
        <v>0</v>
      </c>
      <c r="BU153" s="207">
        <v>0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A153" s="207">
        <v>0</v>
      </c>
      <c r="CB153" s="207">
        <v>0</v>
      </c>
      <c r="CC153" s="207">
        <v>0</v>
      </c>
      <c r="CD153" s="207">
        <v>0</v>
      </c>
      <c r="CE153" s="207">
        <v>0</v>
      </c>
      <c r="CF153" s="207">
        <v>0</v>
      </c>
      <c r="CG153" s="147"/>
      <c r="CH153" s="176"/>
      <c r="CJ153" s="151"/>
      <c r="CK153" s="76">
        <f t="shared" ref="CK153:CK207" ca="1" si="206">IF(AZ153="", "", RAND())</f>
        <v>0.75749354101786204</v>
      </c>
      <c r="CL153" s="179">
        <f t="shared" ref="CL153:CL207" si="207">IF(AZ153="", "", AZ153)</f>
        <v>6</v>
      </c>
      <c r="CM153" s="180">
        <f t="shared" ref="CM153:CM207" si="208">IF(AZ153="", "", BA153)</f>
        <v>39847</v>
      </c>
      <c r="CN153" s="208">
        <v>0</v>
      </c>
      <c r="CO153" s="208">
        <v>0</v>
      </c>
      <c r="CP153" s="208">
        <v>0</v>
      </c>
      <c r="CQ153" s="208">
        <v>0</v>
      </c>
      <c r="CR153" s="208">
        <v>0</v>
      </c>
      <c r="CS153" s="208">
        <v>0</v>
      </c>
      <c r="CT153" s="208">
        <v>0</v>
      </c>
      <c r="CU153" s="208">
        <v>0</v>
      </c>
      <c r="CV153" s="160"/>
      <c r="CW153">
        <v>1</v>
      </c>
      <c r="CX153">
        <v>1</v>
      </c>
      <c r="CY153" s="160"/>
      <c r="CZ153" s="177">
        <f t="shared" ref="CZ153:CZ207" si="209">IF(AZ153="", "", $G$15)</f>
        <v>9.6000000000000002E-2</v>
      </c>
      <c r="DB153" s="151"/>
      <c r="DC153" s="76">
        <f t="shared" ca="1" si="172"/>
        <v>0.75446845228782422</v>
      </c>
      <c r="DD153">
        <f t="shared" ref="DD153:DD207" si="210">IF(AZ153="", "", AZ153)</f>
        <v>6</v>
      </c>
      <c r="DE153" s="129">
        <f t="shared" si="169"/>
        <v>39847</v>
      </c>
      <c r="DF153" s="161">
        <f t="shared" ref="DF153:DF187" si="211">IF($AZ153="", "", ((BB153*$CW153)+(CN153*$CX153))/$CZ153)</f>
        <v>0</v>
      </c>
      <c r="DG153" s="161">
        <f t="shared" ref="DG153:DG187" si="212">IF($AZ153="", "", ((BC153*$CW153)+(CO153*$CX153))/$CZ153)</f>
        <v>0</v>
      </c>
      <c r="DH153" s="161">
        <f t="shared" ref="DH153:DH187" si="213">IF($AZ153="", "", ((BD153*$CW153)+(CP153*$CX153))/$CZ153)</f>
        <v>0</v>
      </c>
      <c r="DI153" s="161">
        <f t="shared" ref="DI153:DI187" si="214">IF($AZ153="", "", ((BE153*$CW153)+(CQ153*$CX153))/$CZ153)</f>
        <v>0</v>
      </c>
      <c r="DJ153" s="161">
        <f t="shared" ref="DJ153:DJ187" si="215">IF($AZ153="", "", ((BF153*$CW153)+(CR153*$CX153))/$CZ153)</f>
        <v>0</v>
      </c>
      <c r="DK153" s="161">
        <f t="shared" ref="DK153:DK187" si="216">IF($AZ153="", "", ((BG153*$CW153)+(CS153*$CX153))/$CZ153)</f>
        <v>0</v>
      </c>
      <c r="DL153" s="161">
        <f t="shared" ref="DL153:DL187" si="217">IF($AZ153="", "", ((BH153*$CW153)+(CT153*$CX153))/$CZ153)</f>
        <v>0</v>
      </c>
      <c r="DM153" s="161">
        <f t="shared" ref="DM153:DM187" si="218">IF($AZ153="", "", ((BI153*$CW153)+(CU153*$CX153))/$CZ153)</f>
        <v>0</v>
      </c>
      <c r="DN153" s="161">
        <f t="shared" ref="DN153:DN187" si="219">IF($AZ153="", "", (BJ153*$CW153)/$CZ153)</f>
        <v>0</v>
      </c>
      <c r="DO153" s="161">
        <f t="shared" ref="DO153:DO187" si="220">IF($AZ153="", "", (BK153*$CW153)/$CZ153)</f>
        <v>0</v>
      </c>
      <c r="DP153" s="161">
        <f t="shared" ref="DP153:DP187" si="221">IF($AZ153="", "", (BL153*$CW153)/$CZ153)</f>
        <v>0</v>
      </c>
      <c r="DQ153" s="161">
        <f t="shared" ref="DQ153:DQ187" si="222">IF($AZ153="", "", (BM153*$CW153)/$CZ153)</f>
        <v>0</v>
      </c>
      <c r="DR153" s="161">
        <f t="shared" ref="DR153:DR187" si="223">IF($AZ153="", "", (BN153*$CW153)/$CZ153)</f>
        <v>0</v>
      </c>
      <c r="DS153" s="161">
        <f t="shared" ref="DS153:DS187" si="224">IF($AZ153="", "", (BO153*$CW153)/$CZ153)</f>
        <v>0</v>
      </c>
      <c r="DT153" s="161">
        <f t="shared" ref="DT153:DT187" si="225">IF($AZ153="", "", (BP153*$CW153)/$CZ153)</f>
        <v>0</v>
      </c>
      <c r="DU153" s="161">
        <f t="shared" ref="DU153:DU187" si="226">IF($AZ153="", "", (BQ153*$CW153)/$CZ153)</f>
        <v>0</v>
      </c>
      <c r="DV153" s="161">
        <f t="shared" ref="DV153:DV187" si="227">IF($AZ153="", "", (BR153*$CW153)/$CZ153)</f>
        <v>0</v>
      </c>
      <c r="DW153" s="161">
        <f t="shared" ref="DW153:DW187" si="228">IF($AZ153="", "", (BS153*$CW153)/$CZ153)</f>
        <v>0</v>
      </c>
      <c r="DX153" s="161">
        <f t="shared" ref="DX153:DX187" si="229">IF($AZ153="", "", (BT153*$CW153)/$CZ153)</f>
        <v>0</v>
      </c>
      <c r="DY153" s="161">
        <f t="shared" ref="DY153:DY187" si="230">IF($AZ153="", "", (BU153*$CW153)/$CZ153)</f>
        <v>0</v>
      </c>
      <c r="DZ153" s="161">
        <f t="shared" ref="DZ153:DZ187" si="231">IF($AZ153="", "", (BV153*$CW153)/$CZ153)</f>
        <v>0</v>
      </c>
      <c r="EA153" s="161">
        <f t="shared" ref="EA153:EA187" si="232">IF($AZ153="", "", (BW153*$CW153)/$CZ153)</f>
        <v>0</v>
      </c>
      <c r="EB153" s="161">
        <f t="shared" ref="EB153:EB187" si="233">IF($AZ153="", "", (BX153*$CW153)/$CZ153)</f>
        <v>0</v>
      </c>
      <c r="EC153" s="161">
        <f t="shared" ref="EC153:EC187" si="234">IF($AZ153="", "", (BY153*$CW153)/$CZ153)</f>
        <v>0</v>
      </c>
      <c r="ED153" s="161">
        <f t="shared" ref="ED153:ED187" si="235">IF($AZ153="", "", (BZ153*$CW153)/$CZ153)</f>
        <v>0</v>
      </c>
      <c r="EE153" s="161">
        <f t="shared" ref="EE153:EE187" si="236">IF($AZ153="", "", (CA153*$CW153)/$CZ153)</f>
        <v>0</v>
      </c>
      <c r="EF153" s="161">
        <f t="shared" ref="EF153:EF187" si="237">IF($AZ153="", "", (CB153*$CW153)/$CZ153)</f>
        <v>0</v>
      </c>
      <c r="EG153" s="161">
        <f t="shared" ref="EG153:EG187" si="238">IF($AZ153="", "", (CC153*$CW153)/$CZ153)</f>
        <v>0</v>
      </c>
      <c r="EH153" s="161">
        <f t="shared" ref="EH153:EH187" si="239">IF($AZ153="", "", (CD153*$CW153)/$CZ153)</f>
        <v>0</v>
      </c>
      <c r="EI153" s="161">
        <f t="shared" ref="EI153:EI187" si="240">IF($AZ153="", "", (CE153*$CW153)/$CZ153)</f>
        <v>0</v>
      </c>
      <c r="EJ153" s="161">
        <f t="shared" ref="EJ153:EJ187" si="241">IF($AZ153="", "", (CF153*$CW153)/$CZ153)</f>
        <v>0</v>
      </c>
      <c r="EK153" s="147">
        <f t="shared" si="173"/>
        <v>0</v>
      </c>
      <c r="EL153" s="149"/>
      <c r="EN153" s="151"/>
      <c r="EO153" s="151"/>
      <c r="EP153" s="139">
        <f t="shared" si="174"/>
        <v>0</v>
      </c>
      <c r="EQ153" s="139">
        <f t="shared" si="175"/>
        <v>0</v>
      </c>
      <c r="ER153" s="139">
        <f t="shared" si="176"/>
        <v>0</v>
      </c>
      <c r="ES153" s="139">
        <f t="shared" si="177"/>
        <v>0</v>
      </c>
      <c r="ET153" s="139">
        <f t="shared" si="178"/>
        <v>0</v>
      </c>
      <c r="EU153" s="139">
        <f t="shared" si="179"/>
        <v>0</v>
      </c>
      <c r="EV153" s="139">
        <f t="shared" si="180"/>
        <v>0</v>
      </c>
      <c r="EW153" s="139">
        <f t="shared" si="181"/>
        <v>0</v>
      </c>
      <c r="EX153" s="139">
        <f t="shared" si="182"/>
        <v>0</v>
      </c>
      <c r="EY153" s="139">
        <f t="shared" si="183"/>
        <v>0</v>
      </c>
      <c r="EZ153" s="139">
        <f t="shared" si="184"/>
        <v>0</v>
      </c>
      <c r="FA153" s="139">
        <f t="shared" si="185"/>
        <v>0</v>
      </c>
      <c r="FB153" s="139">
        <f t="shared" si="186"/>
        <v>0</v>
      </c>
      <c r="FC153" s="139">
        <f t="shared" si="187"/>
        <v>0</v>
      </c>
      <c r="FD153" s="139">
        <f t="shared" si="188"/>
        <v>0</v>
      </c>
      <c r="FE153" s="139">
        <f t="shared" si="189"/>
        <v>0</v>
      </c>
      <c r="FF153" s="139">
        <f t="shared" si="190"/>
        <v>0</v>
      </c>
      <c r="FG153" s="139">
        <f t="shared" si="191"/>
        <v>0</v>
      </c>
      <c r="FH153" s="139">
        <f t="shared" si="192"/>
        <v>0</v>
      </c>
      <c r="FI153" s="139">
        <f t="shared" si="193"/>
        <v>0</v>
      </c>
      <c r="FJ153" s="139">
        <f t="shared" si="194"/>
        <v>0</v>
      </c>
      <c r="FK153" s="139">
        <f t="shared" si="195"/>
        <v>0</v>
      </c>
      <c r="FL153" s="139">
        <f t="shared" si="196"/>
        <v>0</v>
      </c>
      <c r="FM153" s="139">
        <f t="shared" si="197"/>
        <v>0</v>
      </c>
      <c r="FN153" s="139">
        <f t="shared" si="198"/>
        <v>0</v>
      </c>
      <c r="FO153" s="139">
        <f t="shared" si="199"/>
        <v>0</v>
      </c>
      <c r="FP153" s="139">
        <f t="shared" si="200"/>
        <v>0</v>
      </c>
      <c r="FQ153" s="139">
        <f t="shared" si="201"/>
        <v>0</v>
      </c>
      <c r="FR153" s="139">
        <f t="shared" si="202"/>
        <v>0</v>
      </c>
      <c r="FS153" s="139">
        <f t="shared" si="203"/>
        <v>0</v>
      </c>
      <c r="FT153" s="139">
        <f t="shared" si="204"/>
        <v>0</v>
      </c>
      <c r="FU153" s="148">
        <f t="shared" si="205"/>
        <v>0</v>
      </c>
      <c r="FV153" s="149"/>
      <c r="FY153" s="213">
        <v>148</v>
      </c>
      <c r="FZ153">
        <v>2.1834373233262436</v>
      </c>
      <c r="GA153">
        <v>16.903008991504489</v>
      </c>
      <c r="GB153">
        <v>7.4274935905284938</v>
      </c>
      <c r="GC153">
        <v>1.3302638723983682</v>
      </c>
      <c r="GD153">
        <v>2.1744048017298803</v>
      </c>
      <c r="GE153">
        <v>2.921187285919963</v>
      </c>
      <c r="GF153">
        <v>0.95469624988012047</v>
      </c>
      <c r="GG153">
        <v>2.2917257579058905</v>
      </c>
      <c r="GH153">
        <v>3.2445436953371196</v>
      </c>
      <c r="GI153">
        <v>4.2473332746080956</v>
      </c>
      <c r="GJ153"/>
      <c r="GK153"/>
      <c r="GL153"/>
      <c r="GM153"/>
      <c r="GN153" s="208"/>
      <c r="GO153" s="208"/>
      <c r="GP153" s="208"/>
      <c r="GQ153" s="208"/>
      <c r="GR153" s="208"/>
      <c r="GS153" s="208"/>
      <c r="GT153" s="208"/>
      <c r="GU153" s="213">
        <v>148</v>
      </c>
    </row>
    <row r="154" spans="1:203" s="7" customFormat="1">
      <c r="A154" s="77"/>
      <c r="B154" s="76">
        <f ca="1">IF(C154="", "", RAND())</f>
        <v>0.34781477868461552</v>
      </c>
      <c r="C154">
        <v>2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42.924860154905332</v>
      </c>
      <c r="AO154">
        <v>9.0319476761165873</v>
      </c>
      <c r="AP154">
        <v>219.93659222639462</v>
      </c>
      <c r="AQ154">
        <v>56.807476247811792</v>
      </c>
      <c r="AR154">
        <v>8.3194040654611392</v>
      </c>
      <c r="AS154">
        <v>111.41623540671038</v>
      </c>
      <c r="AT154" t="e">
        <v>#DIV/0!</v>
      </c>
      <c r="AU154" t="e">
        <v>#DIV/0!</v>
      </c>
      <c r="AV154"/>
      <c r="AW154"/>
      <c r="AX154" s="151"/>
      <c r="AY154" s="76">
        <f t="shared" ca="1" si="171"/>
        <v>0.3144079685260559</v>
      </c>
      <c r="AZ154">
        <v>7</v>
      </c>
      <c r="BA154" s="129">
        <f t="shared" si="170"/>
        <v>39847</v>
      </c>
      <c r="BB154" s="207">
        <v>0</v>
      </c>
      <c r="BC154" s="207">
        <v>0</v>
      </c>
      <c r="BD154" s="207">
        <v>0</v>
      </c>
      <c r="BE154" s="207">
        <v>0</v>
      </c>
      <c r="BF154" s="207">
        <v>0</v>
      </c>
      <c r="BG154" s="207">
        <v>0</v>
      </c>
      <c r="BH154" s="207">
        <v>0</v>
      </c>
      <c r="BI154" s="207">
        <v>0</v>
      </c>
      <c r="BJ154" s="207">
        <v>0</v>
      </c>
      <c r="BK154" s="207">
        <v>0</v>
      </c>
      <c r="BL154" s="207">
        <v>0</v>
      </c>
      <c r="BM154" s="207">
        <v>0</v>
      </c>
      <c r="BN154" s="207">
        <v>0</v>
      </c>
      <c r="BO154" s="207">
        <v>0</v>
      </c>
      <c r="BP154" s="207">
        <v>0</v>
      </c>
      <c r="BQ154" s="207">
        <v>0</v>
      </c>
      <c r="BR154" s="207">
        <v>0</v>
      </c>
      <c r="BS154" s="207">
        <v>0</v>
      </c>
      <c r="BT154" s="207">
        <v>0</v>
      </c>
      <c r="BU154" s="207">
        <v>0</v>
      </c>
      <c r="BV154" s="207">
        <v>0</v>
      </c>
      <c r="BW154" s="207">
        <v>0</v>
      </c>
      <c r="BX154" s="207">
        <v>0</v>
      </c>
      <c r="BY154" s="207">
        <v>0</v>
      </c>
      <c r="BZ154" s="207">
        <v>0</v>
      </c>
      <c r="CA154" s="207">
        <v>0</v>
      </c>
      <c r="CB154" s="207">
        <v>0</v>
      </c>
      <c r="CC154" s="207">
        <v>0</v>
      </c>
      <c r="CD154" s="207">
        <v>0</v>
      </c>
      <c r="CE154" s="207">
        <v>0</v>
      </c>
      <c r="CF154" s="207">
        <v>0</v>
      </c>
      <c r="CG154" s="147"/>
      <c r="CH154" s="176"/>
      <c r="CJ154" s="151"/>
      <c r="CK154" s="76">
        <f t="shared" ca="1" si="206"/>
        <v>0.64574092365618885</v>
      </c>
      <c r="CL154" s="179">
        <f t="shared" si="207"/>
        <v>7</v>
      </c>
      <c r="CM154" s="180">
        <f t="shared" si="208"/>
        <v>39847</v>
      </c>
      <c r="CN154" s="208">
        <v>0</v>
      </c>
      <c r="CO154" s="208">
        <v>0</v>
      </c>
      <c r="CP154" s="208">
        <v>0</v>
      </c>
      <c r="CQ154" s="208">
        <v>0</v>
      </c>
      <c r="CR154" s="208">
        <v>0</v>
      </c>
      <c r="CS154" s="208">
        <v>0</v>
      </c>
      <c r="CT154" s="208">
        <v>0</v>
      </c>
      <c r="CU154" s="208">
        <v>0</v>
      </c>
      <c r="CV154" s="160"/>
      <c r="CW154">
        <v>1</v>
      </c>
      <c r="CX154">
        <v>1</v>
      </c>
      <c r="CY154" s="165"/>
      <c r="CZ154" s="177">
        <f t="shared" si="209"/>
        <v>9.6000000000000002E-2</v>
      </c>
      <c r="DB154" s="151"/>
      <c r="DC154" s="76">
        <f t="shared" ca="1" si="172"/>
        <v>0.3789517025359399</v>
      </c>
      <c r="DD154">
        <f t="shared" si="210"/>
        <v>7</v>
      </c>
      <c r="DE154" s="129">
        <f t="shared" si="169"/>
        <v>39847</v>
      </c>
      <c r="DF154" s="161">
        <f t="shared" si="211"/>
        <v>0</v>
      </c>
      <c r="DG154" s="161">
        <f t="shared" si="212"/>
        <v>0</v>
      </c>
      <c r="DH154" s="161">
        <f t="shared" si="213"/>
        <v>0</v>
      </c>
      <c r="DI154" s="161">
        <f t="shared" si="214"/>
        <v>0</v>
      </c>
      <c r="DJ154" s="161">
        <f t="shared" si="215"/>
        <v>0</v>
      </c>
      <c r="DK154" s="161">
        <f t="shared" si="216"/>
        <v>0</v>
      </c>
      <c r="DL154" s="161">
        <f t="shared" si="217"/>
        <v>0</v>
      </c>
      <c r="DM154" s="161">
        <f t="shared" si="218"/>
        <v>0</v>
      </c>
      <c r="DN154" s="161">
        <f t="shared" si="219"/>
        <v>0</v>
      </c>
      <c r="DO154" s="161">
        <f t="shared" si="220"/>
        <v>0</v>
      </c>
      <c r="DP154" s="161">
        <f t="shared" si="221"/>
        <v>0</v>
      </c>
      <c r="DQ154" s="161">
        <f t="shared" si="222"/>
        <v>0</v>
      </c>
      <c r="DR154" s="161">
        <f t="shared" si="223"/>
        <v>0</v>
      </c>
      <c r="DS154" s="161">
        <f t="shared" si="224"/>
        <v>0</v>
      </c>
      <c r="DT154" s="161">
        <f t="shared" si="225"/>
        <v>0</v>
      </c>
      <c r="DU154" s="161">
        <f t="shared" si="226"/>
        <v>0</v>
      </c>
      <c r="DV154" s="161">
        <f t="shared" si="227"/>
        <v>0</v>
      </c>
      <c r="DW154" s="161">
        <f t="shared" si="228"/>
        <v>0</v>
      </c>
      <c r="DX154" s="161">
        <f t="shared" si="229"/>
        <v>0</v>
      </c>
      <c r="DY154" s="161">
        <f t="shared" si="230"/>
        <v>0</v>
      </c>
      <c r="DZ154" s="161">
        <f t="shared" si="231"/>
        <v>0</v>
      </c>
      <c r="EA154" s="161">
        <f t="shared" si="232"/>
        <v>0</v>
      </c>
      <c r="EB154" s="161">
        <f t="shared" si="233"/>
        <v>0</v>
      </c>
      <c r="EC154" s="161">
        <f t="shared" si="234"/>
        <v>0</v>
      </c>
      <c r="ED154" s="161">
        <f t="shared" si="235"/>
        <v>0</v>
      </c>
      <c r="EE154" s="161">
        <f t="shared" si="236"/>
        <v>0</v>
      </c>
      <c r="EF154" s="161">
        <f t="shared" si="237"/>
        <v>0</v>
      </c>
      <c r="EG154" s="161">
        <f t="shared" si="238"/>
        <v>0</v>
      </c>
      <c r="EH154" s="161">
        <f t="shared" si="239"/>
        <v>0</v>
      </c>
      <c r="EI154" s="161">
        <f t="shared" si="240"/>
        <v>0</v>
      </c>
      <c r="EJ154" s="161">
        <f t="shared" si="241"/>
        <v>0</v>
      </c>
      <c r="EK154" s="147">
        <f t="shared" si="173"/>
        <v>0</v>
      </c>
      <c r="EL154" s="149"/>
      <c r="EN154" s="151"/>
      <c r="EO154" s="151"/>
      <c r="EP154" s="139">
        <f t="shared" si="174"/>
        <v>0</v>
      </c>
      <c r="EQ154" s="139">
        <f t="shared" si="175"/>
        <v>0</v>
      </c>
      <c r="ER154" s="139">
        <f t="shared" si="176"/>
        <v>0</v>
      </c>
      <c r="ES154" s="139">
        <f t="shared" si="177"/>
        <v>0</v>
      </c>
      <c r="ET154" s="139">
        <f t="shared" si="178"/>
        <v>0</v>
      </c>
      <c r="EU154" s="139">
        <f t="shared" si="179"/>
        <v>0</v>
      </c>
      <c r="EV154" s="139">
        <f t="shared" si="180"/>
        <v>0</v>
      </c>
      <c r="EW154" s="139">
        <f t="shared" si="181"/>
        <v>0</v>
      </c>
      <c r="EX154" s="139">
        <f t="shared" si="182"/>
        <v>0</v>
      </c>
      <c r="EY154" s="139">
        <f t="shared" si="183"/>
        <v>0</v>
      </c>
      <c r="EZ154" s="139">
        <f t="shared" si="184"/>
        <v>0</v>
      </c>
      <c r="FA154" s="139">
        <f t="shared" si="185"/>
        <v>0</v>
      </c>
      <c r="FB154" s="139">
        <f t="shared" si="186"/>
        <v>0</v>
      </c>
      <c r="FC154" s="139">
        <f t="shared" si="187"/>
        <v>0</v>
      </c>
      <c r="FD154" s="139">
        <f t="shared" si="188"/>
        <v>0</v>
      </c>
      <c r="FE154" s="139">
        <f t="shared" si="189"/>
        <v>0</v>
      </c>
      <c r="FF154" s="139">
        <f t="shared" si="190"/>
        <v>0</v>
      </c>
      <c r="FG154" s="139">
        <f t="shared" si="191"/>
        <v>0</v>
      </c>
      <c r="FH154" s="139">
        <f t="shared" si="192"/>
        <v>0</v>
      </c>
      <c r="FI154" s="139">
        <f t="shared" si="193"/>
        <v>0</v>
      </c>
      <c r="FJ154" s="139">
        <f t="shared" si="194"/>
        <v>0</v>
      </c>
      <c r="FK154" s="139">
        <f t="shared" si="195"/>
        <v>0</v>
      </c>
      <c r="FL154" s="139">
        <f t="shared" si="196"/>
        <v>0</v>
      </c>
      <c r="FM154" s="139">
        <f t="shared" si="197"/>
        <v>0</v>
      </c>
      <c r="FN154" s="139">
        <f t="shared" si="198"/>
        <v>0</v>
      </c>
      <c r="FO154" s="139">
        <f t="shared" si="199"/>
        <v>0</v>
      </c>
      <c r="FP154" s="139">
        <f t="shared" si="200"/>
        <v>0</v>
      </c>
      <c r="FQ154" s="139">
        <f t="shared" si="201"/>
        <v>0</v>
      </c>
      <c r="FR154" s="139">
        <f t="shared" si="202"/>
        <v>0</v>
      </c>
      <c r="FS154" s="139">
        <f t="shared" si="203"/>
        <v>0</v>
      </c>
      <c r="FT154" s="139">
        <f t="shared" si="204"/>
        <v>0</v>
      </c>
      <c r="FU154" s="148">
        <f t="shared" si="205"/>
        <v>0</v>
      </c>
      <c r="FV154" s="149"/>
      <c r="FY154" s="213">
        <v>149</v>
      </c>
      <c r="FZ154">
        <v>2.7705984438954863</v>
      </c>
      <c r="GA154">
        <v>14.640554023684649</v>
      </c>
      <c r="GB154">
        <v>6.3291694005546306</v>
      </c>
      <c r="GC154">
        <v>0.68735954847135616</v>
      </c>
      <c r="GD154">
        <v>2.2055144758966536</v>
      </c>
      <c r="GE154">
        <v>3.4038982488286678</v>
      </c>
      <c r="GF154">
        <v>0</v>
      </c>
      <c r="GG154">
        <v>7.4348284346643911</v>
      </c>
      <c r="GH154">
        <v>10.461596995627442</v>
      </c>
      <c r="GI154">
        <v>5.1104893951753425</v>
      </c>
      <c r="GJ154"/>
      <c r="GK154"/>
      <c r="GL154"/>
      <c r="GM154"/>
      <c r="GN154" s="208"/>
      <c r="GO154" s="208"/>
      <c r="GP154" s="208"/>
      <c r="GQ154" s="208"/>
      <c r="GR154" s="208"/>
      <c r="GS154" s="208"/>
      <c r="GT154" s="208"/>
      <c r="GU154" s="213">
        <v>149</v>
      </c>
    </row>
    <row r="155" spans="1:203" s="7" customFormat="1">
      <c r="A155" s="77"/>
      <c r="B155" s="76">
        <f ca="1">IF(C155="", "", RAND())</f>
        <v>0.713661757599378</v>
      </c>
      <c r="C155">
        <v>7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23.94437643843024</v>
      </c>
      <c r="AO155">
        <v>4.9039268883662714</v>
      </c>
      <c r="AP155">
        <v>102.78070179785664</v>
      </c>
      <c r="AQ155">
        <v>35.489576003823409</v>
      </c>
      <c r="AR155">
        <v>4.5123866239196389</v>
      </c>
      <c r="AS155">
        <v>57.76423027102301</v>
      </c>
      <c r="AT155" t="e">
        <v>#DIV/0!</v>
      </c>
      <c r="AU155" t="e">
        <v>#DIV/0!</v>
      </c>
      <c r="AV155"/>
      <c r="AW155"/>
      <c r="AX155" s="151"/>
      <c r="AY155" s="76">
        <f t="shared" ca="1" si="171"/>
        <v>0.73795731091496286</v>
      </c>
      <c r="AZ155">
        <v>8</v>
      </c>
      <c r="BA155" s="129">
        <f t="shared" si="170"/>
        <v>39847</v>
      </c>
      <c r="BB155" s="207">
        <v>0</v>
      </c>
      <c r="BC155" s="207">
        <v>0</v>
      </c>
      <c r="BD155" s="207">
        <v>0</v>
      </c>
      <c r="BE155" s="207">
        <v>0</v>
      </c>
      <c r="BF155" s="207">
        <v>0</v>
      </c>
      <c r="BG155" s="207">
        <v>0</v>
      </c>
      <c r="BH155" s="207">
        <v>1</v>
      </c>
      <c r="BI155" s="207">
        <v>0</v>
      </c>
      <c r="BJ155" s="207">
        <v>0</v>
      </c>
      <c r="BK155" s="207">
        <v>0</v>
      </c>
      <c r="BL155" s="207">
        <v>0</v>
      </c>
      <c r="BM155" s="207">
        <v>0</v>
      </c>
      <c r="BN155" s="207">
        <v>0</v>
      </c>
      <c r="BO155" s="207">
        <v>0</v>
      </c>
      <c r="BP155" s="207">
        <v>0</v>
      </c>
      <c r="BQ155" s="207">
        <v>0</v>
      </c>
      <c r="BR155" s="207">
        <v>0</v>
      </c>
      <c r="BS155" s="207">
        <v>0</v>
      </c>
      <c r="BT155" s="207">
        <v>0</v>
      </c>
      <c r="BU155" s="207">
        <v>0</v>
      </c>
      <c r="BV155" s="207">
        <v>0</v>
      </c>
      <c r="BW155" s="207">
        <v>0</v>
      </c>
      <c r="BX155" s="207">
        <v>0</v>
      </c>
      <c r="BY155" s="207">
        <v>0</v>
      </c>
      <c r="BZ155" s="207">
        <v>0</v>
      </c>
      <c r="CA155" s="207">
        <v>0</v>
      </c>
      <c r="CB155" s="207">
        <v>0</v>
      </c>
      <c r="CC155" s="207">
        <v>0</v>
      </c>
      <c r="CD155" s="207">
        <v>0</v>
      </c>
      <c r="CE155" s="207">
        <v>0</v>
      </c>
      <c r="CF155" s="207">
        <v>0</v>
      </c>
      <c r="CG155" s="147"/>
      <c r="CH155" s="176"/>
      <c r="CJ155" s="151"/>
      <c r="CK155" s="76">
        <f t="shared" ca="1" si="206"/>
        <v>0.51886343220665943</v>
      </c>
      <c r="CL155" s="179">
        <f t="shared" si="207"/>
        <v>8</v>
      </c>
      <c r="CM155" s="180">
        <f t="shared" si="208"/>
        <v>39847</v>
      </c>
      <c r="CN155" s="208">
        <v>0</v>
      </c>
      <c r="CO155" s="208">
        <v>0</v>
      </c>
      <c r="CP155" s="208">
        <v>0</v>
      </c>
      <c r="CQ155" s="208">
        <v>0</v>
      </c>
      <c r="CR155" s="208">
        <v>0</v>
      </c>
      <c r="CS155" s="208">
        <v>0</v>
      </c>
      <c r="CT155" s="208">
        <v>0</v>
      </c>
      <c r="CU155" s="208">
        <v>0</v>
      </c>
      <c r="CV155" s="160"/>
      <c r="CW155">
        <v>1</v>
      </c>
      <c r="CX155">
        <f>360/54</f>
        <v>6.666666666666667</v>
      </c>
      <c r="CY155" s="165"/>
      <c r="CZ155" s="177">
        <f t="shared" si="209"/>
        <v>9.6000000000000002E-2</v>
      </c>
      <c r="DB155" s="151"/>
      <c r="DC155" s="76">
        <f t="shared" ca="1" si="172"/>
        <v>0.57085395867531652</v>
      </c>
      <c r="DD155">
        <f t="shared" si="210"/>
        <v>8</v>
      </c>
      <c r="DE155" s="129">
        <f t="shared" si="169"/>
        <v>39847</v>
      </c>
      <c r="DF155" s="161">
        <f t="shared" si="211"/>
        <v>0</v>
      </c>
      <c r="DG155" s="161">
        <f t="shared" si="212"/>
        <v>0</v>
      </c>
      <c r="DH155" s="161">
        <f t="shared" si="213"/>
        <v>0</v>
      </c>
      <c r="DI155" s="161">
        <f t="shared" si="214"/>
        <v>0</v>
      </c>
      <c r="DJ155" s="161">
        <f t="shared" si="215"/>
        <v>0</v>
      </c>
      <c r="DK155" s="161">
        <f t="shared" si="216"/>
        <v>0</v>
      </c>
      <c r="DL155" s="161">
        <f t="shared" si="217"/>
        <v>10.416666666666666</v>
      </c>
      <c r="DM155" s="161">
        <f t="shared" si="218"/>
        <v>0</v>
      </c>
      <c r="DN155" s="161">
        <f t="shared" si="219"/>
        <v>0</v>
      </c>
      <c r="DO155" s="161">
        <f t="shared" si="220"/>
        <v>0</v>
      </c>
      <c r="DP155" s="161">
        <f t="shared" si="221"/>
        <v>0</v>
      </c>
      <c r="DQ155" s="161">
        <f t="shared" si="222"/>
        <v>0</v>
      </c>
      <c r="DR155" s="161">
        <f t="shared" si="223"/>
        <v>0</v>
      </c>
      <c r="DS155" s="161">
        <f t="shared" si="224"/>
        <v>0</v>
      </c>
      <c r="DT155" s="161">
        <f t="shared" si="225"/>
        <v>0</v>
      </c>
      <c r="DU155" s="161">
        <f t="shared" si="226"/>
        <v>0</v>
      </c>
      <c r="DV155" s="161">
        <f t="shared" si="227"/>
        <v>0</v>
      </c>
      <c r="DW155" s="161">
        <f t="shared" si="228"/>
        <v>0</v>
      </c>
      <c r="DX155" s="161">
        <f t="shared" si="229"/>
        <v>0</v>
      </c>
      <c r="DY155" s="161">
        <f t="shared" si="230"/>
        <v>0</v>
      </c>
      <c r="DZ155" s="161">
        <f t="shared" si="231"/>
        <v>0</v>
      </c>
      <c r="EA155" s="161">
        <f t="shared" si="232"/>
        <v>0</v>
      </c>
      <c r="EB155" s="161">
        <f t="shared" si="233"/>
        <v>0</v>
      </c>
      <c r="EC155" s="161">
        <f t="shared" si="234"/>
        <v>0</v>
      </c>
      <c r="ED155" s="161">
        <f t="shared" si="235"/>
        <v>0</v>
      </c>
      <c r="EE155" s="161">
        <f t="shared" si="236"/>
        <v>0</v>
      </c>
      <c r="EF155" s="161">
        <f t="shared" si="237"/>
        <v>0</v>
      </c>
      <c r="EG155" s="161">
        <f t="shared" si="238"/>
        <v>0</v>
      </c>
      <c r="EH155" s="161">
        <f t="shared" si="239"/>
        <v>0</v>
      </c>
      <c r="EI155" s="161">
        <f t="shared" si="240"/>
        <v>0</v>
      </c>
      <c r="EJ155" s="161">
        <f t="shared" si="241"/>
        <v>0</v>
      </c>
      <c r="EK155" s="147">
        <f t="shared" si="173"/>
        <v>10.416666666666666</v>
      </c>
      <c r="EL155" s="149"/>
      <c r="EN155" s="151"/>
      <c r="EO155" s="151"/>
      <c r="EP155" s="139">
        <f t="shared" si="174"/>
        <v>0</v>
      </c>
      <c r="EQ155" s="139">
        <f t="shared" si="175"/>
        <v>0</v>
      </c>
      <c r="ER155" s="139">
        <f t="shared" si="176"/>
        <v>0</v>
      </c>
      <c r="ES155" s="139">
        <f t="shared" si="177"/>
        <v>0</v>
      </c>
      <c r="ET155" s="139">
        <f t="shared" si="178"/>
        <v>0</v>
      </c>
      <c r="EU155" s="139">
        <f t="shared" si="179"/>
        <v>0</v>
      </c>
      <c r="EV155" s="139">
        <f t="shared" si="180"/>
        <v>14.286847949341793</v>
      </c>
      <c r="EW155" s="139">
        <f t="shared" si="181"/>
        <v>0</v>
      </c>
      <c r="EX155" s="139">
        <f t="shared" si="182"/>
        <v>0</v>
      </c>
      <c r="EY155" s="139">
        <f t="shared" si="183"/>
        <v>0</v>
      </c>
      <c r="EZ155" s="139">
        <f t="shared" si="184"/>
        <v>0</v>
      </c>
      <c r="FA155" s="139">
        <f t="shared" si="185"/>
        <v>0</v>
      </c>
      <c r="FB155" s="139">
        <f t="shared" si="186"/>
        <v>0</v>
      </c>
      <c r="FC155" s="139">
        <f t="shared" si="187"/>
        <v>0</v>
      </c>
      <c r="FD155" s="139">
        <f t="shared" si="188"/>
        <v>0</v>
      </c>
      <c r="FE155" s="139">
        <f t="shared" si="189"/>
        <v>0</v>
      </c>
      <c r="FF155" s="139">
        <f t="shared" si="190"/>
        <v>0</v>
      </c>
      <c r="FG155" s="139">
        <f t="shared" si="191"/>
        <v>0</v>
      </c>
      <c r="FH155" s="139">
        <f t="shared" si="192"/>
        <v>0</v>
      </c>
      <c r="FI155" s="139">
        <f t="shared" si="193"/>
        <v>0</v>
      </c>
      <c r="FJ155" s="139">
        <f t="shared" si="194"/>
        <v>0</v>
      </c>
      <c r="FK155" s="139">
        <f t="shared" si="195"/>
        <v>0</v>
      </c>
      <c r="FL155" s="139">
        <f t="shared" si="196"/>
        <v>0</v>
      </c>
      <c r="FM155" s="139">
        <f t="shared" si="197"/>
        <v>0</v>
      </c>
      <c r="FN155" s="139">
        <f t="shared" si="198"/>
        <v>0</v>
      </c>
      <c r="FO155" s="139">
        <f t="shared" si="199"/>
        <v>0</v>
      </c>
      <c r="FP155" s="139">
        <f t="shared" si="200"/>
        <v>0</v>
      </c>
      <c r="FQ155" s="139">
        <f t="shared" si="201"/>
        <v>0</v>
      </c>
      <c r="FR155" s="139">
        <f t="shared" si="202"/>
        <v>0</v>
      </c>
      <c r="FS155" s="139">
        <f t="shared" si="203"/>
        <v>0</v>
      </c>
      <c r="FT155" s="139">
        <f t="shared" si="204"/>
        <v>0</v>
      </c>
      <c r="FU155" s="148">
        <f t="shared" si="205"/>
        <v>14.286847949341793</v>
      </c>
      <c r="FV155" s="149"/>
      <c r="FY155" s="213">
        <v>150</v>
      </c>
      <c r="FZ155">
        <v>3.7797135260832437</v>
      </c>
      <c r="GA155">
        <v>20.22464480026283</v>
      </c>
      <c r="GB155">
        <v>8.2612940823094707</v>
      </c>
      <c r="GC155">
        <v>0.53976406905949814</v>
      </c>
      <c r="GD155">
        <v>1.175126678329764</v>
      </c>
      <c r="GE155">
        <v>2.1241944626843465</v>
      </c>
      <c r="GF155">
        <v>0.95469624988012047</v>
      </c>
      <c r="GG155">
        <v>1.8917088020808825</v>
      </c>
      <c r="GH155">
        <v>2.6012010516395971</v>
      </c>
      <c r="GI155">
        <v>3.9162415023713151</v>
      </c>
      <c r="GJ155"/>
      <c r="GK155"/>
      <c r="GL155"/>
      <c r="GM155"/>
      <c r="GN155" s="208"/>
      <c r="GO155" s="208"/>
      <c r="GP155" s="208"/>
      <c r="GQ155" s="208"/>
      <c r="GR155" s="208"/>
      <c r="GS155" s="208"/>
      <c r="GT155" s="208"/>
      <c r="GU155" s="213">
        <v>150</v>
      </c>
    </row>
    <row r="156" spans="1:203" s="7" customFormat="1">
      <c r="A156" s="77"/>
      <c r="B156" s="76">
        <f ca="1">IF(C156="", "", RAND())</f>
        <v>7.0571964970020495E-2</v>
      </c>
      <c r="C156">
        <v>4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29.034329642049311</v>
      </c>
      <c r="AO156">
        <v>7.1082468445529612</v>
      </c>
      <c r="AP156">
        <v>151.55610465231013</v>
      </c>
      <c r="AQ156">
        <v>48.624953036899036</v>
      </c>
      <c r="AR156">
        <v>6.5163138568166303</v>
      </c>
      <c r="AS156">
        <v>77.294307120125978</v>
      </c>
      <c r="AT156" t="e">
        <v>#DIV/0!</v>
      </c>
      <c r="AU156" t="e">
        <v>#DIV/0!</v>
      </c>
      <c r="AV156"/>
      <c r="AW156"/>
      <c r="AX156" s="151"/>
      <c r="AY156" s="76">
        <f t="shared" ca="1" si="171"/>
        <v>0.98201807390162288</v>
      </c>
      <c r="AZ156">
        <v>9</v>
      </c>
      <c r="BA156" s="129">
        <f t="shared" si="170"/>
        <v>39847</v>
      </c>
      <c r="BB156" s="207">
        <v>0</v>
      </c>
      <c r="BC156" s="207">
        <v>0</v>
      </c>
      <c r="BD156" s="207">
        <v>0</v>
      </c>
      <c r="BE156" s="207">
        <v>0</v>
      </c>
      <c r="BF156" s="207">
        <v>0</v>
      </c>
      <c r="BG156" s="207">
        <v>0</v>
      </c>
      <c r="BH156" s="207">
        <v>0</v>
      </c>
      <c r="BI156" s="207">
        <v>0</v>
      </c>
      <c r="BJ156" s="207">
        <v>0</v>
      </c>
      <c r="BK156" s="207">
        <v>0</v>
      </c>
      <c r="BL156" s="207">
        <v>0</v>
      </c>
      <c r="BM156" s="207">
        <v>0</v>
      </c>
      <c r="BN156" s="207">
        <v>0</v>
      </c>
      <c r="BO156" s="207">
        <v>0</v>
      </c>
      <c r="BP156" s="207">
        <v>0</v>
      </c>
      <c r="BQ156" s="207">
        <v>0</v>
      </c>
      <c r="BR156" s="207">
        <v>0</v>
      </c>
      <c r="BS156" s="207">
        <v>0</v>
      </c>
      <c r="BT156" s="207">
        <v>0</v>
      </c>
      <c r="BU156" s="207">
        <v>0</v>
      </c>
      <c r="BV156" s="207">
        <v>0</v>
      </c>
      <c r="BW156" s="207">
        <v>0</v>
      </c>
      <c r="BX156" s="207">
        <v>0</v>
      </c>
      <c r="BY156" s="207">
        <v>0</v>
      </c>
      <c r="BZ156" s="207">
        <v>0</v>
      </c>
      <c r="CA156" s="207">
        <v>0</v>
      </c>
      <c r="CB156" s="207">
        <v>0</v>
      </c>
      <c r="CC156" s="207">
        <v>0</v>
      </c>
      <c r="CD156" s="207">
        <v>0</v>
      </c>
      <c r="CE156" s="207">
        <v>0</v>
      </c>
      <c r="CF156" s="207">
        <v>0</v>
      </c>
      <c r="CG156" s="147"/>
      <c r="CH156" s="176"/>
      <c r="CJ156" s="151"/>
      <c r="CK156" s="76">
        <f t="shared" ca="1" si="206"/>
        <v>0.25808137013368948</v>
      </c>
      <c r="CL156" s="179">
        <f t="shared" si="207"/>
        <v>9</v>
      </c>
      <c r="CM156" s="180">
        <f t="shared" si="208"/>
        <v>39847</v>
      </c>
      <c r="CN156" s="208">
        <v>0</v>
      </c>
      <c r="CO156" s="208">
        <v>0</v>
      </c>
      <c r="CP156" s="208">
        <v>0</v>
      </c>
      <c r="CQ156" s="208">
        <v>0</v>
      </c>
      <c r="CR156" s="208">
        <v>0</v>
      </c>
      <c r="CS156" s="208">
        <v>0</v>
      </c>
      <c r="CT156" s="208">
        <v>0</v>
      </c>
      <c r="CU156" s="208">
        <v>0</v>
      </c>
      <c r="CV156" s="160"/>
      <c r="CW156">
        <v>1</v>
      </c>
      <c r="CX156">
        <f>350/56</f>
        <v>6.25</v>
      </c>
      <c r="CY156" s="165"/>
      <c r="CZ156" s="177">
        <f t="shared" si="209"/>
        <v>9.6000000000000002E-2</v>
      </c>
      <c r="DB156" s="151"/>
      <c r="DC156" s="76">
        <f t="shared" ca="1" si="172"/>
        <v>0.93749348882252215</v>
      </c>
      <c r="DD156">
        <f t="shared" si="210"/>
        <v>9</v>
      </c>
      <c r="DE156" s="129">
        <f t="shared" si="169"/>
        <v>39847</v>
      </c>
      <c r="DF156" s="161">
        <f t="shared" si="211"/>
        <v>0</v>
      </c>
      <c r="DG156" s="161">
        <f t="shared" si="212"/>
        <v>0</v>
      </c>
      <c r="DH156" s="161">
        <f t="shared" si="213"/>
        <v>0</v>
      </c>
      <c r="DI156" s="161">
        <f t="shared" si="214"/>
        <v>0</v>
      </c>
      <c r="DJ156" s="161">
        <f t="shared" si="215"/>
        <v>0</v>
      </c>
      <c r="DK156" s="161">
        <f t="shared" si="216"/>
        <v>0</v>
      </c>
      <c r="DL156" s="161">
        <f t="shared" si="217"/>
        <v>0</v>
      </c>
      <c r="DM156" s="161">
        <f t="shared" si="218"/>
        <v>0</v>
      </c>
      <c r="DN156" s="161">
        <f t="shared" si="219"/>
        <v>0</v>
      </c>
      <c r="DO156" s="161">
        <f t="shared" si="220"/>
        <v>0</v>
      </c>
      <c r="DP156" s="161">
        <f t="shared" si="221"/>
        <v>0</v>
      </c>
      <c r="DQ156" s="161">
        <f t="shared" si="222"/>
        <v>0</v>
      </c>
      <c r="DR156" s="161">
        <f t="shared" si="223"/>
        <v>0</v>
      </c>
      <c r="DS156" s="161">
        <f t="shared" si="224"/>
        <v>0</v>
      </c>
      <c r="DT156" s="161">
        <f t="shared" si="225"/>
        <v>0</v>
      </c>
      <c r="DU156" s="161">
        <f t="shared" si="226"/>
        <v>0</v>
      </c>
      <c r="DV156" s="161">
        <f t="shared" si="227"/>
        <v>0</v>
      </c>
      <c r="DW156" s="161">
        <f t="shared" si="228"/>
        <v>0</v>
      </c>
      <c r="DX156" s="161">
        <f t="shared" si="229"/>
        <v>0</v>
      </c>
      <c r="DY156" s="161">
        <f t="shared" si="230"/>
        <v>0</v>
      </c>
      <c r="DZ156" s="161">
        <f t="shared" si="231"/>
        <v>0</v>
      </c>
      <c r="EA156" s="161">
        <f t="shared" si="232"/>
        <v>0</v>
      </c>
      <c r="EB156" s="161">
        <f t="shared" si="233"/>
        <v>0</v>
      </c>
      <c r="EC156" s="161">
        <f t="shared" si="234"/>
        <v>0</v>
      </c>
      <c r="ED156" s="161">
        <f t="shared" si="235"/>
        <v>0</v>
      </c>
      <c r="EE156" s="161">
        <f t="shared" si="236"/>
        <v>0</v>
      </c>
      <c r="EF156" s="161">
        <f t="shared" si="237"/>
        <v>0</v>
      </c>
      <c r="EG156" s="161">
        <f t="shared" si="238"/>
        <v>0</v>
      </c>
      <c r="EH156" s="161">
        <f t="shared" si="239"/>
        <v>0</v>
      </c>
      <c r="EI156" s="161">
        <f t="shared" si="240"/>
        <v>0</v>
      </c>
      <c r="EJ156" s="161">
        <f t="shared" si="241"/>
        <v>0</v>
      </c>
      <c r="EK156" s="147">
        <f t="shared" si="173"/>
        <v>0</v>
      </c>
      <c r="EL156" s="149"/>
      <c r="EN156" s="151"/>
      <c r="EO156" s="151"/>
      <c r="EP156" s="139">
        <f t="shared" si="174"/>
        <v>0</v>
      </c>
      <c r="EQ156" s="139">
        <f t="shared" si="175"/>
        <v>0</v>
      </c>
      <c r="ER156" s="139">
        <f t="shared" si="176"/>
        <v>0</v>
      </c>
      <c r="ES156" s="139">
        <f t="shared" si="177"/>
        <v>0</v>
      </c>
      <c r="ET156" s="139">
        <f t="shared" si="178"/>
        <v>0</v>
      </c>
      <c r="EU156" s="139">
        <f t="shared" si="179"/>
        <v>0</v>
      </c>
      <c r="EV156" s="139">
        <f t="shared" si="180"/>
        <v>0</v>
      </c>
      <c r="EW156" s="139">
        <f t="shared" si="181"/>
        <v>0</v>
      </c>
      <c r="EX156" s="139">
        <f t="shared" si="182"/>
        <v>0</v>
      </c>
      <c r="EY156" s="139">
        <f t="shared" si="183"/>
        <v>0</v>
      </c>
      <c r="EZ156" s="139">
        <f t="shared" si="184"/>
        <v>0</v>
      </c>
      <c r="FA156" s="139">
        <f t="shared" si="185"/>
        <v>0</v>
      </c>
      <c r="FB156" s="139">
        <f t="shared" si="186"/>
        <v>0</v>
      </c>
      <c r="FC156" s="139">
        <f t="shared" si="187"/>
        <v>0</v>
      </c>
      <c r="FD156" s="139">
        <f t="shared" si="188"/>
        <v>0</v>
      </c>
      <c r="FE156" s="139">
        <f t="shared" si="189"/>
        <v>0</v>
      </c>
      <c r="FF156" s="139">
        <f t="shared" si="190"/>
        <v>0</v>
      </c>
      <c r="FG156" s="139">
        <f t="shared" si="191"/>
        <v>0</v>
      </c>
      <c r="FH156" s="139">
        <f t="shared" si="192"/>
        <v>0</v>
      </c>
      <c r="FI156" s="139">
        <f t="shared" si="193"/>
        <v>0</v>
      </c>
      <c r="FJ156" s="139">
        <f t="shared" si="194"/>
        <v>0</v>
      </c>
      <c r="FK156" s="139">
        <f t="shared" si="195"/>
        <v>0</v>
      </c>
      <c r="FL156" s="139">
        <f t="shared" si="196"/>
        <v>0</v>
      </c>
      <c r="FM156" s="139">
        <f t="shared" si="197"/>
        <v>0</v>
      </c>
      <c r="FN156" s="139">
        <f t="shared" si="198"/>
        <v>0</v>
      </c>
      <c r="FO156" s="139">
        <f t="shared" si="199"/>
        <v>0</v>
      </c>
      <c r="FP156" s="139">
        <f t="shared" si="200"/>
        <v>0</v>
      </c>
      <c r="FQ156" s="139">
        <f t="shared" si="201"/>
        <v>0</v>
      </c>
      <c r="FR156" s="139">
        <f t="shared" si="202"/>
        <v>0</v>
      </c>
      <c r="FS156" s="139">
        <f t="shared" si="203"/>
        <v>0</v>
      </c>
      <c r="FT156" s="139">
        <f t="shared" si="204"/>
        <v>0</v>
      </c>
      <c r="FU156" s="148">
        <f t="shared" si="205"/>
        <v>0</v>
      </c>
      <c r="FV156" s="149"/>
      <c r="FY156" s="213">
        <v>151</v>
      </c>
      <c r="FZ156">
        <v>0</v>
      </c>
      <c r="GA156">
        <v>11.497362044963813</v>
      </c>
      <c r="GB156">
        <v>5.7291788670052615</v>
      </c>
      <c r="GC156">
        <v>2.4981727174436923</v>
      </c>
      <c r="GD156">
        <v>2.446578616111927</v>
      </c>
      <c r="GE156">
        <v>1.3607598871804809</v>
      </c>
      <c r="GF156">
        <v>0.47734812494006024</v>
      </c>
      <c r="GG156">
        <v>3.8648883437707147</v>
      </c>
      <c r="GH156">
        <v>5.5403597373965576</v>
      </c>
      <c r="GI156">
        <v>3.9175688488362752</v>
      </c>
      <c r="GJ156"/>
      <c r="GK156"/>
      <c r="GL156"/>
      <c r="GM156"/>
      <c r="GN156" s="208"/>
      <c r="GO156" s="208"/>
      <c r="GP156" s="208"/>
      <c r="GQ156" s="208"/>
      <c r="GR156" s="208"/>
      <c r="GS156" s="208"/>
      <c r="GT156" s="208"/>
      <c r="GU156" s="213">
        <v>151</v>
      </c>
    </row>
    <row r="157" spans="1:203" s="7" customFormat="1">
      <c r="A157" s="77"/>
      <c r="B157" s="76">
        <f ca="1">IF(C157="", "", RAND())</f>
        <v>0.94359148672619853</v>
      </c>
      <c r="C157">
        <v>8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10.416666666666666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10.319940476190476</v>
      </c>
      <c r="AO157">
        <v>4.6959532525891889</v>
      </c>
      <c r="AP157">
        <v>281.49520871214133</v>
      </c>
      <c r="AQ157">
        <v>34.351777950521559</v>
      </c>
      <c r="AR157">
        <v>4.3233196823041107</v>
      </c>
      <c r="AS157">
        <v>40.253507723754694</v>
      </c>
      <c r="AT157" t="e">
        <v>#DIV/0!</v>
      </c>
      <c r="AU157" t="e">
        <v>#DIV/0!</v>
      </c>
      <c r="AV157"/>
      <c r="AW157"/>
      <c r="AX157" s="151"/>
      <c r="AY157" s="76">
        <f t="shared" ca="1" si="171"/>
        <v>0.61301577593397116</v>
      </c>
      <c r="AZ157">
        <v>10</v>
      </c>
      <c r="BA157" s="129">
        <f t="shared" si="170"/>
        <v>39847</v>
      </c>
      <c r="BB157" s="207">
        <v>0</v>
      </c>
      <c r="BC157" s="207">
        <v>0</v>
      </c>
      <c r="BD157" s="207">
        <v>0</v>
      </c>
      <c r="BE157" s="207">
        <v>0</v>
      </c>
      <c r="BF157" s="207">
        <v>0</v>
      </c>
      <c r="BG157" s="207">
        <v>0</v>
      </c>
      <c r="BH157" s="207">
        <v>0</v>
      </c>
      <c r="BI157" s="207">
        <v>0</v>
      </c>
      <c r="BJ157" s="207">
        <v>0</v>
      </c>
      <c r="BK157" s="207">
        <v>0</v>
      </c>
      <c r="BL157" s="207">
        <v>0</v>
      </c>
      <c r="BM157" s="207">
        <v>0</v>
      </c>
      <c r="BN157" s="207">
        <v>0</v>
      </c>
      <c r="BO157" s="207">
        <v>0</v>
      </c>
      <c r="BP157" s="207">
        <v>0</v>
      </c>
      <c r="BQ157" s="207">
        <v>0</v>
      </c>
      <c r="BR157" s="207">
        <v>0</v>
      </c>
      <c r="BS157" s="207">
        <v>0</v>
      </c>
      <c r="BT157" s="207">
        <v>0</v>
      </c>
      <c r="BU157" s="207">
        <v>0</v>
      </c>
      <c r="BV157" s="207">
        <v>0</v>
      </c>
      <c r="BW157" s="207">
        <v>0</v>
      </c>
      <c r="BX157" s="207">
        <v>0</v>
      </c>
      <c r="BY157" s="207">
        <v>0</v>
      </c>
      <c r="BZ157" s="207">
        <v>0</v>
      </c>
      <c r="CA157" s="207">
        <v>0</v>
      </c>
      <c r="CB157" s="207">
        <v>0</v>
      </c>
      <c r="CC157" s="207">
        <v>0</v>
      </c>
      <c r="CD157" s="207">
        <v>0</v>
      </c>
      <c r="CE157" s="207">
        <v>0</v>
      </c>
      <c r="CF157" s="207">
        <v>0</v>
      </c>
      <c r="CG157" s="147"/>
      <c r="CH157" s="176"/>
      <c r="CJ157" s="151"/>
      <c r="CK157" s="76">
        <f t="shared" ca="1" si="206"/>
        <v>0.65144694856783314</v>
      </c>
      <c r="CL157" s="179">
        <f t="shared" si="207"/>
        <v>10</v>
      </c>
      <c r="CM157" s="180">
        <f t="shared" si="208"/>
        <v>39847</v>
      </c>
      <c r="CN157" s="208">
        <v>0</v>
      </c>
      <c r="CO157" s="208">
        <v>0</v>
      </c>
      <c r="CP157" s="208">
        <v>0</v>
      </c>
      <c r="CQ157" s="208">
        <v>0</v>
      </c>
      <c r="CR157" s="208">
        <v>0</v>
      </c>
      <c r="CS157" s="208">
        <v>0</v>
      </c>
      <c r="CT157" s="208">
        <v>0</v>
      </c>
      <c r="CU157" s="208">
        <v>0</v>
      </c>
      <c r="CV157" s="160"/>
      <c r="CW157">
        <v>1</v>
      </c>
      <c r="CX157">
        <v>1</v>
      </c>
      <c r="CY157" s="165"/>
      <c r="CZ157" s="177">
        <f t="shared" si="209"/>
        <v>9.6000000000000002E-2</v>
      </c>
      <c r="DB157" s="151"/>
      <c r="DC157" s="76">
        <f t="shared" ca="1" si="172"/>
        <v>0.53955313306042374</v>
      </c>
      <c r="DD157">
        <f t="shared" si="210"/>
        <v>10</v>
      </c>
      <c r="DE157" s="129">
        <f t="shared" si="169"/>
        <v>39847</v>
      </c>
      <c r="DF157" s="161">
        <f t="shared" si="211"/>
        <v>0</v>
      </c>
      <c r="DG157" s="161">
        <f t="shared" si="212"/>
        <v>0</v>
      </c>
      <c r="DH157" s="161">
        <f t="shared" si="213"/>
        <v>0</v>
      </c>
      <c r="DI157" s="161">
        <f t="shared" si="214"/>
        <v>0</v>
      </c>
      <c r="DJ157" s="161">
        <f t="shared" si="215"/>
        <v>0</v>
      </c>
      <c r="DK157" s="161">
        <f t="shared" si="216"/>
        <v>0</v>
      </c>
      <c r="DL157" s="161">
        <f t="shared" si="217"/>
        <v>0</v>
      </c>
      <c r="DM157" s="161">
        <f t="shared" si="218"/>
        <v>0</v>
      </c>
      <c r="DN157" s="161">
        <f t="shared" si="219"/>
        <v>0</v>
      </c>
      <c r="DO157" s="161">
        <f t="shared" si="220"/>
        <v>0</v>
      </c>
      <c r="DP157" s="161">
        <f t="shared" si="221"/>
        <v>0</v>
      </c>
      <c r="DQ157" s="161">
        <f t="shared" si="222"/>
        <v>0</v>
      </c>
      <c r="DR157" s="161">
        <f t="shared" si="223"/>
        <v>0</v>
      </c>
      <c r="DS157" s="161">
        <f t="shared" si="224"/>
        <v>0</v>
      </c>
      <c r="DT157" s="161">
        <f t="shared" si="225"/>
        <v>0</v>
      </c>
      <c r="DU157" s="161">
        <f t="shared" si="226"/>
        <v>0</v>
      </c>
      <c r="DV157" s="161">
        <f t="shared" si="227"/>
        <v>0</v>
      </c>
      <c r="DW157" s="161">
        <f t="shared" si="228"/>
        <v>0</v>
      </c>
      <c r="DX157" s="161">
        <f t="shared" si="229"/>
        <v>0</v>
      </c>
      <c r="DY157" s="161">
        <f t="shared" si="230"/>
        <v>0</v>
      </c>
      <c r="DZ157" s="161">
        <f t="shared" si="231"/>
        <v>0</v>
      </c>
      <c r="EA157" s="161">
        <f t="shared" si="232"/>
        <v>0</v>
      </c>
      <c r="EB157" s="161">
        <f t="shared" si="233"/>
        <v>0</v>
      </c>
      <c r="EC157" s="161">
        <f t="shared" si="234"/>
        <v>0</v>
      </c>
      <c r="ED157" s="161">
        <f t="shared" si="235"/>
        <v>0</v>
      </c>
      <c r="EE157" s="161">
        <f t="shared" si="236"/>
        <v>0</v>
      </c>
      <c r="EF157" s="161">
        <f t="shared" si="237"/>
        <v>0</v>
      </c>
      <c r="EG157" s="161">
        <f t="shared" si="238"/>
        <v>0</v>
      </c>
      <c r="EH157" s="161">
        <f t="shared" si="239"/>
        <v>0</v>
      </c>
      <c r="EI157" s="161">
        <f t="shared" si="240"/>
        <v>0</v>
      </c>
      <c r="EJ157" s="161">
        <f t="shared" si="241"/>
        <v>0</v>
      </c>
      <c r="EK157" s="147">
        <f t="shared" si="173"/>
        <v>0</v>
      </c>
      <c r="EL157" s="149"/>
      <c r="EN157" s="151"/>
      <c r="EO157" s="151"/>
      <c r="EP157" s="139">
        <f t="shared" si="174"/>
        <v>0</v>
      </c>
      <c r="EQ157" s="139">
        <f t="shared" si="175"/>
        <v>0</v>
      </c>
      <c r="ER157" s="139">
        <f t="shared" si="176"/>
        <v>0</v>
      </c>
      <c r="ES157" s="139">
        <f t="shared" si="177"/>
        <v>0</v>
      </c>
      <c r="ET157" s="139">
        <f t="shared" si="178"/>
        <v>0</v>
      </c>
      <c r="EU157" s="139">
        <f t="shared" si="179"/>
        <v>0</v>
      </c>
      <c r="EV157" s="139">
        <f t="shared" si="180"/>
        <v>0</v>
      </c>
      <c r="EW157" s="139">
        <f t="shared" si="181"/>
        <v>0</v>
      </c>
      <c r="EX157" s="139">
        <f t="shared" si="182"/>
        <v>0</v>
      </c>
      <c r="EY157" s="139">
        <f t="shared" si="183"/>
        <v>0</v>
      </c>
      <c r="EZ157" s="139">
        <f t="shared" si="184"/>
        <v>0</v>
      </c>
      <c r="FA157" s="139">
        <f t="shared" si="185"/>
        <v>0</v>
      </c>
      <c r="FB157" s="139">
        <f t="shared" si="186"/>
        <v>0</v>
      </c>
      <c r="FC157" s="139">
        <f t="shared" si="187"/>
        <v>0</v>
      </c>
      <c r="FD157" s="139">
        <f t="shared" si="188"/>
        <v>0</v>
      </c>
      <c r="FE157" s="139">
        <f t="shared" si="189"/>
        <v>0</v>
      </c>
      <c r="FF157" s="139">
        <f t="shared" si="190"/>
        <v>0</v>
      </c>
      <c r="FG157" s="139">
        <f t="shared" si="191"/>
        <v>0</v>
      </c>
      <c r="FH157" s="139">
        <f t="shared" si="192"/>
        <v>0</v>
      </c>
      <c r="FI157" s="139">
        <f t="shared" si="193"/>
        <v>0</v>
      </c>
      <c r="FJ157" s="139">
        <f t="shared" si="194"/>
        <v>0</v>
      </c>
      <c r="FK157" s="139">
        <f t="shared" si="195"/>
        <v>0</v>
      </c>
      <c r="FL157" s="139">
        <f t="shared" si="196"/>
        <v>0</v>
      </c>
      <c r="FM157" s="139">
        <f t="shared" si="197"/>
        <v>0</v>
      </c>
      <c r="FN157" s="139">
        <f t="shared" si="198"/>
        <v>0</v>
      </c>
      <c r="FO157" s="139">
        <f t="shared" si="199"/>
        <v>0</v>
      </c>
      <c r="FP157" s="139">
        <f t="shared" si="200"/>
        <v>0</v>
      </c>
      <c r="FQ157" s="139">
        <f t="shared" si="201"/>
        <v>0</v>
      </c>
      <c r="FR157" s="139">
        <f t="shared" si="202"/>
        <v>0</v>
      </c>
      <c r="FS157" s="139">
        <f t="shared" si="203"/>
        <v>0</v>
      </c>
      <c r="FT157" s="139">
        <f t="shared" si="204"/>
        <v>0</v>
      </c>
      <c r="FU157" s="148">
        <f t="shared" si="205"/>
        <v>0</v>
      </c>
      <c r="FV157" s="149"/>
      <c r="FY157" s="213">
        <v>152</v>
      </c>
      <c r="FZ157">
        <v>2.1834373233262436</v>
      </c>
      <c r="GA157">
        <v>16.298672958934166</v>
      </c>
      <c r="GB157">
        <v>7.3024714535846211</v>
      </c>
      <c r="GC157">
        <v>1.9327560202079057</v>
      </c>
      <c r="GD157">
        <v>1.9536066230269413</v>
      </c>
      <c r="GE157">
        <v>1.2385169041576869</v>
      </c>
      <c r="GF157">
        <v>0.47734812494006024</v>
      </c>
      <c r="GG157">
        <v>5.5683876496086029</v>
      </c>
      <c r="GH157">
        <v>7.6630207323946369</v>
      </c>
      <c r="GI157">
        <v>4.585843668865941</v>
      </c>
      <c r="GJ157"/>
      <c r="GK157"/>
      <c r="GL157"/>
      <c r="GM157"/>
      <c r="GN157" s="208"/>
      <c r="GO157" s="208"/>
      <c r="GP157" s="208"/>
      <c r="GQ157" s="208"/>
      <c r="GR157" s="208"/>
      <c r="GS157" s="208"/>
      <c r="GT157" s="208"/>
      <c r="GU157" s="213">
        <v>152</v>
      </c>
    </row>
    <row r="158" spans="1:203" s="7" customFormat="1">
      <c r="A158" s="128"/>
      <c r="B158" s="76">
        <f ca="1">IF(C158="", "", RAND())</f>
        <v>0.49312774270736126</v>
      </c>
      <c r="C158">
        <v>3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24.602678571428569</v>
      </c>
      <c r="AO158">
        <v>6.5689954354984961</v>
      </c>
      <c r="AP158">
        <v>176.70912066495941</v>
      </c>
      <c r="AQ158">
        <v>42.790026279282898</v>
      </c>
      <c r="AR158">
        <v>5.9718140322713618</v>
      </c>
      <c r="AS158">
        <v>68.612970305415502</v>
      </c>
      <c r="AT158" t="e">
        <v>#DIV/0!</v>
      </c>
      <c r="AU158" t="e">
        <v>#DIV/0!</v>
      </c>
      <c r="AV158"/>
      <c r="AW158"/>
      <c r="AX158" s="128"/>
      <c r="AY158" s="76">
        <f t="shared" ca="1" si="171"/>
        <v>0.8075189061993453</v>
      </c>
      <c r="AZ158">
        <v>1</v>
      </c>
      <c r="BA158" s="129">
        <f>IF(AZ158="", "",$C$11)</f>
        <v>39910</v>
      </c>
      <c r="BB158" s="207">
        <v>0</v>
      </c>
      <c r="BC158" s="207">
        <v>0</v>
      </c>
      <c r="BD158" s="207">
        <v>0</v>
      </c>
      <c r="BE158" s="207">
        <v>0</v>
      </c>
      <c r="BF158" s="207">
        <v>0</v>
      </c>
      <c r="BG158" s="207">
        <v>0</v>
      </c>
      <c r="BH158" s="207">
        <v>0</v>
      </c>
      <c r="BI158" s="207">
        <v>0</v>
      </c>
      <c r="BJ158" s="207">
        <v>0</v>
      </c>
      <c r="BK158" s="207">
        <v>0</v>
      </c>
      <c r="BL158" s="207">
        <v>0</v>
      </c>
      <c r="BM158" s="207">
        <v>0</v>
      </c>
      <c r="BN158" s="207">
        <v>0</v>
      </c>
      <c r="BO158" s="207">
        <v>0</v>
      </c>
      <c r="BP158" s="207">
        <v>0</v>
      </c>
      <c r="BQ158" s="207">
        <v>0</v>
      </c>
      <c r="BR158" s="207">
        <v>0</v>
      </c>
      <c r="BS158" s="207">
        <v>0</v>
      </c>
      <c r="BT158" s="207">
        <v>0</v>
      </c>
      <c r="BU158" s="207">
        <v>0</v>
      </c>
      <c r="BV158" s="207">
        <v>0</v>
      </c>
      <c r="BW158" s="207">
        <v>0</v>
      </c>
      <c r="BX158" s="207">
        <v>0</v>
      </c>
      <c r="BY158" s="207">
        <v>0</v>
      </c>
      <c r="BZ158" s="207">
        <v>0</v>
      </c>
      <c r="CA158" s="207">
        <v>0</v>
      </c>
      <c r="CB158" s="207">
        <v>0</v>
      </c>
      <c r="CC158" s="207">
        <v>0</v>
      </c>
      <c r="CD158" s="207">
        <v>0</v>
      </c>
      <c r="CE158" s="207">
        <v>0</v>
      </c>
      <c r="CF158" s="207">
        <v>0</v>
      </c>
      <c r="CG158" s="147"/>
      <c r="CH158" s="176"/>
      <c r="CJ158" s="128"/>
      <c r="CK158" s="76">
        <f t="shared" ca="1" si="206"/>
        <v>6.4468487901116589E-2</v>
      </c>
      <c r="CL158" s="179">
        <f t="shared" si="207"/>
        <v>1</v>
      </c>
      <c r="CM158" s="180">
        <f t="shared" si="208"/>
        <v>39910</v>
      </c>
      <c r="CN158" s="208">
        <v>0</v>
      </c>
      <c r="CO158" s="208">
        <v>0</v>
      </c>
      <c r="CP158" s="208">
        <v>0</v>
      </c>
      <c r="CQ158" s="208">
        <v>0</v>
      </c>
      <c r="CR158" s="208">
        <v>0</v>
      </c>
      <c r="CS158" s="208">
        <v>0</v>
      </c>
      <c r="CT158" s="208">
        <v>0</v>
      </c>
      <c r="CU158" s="208">
        <v>0</v>
      </c>
      <c r="CV158" s="160"/>
      <c r="CW158">
        <v>1</v>
      </c>
      <c r="CX158">
        <v>1</v>
      </c>
      <c r="CY158" s="160"/>
      <c r="CZ158" s="177">
        <f t="shared" si="209"/>
        <v>9.6000000000000002E-2</v>
      </c>
      <c r="DB158" s="128"/>
      <c r="DC158" s="76">
        <f t="shared" ca="1" si="172"/>
        <v>0.70009643926102627</v>
      </c>
      <c r="DD158">
        <f t="shared" si="210"/>
        <v>1</v>
      </c>
      <c r="DE158" s="129">
        <f t="shared" ref="DE158:DE167" si="242">IF((DD158)="", "", $C$11)</f>
        <v>39910</v>
      </c>
      <c r="DF158" s="161">
        <f t="shared" si="211"/>
        <v>0</v>
      </c>
      <c r="DG158" s="161">
        <f t="shared" si="212"/>
        <v>0</v>
      </c>
      <c r="DH158" s="161">
        <f t="shared" si="213"/>
        <v>0</v>
      </c>
      <c r="DI158" s="161">
        <f t="shared" si="214"/>
        <v>0</v>
      </c>
      <c r="DJ158" s="161">
        <f t="shared" si="215"/>
        <v>0</v>
      </c>
      <c r="DK158" s="161">
        <f t="shared" si="216"/>
        <v>0</v>
      </c>
      <c r="DL158" s="161">
        <f t="shared" si="217"/>
        <v>0</v>
      </c>
      <c r="DM158" s="161">
        <f t="shared" si="218"/>
        <v>0</v>
      </c>
      <c r="DN158" s="161">
        <f t="shared" si="219"/>
        <v>0</v>
      </c>
      <c r="DO158" s="161">
        <f t="shared" si="220"/>
        <v>0</v>
      </c>
      <c r="DP158" s="161">
        <f t="shared" si="221"/>
        <v>0</v>
      </c>
      <c r="DQ158" s="161">
        <f t="shared" si="222"/>
        <v>0</v>
      </c>
      <c r="DR158" s="161">
        <f t="shared" si="223"/>
        <v>0</v>
      </c>
      <c r="DS158" s="161">
        <f t="shared" si="224"/>
        <v>0</v>
      </c>
      <c r="DT158" s="161">
        <f t="shared" si="225"/>
        <v>0</v>
      </c>
      <c r="DU158" s="161">
        <f t="shared" si="226"/>
        <v>0</v>
      </c>
      <c r="DV158" s="161">
        <f t="shared" si="227"/>
        <v>0</v>
      </c>
      <c r="DW158" s="161">
        <f t="shared" si="228"/>
        <v>0</v>
      </c>
      <c r="DX158" s="161">
        <f t="shared" si="229"/>
        <v>0</v>
      </c>
      <c r="DY158" s="161">
        <f t="shared" si="230"/>
        <v>0</v>
      </c>
      <c r="DZ158" s="161">
        <f t="shared" si="231"/>
        <v>0</v>
      </c>
      <c r="EA158" s="161">
        <f t="shared" si="232"/>
        <v>0</v>
      </c>
      <c r="EB158" s="161">
        <f t="shared" si="233"/>
        <v>0</v>
      </c>
      <c r="EC158" s="161">
        <f t="shared" si="234"/>
        <v>0</v>
      </c>
      <c r="ED158" s="161">
        <f t="shared" si="235"/>
        <v>0</v>
      </c>
      <c r="EE158" s="161">
        <f t="shared" si="236"/>
        <v>0</v>
      </c>
      <c r="EF158" s="161">
        <f t="shared" si="237"/>
        <v>0</v>
      </c>
      <c r="EG158" s="161">
        <f t="shared" si="238"/>
        <v>0</v>
      </c>
      <c r="EH158" s="161">
        <f t="shared" si="239"/>
        <v>0</v>
      </c>
      <c r="EI158" s="161">
        <f t="shared" si="240"/>
        <v>0</v>
      </c>
      <c r="EJ158" s="161">
        <f t="shared" si="241"/>
        <v>0</v>
      </c>
      <c r="EK158" s="147">
        <f t="shared" si="173"/>
        <v>0</v>
      </c>
      <c r="EL158" s="149"/>
      <c r="EN158" s="146"/>
      <c r="EO158" s="146"/>
      <c r="EP158" s="139">
        <f t="shared" si="174"/>
        <v>0</v>
      </c>
      <c r="EQ158" s="139">
        <f t="shared" si="175"/>
        <v>0</v>
      </c>
      <c r="ER158" s="139">
        <f t="shared" si="176"/>
        <v>0</v>
      </c>
      <c r="ES158" s="139">
        <f t="shared" si="177"/>
        <v>0</v>
      </c>
      <c r="ET158" s="139">
        <f t="shared" si="178"/>
        <v>0</v>
      </c>
      <c r="EU158" s="139">
        <f t="shared" si="179"/>
        <v>0</v>
      </c>
      <c r="EV158" s="139">
        <f t="shared" si="180"/>
        <v>0</v>
      </c>
      <c r="EW158" s="139">
        <f t="shared" si="181"/>
        <v>0</v>
      </c>
      <c r="EX158" s="139">
        <f t="shared" si="182"/>
        <v>0</v>
      </c>
      <c r="EY158" s="139">
        <f t="shared" si="183"/>
        <v>0</v>
      </c>
      <c r="EZ158" s="139">
        <f t="shared" si="184"/>
        <v>0</v>
      </c>
      <c r="FA158" s="139">
        <f t="shared" si="185"/>
        <v>0</v>
      </c>
      <c r="FB158" s="139">
        <f t="shared" si="186"/>
        <v>0</v>
      </c>
      <c r="FC158" s="139">
        <f t="shared" si="187"/>
        <v>0</v>
      </c>
      <c r="FD158" s="139">
        <f t="shared" si="188"/>
        <v>0</v>
      </c>
      <c r="FE158" s="139">
        <f t="shared" si="189"/>
        <v>0</v>
      </c>
      <c r="FF158" s="139">
        <f t="shared" si="190"/>
        <v>0</v>
      </c>
      <c r="FG158" s="139">
        <f t="shared" si="191"/>
        <v>0</v>
      </c>
      <c r="FH158" s="139">
        <f t="shared" si="192"/>
        <v>0</v>
      </c>
      <c r="FI158" s="139">
        <f t="shared" si="193"/>
        <v>0</v>
      </c>
      <c r="FJ158" s="139">
        <f t="shared" si="194"/>
        <v>0</v>
      </c>
      <c r="FK158" s="139">
        <f t="shared" si="195"/>
        <v>0</v>
      </c>
      <c r="FL158" s="139">
        <f t="shared" si="196"/>
        <v>0</v>
      </c>
      <c r="FM158" s="139">
        <f t="shared" si="197"/>
        <v>0</v>
      </c>
      <c r="FN158" s="139">
        <f t="shared" si="198"/>
        <v>0</v>
      </c>
      <c r="FO158" s="139">
        <f t="shared" si="199"/>
        <v>0</v>
      </c>
      <c r="FP158" s="139">
        <f t="shared" si="200"/>
        <v>0</v>
      </c>
      <c r="FQ158" s="139">
        <f t="shared" si="201"/>
        <v>0</v>
      </c>
      <c r="FR158" s="139">
        <f t="shared" si="202"/>
        <v>0</v>
      </c>
      <c r="FS158" s="139">
        <f t="shared" si="203"/>
        <v>0</v>
      </c>
      <c r="FT158" s="139">
        <f t="shared" si="204"/>
        <v>0</v>
      </c>
      <c r="FU158" s="148">
        <f t="shared" si="205"/>
        <v>0</v>
      </c>
      <c r="FV158" s="149"/>
      <c r="FY158" s="213">
        <v>153</v>
      </c>
      <c r="FZ158">
        <v>4.9540357672217299</v>
      </c>
      <c r="GA158">
        <v>21.419056537081904</v>
      </c>
      <c r="GB158">
        <v>8.6815469565957581</v>
      </c>
      <c r="GC158">
        <v>1.0155829094419531</v>
      </c>
      <c r="GD158">
        <v>0.97339949523415403</v>
      </c>
      <c r="GE158">
        <v>0.38968151687869679</v>
      </c>
      <c r="GF158">
        <v>0</v>
      </c>
      <c r="GG158">
        <v>3.358132631311662</v>
      </c>
      <c r="GH158">
        <v>4.7564346711748797</v>
      </c>
      <c r="GI158">
        <v>4.2938568364360421</v>
      </c>
      <c r="GJ158"/>
      <c r="GK158"/>
      <c r="GL158"/>
      <c r="GM158"/>
      <c r="GN158" s="208"/>
      <c r="GO158" s="208"/>
      <c r="GP158" s="208"/>
      <c r="GQ158" s="208"/>
      <c r="GR158" s="208"/>
      <c r="GS158" s="208"/>
      <c r="GT158" s="208"/>
      <c r="GU158" s="213">
        <v>153</v>
      </c>
    </row>
    <row r="159" spans="1:203" s="7" customFormat="1">
      <c r="A159" s="1"/>
      <c r="B159" s="76">
        <f ca="1">IF(C159="", "", RAND())</f>
        <v>0.72037765351443395</v>
      </c>
      <c r="C159">
        <v>2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34.226190476190474</v>
      </c>
      <c r="AO159">
        <v>7.374193551751679</v>
      </c>
      <c r="AP159">
        <v>382.52771233850581</v>
      </c>
      <c r="AQ159">
        <v>47.928926009449043</v>
      </c>
      <c r="AR159">
        <v>6.8123548614930414</v>
      </c>
      <c r="AS159">
        <v>93.831905909031562</v>
      </c>
      <c r="AT159" t="e">
        <v>#DIV/0!</v>
      </c>
      <c r="AU159" t="e">
        <v>#DIV/0!</v>
      </c>
      <c r="AV159"/>
      <c r="AW159"/>
      <c r="AX159" s="146"/>
      <c r="AY159" s="76">
        <f t="shared" ca="1" si="171"/>
        <v>0.57708301689936814</v>
      </c>
      <c r="AZ159">
        <v>2</v>
      </c>
      <c r="BA159" s="129">
        <f t="shared" ref="BA159:BA167" si="243">IF(AZ159="", "",$C$11)</f>
        <v>39910</v>
      </c>
      <c r="BB159" s="207">
        <v>0</v>
      </c>
      <c r="BC159" s="207">
        <v>0</v>
      </c>
      <c r="BD159" s="207">
        <v>0</v>
      </c>
      <c r="BE159" s="207">
        <v>0</v>
      </c>
      <c r="BF159" s="207">
        <v>0</v>
      </c>
      <c r="BG159" s="207">
        <v>0</v>
      </c>
      <c r="BH159" s="207">
        <v>0</v>
      </c>
      <c r="BI159" s="207">
        <v>0</v>
      </c>
      <c r="BJ159" s="207">
        <v>0</v>
      </c>
      <c r="BK159" s="207">
        <v>0</v>
      </c>
      <c r="BL159" s="207">
        <v>0</v>
      </c>
      <c r="BM159" s="207">
        <v>0</v>
      </c>
      <c r="BN159" s="207">
        <v>0</v>
      </c>
      <c r="BO159" s="207">
        <v>0</v>
      </c>
      <c r="BP159" s="207">
        <v>0</v>
      </c>
      <c r="BQ159" s="207">
        <v>0</v>
      </c>
      <c r="BR159" s="207">
        <v>0</v>
      </c>
      <c r="BS159" s="207">
        <v>0</v>
      </c>
      <c r="BT159" s="207">
        <v>0</v>
      </c>
      <c r="BU159" s="207">
        <v>0</v>
      </c>
      <c r="BV159" s="207">
        <v>0</v>
      </c>
      <c r="BW159" s="207">
        <v>0</v>
      </c>
      <c r="BX159" s="207">
        <v>0</v>
      </c>
      <c r="BY159" s="207">
        <v>0</v>
      </c>
      <c r="BZ159" s="207">
        <v>0</v>
      </c>
      <c r="CA159" s="207">
        <v>0</v>
      </c>
      <c r="CB159" s="207">
        <v>0</v>
      </c>
      <c r="CC159" s="207">
        <v>0</v>
      </c>
      <c r="CD159" s="207">
        <v>0</v>
      </c>
      <c r="CE159" s="207">
        <v>0</v>
      </c>
      <c r="CF159" s="207">
        <v>0</v>
      </c>
      <c r="CG159" s="147"/>
      <c r="CH159" s="176"/>
      <c r="CJ159" s="146"/>
      <c r="CK159" s="76">
        <f t="shared" ca="1" si="206"/>
        <v>0.54752461188765822</v>
      </c>
      <c r="CL159" s="179">
        <f t="shared" si="207"/>
        <v>2</v>
      </c>
      <c r="CM159" s="180">
        <f t="shared" si="208"/>
        <v>39910</v>
      </c>
      <c r="CN159" s="208">
        <v>0</v>
      </c>
      <c r="CO159" s="208">
        <v>0</v>
      </c>
      <c r="CP159" s="208">
        <v>0</v>
      </c>
      <c r="CQ159" s="208">
        <v>0</v>
      </c>
      <c r="CR159" s="208">
        <v>0</v>
      </c>
      <c r="CS159" s="208">
        <v>0</v>
      </c>
      <c r="CT159" s="208">
        <v>0</v>
      </c>
      <c r="CU159" s="208">
        <v>0</v>
      </c>
      <c r="CV159" s="160"/>
      <c r="CW159">
        <v>1</v>
      </c>
      <c r="CX159">
        <f>256/23</f>
        <v>11.130434782608695</v>
      </c>
      <c r="CY159" s="160"/>
      <c r="CZ159" s="177">
        <f t="shared" si="209"/>
        <v>9.6000000000000002E-2</v>
      </c>
      <c r="DB159" s="146"/>
      <c r="DC159" s="76">
        <f t="shared" ca="1" si="172"/>
        <v>0.49371677517503265</v>
      </c>
      <c r="DD159">
        <f t="shared" si="210"/>
        <v>2</v>
      </c>
      <c r="DE159" s="129">
        <f t="shared" si="242"/>
        <v>39910</v>
      </c>
      <c r="DF159" s="161">
        <f t="shared" si="211"/>
        <v>0</v>
      </c>
      <c r="DG159" s="161">
        <f t="shared" si="212"/>
        <v>0</v>
      </c>
      <c r="DH159" s="161">
        <f t="shared" si="213"/>
        <v>0</v>
      </c>
      <c r="DI159" s="161">
        <f t="shared" si="214"/>
        <v>0</v>
      </c>
      <c r="DJ159" s="161">
        <f t="shared" si="215"/>
        <v>0</v>
      </c>
      <c r="DK159" s="161">
        <f t="shared" si="216"/>
        <v>0</v>
      </c>
      <c r="DL159" s="161">
        <f t="shared" si="217"/>
        <v>0</v>
      </c>
      <c r="DM159" s="161">
        <f t="shared" si="218"/>
        <v>0</v>
      </c>
      <c r="DN159" s="161">
        <f t="shared" si="219"/>
        <v>0</v>
      </c>
      <c r="DO159" s="161">
        <f t="shared" si="220"/>
        <v>0</v>
      </c>
      <c r="DP159" s="161">
        <f t="shared" si="221"/>
        <v>0</v>
      </c>
      <c r="DQ159" s="161">
        <f t="shared" si="222"/>
        <v>0</v>
      </c>
      <c r="DR159" s="161">
        <f t="shared" si="223"/>
        <v>0</v>
      </c>
      <c r="DS159" s="161">
        <f t="shared" si="224"/>
        <v>0</v>
      </c>
      <c r="DT159" s="161">
        <f t="shared" si="225"/>
        <v>0</v>
      </c>
      <c r="DU159" s="161">
        <f t="shared" si="226"/>
        <v>0</v>
      </c>
      <c r="DV159" s="161">
        <f t="shared" si="227"/>
        <v>0</v>
      </c>
      <c r="DW159" s="161">
        <f t="shared" si="228"/>
        <v>0</v>
      </c>
      <c r="DX159" s="161">
        <f t="shared" si="229"/>
        <v>0</v>
      </c>
      <c r="DY159" s="161">
        <f t="shared" si="230"/>
        <v>0</v>
      </c>
      <c r="DZ159" s="161">
        <f t="shared" si="231"/>
        <v>0</v>
      </c>
      <c r="EA159" s="161">
        <f t="shared" si="232"/>
        <v>0</v>
      </c>
      <c r="EB159" s="161">
        <f t="shared" si="233"/>
        <v>0</v>
      </c>
      <c r="EC159" s="161">
        <f t="shared" si="234"/>
        <v>0</v>
      </c>
      <c r="ED159" s="161">
        <f t="shared" si="235"/>
        <v>0</v>
      </c>
      <c r="EE159" s="161">
        <f t="shared" si="236"/>
        <v>0</v>
      </c>
      <c r="EF159" s="161">
        <f t="shared" si="237"/>
        <v>0</v>
      </c>
      <c r="EG159" s="161">
        <f t="shared" si="238"/>
        <v>0</v>
      </c>
      <c r="EH159" s="161">
        <f t="shared" si="239"/>
        <v>0</v>
      </c>
      <c r="EI159" s="161">
        <f t="shared" si="240"/>
        <v>0</v>
      </c>
      <c r="EJ159" s="161">
        <f t="shared" si="241"/>
        <v>0</v>
      </c>
      <c r="EK159" s="147">
        <f t="shared" si="173"/>
        <v>0</v>
      </c>
      <c r="EL159" s="149"/>
      <c r="EN159" s="146"/>
      <c r="EO159" s="146"/>
      <c r="EP159" s="139">
        <f t="shared" si="174"/>
        <v>0</v>
      </c>
      <c r="EQ159" s="139">
        <f t="shared" si="175"/>
        <v>0</v>
      </c>
      <c r="ER159" s="139">
        <f t="shared" si="176"/>
        <v>0</v>
      </c>
      <c r="ES159" s="139">
        <f t="shared" si="177"/>
        <v>0</v>
      </c>
      <c r="ET159" s="139">
        <f t="shared" si="178"/>
        <v>0</v>
      </c>
      <c r="EU159" s="139">
        <f t="shared" si="179"/>
        <v>0</v>
      </c>
      <c r="EV159" s="139">
        <f t="shared" si="180"/>
        <v>0</v>
      </c>
      <c r="EW159" s="139">
        <f t="shared" si="181"/>
        <v>0</v>
      </c>
      <c r="EX159" s="139">
        <f t="shared" si="182"/>
        <v>0</v>
      </c>
      <c r="EY159" s="139">
        <f t="shared" si="183"/>
        <v>0</v>
      </c>
      <c r="EZ159" s="139">
        <f t="shared" si="184"/>
        <v>0</v>
      </c>
      <c r="FA159" s="139">
        <f t="shared" si="185"/>
        <v>0</v>
      </c>
      <c r="FB159" s="139">
        <f t="shared" si="186"/>
        <v>0</v>
      </c>
      <c r="FC159" s="139">
        <f t="shared" si="187"/>
        <v>0</v>
      </c>
      <c r="FD159" s="139">
        <f t="shared" si="188"/>
        <v>0</v>
      </c>
      <c r="FE159" s="139">
        <f t="shared" si="189"/>
        <v>0</v>
      </c>
      <c r="FF159" s="139">
        <f t="shared" si="190"/>
        <v>0</v>
      </c>
      <c r="FG159" s="139">
        <f t="shared" si="191"/>
        <v>0</v>
      </c>
      <c r="FH159" s="139">
        <f t="shared" si="192"/>
        <v>0</v>
      </c>
      <c r="FI159" s="139">
        <f t="shared" si="193"/>
        <v>0</v>
      </c>
      <c r="FJ159" s="139">
        <f t="shared" si="194"/>
        <v>0</v>
      </c>
      <c r="FK159" s="139">
        <f t="shared" si="195"/>
        <v>0</v>
      </c>
      <c r="FL159" s="139">
        <f t="shared" si="196"/>
        <v>0</v>
      </c>
      <c r="FM159" s="139">
        <f t="shared" si="197"/>
        <v>0</v>
      </c>
      <c r="FN159" s="139">
        <f t="shared" si="198"/>
        <v>0</v>
      </c>
      <c r="FO159" s="139">
        <f t="shared" si="199"/>
        <v>0</v>
      </c>
      <c r="FP159" s="139">
        <f t="shared" si="200"/>
        <v>0</v>
      </c>
      <c r="FQ159" s="139">
        <f t="shared" si="201"/>
        <v>0</v>
      </c>
      <c r="FR159" s="139">
        <f t="shared" si="202"/>
        <v>0</v>
      </c>
      <c r="FS159" s="139">
        <f t="shared" si="203"/>
        <v>0</v>
      </c>
      <c r="FT159" s="139">
        <f t="shared" si="204"/>
        <v>0</v>
      </c>
      <c r="FU159" s="148">
        <f t="shared" si="205"/>
        <v>0</v>
      </c>
      <c r="FV159" s="149"/>
      <c r="FY159" s="213">
        <v>154</v>
      </c>
      <c r="FZ159">
        <v>3.7797135260832437</v>
      </c>
      <c r="GA159">
        <v>21.124018684957527</v>
      </c>
      <c r="GB159">
        <v>8.533931587924549</v>
      </c>
      <c r="GC159">
        <v>1.689400059899127</v>
      </c>
      <c r="GD159">
        <v>1.6846204485793665</v>
      </c>
      <c r="GE159">
        <v>1.0720460085146524</v>
      </c>
      <c r="GF159">
        <v>0.47734812494006024</v>
      </c>
      <c r="GG159">
        <v>1.5731625858648244</v>
      </c>
      <c r="GH159">
        <v>2.295816042059438</v>
      </c>
      <c r="GI159">
        <v>4.1869283089909324</v>
      </c>
      <c r="GJ159"/>
      <c r="GK159"/>
      <c r="GL159"/>
      <c r="GM159"/>
      <c r="GN159" s="208"/>
      <c r="GO159" s="208"/>
      <c r="GP159" s="208"/>
      <c r="GQ159" s="208"/>
      <c r="GR159" s="208"/>
      <c r="GS159" s="208"/>
      <c r="GT159" s="208"/>
      <c r="GU159" s="213">
        <v>154</v>
      </c>
    </row>
    <row r="160" spans="1:203" s="7" customFormat="1">
      <c r="A160" s="1"/>
      <c r="B160" s="76">
        <f ca="1">IF(C160="", "", RAND())</f>
        <v>0.38175097098139443</v>
      </c>
      <c r="C160">
        <v>5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24.208333333333336</v>
      </c>
      <c r="AO160">
        <v>5.4246815457589808</v>
      </c>
      <c r="AP160">
        <v>145.17417593033451</v>
      </c>
      <c r="AQ160">
        <v>36.371387060487677</v>
      </c>
      <c r="AR160">
        <v>5.0400712196814972</v>
      </c>
      <c r="AS160">
        <v>66.250322269503769</v>
      </c>
      <c r="AT160" t="e">
        <v>#DIV/0!</v>
      </c>
      <c r="AU160" t="e">
        <v>#DIV/0!</v>
      </c>
      <c r="AV160"/>
      <c r="AW160"/>
      <c r="AX160" s="146"/>
      <c r="AY160" s="76">
        <f t="shared" ca="1" si="171"/>
        <v>0.79813836893883927</v>
      </c>
      <c r="AZ160">
        <v>3</v>
      </c>
      <c r="BA160" s="129">
        <f t="shared" si="243"/>
        <v>39910</v>
      </c>
      <c r="BB160" s="207">
        <v>0</v>
      </c>
      <c r="BC160" s="207">
        <v>0</v>
      </c>
      <c r="BD160" s="207">
        <v>0</v>
      </c>
      <c r="BE160" s="207">
        <v>0</v>
      </c>
      <c r="BF160" s="207">
        <v>0</v>
      </c>
      <c r="BG160" s="207">
        <v>0</v>
      </c>
      <c r="BH160" s="207">
        <v>0</v>
      </c>
      <c r="BI160" s="207">
        <v>0</v>
      </c>
      <c r="BJ160" s="207">
        <v>0</v>
      </c>
      <c r="BK160" s="207">
        <v>0</v>
      </c>
      <c r="BL160" s="207">
        <v>0</v>
      </c>
      <c r="BM160" s="207">
        <v>0</v>
      </c>
      <c r="BN160" s="207">
        <v>0</v>
      </c>
      <c r="BO160" s="207">
        <v>0</v>
      </c>
      <c r="BP160" s="207">
        <v>0</v>
      </c>
      <c r="BQ160" s="207">
        <v>0</v>
      </c>
      <c r="BR160" s="207">
        <v>0</v>
      </c>
      <c r="BS160" s="207">
        <v>0</v>
      </c>
      <c r="BT160" s="207">
        <v>0</v>
      </c>
      <c r="BU160" s="207">
        <v>0</v>
      </c>
      <c r="BV160" s="207">
        <v>0</v>
      </c>
      <c r="BW160" s="207">
        <v>0</v>
      </c>
      <c r="BX160" s="207">
        <v>0</v>
      </c>
      <c r="BY160" s="207">
        <v>0</v>
      </c>
      <c r="BZ160" s="207">
        <v>0</v>
      </c>
      <c r="CA160" s="207">
        <v>0</v>
      </c>
      <c r="CB160" s="207">
        <v>0</v>
      </c>
      <c r="CC160" s="207">
        <v>0</v>
      </c>
      <c r="CD160" s="207">
        <v>0</v>
      </c>
      <c r="CE160" s="207">
        <v>0</v>
      </c>
      <c r="CF160" s="207">
        <v>0</v>
      </c>
      <c r="CG160" s="147"/>
      <c r="CH160" s="176"/>
      <c r="CJ160" s="146"/>
      <c r="CK160" s="76">
        <f t="shared" ca="1" si="206"/>
        <v>8.9772638468856414E-2</v>
      </c>
      <c r="CL160" s="179">
        <f t="shared" si="207"/>
        <v>3</v>
      </c>
      <c r="CM160" s="180">
        <f t="shared" si="208"/>
        <v>39910</v>
      </c>
      <c r="CN160" s="208">
        <v>0</v>
      </c>
      <c r="CO160" s="208">
        <v>0</v>
      </c>
      <c r="CP160" s="208">
        <v>0</v>
      </c>
      <c r="CQ160" s="208">
        <v>0</v>
      </c>
      <c r="CR160" s="208">
        <v>0</v>
      </c>
      <c r="CS160" s="208">
        <v>0</v>
      </c>
      <c r="CT160" s="208">
        <v>0</v>
      </c>
      <c r="CU160" s="208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9"/>
        <v>9.6000000000000002E-2</v>
      </c>
      <c r="DB160" s="146"/>
      <c r="DC160" s="76">
        <f t="shared" ca="1" si="172"/>
        <v>0.76910442366279597</v>
      </c>
      <c r="DD160">
        <f t="shared" si="210"/>
        <v>3</v>
      </c>
      <c r="DE160" s="129">
        <f t="shared" si="242"/>
        <v>39910</v>
      </c>
      <c r="DF160" s="161">
        <f t="shared" si="211"/>
        <v>0</v>
      </c>
      <c r="DG160" s="161">
        <f t="shared" si="212"/>
        <v>0</v>
      </c>
      <c r="DH160" s="161">
        <f t="shared" si="213"/>
        <v>0</v>
      </c>
      <c r="DI160" s="161">
        <f t="shared" si="214"/>
        <v>0</v>
      </c>
      <c r="DJ160" s="161">
        <f t="shared" si="215"/>
        <v>0</v>
      </c>
      <c r="DK160" s="161">
        <f t="shared" si="216"/>
        <v>0</v>
      </c>
      <c r="DL160" s="161">
        <f t="shared" si="217"/>
        <v>0</v>
      </c>
      <c r="DM160" s="161">
        <f t="shared" si="218"/>
        <v>0</v>
      </c>
      <c r="DN160" s="161">
        <f t="shared" si="219"/>
        <v>0</v>
      </c>
      <c r="DO160" s="161">
        <f t="shared" si="220"/>
        <v>0</v>
      </c>
      <c r="DP160" s="161">
        <f t="shared" si="221"/>
        <v>0</v>
      </c>
      <c r="DQ160" s="161">
        <f t="shared" si="222"/>
        <v>0</v>
      </c>
      <c r="DR160" s="161">
        <f t="shared" si="223"/>
        <v>0</v>
      </c>
      <c r="DS160" s="161">
        <f t="shared" si="224"/>
        <v>0</v>
      </c>
      <c r="DT160" s="161">
        <f t="shared" si="225"/>
        <v>0</v>
      </c>
      <c r="DU160" s="161">
        <f t="shared" si="226"/>
        <v>0</v>
      </c>
      <c r="DV160" s="161">
        <f t="shared" si="227"/>
        <v>0</v>
      </c>
      <c r="DW160" s="161">
        <f t="shared" si="228"/>
        <v>0</v>
      </c>
      <c r="DX160" s="161">
        <f t="shared" si="229"/>
        <v>0</v>
      </c>
      <c r="DY160" s="161">
        <f t="shared" si="230"/>
        <v>0</v>
      </c>
      <c r="DZ160" s="161">
        <f t="shared" si="231"/>
        <v>0</v>
      </c>
      <c r="EA160" s="161">
        <f t="shared" si="232"/>
        <v>0</v>
      </c>
      <c r="EB160" s="161">
        <f t="shared" si="233"/>
        <v>0</v>
      </c>
      <c r="EC160" s="161">
        <f t="shared" si="234"/>
        <v>0</v>
      </c>
      <c r="ED160" s="161">
        <f t="shared" si="235"/>
        <v>0</v>
      </c>
      <c r="EE160" s="161">
        <f t="shared" si="236"/>
        <v>0</v>
      </c>
      <c r="EF160" s="161">
        <f t="shared" si="237"/>
        <v>0</v>
      </c>
      <c r="EG160" s="161">
        <f t="shared" si="238"/>
        <v>0</v>
      </c>
      <c r="EH160" s="161">
        <f t="shared" si="239"/>
        <v>0</v>
      </c>
      <c r="EI160" s="161">
        <f t="shared" si="240"/>
        <v>0</v>
      </c>
      <c r="EJ160" s="161">
        <f t="shared" si="241"/>
        <v>0</v>
      </c>
      <c r="EK160" s="147">
        <f t="shared" si="173"/>
        <v>0</v>
      </c>
      <c r="EL160" s="149"/>
      <c r="EN160" s="146"/>
      <c r="EO160" s="146"/>
      <c r="EP160" s="139">
        <f t="shared" si="174"/>
        <v>0</v>
      </c>
      <c r="EQ160" s="139">
        <f t="shared" si="175"/>
        <v>0</v>
      </c>
      <c r="ER160" s="139">
        <f t="shared" si="176"/>
        <v>0</v>
      </c>
      <c r="ES160" s="139">
        <f t="shared" si="177"/>
        <v>0</v>
      </c>
      <c r="ET160" s="139">
        <f t="shared" si="178"/>
        <v>0</v>
      </c>
      <c r="EU160" s="139">
        <f t="shared" si="179"/>
        <v>0</v>
      </c>
      <c r="EV160" s="139">
        <f t="shared" si="180"/>
        <v>0</v>
      </c>
      <c r="EW160" s="139">
        <f t="shared" si="181"/>
        <v>0</v>
      </c>
      <c r="EX160" s="139">
        <f t="shared" si="182"/>
        <v>0</v>
      </c>
      <c r="EY160" s="139">
        <f t="shared" si="183"/>
        <v>0</v>
      </c>
      <c r="EZ160" s="139">
        <f t="shared" si="184"/>
        <v>0</v>
      </c>
      <c r="FA160" s="139">
        <f t="shared" si="185"/>
        <v>0</v>
      </c>
      <c r="FB160" s="139">
        <f t="shared" si="186"/>
        <v>0</v>
      </c>
      <c r="FC160" s="139">
        <f t="shared" si="187"/>
        <v>0</v>
      </c>
      <c r="FD160" s="139">
        <f t="shared" si="188"/>
        <v>0</v>
      </c>
      <c r="FE160" s="139">
        <f t="shared" si="189"/>
        <v>0</v>
      </c>
      <c r="FF160" s="139">
        <f t="shared" si="190"/>
        <v>0</v>
      </c>
      <c r="FG160" s="139">
        <f t="shared" si="191"/>
        <v>0</v>
      </c>
      <c r="FH160" s="139">
        <f t="shared" si="192"/>
        <v>0</v>
      </c>
      <c r="FI160" s="139">
        <f t="shared" si="193"/>
        <v>0</v>
      </c>
      <c r="FJ160" s="139">
        <f t="shared" si="194"/>
        <v>0</v>
      </c>
      <c r="FK160" s="139">
        <f t="shared" si="195"/>
        <v>0</v>
      </c>
      <c r="FL160" s="139">
        <f t="shared" si="196"/>
        <v>0</v>
      </c>
      <c r="FM160" s="139">
        <f t="shared" si="197"/>
        <v>0</v>
      </c>
      <c r="FN160" s="139">
        <f t="shared" si="198"/>
        <v>0</v>
      </c>
      <c r="FO160" s="139">
        <f t="shared" si="199"/>
        <v>0</v>
      </c>
      <c r="FP160" s="139">
        <f t="shared" si="200"/>
        <v>0</v>
      </c>
      <c r="FQ160" s="139">
        <f t="shared" si="201"/>
        <v>0</v>
      </c>
      <c r="FR160" s="139">
        <f t="shared" si="202"/>
        <v>0</v>
      </c>
      <c r="FS160" s="139">
        <f t="shared" si="203"/>
        <v>0</v>
      </c>
      <c r="FT160" s="139">
        <f t="shared" si="204"/>
        <v>0</v>
      </c>
      <c r="FU160" s="148">
        <f t="shared" si="205"/>
        <v>0</v>
      </c>
      <c r="FV160" s="149"/>
      <c r="FY160" s="213">
        <v>155</v>
      </c>
      <c r="FZ160">
        <v>2.3486444822769705</v>
      </c>
      <c r="GA160">
        <v>18.805868199868311</v>
      </c>
      <c r="GB160">
        <v>9.3034241010204912</v>
      </c>
      <c r="GC160">
        <v>0.68735954847135594</v>
      </c>
      <c r="GD160">
        <v>0.88022895723463157</v>
      </c>
      <c r="GE160">
        <v>1.0042749862177514</v>
      </c>
      <c r="GF160">
        <v>0.47734812494006024</v>
      </c>
      <c r="GG160">
        <v>4.931295217176487</v>
      </c>
      <c r="GH160">
        <v>7.0522507132343177</v>
      </c>
      <c r="GI160">
        <v>4.4756750914731134</v>
      </c>
      <c r="GJ160"/>
      <c r="GK160"/>
      <c r="GL160"/>
      <c r="GM160"/>
      <c r="GN160" s="208"/>
      <c r="GO160" s="208"/>
      <c r="GP160" s="208"/>
      <c r="GQ160" s="208"/>
      <c r="GR160" s="208"/>
      <c r="GS160" s="208"/>
      <c r="GT160" s="208"/>
      <c r="GU160" s="213">
        <v>155</v>
      </c>
    </row>
    <row r="161" spans="1:203" s="7" customFormat="1">
      <c r="A161" s="1"/>
      <c r="B161" s="76">
        <f ca="1">IF(C161="", "", RAND())</f>
        <v>0.6739505781459334</v>
      </c>
      <c r="C161">
        <v>8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26.793993296667786</v>
      </c>
      <c r="AO161">
        <v>6.8374089389415289</v>
      </c>
      <c r="AP161">
        <v>181.48455596911452</v>
      </c>
      <c r="AQ161">
        <v>47.373092225996011</v>
      </c>
      <c r="AR161">
        <v>6.2158263081286629</v>
      </c>
      <c r="AS161">
        <v>72.691905743330338</v>
      </c>
      <c r="AT161" t="e">
        <v>#DIV/0!</v>
      </c>
      <c r="AU161" t="e">
        <v>#DIV/0!</v>
      </c>
      <c r="AV161"/>
      <c r="AW161"/>
      <c r="AX161" s="146"/>
      <c r="AY161" s="76">
        <f t="shared" ca="1" si="171"/>
        <v>0.53935064358386997</v>
      </c>
      <c r="AZ161">
        <v>4</v>
      </c>
      <c r="BA161" s="129">
        <f t="shared" si="243"/>
        <v>39910</v>
      </c>
      <c r="BB161" s="207">
        <v>0</v>
      </c>
      <c r="BC161" s="207">
        <v>0</v>
      </c>
      <c r="BD161" s="207">
        <v>0</v>
      </c>
      <c r="BE161" s="207">
        <v>0</v>
      </c>
      <c r="BF161" s="207">
        <v>0</v>
      </c>
      <c r="BG161" s="207">
        <v>0</v>
      </c>
      <c r="BH161" s="207">
        <v>0</v>
      </c>
      <c r="BI161" s="207">
        <v>0</v>
      </c>
      <c r="BJ161" s="207">
        <v>0</v>
      </c>
      <c r="BK161" s="207">
        <v>0</v>
      </c>
      <c r="BL161" s="207">
        <v>0</v>
      </c>
      <c r="BM161" s="207">
        <v>0</v>
      </c>
      <c r="BN161" s="207">
        <v>0</v>
      </c>
      <c r="BO161" s="207">
        <v>0</v>
      </c>
      <c r="BP161" s="207">
        <v>0</v>
      </c>
      <c r="BQ161" s="207">
        <v>0</v>
      </c>
      <c r="BR161" s="207">
        <v>0</v>
      </c>
      <c r="BS161" s="207">
        <v>0</v>
      </c>
      <c r="BT161" s="207">
        <v>0</v>
      </c>
      <c r="BU161" s="207">
        <v>0</v>
      </c>
      <c r="BV161" s="207">
        <v>0</v>
      </c>
      <c r="BW161" s="207">
        <v>0</v>
      </c>
      <c r="BX161" s="207">
        <v>0</v>
      </c>
      <c r="BY161" s="207">
        <v>0</v>
      </c>
      <c r="BZ161" s="207">
        <v>0</v>
      </c>
      <c r="CA161" s="207">
        <v>0</v>
      </c>
      <c r="CB161" s="207">
        <v>0</v>
      </c>
      <c r="CC161" s="207">
        <v>0</v>
      </c>
      <c r="CD161" s="207">
        <v>0</v>
      </c>
      <c r="CE161" s="207">
        <v>0</v>
      </c>
      <c r="CF161" s="207">
        <v>0</v>
      </c>
      <c r="CG161" s="147"/>
      <c r="CH161" s="176"/>
      <c r="CJ161" s="146"/>
      <c r="CK161" s="76">
        <f t="shared" ca="1" si="206"/>
        <v>0.63786640003260775</v>
      </c>
      <c r="CL161" s="179">
        <f t="shared" si="207"/>
        <v>4</v>
      </c>
      <c r="CM161" s="180">
        <f t="shared" si="208"/>
        <v>39910</v>
      </c>
      <c r="CN161" s="208">
        <v>0</v>
      </c>
      <c r="CO161" s="208">
        <v>0</v>
      </c>
      <c r="CP161" s="208">
        <v>0</v>
      </c>
      <c r="CQ161" s="208">
        <v>0</v>
      </c>
      <c r="CR161" s="208">
        <v>0</v>
      </c>
      <c r="CS161" s="208">
        <v>0</v>
      </c>
      <c r="CT161" s="208">
        <v>0</v>
      </c>
      <c r="CU161" s="208">
        <v>0</v>
      </c>
      <c r="CV161" s="160"/>
      <c r="CW161">
        <v>1</v>
      </c>
      <c r="CX161">
        <f>310/93</f>
        <v>3.3333333333333335</v>
      </c>
      <c r="CY161" s="160"/>
      <c r="CZ161" s="177">
        <f t="shared" si="209"/>
        <v>9.6000000000000002E-2</v>
      </c>
      <c r="DB161" s="146"/>
      <c r="DC161" s="76">
        <f t="shared" ca="1" si="172"/>
        <v>0.11291494747458852</v>
      </c>
      <c r="DD161">
        <f t="shared" si="210"/>
        <v>4</v>
      </c>
      <c r="DE161" s="129">
        <f t="shared" si="242"/>
        <v>39910</v>
      </c>
      <c r="DF161" s="161">
        <f t="shared" si="211"/>
        <v>0</v>
      </c>
      <c r="DG161" s="161">
        <f t="shared" si="212"/>
        <v>0</v>
      </c>
      <c r="DH161" s="161">
        <f t="shared" si="213"/>
        <v>0</v>
      </c>
      <c r="DI161" s="161">
        <f t="shared" si="214"/>
        <v>0</v>
      </c>
      <c r="DJ161" s="161">
        <f t="shared" si="215"/>
        <v>0</v>
      </c>
      <c r="DK161" s="161">
        <f t="shared" si="216"/>
        <v>0</v>
      </c>
      <c r="DL161" s="161">
        <f t="shared" si="217"/>
        <v>0</v>
      </c>
      <c r="DM161" s="161">
        <f t="shared" si="218"/>
        <v>0</v>
      </c>
      <c r="DN161" s="161">
        <f t="shared" si="219"/>
        <v>0</v>
      </c>
      <c r="DO161" s="161">
        <f t="shared" si="220"/>
        <v>0</v>
      </c>
      <c r="DP161" s="161">
        <f t="shared" si="221"/>
        <v>0</v>
      </c>
      <c r="DQ161" s="161">
        <f t="shared" si="222"/>
        <v>0</v>
      </c>
      <c r="DR161" s="161">
        <f t="shared" si="223"/>
        <v>0</v>
      </c>
      <c r="DS161" s="161">
        <f t="shared" si="224"/>
        <v>0</v>
      </c>
      <c r="DT161" s="161">
        <f t="shared" si="225"/>
        <v>0</v>
      </c>
      <c r="DU161" s="161">
        <f t="shared" si="226"/>
        <v>0</v>
      </c>
      <c r="DV161" s="161">
        <f t="shared" si="227"/>
        <v>0</v>
      </c>
      <c r="DW161" s="161">
        <f t="shared" si="228"/>
        <v>0</v>
      </c>
      <c r="DX161" s="161">
        <f t="shared" si="229"/>
        <v>0</v>
      </c>
      <c r="DY161" s="161">
        <f t="shared" si="230"/>
        <v>0</v>
      </c>
      <c r="DZ161" s="161">
        <f t="shared" si="231"/>
        <v>0</v>
      </c>
      <c r="EA161" s="161">
        <f t="shared" si="232"/>
        <v>0</v>
      </c>
      <c r="EB161" s="161">
        <f t="shared" si="233"/>
        <v>0</v>
      </c>
      <c r="EC161" s="161">
        <f t="shared" si="234"/>
        <v>0</v>
      </c>
      <c r="ED161" s="161">
        <f t="shared" si="235"/>
        <v>0</v>
      </c>
      <c r="EE161" s="161">
        <f t="shared" si="236"/>
        <v>0</v>
      </c>
      <c r="EF161" s="161">
        <f t="shared" si="237"/>
        <v>0</v>
      </c>
      <c r="EG161" s="161">
        <f t="shared" si="238"/>
        <v>0</v>
      </c>
      <c r="EH161" s="161">
        <f t="shared" si="239"/>
        <v>0</v>
      </c>
      <c r="EI161" s="161">
        <f t="shared" si="240"/>
        <v>0</v>
      </c>
      <c r="EJ161" s="161">
        <f t="shared" si="241"/>
        <v>0</v>
      </c>
      <c r="EK161" s="147">
        <f t="shared" si="173"/>
        <v>0</v>
      </c>
      <c r="EL161" s="149"/>
      <c r="EN161" s="146"/>
      <c r="EO161" s="146"/>
      <c r="EP161" s="139">
        <f t="shared" si="174"/>
        <v>0</v>
      </c>
      <c r="EQ161" s="139">
        <f t="shared" si="175"/>
        <v>0</v>
      </c>
      <c r="ER161" s="139">
        <f t="shared" si="176"/>
        <v>0</v>
      </c>
      <c r="ES161" s="139">
        <f t="shared" si="177"/>
        <v>0</v>
      </c>
      <c r="ET161" s="139">
        <f t="shared" si="178"/>
        <v>0</v>
      </c>
      <c r="EU161" s="139">
        <f t="shared" si="179"/>
        <v>0</v>
      </c>
      <c r="EV161" s="139">
        <f t="shared" si="180"/>
        <v>0</v>
      </c>
      <c r="EW161" s="139">
        <f t="shared" si="181"/>
        <v>0</v>
      </c>
      <c r="EX161" s="139">
        <f t="shared" si="182"/>
        <v>0</v>
      </c>
      <c r="EY161" s="139">
        <f t="shared" si="183"/>
        <v>0</v>
      </c>
      <c r="EZ161" s="139">
        <f t="shared" si="184"/>
        <v>0</v>
      </c>
      <c r="FA161" s="139">
        <f t="shared" si="185"/>
        <v>0</v>
      </c>
      <c r="FB161" s="139">
        <f t="shared" si="186"/>
        <v>0</v>
      </c>
      <c r="FC161" s="139">
        <f t="shared" si="187"/>
        <v>0</v>
      </c>
      <c r="FD161" s="139">
        <f t="shared" si="188"/>
        <v>0</v>
      </c>
      <c r="FE161" s="139">
        <f t="shared" si="189"/>
        <v>0</v>
      </c>
      <c r="FF161" s="139">
        <f t="shared" si="190"/>
        <v>0</v>
      </c>
      <c r="FG161" s="139">
        <f t="shared" si="191"/>
        <v>0</v>
      </c>
      <c r="FH161" s="139">
        <f t="shared" si="192"/>
        <v>0</v>
      </c>
      <c r="FI161" s="139">
        <f t="shared" si="193"/>
        <v>0</v>
      </c>
      <c r="FJ161" s="139">
        <f t="shared" si="194"/>
        <v>0</v>
      </c>
      <c r="FK161" s="139">
        <f t="shared" si="195"/>
        <v>0</v>
      </c>
      <c r="FL161" s="139">
        <f t="shared" si="196"/>
        <v>0</v>
      </c>
      <c r="FM161" s="139">
        <f t="shared" si="197"/>
        <v>0</v>
      </c>
      <c r="FN161" s="139">
        <f t="shared" si="198"/>
        <v>0</v>
      </c>
      <c r="FO161" s="139">
        <f t="shared" si="199"/>
        <v>0</v>
      </c>
      <c r="FP161" s="139">
        <f t="shared" si="200"/>
        <v>0</v>
      </c>
      <c r="FQ161" s="139">
        <f t="shared" si="201"/>
        <v>0</v>
      </c>
      <c r="FR161" s="139">
        <f t="shared" si="202"/>
        <v>0</v>
      </c>
      <c r="FS161" s="139">
        <f t="shared" si="203"/>
        <v>0</v>
      </c>
      <c r="FT161" s="139">
        <f t="shared" si="204"/>
        <v>0</v>
      </c>
      <c r="FU161" s="148">
        <f t="shared" si="205"/>
        <v>0</v>
      </c>
      <c r="FV161" s="149"/>
      <c r="FY161" s="213">
        <v>156</v>
      </c>
      <c r="FZ161">
        <v>2.7705984438954863</v>
      </c>
      <c r="GA161">
        <v>14.512819201470709</v>
      </c>
      <c r="GB161">
        <v>6.3576344732190222</v>
      </c>
      <c r="GC161">
        <v>1.1496359908396288</v>
      </c>
      <c r="GD161">
        <v>3.0616517069088949</v>
      </c>
      <c r="GE161">
        <v>5.0028691500405138</v>
      </c>
      <c r="GF161">
        <v>0.95469624988012047</v>
      </c>
      <c r="GG161">
        <v>7.3280896780303451</v>
      </c>
      <c r="GH161">
        <v>10.321014573103287</v>
      </c>
      <c r="GI161">
        <v>5.7548675117501258</v>
      </c>
      <c r="GJ161"/>
      <c r="GK161"/>
      <c r="GL161"/>
      <c r="GM161"/>
      <c r="GN161" s="208"/>
      <c r="GO161" s="208"/>
      <c r="GP161" s="208"/>
      <c r="GQ161" s="208"/>
      <c r="GR161" s="208"/>
      <c r="GS161" s="208"/>
      <c r="GT161" s="208"/>
      <c r="GU161" s="213">
        <v>156</v>
      </c>
    </row>
    <row r="162" spans="1:203" s="7" customFormat="1">
      <c r="A162" s="1"/>
      <c r="B162" s="76">
        <f ca="1">IF(C162="", "", RAND())</f>
        <v>0.30635341987440778</v>
      </c>
      <c r="C162">
        <v>6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24.404026821571996</v>
      </c>
      <c r="AO162">
        <v>6.4162189063932376</v>
      </c>
      <c r="AP162">
        <v>42.719610230017487</v>
      </c>
      <c r="AQ162">
        <v>45.547272727450839</v>
      </c>
      <c r="AR162">
        <v>5.8871975493986985</v>
      </c>
      <c r="AS162">
        <v>73.112901371101501</v>
      </c>
      <c r="AT162" t="e">
        <v>#DIV/0!</v>
      </c>
      <c r="AU162" t="e">
        <v>#DIV/0!</v>
      </c>
      <c r="AV162"/>
      <c r="AW162"/>
      <c r="AX162" s="146"/>
      <c r="AY162" s="76">
        <f t="shared" ca="1" si="171"/>
        <v>0.64819579677217121</v>
      </c>
      <c r="AZ162">
        <v>5</v>
      </c>
      <c r="BA162" s="129">
        <f t="shared" si="243"/>
        <v>39910</v>
      </c>
      <c r="BB162" s="207">
        <v>0</v>
      </c>
      <c r="BC162" s="207">
        <v>0</v>
      </c>
      <c r="BD162" s="207">
        <v>0</v>
      </c>
      <c r="BE162" s="207">
        <v>0</v>
      </c>
      <c r="BF162" s="207">
        <v>0</v>
      </c>
      <c r="BG162" s="207">
        <v>0</v>
      </c>
      <c r="BH162" s="207">
        <v>0</v>
      </c>
      <c r="BI162" s="207">
        <v>0</v>
      </c>
      <c r="BJ162" s="207">
        <v>0</v>
      </c>
      <c r="BK162" s="207">
        <v>0</v>
      </c>
      <c r="BL162" s="207">
        <v>0</v>
      </c>
      <c r="BM162" s="207">
        <v>0</v>
      </c>
      <c r="BN162" s="207">
        <v>0</v>
      </c>
      <c r="BO162" s="207">
        <v>0</v>
      </c>
      <c r="BP162" s="207">
        <v>0</v>
      </c>
      <c r="BQ162" s="207">
        <v>0</v>
      </c>
      <c r="BR162" s="207">
        <v>0</v>
      </c>
      <c r="BS162" s="207">
        <v>0</v>
      </c>
      <c r="BT162" s="207">
        <v>0</v>
      </c>
      <c r="BU162" s="207">
        <v>0</v>
      </c>
      <c r="BV162" s="207">
        <v>0</v>
      </c>
      <c r="BW162" s="207">
        <v>0</v>
      </c>
      <c r="BX162" s="207">
        <v>0</v>
      </c>
      <c r="BY162" s="207">
        <v>0</v>
      </c>
      <c r="BZ162" s="207">
        <v>0</v>
      </c>
      <c r="CA162" s="207">
        <v>0</v>
      </c>
      <c r="CB162" s="207">
        <v>0</v>
      </c>
      <c r="CC162" s="207">
        <v>0</v>
      </c>
      <c r="CD162" s="207">
        <v>0</v>
      </c>
      <c r="CE162" s="207">
        <v>0</v>
      </c>
      <c r="CF162" s="207">
        <v>0</v>
      </c>
      <c r="CG162" s="147"/>
      <c r="CH162" s="176"/>
      <c r="CJ162" s="146"/>
      <c r="CK162" s="76">
        <f t="shared" ca="1" si="206"/>
        <v>0.87938791770482494</v>
      </c>
      <c r="CL162" s="179">
        <f t="shared" si="207"/>
        <v>5</v>
      </c>
      <c r="CM162" s="180">
        <f t="shared" si="208"/>
        <v>39910</v>
      </c>
      <c r="CN162" s="208">
        <v>0</v>
      </c>
      <c r="CO162" s="208">
        <v>0</v>
      </c>
      <c r="CP162" s="208">
        <v>0</v>
      </c>
      <c r="CQ162" s="208">
        <v>0</v>
      </c>
      <c r="CR162" s="208">
        <v>0</v>
      </c>
      <c r="CS162" s="208">
        <v>0</v>
      </c>
      <c r="CT162" s="208">
        <v>0</v>
      </c>
      <c r="CU162" s="208">
        <v>0</v>
      </c>
      <c r="CV162" s="160"/>
      <c r="CW162">
        <v>1</v>
      </c>
      <c r="CX162">
        <v>1</v>
      </c>
      <c r="CY162" s="160"/>
      <c r="CZ162" s="177">
        <f t="shared" si="209"/>
        <v>9.6000000000000002E-2</v>
      </c>
      <c r="DB162" s="146"/>
      <c r="DC162" s="76">
        <f t="shared" ca="1" si="172"/>
        <v>0.14721815140904493</v>
      </c>
      <c r="DD162">
        <f t="shared" si="210"/>
        <v>5</v>
      </c>
      <c r="DE162" s="129">
        <f t="shared" si="242"/>
        <v>39910</v>
      </c>
      <c r="DF162" s="161">
        <f t="shared" si="211"/>
        <v>0</v>
      </c>
      <c r="DG162" s="161">
        <f t="shared" si="212"/>
        <v>0</v>
      </c>
      <c r="DH162" s="161">
        <f t="shared" si="213"/>
        <v>0</v>
      </c>
      <c r="DI162" s="161">
        <f t="shared" si="214"/>
        <v>0</v>
      </c>
      <c r="DJ162" s="161">
        <f t="shared" si="215"/>
        <v>0</v>
      </c>
      <c r="DK162" s="161">
        <f t="shared" si="216"/>
        <v>0</v>
      </c>
      <c r="DL162" s="161">
        <f t="shared" si="217"/>
        <v>0</v>
      </c>
      <c r="DM162" s="161">
        <f t="shared" si="218"/>
        <v>0</v>
      </c>
      <c r="DN162" s="161">
        <f t="shared" si="219"/>
        <v>0</v>
      </c>
      <c r="DO162" s="161">
        <f t="shared" si="220"/>
        <v>0</v>
      </c>
      <c r="DP162" s="161">
        <f t="shared" si="221"/>
        <v>0</v>
      </c>
      <c r="DQ162" s="161">
        <f t="shared" si="222"/>
        <v>0</v>
      </c>
      <c r="DR162" s="161">
        <f t="shared" si="223"/>
        <v>0</v>
      </c>
      <c r="DS162" s="161">
        <f t="shared" si="224"/>
        <v>0</v>
      </c>
      <c r="DT162" s="161">
        <f t="shared" si="225"/>
        <v>0</v>
      </c>
      <c r="DU162" s="161">
        <f t="shared" si="226"/>
        <v>0</v>
      </c>
      <c r="DV162" s="161">
        <f t="shared" si="227"/>
        <v>0</v>
      </c>
      <c r="DW162" s="161">
        <f t="shared" si="228"/>
        <v>0</v>
      </c>
      <c r="DX162" s="161">
        <f t="shared" si="229"/>
        <v>0</v>
      </c>
      <c r="DY162" s="161">
        <f t="shared" si="230"/>
        <v>0</v>
      </c>
      <c r="DZ162" s="161">
        <f t="shared" si="231"/>
        <v>0</v>
      </c>
      <c r="EA162" s="161">
        <f t="shared" si="232"/>
        <v>0</v>
      </c>
      <c r="EB162" s="161">
        <f t="shared" si="233"/>
        <v>0</v>
      </c>
      <c r="EC162" s="161">
        <f t="shared" si="234"/>
        <v>0</v>
      </c>
      <c r="ED162" s="161">
        <f t="shared" si="235"/>
        <v>0</v>
      </c>
      <c r="EE162" s="161">
        <f t="shared" si="236"/>
        <v>0</v>
      </c>
      <c r="EF162" s="161">
        <f t="shared" si="237"/>
        <v>0</v>
      </c>
      <c r="EG162" s="161">
        <f t="shared" si="238"/>
        <v>0</v>
      </c>
      <c r="EH162" s="161">
        <f t="shared" si="239"/>
        <v>0</v>
      </c>
      <c r="EI162" s="161">
        <f t="shared" si="240"/>
        <v>0</v>
      </c>
      <c r="EJ162" s="161">
        <f t="shared" si="241"/>
        <v>0</v>
      </c>
      <c r="EK162" s="147">
        <f t="shared" si="173"/>
        <v>0</v>
      </c>
      <c r="EL162" s="149"/>
      <c r="EN162" s="146"/>
      <c r="EO162" s="146"/>
      <c r="EP162" s="139">
        <f t="shared" si="174"/>
        <v>0</v>
      </c>
      <c r="EQ162" s="139">
        <f t="shared" si="175"/>
        <v>0</v>
      </c>
      <c r="ER162" s="139">
        <f t="shared" si="176"/>
        <v>0</v>
      </c>
      <c r="ES162" s="139">
        <f t="shared" si="177"/>
        <v>0</v>
      </c>
      <c r="ET162" s="139">
        <f t="shared" si="178"/>
        <v>0</v>
      </c>
      <c r="EU162" s="139">
        <f t="shared" si="179"/>
        <v>0</v>
      </c>
      <c r="EV162" s="139">
        <f t="shared" si="180"/>
        <v>0</v>
      </c>
      <c r="EW162" s="139">
        <f t="shared" si="181"/>
        <v>0</v>
      </c>
      <c r="EX162" s="139">
        <f t="shared" si="182"/>
        <v>0</v>
      </c>
      <c r="EY162" s="139">
        <f t="shared" si="183"/>
        <v>0</v>
      </c>
      <c r="EZ162" s="139">
        <f t="shared" si="184"/>
        <v>0</v>
      </c>
      <c r="FA162" s="139">
        <f t="shared" si="185"/>
        <v>0</v>
      </c>
      <c r="FB162" s="139">
        <f t="shared" si="186"/>
        <v>0</v>
      </c>
      <c r="FC162" s="139">
        <f t="shared" si="187"/>
        <v>0</v>
      </c>
      <c r="FD162" s="139">
        <f t="shared" si="188"/>
        <v>0</v>
      </c>
      <c r="FE162" s="139">
        <f t="shared" si="189"/>
        <v>0</v>
      </c>
      <c r="FF162" s="139">
        <f t="shared" si="190"/>
        <v>0</v>
      </c>
      <c r="FG162" s="139">
        <f t="shared" si="191"/>
        <v>0</v>
      </c>
      <c r="FH162" s="139">
        <f t="shared" si="192"/>
        <v>0</v>
      </c>
      <c r="FI162" s="139">
        <f t="shared" si="193"/>
        <v>0</v>
      </c>
      <c r="FJ162" s="139">
        <f t="shared" si="194"/>
        <v>0</v>
      </c>
      <c r="FK162" s="139">
        <f t="shared" si="195"/>
        <v>0</v>
      </c>
      <c r="FL162" s="139">
        <f t="shared" si="196"/>
        <v>0</v>
      </c>
      <c r="FM162" s="139">
        <f t="shared" si="197"/>
        <v>0</v>
      </c>
      <c r="FN162" s="139">
        <f t="shared" si="198"/>
        <v>0</v>
      </c>
      <c r="FO162" s="139">
        <f t="shared" si="199"/>
        <v>0</v>
      </c>
      <c r="FP162" s="139">
        <f t="shared" si="200"/>
        <v>0</v>
      </c>
      <c r="FQ162" s="139">
        <f t="shared" si="201"/>
        <v>0</v>
      </c>
      <c r="FR162" s="139">
        <f t="shared" si="202"/>
        <v>0</v>
      </c>
      <c r="FS162" s="139">
        <f t="shared" si="203"/>
        <v>0</v>
      </c>
      <c r="FT162" s="139">
        <f t="shared" si="204"/>
        <v>0</v>
      </c>
      <c r="FU162" s="148">
        <f t="shared" si="205"/>
        <v>0</v>
      </c>
      <c r="FV162" s="149"/>
      <c r="FY162" s="213">
        <v>157</v>
      </c>
      <c r="FZ162">
        <v>1.596276202757001</v>
      </c>
      <c r="GA162">
        <v>15.746799145986287</v>
      </c>
      <c r="GB162">
        <v>6.9824328615052993</v>
      </c>
      <c r="GC162">
        <v>1.2527762457071427</v>
      </c>
      <c r="GD162">
        <v>2.5729839141514241</v>
      </c>
      <c r="GE162">
        <v>3.2720017595665674</v>
      </c>
      <c r="GF162">
        <v>0</v>
      </c>
      <c r="GG162">
        <v>0</v>
      </c>
      <c r="GH162">
        <v>0</v>
      </c>
      <c r="GI162">
        <v>3.6352063525499916</v>
      </c>
      <c r="GJ162"/>
      <c r="GK162"/>
      <c r="GL162"/>
      <c r="GM162"/>
      <c r="GN162" s="208"/>
      <c r="GO162" s="208"/>
      <c r="GP162" s="208"/>
      <c r="GQ162" s="208"/>
      <c r="GR162" s="208"/>
      <c r="GS162" s="208"/>
      <c r="GT162" s="208"/>
      <c r="GU162" s="213">
        <v>157</v>
      </c>
    </row>
    <row r="163" spans="1:203" s="7" customFormat="1">
      <c r="A163" s="1"/>
      <c r="B163" s="76">
        <f ca="1">IF(C163="", "", RAND())</f>
        <v>0.50010941366062323</v>
      </c>
      <c r="C163">
        <v>7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32.530685962239758</v>
      </c>
      <c r="AO163">
        <v>8.2066090892486265</v>
      </c>
      <c r="AP163">
        <v>113.35418850662796</v>
      </c>
      <c r="AQ163">
        <v>52.911203503612079</v>
      </c>
      <c r="AR163">
        <v>7.4605537174987502</v>
      </c>
      <c r="AS163">
        <v>102.55529028799714</v>
      </c>
      <c r="AT163" t="e">
        <v>#DIV/0!</v>
      </c>
      <c r="AU163" t="e">
        <v>#DIV/0!</v>
      </c>
      <c r="AV163"/>
      <c r="AW163"/>
      <c r="AX163" s="146"/>
      <c r="AY163" s="76">
        <f t="shared" ca="1" si="171"/>
        <v>0.77771645248604337</v>
      </c>
      <c r="AZ163">
        <v>6</v>
      </c>
      <c r="BA163" s="129">
        <f t="shared" si="243"/>
        <v>39910</v>
      </c>
      <c r="BB163" s="207">
        <v>0</v>
      </c>
      <c r="BC163" s="207">
        <v>0</v>
      </c>
      <c r="BD163" s="207">
        <v>0</v>
      </c>
      <c r="BE163" s="207">
        <v>0</v>
      </c>
      <c r="BF163" s="207">
        <v>0</v>
      </c>
      <c r="BG163" s="207">
        <v>0</v>
      </c>
      <c r="BH163" s="207">
        <v>0</v>
      </c>
      <c r="BI163" s="207">
        <v>0</v>
      </c>
      <c r="BJ163" s="207">
        <v>0</v>
      </c>
      <c r="BK163" s="207">
        <v>0</v>
      </c>
      <c r="BL163" s="207">
        <v>0</v>
      </c>
      <c r="BM163" s="207">
        <v>0</v>
      </c>
      <c r="BN163" s="207">
        <v>0</v>
      </c>
      <c r="BO163" s="207">
        <v>0</v>
      </c>
      <c r="BP163" s="207">
        <v>0</v>
      </c>
      <c r="BQ163" s="207">
        <v>0</v>
      </c>
      <c r="BR163" s="207">
        <v>0</v>
      </c>
      <c r="BS163" s="207">
        <v>0</v>
      </c>
      <c r="BT163" s="207">
        <v>0</v>
      </c>
      <c r="BU163" s="207">
        <v>0</v>
      </c>
      <c r="BV163" s="207">
        <v>0</v>
      </c>
      <c r="BW163" s="207">
        <v>0</v>
      </c>
      <c r="BX163" s="207">
        <v>0</v>
      </c>
      <c r="BY163" s="207">
        <v>0</v>
      </c>
      <c r="BZ163" s="207">
        <v>0</v>
      </c>
      <c r="CA163" s="207">
        <v>0</v>
      </c>
      <c r="CB163" s="207">
        <v>0</v>
      </c>
      <c r="CC163" s="207">
        <v>0</v>
      </c>
      <c r="CD163" s="207">
        <v>0</v>
      </c>
      <c r="CE163" s="207">
        <v>0</v>
      </c>
      <c r="CF163" s="207">
        <v>0</v>
      </c>
      <c r="CG163" s="147"/>
      <c r="CH163" s="176"/>
      <c r="CJ163" s="146"/>
      <c r="CK163" s="76">
        <f t="shared" ca="1" si="206"/>
        <v>0.35871261512214248</v>
      </c>
      <c r="CL163" s="179">
        <f t="shared" si="207"/>
        <v>6</v>
      </c>
      <c r="CM163" s="180">
        <f t="shared" si="208"/>
        <v>39910</v>
      </c>
      <c r="CN163" s="208">
        <v>0</v>
      </c>
      <c r="CO163" s="208">
        <v>0</v>
      </c>
      <c r="CP163" s="208">
        <v>0</v>
      </c>
      <c r="CQ163" s="208">
        <v>0</v>
      </c>
      <c r="CR163" s="208">
        <v>0</v>
      </c>
      <c r="CS163" s="208">
        <v>0</v>
      </c>
      <c r="CT163" s="208">
        <v>0</v>
      </c>
      <c r="CU163" s="208">
        <v>0</v>
      </c>
      <c r="CV163" s="160"/>
      <c r="CW163">
        <v>1</v>
      </c>
      <c r="CX163">
        <v>1</v>
      </c>
      <c r="CY163" s="160"/>
      <c r="CZ163" s="177">
        <f t="shared" si="209"/>
        <v>9.6000000000000002E-2</v>
      </c>
      <c r="DB163" s="146"/>
      <c r="DC163" s="76">
        <f t="shared" ca="1" si="172"/>
        <v>0.24255108813599313</v>
      </c>
      <c r="DD163">
        <f t="shared" si="210"/>
        <v>6</v>
      </c>
      <c r="DE163" s="129">
        <f t="shared" si="242"/>
        <v>39910</v>
      </c>
      <c r="DF163" s="161">
        <f t="shared" si="211"/>
        <v>0</v>
      </c>
      <c r="DG163" s="161">
        <f t="shared" si="212"/>
        <v>0</v>
      </c>
      <c r="DH163" s="161">
        <f t="shared" si="213"/>
        <v>0</v>
      </c>
      <c r="DI163" s="161">
        <f t="shared" si="214"/>
        <v>0</v>
      </c>
      <c r="DJ163" s="161">
        <f t="shared" si="215"/>
        <v>0</v>
      </c>
      <c r="DK163" s="161">
        <f t="shared" si="216"/>
        <v>0</v>
      </c>
      <c r="DL163" s="161">
        <f t="shared" si="217"/>
        <v>0</v>
      </c>
      <c r="DM163" s="161">
        <f t="shared" si="218"/>
        <v>0</v>
      </c>
      <c r="DN163" s="161">
        <f t="shared" si="219"/>
        <v>0</v>
      </c>
      <c r="DO163" s="161">
        <f t="shared" si="220"/>
        <v>0</v>
      </c>
      <c r="DP163" s="161">
        <f t="shared" si="221"/>
        <v>0</v>
      </c>
      <c r="DQ163" s="161">
        <f t="shared" si="222"/>
        <v>0</v>
      </c>
      <c r="DR163" s="161">
        <f t="shared" si="223"/>
        <v>0</v>
      </c>
      <c r="DS163" s="161">
        <f t="shared" si="224"/>
        <v>0</v>
      </c>
      <c r="DT163" s="161">
        <f t="shared" si="225"/>
        <v>0</v>
      </c>
      <c r="DU163" s="161">
        <f t="shared" si="226"/>
        <v>0</v>
      </c>
      <c r="DV163" s="161">
        <f t="shared" si="227"/>
        <v>0</v>
      </c>
      <c r="DW163" s="161">
        <f t="shared" si="228"/>
        <v>0</v>
      </c>
      <c r="DX163" s="161">
        <f t="shared" si="229"/>
        <v>0</v>
      </c>
      <c r="DY163" s="161">
        <f t="shared" si="230"/>
        <v>0</v>
      </c>
      <c r="DZ163" s="161">
        <f t="shared" si="231"/>
        <v>0</v>
      </c>
      <c r="EA163" s="161">
        <f t="shared" si="232"/>
        <v>0</v>
      </c>
      <c r="EB163" s="161">
        <f t="shared" si="233"/>
        <v>0</v>
      </c>
      <c r="EC163" s="161">
        <f t="shared" si="234"/>
        <v>0</v>
      </c>
      <c r="ED163" s="161">
        <f t="shared" si="235"/>
        <v>0</v>
      </c>
      <c r="EE163" s="161">
        <f t="shared" si="236"/>
        <v>0</v>
      </c>
      <c r="EF163" s="161">
        <f t="shared" si="237"/>
        <v>0</v>
      </c>
      <c r="EG163" s="161">
        <f t="shared" si="238"/>
        <v>0</v>
      </c>
      <c r="EH163" s="161">
        <f t="shared" si="239"/>
        <v>0</v>
      </c>
      <c r="EI163" s="161">
        <f t="shared" si="240"/>
        <v>0</v>
      </c>
      <c r="EJ163" s="161">
        <f t="shared" si="241"/>
        <v>0</v>
      </c>
      <c r="EK163" s="147">
        <f t="shared" si="173"/>
        <v>0</v>
      </c>
      <c r="EL163" s="149"/>
      <c r="EN163" s="146"/>
      <c r="EO163" s="146"/>
      <c r="EP163" s="139">
        <f t="shared" si="174"/>
        <v>0</v>
      </c>
      <c r="EQ163" s="139">
        <f t="shared" si="175"/>
        <v>0</v>
      </c>
      <c r="ER163" s="139">
        <f t="shared" si="176"/>
        <v>0</v>
      </c>
      <c r="ES163" s="139">
        <f t="shared" si="177"/>
        <v>0</v>
      </c>
      <c r="ET163" s="139">
        <f t="shared" si="178"/>
        <v>0</v>
      </c>
      <c r="EU163" s="139">
        <f t="shared" si="179"/>
        <v>0</v>
      </c>
      <c r="EV163" s="139">
        <f t="shared" si="180"/>
        <v>0</v>
      </c>
      <c r="EW163" s="139">
        <f t="shared" si="181"/>
        <v>0</v>
      </c>
      <c r="EX163" s="139">
        <f t="shared" si="182"/>
        <v>0</v>
      </c>
      <c r="EY163" s="139">
        <f t="shared" si="183"/>
        <v>0</v>
      </c>
      <c r="EZ163" s="139">
        <f t="shared" si="184"/>
        <v>0</v>
      </c>
      <c r="FA163" s="139">
        <f t="shared" si="185"/>
        <v>0</v>
      </c>
      <c r="FB163" s="139">
        <f t="shared" si="186"/>
        <v>0</v>
      </c>
      <c r="FC163" s="139">
        <f t="shared" si="187"/>
        <v>0</v>
      </c>
      <c r="FD163" s="139">
        <f t="shared" si="188"/>
        <v>0</v>
      </c>
      <c r="FE163" s="139">
        <f t="shared" si="189"/>
        <v>0</v>
      </c>
      <c r="FF163" s="139">
        <f t="shared" si="190"/>
        <v>0</v>
      </c>
      <c r="FG163" s="139">
        <f t="shared" si="191"/>
        <v>0</v>
      </c>
      <c r="FH163" s="139">
        <f t="shared" si="192"/>
        <v>0</v>
      </c>
      <c r="FI163" s="139">
        <f t="shared" si="193"/>
        <v>0</v>
      </c>
      <c r="FJ163" s="139">
        <f t="shared" si="194"/>
        <v>0</v>
      </c>
      <c r="FK163" s="139">
        <f t="shared" si="195"/>
        <v>0</v>
      </c>
      <c r="FL163" s="139">
        <f t="shared" si="196"/>
        <v>0</v>
      </c>
      <c r="FM163" s="139">
        <f t="shared" si="197"/>
        <v>0</v>
      </c>
      <c r="FN163" s="139">
        <f t="shared" si="198"/>
        <v>0</v>
      </c>
      <c r="FO163" s="139">
        <f t="shared" si="199"/>
        <v>0</v>
      </c>
      <c r="FP163" s="139">
        <f t="shared" si="200"/>
        <v>0</v>
      </c>
      <c r="FQ163" s="139">
        <f t="shared" si="201"/>
        <v>0</v>
      </c>
      <c r="FR163" s="139">
        <f t="shared" si="202"/>
        <v>0</v>
      </c>
      <c r="FS163" s="139">
        <f t="shared" si="203"/>
        <v>0</v>
      </c>
      <c r="FT163" s="139">
        <f t="shared" si="204"/>
        <v>0</v>
      </c>
      <c r="FU163" s="148">
        <f t="shared" si="205"/>
        <v>0</v>
      </c>
      <c r="FV163" s="149"/>
      <c r="FY163" s="213">
        <v>158</v>
      </c>
      <c r="FZ163">
        <v>0</v>
      </c>
      <c r="GA163">
        <v>20.408803862413976</v>
      </c>
      <c r="GB163">
        <v>10.065602178261468</v>
      </c>
      <c r="GC163">
        <v>1.2527762457071427</v>
      </c>
      <c r="GD163">
        <v>2.3072297455712709</v>
      </c>
      <c r="GE163">
        <v>3.0181858280414011</v>
      </c>
      <c r="GF163">
        <v>0.47734812494006024</v>
      </c>
      <c r="GG163">
        <v>6.8230040192573682</v>
      </c>
      <c r="GH163">
        <v>9.653451764873914</v>
      </c>
      <c r="GI163">
        <v>5.6310038284441184</v>
      </c>
      <c r="GJ163"/>
      <c r="GK163"/>
      <c r="GL163"/>
      <c r="GM163"/>
      <c r="GN163" s="208"/>
      <c r="GO163" s="208"/>
      <c r="GP163" s="208"/>
      <c r="GQ163" s="208"/>
      <c r="GR163" s="208"/>
      <c r="GS163" s="208"/>
      <c r="GT163" s="208"/>
      <c r="GU163" s="213">
        <v>158</v>
      </c>
    </row>
    <row r="164" spans="1:203" s="7" customFormat="1">
      <c r="A164" s="1"/>
      <c r="B164" s="76">
        <f ca="1">IF(C164="", "", RAND())</f>
        <v>0.93337267330886586</v>
      </c>
      <c r="C164">
        <v>1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27.734469487143976</v>
      </c>
      <c r="AO164">
        <v>6.6130027251184575</v>
      </c>
      <c r="AP164">
        <v>119.86602988554188</v>
      </c>
      <c r="AQ164">
        <v>43.678094843138659</v>
      </c>
      <c r="AR164">
        <v>6.0660919300579907</v>
      </c>
      <c r="AS164">
        <v>75.403022879171147</v>
      </c>
      <c r="AT164" t="e">
        <v>#DIV/0!</v>
      </c>
      <c r="AU164" t="e">
        <v>#DIV/0!</v>
      </c>
      <c r="AV164"/>
      <c r="AW164"/>
      <c r="AX164" s="146"/>
      <c r="AY164" s="76">
        <f t="shared" ca="1" si="171"/>
        <v>0.9547679524505801</v>
      </c>
      <c r="AZ164">
        <v>7</v>
      </c>
      <c r="BA164" s="129">
        <f t="shared" si="243"/>
        <v>39910</v>
      </c>
      <c r="BB164" s="207">
        <v>0</v>
      </c>
      <c r="BC164" s="207">
        <v>0</v>
      </c>
      <c r="BD164" s="207">
        <v>0</v>
      </c>
      <c r="BE164" s="207">
        <v>0</v>
      </c>
      <c r="BF164" s="207">
        <v>0</v>
      </c>
      <c r="BG164" s="207">
        <v>0</v>
      </c>
      <c r="BH164" s="207">
        <v>0</v>
      </c>
      <c r="BI164" s="207">
        <v>0</v>
      </c>
      <c r="BJ164" s="207">
        <v>0</v>
      </c>
      <c r="BK164" s="207">
        <v>0</v>
      </c>
      <c r="BL164" s="207">
        <v>0</v>
      </c>
      <c r="BM164" s="207">
        <v>0</v>
      </c>
      <c r="BN164" s="207">
        <v>0</v>
      </c>
      <c r="BO164" s="207">
        <v>0</v>
      </c>
      <c r="BP164" s="207">
        <v>0</v>
      </c>
      <c r="BQ164" s="207">
        <v>0</v>
      </c>
      <c r="BR164" s="207">
        <v>0</v>
      </c>
      <c r="BS164" s="207">
        <v>0</v>
      </c>
      <c r="BT164" s="207">
        <v>0</v>
      </c>
      <c r="BU164" s="207">
        <v>0</v>
      </c>
      <c r="BV164" s="207">
        <v>0</v>
      </c>
      <c r="BW164" s="207">
        <v>0</v>
      </c>
      <c r="BX164" s="207">
        <v>0</v>
      </c>
      <c r="BY164" s="207">
        <v>0</v>
      </c>
      <c r="BZ164" s="207">
        <v>0</v>
      </c>
      <c r="CA164" s="207">
        <v>0</v>
      </c>
      <c r="CB164" s="207">
        <v>0</v>
      </c>
      <c r="CC164" s="207">
        <v>0</v>
      </c>
      <c r="CD164" s="207">
        <v>0</v>
      </c>
      <c r="CE164" s="207">
        <v>0</v>
      </c>
      <c r="CF164" s="207">
        <v>0</v>
      </c>
      <c r="CG164" s="147"/>
      <c r="CH164" s="176"/>
      <c r="CJ164" s="146"/>
      <c r="CK164" s="76">
        <f t="shared" ca="1" si="206"/>
        <v>0.88598866156511935</v>
      </c>
      <c r="CL164" s="179">
        <f t="shared" si="207"/>
        <v>7</v>
      </c>
      <c r="CM164" s="180">
        <f t="shared" si="208"/>
        <v>39910</v>
      </c>
      <c r="CN164" s="208">
        <v>0</v>
      </c>
      <c r="CO164" s="208">
        <v>0</v>
      </c>
      <c r="CP164" s="208">
        <v>0</v>
      </c>
      <c r="CQ164" s="208">
        <v>0</v>
      </c>
      <c r="CR164" s="208">
        <v>0</v>
      </c>
      <c r="CS164" s="208">
        <v>0</v>
      </c>
      <c r="CT164" s="208">
        <v>0</v>
      </c>
      <c r="CU164" s="208">
        <v>0</v>
      </c>
      <c r="CV164" s="160"/>
      <c r="CW164">
        <v>1</v>
      </c>
      <c r="CX164">
        <v>1</v>
      </c>
      <c r="CY164" s="165"/>
      <c r="CZ164" s="177">
        <f t="shared" si="209"/>
        <v>9.6000000000000002E-2</v>
      </c>
      <c r="DB164" s="146"/>
      <c r="DC164" s="76">
        <f t="shared" ca="1" si="172"/>
        <v>7.6899966449610391E-2</v>
      </c>
      <c r="DD164">
        <f t="shared" si="210"/>
        <v>7</v>
      </c>
      <c r="DE164" s="129">
        <f t="shared" si="242"/>
        <v>39910</v>
      </c>
      <c r="DF164" s="161">
        <f t="shared" si="211"/>
        <v>0</v>
      </c>
      <c r="DG164" s="161">
        <f t="shared" si="212"/>
        <v>0</v>
      </c>
      <c r="DH164" s="161">
        <f t="shared" si="213"/>
        <v>0</v>
      </c>
      <c r="DI164" s="161">
        <f t="shared" si="214"/>
        <v>0</v>
      </c>
      <c r="DJ164" s="161">
        <f t="shared" si="215"/>
        <v>0</v>
      </c>
      <c r="DK164" s="161">
        <f t="shared" si="216"/>
        <v>0</v>
      </c>
      <c r="DL164" s="161">
        <f t="shared" si="217"/>
        <v>0</v>
      </c>
      <c r="DM164" s="161">
        <f t="shared" si="218"/>
        <v>0</v>
      </c>
      <c r="DN164" s="161">
        <f t="shared" si="219"/>
        <v>0</v>
      </c>
      <c r="DO164" s="161">
        <f t="shared" si="220"/>
        <v>0</v>
      </c>
      <c r="DP164" s="161">
        <f t="shared" si="221"/>
        <v>0</v>
      </c>
      <c r="DQ164" s="161">
        <f t="shared" si="222"/>
        <v>0</v>
      </c>
      <c r="DR164" s="161">
        <f t="shared" si="223"/>
        <v>0</v>
      </c>
      <c r="DS164" s="161">
        <f t="shared" si="224"/>
        <v>0</v>
      </c>
      <c r="DT164" s="161">
        <f t="shared" si="225"/>
        <v>0</v>
      </c>
      <c r="DU164" s="161">
        <f t="shared" si="226"/>
        <v>0</v>
      </c>
      <c r="DV164" s="161">
        <f t="shared" si="227"/>
        <v>0</v>
      </c>
      <c r="DW164" s="161">
        <f t="shared" si="228"/>
        <v>0</v>
      </c>
      <c r="DX164" s="161">
        <f t="shared" si="229"/>
        <v>0</v>
      </c>
      <c r="DY164" s="161">
        <f t="shared" si="230"/>
        <v>0</v>
      </c>
      <c r="DZ164" s="161">
        <f t="shared" si="231"/>
        <v>0</v>
      </c>
      <c r="EA164" s="161">
        <f t="shared" si="232"/>
        <v>0</v>
      </c>
      <c r="EB164" s="161">
        <f t="shared" si="233"/>
        <v>0</v>
      </c>
      <c r="EC164" s="161">
        <f t="shared" si="234"/>
        <v>0</v>
      </c>
      <c r="ED164" s="161">
        <f t="shared" si="235"/>
        <v>0</v>
      </c>
      <c r="EE164" s="161">
        <f t="shared" si="236"/>
        <v>0</v>
      </c>
      <c r="EF164" s="161">
        <f t="shared" si="237"/>
        <v>0</v>
      </c>
      <c r="EG164" s="161">
        <f t="shared" si="238"/>
        <v>0</v>
      </c>
      <c r="EH164" s="161">
        <f t="shared" si="239"/>
        <v>0</v>
      </c>
      <c r="EI164" s="161">
        <f t="shared" si="240"/>
        <v>0</v>
      </c>
      <c r="EJ164" s="161">
        <f t="shared" si="241"/>
        <v>0</v>
      </c>
      <c r="EK164" s="147">
        <f t="shared" si="173"/>
        <v>0</v>
      </c>
      <c r="EL164" s="149"/>
      <c r="EN164" s="146"/>
      <c r="EO164" s="146"/>
      <c r="EP164" s="139">
        <f t="shared" si="174"/>
        <v>0</v>
      </c>
      <c r="EQ164" s="139">
        <f t="shared" si="175"/>
        <v>0</v>
      </c>
      <c r="ER164" s="139">
        <f t="shared" si="176"/>
        <v>0</v>
      </c>
      <c r="ES164" s="139">
        <f t="shared" si="177"/>
        <v>0</v>
      </c>
      <c r="ET164" s="139">
        <f t="shared" si="178"/>
        <v>0</v>
      </c>
      <c r="EU164" s="139">
        <f t="shared" si="179"/>
        <v>0</v>
      </c>
      <c r="EV164" s="139">
        <f t="shared" si="180"/>
        <v>0</v>
      </c>
      <c r="EW164" s="139">
        <f t="shared" si="181"/>
        <v>0</v>
      </c>
      <c r="EX164" s="139">
        <f t="shared" si="182"/>
        <v>0</v>
      </c>
      <c r="EY164" s="139">
        <f t="shared" si="183"/>
        <v>0</v>
      </c>
      <c r="EZ164" s="139">
        <f t="shared" si="184"/>
        <v>0</v>
      </c>
      <c r="FA164" s="139">
        <f t="shared" si="185"/>
        <v>0</v>
      </c>
      <c r="FB164" s="139">
        <f t="shared" si="186"/>
        <v>0</v>
      </c>
      <c r="FC164" s="139">
        <f t="shared" si="187"/>
        <v>0</v>
      </c>
      <c r="FD164" s="139">
        <f t="shared" si="188"/>
        <v>0</v>
      </c>
      <c r="FE164" s="139">
        <f t="shared" si="189"/>
        <v>0</v>
      </c>
      <c r="FF164" s="139">
        <f t="shared" si="190"/>
        <v>0</v>
      </c>
      <c r="FG164" s="139">
        <f t="shared" si="191"/>
        <v>0</v>
      </c>
      <c r="FH164" s="139">
        <f t="shared" si="192"/>
        <v>0</v>
      </c>
      <c r="FI164" s="139">
        <f t="shared" si="193"/>
        <v>0</v>
      </c>
      <c r="FJ164" s="139">
        <f t="shared" si="194"/>
        <v>0</v>
      </c>
      <c r="FK164" s="139">
        <f t="shared" si="195"/>
        <v>0</v>
      </c>
      <c r="FL164" s="139">
        <f t="shared" si="196"/>
        <v>0</v>
      </c>
      <c r="FM164" s="139">
        <f t="shared" si="197"/>
        <v>0</v>
      </c>
      <c r="FN164" s="139">
        <f t="shared" si="198"/>
        <v>0</v>
      </c>
      <c r="FO164" s="139">
        <f t="shared" si="199"/>
        <v>0</v>
      </c>
      <c r="FP164" s="139">
        <f t="shared" si="200"/>
        <v>0</v>
      </c>
      <c r="FQ164" s="139">
        <f t="shared" si="201"/>
        <v>0</v>
      </c>
      <c r="FR164" s="139">
        <f t="shared" si="202"/>
        <v>0</v>
      </c>
      <c r="FS164" s="139">
        <f t="shared" si="203"/>
        <v>0</v>
      </c>
      <c r="FT164" s="139">
        <f t="shared" si="204"/>
        <v>0</v>
      </c>
      <c r="FU164" s="148">
        <f t="shared" si="205"/>
        <v>0</v>
      </c>
      <c r="FV164" s="149"/>
      <c r="FY164" s="213">
        <v>159</v>
      </c>
      <c r="FZ164">
        <v>0</v>
      </c>
      <c r="GA164">
        <v>11.744188385670506</v>
      </c>
      <c r="GB164">
        <v>5.627705481572491</v>
      </c>
      <c r="GC164">
        <v>0.53976406905949814</v>
      </c>
      <c r="GD164">
        <v>1.7590478575101043</v>
      </c>
      <c r="GE164">
        <v>2.7255028532841425</v>
      </c>
      <c r="GF164">
        <v>0</v>
      </c>
      <c r="GG164">
        <v>7.0348114788393827</v>
      </c>
      <c r="GH164">
        <v>9.8182543519299195</v>
      </c>
      <c r="GI164">
        <v>4.1489415605144684</v>
      </c>
      <c r="GJ164"/>
      <c r="GK164"/>
      <c r="GL164"/>
      <c r="GM164"/>
      <c r="GN164" s="208"/>
      <c r="GO164" s="208"/>
      <c r="GP164" s="208"/>
      <c r="GQ164" s="208"/>
      <c r="GR164" s="208"/>
      <c r="GS164" s="208"/>
      <c r="GT164" s="208"/>
      <c r="GU164" s="213">
        <v>159</v>
      </c>
    </row>
    <row r="165" spans="1:203" s="7" customFormat="1">
      <c r="A165" s="1"/>
      <c r="B165" s="76">
        <f ca="1">IF(C165="", "", RAND())</f>
        <v>0.52613925307745113</v>
      </c>
      <c r="C165">
        <v>4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23.043993296667786</v>
      </c>
      <c r="AO165">
        <v>8.0595337280647783</v>
      </c>
      <c r="AP165">
        <v>216.3530840455538</v>
      </c>
      <c r="AQ165">
        <v>53.044008966798621</v>
      </c>
      <c r="AR165">
        <v>7.4353913854140403</v>
      </c>
      <c r="AS165">
        <v>82.465205394106675</v>
      </c>
      <c r="AT165" t="e">
        <v>#DIV/0!</v>
      </c>
      <c r="AU165" t="e">
        <v>#DIV/0!</v>
      </c>
      <c r="AV165"/>
      <c r="AW165"/>
      <c r="AX165" s="146"/>
      <c r="AY165" s="76">
        <f t="shared" ca="1" si="171"/>
        <v>0.12586289056522837</v>
      </c>
      <c r="AZ165">
        <v>8</v>
      </c>
      <c r="BA165" s="129">
        <f t="shared" si="243"/>
        <v>39910</v>
      </c>
      <c r="BB165" s="207">
        <v>0</v>
      </c>
      <c r="BC165" s="207">
        <v>0</v>
      </c>
      <c r="BD165" s="207">
        <v>0</v>
      </c>
      <c r="BE165" s="207">
        <v>0</v>
      </c>
      <c r="BF165" s="207">
        <v>0</v>
      </c>
      <c r="BG165" s="207">
        <v>0</v>
      </c>
      <c r="BH165" s="207">
        <v>0</v>
      </c>
      <c r="BI165" s="207">
        <v>0</v>
      </c>
      <c r="BJ165" s="207">
        <v>0</v>
      </c>
      <c r="BK165" s="207">
        <v>0</v>
      </c>
      <c r="BL165" s="207">
        <v>0</v>
      </c>
      <c r="BM165" s="207">
        <v>0</v>
      </c>
      <c r="BN165" s="207">
        <v>0</v>
      </c>
      <c r="BO165" s="207">
        <v>0</v>
      </c>
      <c r="BP165" s="207">
        <v>0</v>
      </c>
      <c r="BQ165" s="207">
        <v>0</v>
      </c>
      <c r="BR165" s="207">
        <v>0</v>
      </c>
      <c r="BS165" s="207">
        <v>0</v>
      </c>
      <c r="BT165" s="207">
        <v>0</v>
      </c>
      <c r="BU165" s="207">
        <v>0</v>
      </c>
      <c r="BV165" s="207">
        <v>0</v>
      </c>
      <c r="BW165" s="207">
        <v>0</v>
      </c>
      <c r="BX165" s="207">
        <v>0</v>
      </c>
      <c r="BY165" s="207">
        <v>0</v>
      </c>
      <c r="BZ165" s="207">
        <v>0</v>
      </c>
      <c r="CA165" s="207">
        <v>0</v>
      </c>
      <c r="CB165" s="207">
        <v>0</v>
      </c>
      <c r="CC165" s="207">
        <v>0</v>
      </c>
      <c r="CD165" s="207">
        <v>0</v>
      </c>
      <c r="CE165" s="207">
        <v>0</v>
      </c>
      <c r="CF165" s="207">
        <v>0</v>
      </c>
      <c r="CG165" s="147"/>
      <c r="CH165" s="176"/>
      <c r="CJ165" s="146"/>
      <c r="CK165" s="76">
        <f t="shared" ca="1" si="206"/>
        <v>0.36823102217040349</v>
      </c>
      <c r="CL165" s="179">
        <f t="shared" si="207"/>
        <v>8</v>
      </c>
      <c r="CM165" s="180">
        <f t="shared" si="208"/>
        <v>39910</v>
      </c>
      <c r="CN165" s="208">
        <v>0</v>
      </c>
      <c r="CO165" s="208">
        <v>0</v>
      </c>
      <c r="CP165" s="208">
        <v>0</v>
      </c>
      <c r="CQ165" s="208">
        <v>0</v>
      </c>
      <c r="CR165" s="208">
        <v>0</v>
      </c>
      <c r="CS165" s="208">
        <v>0</v>
      </c>
      <c r="CT165" s="208">
        <v>0</v>
      </c>
      <c r="CU165" s="208">
        <v>0</v>
      </c>
      <c r="CV165" s="160"/>
      <c r="CW165">
        <v>1</v>
      </c>
      <c r="CX165">
        <v>1</v>
      </c>
      <c r="CY165" s="165"/>
      <c r="CZ165" s="177">
        <f t="shared" si="209"/>
        <v>9.6000000000000002E-2</v>
      </c>
      <c r="DB165" s="146"/>
      <c r="DC165" s="76">
        <f t="shared" ca="1" si="172"/>
        <v>0.17016308705173966</v>
      </c>
      <c r="DD165">
        <f t="shared" si="210"/>
        <v>8</v>
      </c>
      <c r="DE165" s="129">
        <f t="shared" si="242"/>
        <v>39910</v>
      </c>
      <c r="DF165" s="161">
        <f t="shared" si="211"/>
        <v>0</v>
      </c>
      <c r="DG165" s="161">
        <f t="shared" si="212"/>
        <v>0</v>
      </c>
      <c r="DH165" s="161">
        <f t="shared" si="213"/>
        <v>0</v>
      </c>
      <c r="DI165" s="161">
        <f t="shared" si="214"/>
        <v>0</v>
      </c>
      <c r="DJ165" s="161">
        <f t="shared" si="215"/>
        <v>0</v>
      </c>
      <c r="DK165" s="161">
        <f t="shared" si="216"/>
        <v>0</v>
      </c>
      <c r="DL165" s="161">
        <f t="shared" si="217"/>
        <v>0</v>
      </c>
      <c r="DM165" s="161">
        <f t="shared" si="218"/>
        <v>0</v>
      </c>
      <c r="DN165" s="161">
        <f t="shared" si="219"/>
        <v>0</v>
      </c>
      <c r="DO165" s="161">
        <f t="shared" si="220"/>
        <v>0</v>
      </c>
      <c r="DP165" s="161">
        <f t="shared" si="221"/>
        <v>0</v>
      </c>
      <c r="DQ165" s="161">
        <f t="shared" si="222"/>
        <v>0</v>
      </c>
      <c r="DR165" s="161">
        <f t="shared" si="223"/>
        <v>0</v>
      </c>
      <c r="DS165" s="161">
        <f t="shared" si="224"/>
        <v>0</v>
      </c>
      <c r="DT165" s="161">
        <f t="shared" si="225"/>
        <v>0</v>
      </c>
      <c r="DU165" s="161">
        <f t="shared" si="226"/>
        <v>0</v>
      </c>
      <c r="DV165" s="161">
        <f t="shared" si="227"/>
        <v>0</v>
      </c>
      <c r="DW165" s="161">
        <f t="shared" si="228"/>
        <v>0</v>
      </c>
      <c r="DX165" s="161">
        <f t="shared" si="229"/>
        <v>0</v>
      </c>
      <c r="DY165" s="161">
        <f t="shared" si="230"/>
        <v>0</v>
      </c>
      <c r="DZ165" s="161">
        <f t="shared" si="231"/>
        <v>0</v>
      </c>
      <c r="EA165" s="161">
        <f t="shared" si="232"/>
        <v>0</v>
      </c>
      <c r="EB165" s="161">
        <f t="shared" si="233"/>
        <v>0</v>
      </c>
      <c r="EC165" s="161">
        <f t="shared" si="234"/>
        <v>0</v>
      </c>
      <c r="ED165" s="161">
        <f t="shared" si="235"/>
        <v>0</v>
      </c>
      <c r="EE165" s="161">
        <f t="shared" si="236"/>
        <v>0</v>
      </c>
      <c r="EF165" s="161">
        <f t="shared" si="237"/>
        <v>0</v>
      </c>
      <c r="EG165" s="161">
        <f t="shared" si="238"/>
        <v>0</v>
      </c>
      <c r="EH165" s="161">
        <f t="shared" si="239"/>
        <v>0</v>
      </c>
      <c r="EI165" s="161">
        <f t="shared" si="240"/>
        <v>0</v>
      </c>
      <c r="EJ165" s="161">
        <f t="shared" si="241"/>
        <v>0</v>
      </c>
      <c r="EK165" s="147">
        <f t="shared" si="173"/>
        <v>0</v>
      </c>
      <c r="EL165" s="149"/>
      <c r="EN165" s="146"/>
      <c r="EO165" s="146"/>
      <c r="EP165" s="139">
        <f t="shared" si="174"/>
        <v>0</v>
      </c>
      <c r="EQ165" s="139">
        <f t="shared" si="175"/>
        <v>0</v>
      </c>
      <c r="ER165" s="139">
        <f t="shared" si="176"/>
        <v>0</v>
      </c>
      <c r="ES165" s="139">
        <f t="shared" si="177"/>
        <v>0</v>
      </c>
      <c r="ET165" s="139">
        <f t="shared" si="178"/>
        <v>0</v>
      </c>
      <c r="EU165" s="139">
        <f t="shared" si="179"/>
        <v>0</v>
      </c>
      <c r="EV165" s="139">
        <f t="shared" si="180"/>
        <v>0</v>
      </c>
      <c r="EW165" s="139">
        <f t="shared" si="181"/>
        <v>0</v>
      </c>
      <c r="EX165" s="139">
        <f t="shared" si="182"/>
        <v>0</v>
      </c>
      <c r="EY165" s="139">
        <f t="shared" si="183"/>
        <v>0</v>
      </c>
      <c r="EZ165" s="139">
        <f t="shared" si="184"/>
        <v>0</v>
      </c>
      <c r="FA165" s="139">
        <f t="shared" si="185"/>
        <v>0</v>
      </c>
      <c r="FB165" s="139">
        <f t="shared" si="186"/>
        <v>0</v>
      </c>
      <c r="FC165" s="139">
        <f t="shared" si="187"/>
        <v>0</v>
      </c>
      <c r="FD165" s="139">
        <f t="shared" si="188"/>
        <v>0</v>
      </c>
      <c r="FE165" s="139">
        <f t="shared" si="189"/>
        <v>0</v>
      </c>
      <c r="FF165" s="139">
        <f t="shared" si="190"/>
        <v>0</v>
      </c>
      <c r="FG165" s="139">
        <f t="shared" si="191"/>
        <v>0</v>
      </c>
      <c r="FH165" s="139">
        <f t="shared" si="192"/>
        <v>0</v>
      </c>
      <c r="FI165" s="139">
        <f t="shared" si="193"/>
        <v>0</v>
      </c>
      <c r="FJ165" s="139">
        <f t="shared" si="194"/>
        <v>0</v>
      </c>
      <c r="FK165" s="139">
        <f t="shared" si="195"/>
        <v>0</v>
      </c>
      <c r="FL165" s="139">
        <f t="shared" si="196"/>
        <v>0</v>
      </c>
      <c r="FM165" s="139">
        <f t="shared" si="197"/>
        <v>0</v>
      </c>
      <c r="FN165" s="139">
        <f t="shared" si="198"/>
        <v>0</v>
      </c>
      <c r="FO165" s="139">
        <f t="shared" si="199"/>
        <v>0</v>
      </c>
      <c r="FP165" s="139">
        <f t="shared" si="200"/>
        <v>0</v>
      </c>
      <c r="FQ165" s="139">
        <f t="shared" si="201"/>
        <v>0</v>
      </c>
      <c r="FR165" s="139">
        <f t="shared" si="202"/>
        <v>0</v>
      </c>
      <c r="FS165" s="139">
        <f t="shared" si="203"/>
        <v>0</v>
      </c>
      <c r="FT165" s="139">
        <f t="shared" si="204"/>
        <v>0</v>
      </c>
      <c r="FU165" s="148">
        <f t="shared" si="205"/>
        <v>0</v>
      </c>
      <c r="FV165" s="149"/>
      <c r="FY165" s="213">
        <v>160</v>
      </c>
      <c r="FZ165">
        <v>3.7797135260832437</v>
      </c>
      <c r="GA165">
        <v>19.39501974263294</v>
      </c>
      <c r="GB165">
        <v>7.8827266017669135</v>
      </c>
      <c r="GC165">
        <v>1.3228840984277752</v>
      </c>
      <c r="GD165">
        <v>1.7103086499364233</v>
      </c>
      <c r="GE165">
        <v>1.988652418090544</v>
      </c>
      <c r="GF165">
        <v>0.95469624988012047</v>
      </c>
      <c r="GG165">
        <v>4.931295217176487</v>
      </c>
      <c r="GH165">
        <v>7.0522507132343177</v>
      </c>
      <c r="GI165">
        <v>4.8591109622561826</v>
      </c>
      <c r="GJ165"/>
      <c r="GK165"/>
      <c r="GL165"/>
      <c r="GM165"/>
      <c r="GN165" s="208"/>
      <c r="GO165" s="208"/>
      <c r="GP165" s="208"/>
      <c r="GQ165" s="208"/>
      <c r="GR165" s="208"/>
      <c r="GS165" s="208"/>
      <c r="GT165" s="208"/>
      <c r="GU165" s="213">
        <v>160</v>
      </c>
    </row>
    <row r="166" spans="1:203" s="7" customFormat="1">
      <c r="A166" s="1"/>
      <c r="B166" s="76">
        <f ca="1">IF(C166="", "", RAND())</f>
        <v>4.7830965306479456E-2</v>
      </c>
      <c r="C166">
        <v>9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24.813253012048193</v>
      </c>
      <c r="AO166">
        <v>5.9679783229716747</v>
      </c>
      <c r="AP166">
        <v>74.046904562303382</v>
      </c>
      <c r="AQ166">
        <v>45.468585224701066</v>
      </c>
      <c r="AR166">
        <v>5.4797061099245532</v>
      </c>
      <c r="AS166">
        <v>65.778079283737071</v>
      </c>
      <c r="AT166" t="e">
        <v>#DIV/0!</v>
      </c>
      <c r="AU166" t="e">
        <v>#DIV/0!</v>
      </c>
      <c r="AV166"/>
      <c r="AW166"/>
      <c r="AX166" s="146"/>
      <c r="AY166" s="76">
        <f t="shared" ca="1" si="171"/>
        <v>0.22126828667182652</v>
      </c>
      <c r="AZ166">
        <v>9</v>
      </c>
      <c r="BA166" s="129">
        <f t="shared" si="243"/>
        <v>39910</v>
      </c>
      <c r="BB166" s="207">
        <v>0</v>
      </c>
      <c r="BC166" s="207">
        <v>0</v>
      </c>
      <c r="BD166" s="207">
        <v>0</v>
      </c>
      <c r="BE166" s="207">
        <v>0</v>
      </c>
      <c r="BF166" s="207">
        <v>0</v>
      </c>
      <c r="BG166" s="207">
        <v>0</v>
      </c>
      <c r="BH166" s="207">
        <v>0</v>
      </c>
      <c r="BI166" s="207">
        <v>0</v>
      </c>
      <c r="BJ166" s="207">
        <v>0</v>
      </c>
      <c r="BK166" s="207">
        <v>0</v>
      </c>
      <c r="BL166" s="207">
        <v>0</v>
      </c>
      <c r="BM166" s="207">
        <v>0</v>
      </c>
      <c r="BN166" s="207">
        <v>0</v>
      </c>
      <c r="BO166" s="207">
        <v>0</v>
      </c>
      <c r="BP166" s="207">
        <v>0</v>
      </c>
      <c r="BQ166" s="207">
        <v>0</v>
      </c>
      <c r="BR166" s="207">
        <v>0</v>
      </c>
      <c r="BS166" s="207">
        <v>0</v>
      </c>
      <c r="BT166" s="207">
        <v>0</v>
      </c>
      <c r="BU166" s="207">
        <v>0</v>
      </c>
      <c r="BV166" s="207">
        <v>0</v>
      </c>
      <c r="BW166" s="207">
        <v>0</v>
      </c>
      <c r="BX166" s="207">
        <v>0</v>
      </c>
      <c r="BY166" s="207">
        <v>0</v>
      </c>
      <c r="BZ166" s="207">
        <v>0</v>
      </c>
      <c r="CA166" s="207">
        <v>0</v>
      </c>
      <c r="CB166" s="207">
        <v>0</v>
      </c>
      <c r="CC166" s="207">
        <v>0</v>
      </c>
      <c r="CD166" s="207">
        <v>0</v>
      </c>
      <c r="CE166" s="207">
        <v>0</v>
      </c>
      <c r="CF166" s="207">
        <v>0</v>
      </c>
      <c r="CG166" s="147"/>
      <c r="CH166" s="176"/>
      <c r="CJ166" s="146"/>
      <c r="CK166" s="76">
        <f t="shared" ca="1" si="206"/>
        <v>0.44222115411138496</v>
      </c>
      <c r="CL166" s="179">
        <f t="shared" si="207"/>
        <v>9</v>
      </c>
      <c r="CM166" s="180">
        <f t="shared" si="208"/>
        <v>39910</v>
      </c>
      <c r="CN166" s="208">
        <v>0</v>
      </c>
      <c r="CO166" s="208">
        <v>0</v>
      </c>
      <c r="CP166" s="208">
        <v>0</v>
      </c>
      <c r="CQ166" s="208">
        <v>0</v>
      </c>
      <c r="CR166" s="208">
        <v>0</v>
      </c>
      <c r="CS166" s="208">
        <v>0</v>
      </c>
      <c r="CT166" s="208">
        <v>0</v>
      </c>
      <c r="CU166" s="208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09"/>
        <v>9.6000000000000002E-2</v>
      </c>
      <c r="DB166" s="146"/>
      <c r="DC166" s="76">
        <f t="shared" ca="1" si="172"/>
        <v>0.6748912757641794</v>
      </c>
      <c r="DD166">
        <f t="shared" si="210"/>
        <v>9</v>
      </c>
      <c r="DE166" s="129">
        <f t="shared" si="242"/>
        <v>39910</v>
      </c>
      <c r="DF166" s="161">
        <f t="shared" si="211"/>
        <v>0</v>
      </c>
      <c r="DG166" s="161">
        <f t="shared" si="212"/>
        <v>0</v>
      </c>
      <c r="DH166" s="161">
        <f t="shared" si="213"/>
        <v>0</v>
      </c>
      <c r="DI166" s="161">
        <f t="shared" si="214"/>
        <v>0</v>
      </c>
      <c r="DJ166" s="161">
        <f t="shared" si="215"/>
        <v>0</v>
      </c>
      <c r="DK166" s="161">
        <f t="shared" si="216"/>
        <v>0</v>
      </c>
      <c r="DL166" s="161">
        <f t="shared" si="217"/>
        <v>0</v>
      </c>
      <c r="DM166" s="161">
        <f t="shared" si="218"/>
        <v>0</v>
      </c>
      <c r="DN166" s="161">
        <f t="shared" si="219"/>
        <v>0</v>
      </c>
      <c r="DO166" s="161">
        <f t="shared" si="220"/>
        <v>0</v>
      </c>
      <c r="DP166" s="161">
        <f t="shared" si="221"/>
        <v>0</v>
      </c>
      <c r="DQ166" s="161">
        <f t="shared" si="222"/>
        <v>0</v>
      </c>
      <c r="DR166" s="161">
        <f t="shared" si="223"/>
        <v>0</v>
      </c>
      <c r="DS166" s="161">
        <f t="shared" si="224"/>
        <v>0</v>
      </c>
      <c r="DT166" s="161">
        <f t="shared" si="225"/>
        <v>0</v>
      </c>
      <c r="DU166" s="161">
        <f t="shared" si="226"/>
        <v>0</v>
      </c>
      <c r="DV166" s="161">
        <f t="shared" si="227"/>
        <v>0</v>
      </c>
      <c r="DW166" s="161">
        <f t="shared" si="228"/>
        <v>0</v>
      </c>
      <c r="DX166" s="161">
        <f t="shared" si="229"/>
        <v>0</v>
      </c>
      <c r="DY166" s="161">
        <f t="shared" si="230"/>
        <v>0</v>
      </c>
      <c r="DZ166" s="161">
        <f t="shared" si="231"/>
        <v>0</v>
      </c>
      <c r="EA166" s="161">
        <f t="shared" si="232"/>
        <v>0</v>
      </c>
      <c r="EB166" s="161">
        <f t="shared" si="233"/>
        <v>0</v>
      </c>
      <c r="EC166" s="161">
        <f t="shared" si="234"/>
        <v>0</v>
      </c>
      <c r="ED166" s="161">
        <f t="shared" si="235"/>
        <v>0</v>
      </c>
      <c r="EE166" s="161">
        <f t="shared" si="236"/>
        <v>0</v>
      </c>
      <c r="EF166" s="161">
        <f t="shared" si="237"/>
        <v>0</v>
      </c>
      <c r="EG166" s="161">
        <f t="shared" si="238"/>
        <v>0</v>
      </c>
      <c r="EH166" s="161">
        <f t="shared" si="239"/>
        <v>0</v>
      </c>
      <c r="EI166" s="161">
        <f t="shared" si="240"/>
        <v>0</v>
      </c>
      <c r="EJ166" s="161">
        <f t="shared" si="241"/>
        <v>0</v>
      </c>
      <c r="EK166" s="147">
        <f t="shared" si="173"/>
        <v>0</v>
      </c>
      <c r="EL166" s="149"/>
      <c r="EN166" s="146"/>
      <c r="EO166" s="146"/>
      <c r="EP166" s="139">
        <f t="shared" si="174"/>
        <v>0</v>
      </c>
      <c r="EQ166" s="139">
        <f t="shared" si="175"/>
        <v>0</v>
      </c>
      <c r="ER166" s="139">
        <f t="shared" si="176"/>
        <v>0</v>
      </c>
      <c r="ES166" s="139">
        <f t="shared" si="177"/>
        <v>0</v>
      </c>
      <c r="ET166" s="139">
        <f t="shared" si="178"/>
        <v>0</v>
      </c>
      <c r="EU166" s="139">
        <f t="shared" si="179"/>
        <v>0</v>
      </c>
      <c r="EV166" s="139">
        <f t="shared" si="180"/>
        <v>0</v>
      </c>
      <c r="EW166" s="139">
        <f t="shared" si="181"/>
        <v>0</v>
      </c>
      <c r="EX166" s="139">
        <f t="shared" si="182"/>
        <v>0</v>
      </c>
      <c r="EY166" s="139">
        <f t="shared" si="183"/>
        <v>0</v>
      </c>
      <c r="EZ166" s="139">
        <f t="shared" si="184"/>
        <v>0</v>
      </c>
      <c r="FA166" s="139">
        <f t="shared" si="185"/>
        <v>0</v>
      </c>
      <c r="FB166" s="139">
        <f t="shared" si="186"/>
        <v>0</v>
      </c>
      <c r="FC166" s="139">
        <f t="shared" si="187"/>
        <v>0</v>
      </c>
      <c r="FD166" s="139">
        <f t="shared" si="188"/>
        <v>0</v>
      </c>
      <c r="FE166" s="139">
        <f t="shared" si="189"/>
        <v>0</v>
      </c>
      <c r="FF166" s="139">
        <f t="shared" si="190"/>
        <v>0</v>
      </c>
      <c r="FG166" s="139">
        <f t="shared" si="191"/>
        <v>0</v>
      </c>
      <c r="FH166" s="139">
        <f t="shared" si="192"/>
        <v>0</v>
      </c>
      <c r="FI166" s="139">
        <f t="shared" si="193"/>
        <v>0</v>
      </c>
      <c r="FJ166" s="139">
        <f t="shared" si="194"/>
        <v>0</v>
      </c>
      <c r="FK166" s="139">
        <f t="shared" si="195"/>
        <v>0</v>
      </c>
      <c r="FL166" s="139">
        <f t="shared" si="196"/>
        <v>0</v>
      </c>
      <c r="FM166" s="139">
        <f t="shared" si="197"/>
        <v>0</v>
      </c>
      <c r="FN166" s="139">
        <f t="shared" si="198"/>
        <v>0</v>
      </c>
      <c r="FO166" s="139">
        <f t="shared" si="199"/>
        <v>0</v>
      </c>
      <c r="FP166" s="139">
        <f t="shared" si="200"/>
        <v>0</v>
      </c>
      <c r="FQ166" s="139">
        <f t="shared" si="201"/>
        <v>0</v>
      </c>
      <c r="FR166" s="139">
        <f t="shared" si="202"/>
        <v>0</v>
      </c>
      <c r="FS166" s="139">
        <f t="shared" si="203"/>
        <v>0</v>
      </c>
      <c r="FT166" s="139">
        <f t="shared" si="204"/>
        <v>0</v>
      </c>
      <c r="FU166" s="148">
        <f t="shared" si="205"/>
        <v>0</v>
      </c>
      <c r="FV166" s="149"/>
      <c r="FY166" s="213">
        <v>161</v>
      </c>
      <c r="FZ166">
        <v>4.7888286082710039</v>
      </c>
      <c r="GA166">
        <v>12.992956953117456</v>
      </c>
      <c r="GB166">
        <v>3.5508232775066992</v>
      </c>
      <c r="GC166">
        <v>2.3505772380318346</v>
      </c>
      <c r="GD166">
        <v>2.5924034764078239</v>
      </c>
      <c r="GE166">
        <v>1.5933004738957215</v>
      </c>
      <c r="GF166">
        <v>0</v>
      </c>
      <c r="GG166">
        <v>2.105186315348972</v>
      </c>
      <c r="GH166">
        <v>2.8823658966879071</v>
      </c>
      <c r="GI166">
        <v>3.6447943777556144</v>
      </c>
      <c r="GJ166"/>
      <c r="GK166"/>
      <c r="GL166"/>
      <c r="GM166"/>
      <c r="GN166" s="208"/>
      <c r="GO166" s="208"/>
      <c r="GP166" s="208"/>
      <c r="GQ166" s="208"/>
      <c r="GR166" s="208"/>
      <c r="GS166" s="208"/>
      <c r="GT166" s="208"/>
      <c r="GU166" s="213">
        <v>161</v>
      </c>
    </row>
    <row r="167" spans="1:203" s="7" customFormat="1">
      <c r="A167" s="1"/>
      <c r="B167" s="76">
        <f ca="1">IF(C167="", "", RAND())</f>
        <v>0.65633290510654985</v>
      </c>
      <c r="C167">
        <v>10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30.575243296667786</v>
      </c>
      <c r="AO167">
        <v>6.2072175542087056</v>
      </c>
      <c r="AP167">
        <v>340.23088975001662</v>
      </c>
      <c r="AQ167">
        <v>37.332217187648787</v>
      </c>
      <c r="AR167">
        <v>5.6429250492806426</v>
      </c>
      <c r="AS167">
        <v>67.654313427815794</v>
      </c>
      <c r="AT167" t="e">
        <v>#DIV/0!</v>
      </c>
      <c r="AU167" t="e">
        <v>#DIV/0!</v>
      </c>
      <c r="AV167"/>
      <c r="AW167"/>
      <c r="AX167" s="146"/>
      <c r="AY167" s="76">
        <f t="shared" ca="1" si="171"/>
        <v>0.14661698362139752</v>
      </c>
      <c r="AZ167">
        <v>10</v>
      </c>
      <c r="BA167" s="129">
        <f t="shared" si="243"/>
        <v>39910</v>
      </c>
      <c r="BB167" s="207">
        <v>0</v>
      </c>
      <c r="BC167" s="207">
        <v>0</v>
      </c>
      <c r="BD167" s="207">
        <v>0</v>
      </c>
      <c r="BE167" s="207">
        <v>0</v>
      </c>
      <c r="BF167" s="207">
        <v>0</v>
      </c>
      <c r="BG167" s="207">
        <v>0</v>
      </c>
      <c r="BH167" s="207">
        <v>0</v>
      </c>
      <c r="BI167" s="207">
        <v>0</v>
      </c>
      <c r="BJ167" s="207">
        <v>0</v>
      </c>
      <c r="BK167" s="207">
        <v>0</v>
      </c>
      <c r="BL167" s="207">
        <v>0</v>
      </c>
      <c r="BM167" s="207">
        <v>0</v>
      </c>
      <c r="BN167" s="207">
        <v>0</v>
      </c>
      <c r="BO167" s="207">
        <v>0</v>
      </c>
      <c r="BP167" s="207">
        <v>0</v>
      </c>
      <c r="BQ167" s="207">
        <v>0</v>
      </c>
      <c r="BR167" s="207">
        <v>0</v>
      </c>
      <c r="BS167" s="207">
        <v>0</v>
      </c>
      <c r="BT167" s="207">
        <v>0</v>
      </c>
      <c r="BU167" s="207">
        <v>0</v>
      </c>
      <c r="BV167" s="207">
        <v>0</v>
      </c>
      <c r="BW167" s="207">
        <v>0</v>
      </c>
      <c r="BX167" s="207">
        <v>0</v>
      </c>
      <c r="BY167" s="207">
        <v>0</v>
      </c>
      <c r="BZ167" s="207">
        <v>0</v>
      </c>
      <c r="CA167" s="207">
        <v>0</v>
      </c>
      <c r="CB167" s="207">
        <v>0</v>
      </c>
      <c r="CC167" s="207">
        <v>0</v>
      </c>
      <c r="CD167" s="207">
        <v>0</v>
      </c>
      <c r="CE167" s="207">
        <v>0</v>
      </c>
      <c r="CF167" s="207">
        <v>0</v>
      </c>
      <c r="CG167" s="147"/>
      <c r="CH167" s="176"/>
      <c r="CJ167" s="146"/>
      <c r="CK167" s="76">
        <f t="shared" ca="1" si="206"/>
        <v>0.61446093076489827</v>
      </c>
      <c r="CL167" s="179">
        <f t="shared" si="207"/>
        <v>10</v>
      </c>
      <c r="CM167" s="180">
        <f t="shared" si="208"/>
        <v>39910</v>
      </c>
      <c r="CN167" s="208">
        <v>0</v>
      </c>
      <c r="CO167" s="208">
        <v>0</v>
      </c>
      <c r="CP167" s="208">
        <v>0</v>
      </c>
      <c r="CQ167" s="208">
        <v>0</v>
      </c>
      <c r="CR167" s="208">
        <v>0</v>
      </c>
      <c r="CS167" s="208">
        <v>0</v>
      </c>
      <c r="CT167" s="208">
        <v>0</v>
      </c>
      <c r="CU167" s="208">
        <v>0</v>
      </c>
      <c r="CV167" s="160"/>
      <c r="CW167">
        <v>1</v>
      </c>
      <c r="CX167">
        <f>350/35</f>
        <v>10</v>
      </c>
      <c r="CY167" s="165"/>
      <c r="CZ167" s="177">
        <f t="shared" si="209"/>
        <v>9.6000000000000002E-2</v>
      </c>
      <c r="DB167" s="146"/>
      <c r="DC167" s="76">
        <f t="shared" ca="1" si="172"/>
        <v>0.95327717923117561</v>
      </c>
      <c r="DD167">
        <f t="shared" si="210"/>
        <v>10</v>
      </c>
      <c r="DE167" s="129">
        <f t="shared" si="242"/>
        <v>39910</v>
      </c>
      <c r="DF167" s="161">
        <f t="shared" si="211"/>
        <v>0</v>
      </c>
      <c r="DG167" s="161">
        <f t="shared" si="212"/>
        <v>0</v>
      </c>
      <c r="DH167" s="161">
        <f t="shared" si="213"/>
        <v>0</v>
      </c>
      <c r="DI167" s="161">
        <f t="shared" si="214"/>
        <v>0</v>
      </c>
      <c r="DJ167" s="161">
        <f t="shared" si="215"/>
        <v>0</v>
      </c>
      <c r="DK167" s="161">
        <f t="shared" si="216"/>
        <v>0</v>
      </c>
      <c r="DL167" s="161">
        <f t="shared" si="217"/>
        <v>0</v>
      </c>
      <c r="DM167" s="161">
        <f t="shared" si="218"/>
        <v>0</v>
      </c>
      <c r="DN167" s="161">
        <f t="shared" si="219"/>
        <v>0</v>
      </c>
      <c r="DO167" s="161">
        <f t="shared" si="220"/>
        <v>0</v>
      </c>
      <c r="DP167" s="161">
        <f t="shared" si="221"/>
        <v>0</v>
      </c>
      <c r="DQ167" s="161">
        <f t="shared" si="222"/>
        <v>0</v>
      </c>
      <c r="DR167" s="161">
        <f t="shared" si="223"/>
        <v>0</v>
      </c>
      <c r="DS167" s="161">
        <f t="shared" si="224"/>
        <v>0</v>
      </c>
      <c r="DT167" s="161">
        <f t="shared" si="225"/>
        <v>0</v>
      </c>
      <c r="DU167" s="161">
        <f t="shared" si="226"/>
        <v>0</v>
      </c>
      <c r="DV167" s="161">
        <f t="shared" si="227"/>
        <v>0</v>
      </c>
      <c r="DW167" s="161">
        <f t="shared" si="228"/>
        <v>0</v>
      </c>
      <c r="DX167" s="161">
        <f t="shared" si="229"/>
        <v>0</v>
      </c>
      <c r="DY167" s="161">
        <f t="shared" si="230"/>
        <v>0</v>
      </c>
      <c r="DZ167" s="161">
        <f t="shared" si="231"/>
        <v>0</v>
      </c>
      <c r="EA167" s="161">
        <f t="shared" si="232"/>
        <v>0</v>
      </c>
      <c r="EB167" s="161">
        <f t="shared" si="233"/>
        <v>0</v>
      </c>
      <c r="EC167" s="161">
        <f t="shared" si="234"/>
        <v>0</v>
      </c>
      <c r="ED167" s="161">
        <f t="shared" si="235"/>
        <v>0</v>
      </c>
      <c r="EE167" s="161">
        <f t="shared" si="236"/>
        <v>0</v>
      </c>
      <c r="EF167" s="161">
        <f t="shared" si="237"/>
        <v>0</v>
      </c>
      <c r="EG167" s="161">
        <f t="shared" si="238"/>
        <v>0</v>
      </c>
      <c r="EH167" s="161">
        <f t="shared" si="239"/>
        <v>0</v>
      </c>
      <c r="EI167" s="161">
        <f t="shared" si="240"/>
        <v>0</v>
      </c>
      <c r="EJ167" s="161">
        <f t="shared" si="241"/>
        <v>0</v>
      </c>
      <c r="EK167" s="147">
        <f t="shared" si="173"/>
        <v>0</v>
      </c>
      <c r="EL167" s="149"/>
      <c r="EN167" s="146"/>
      <c r="EO167" s="146"/>
      <c r="EP167" s="139">
        <f t="shared" si="174"/>
        <v>0</v>
      </c>
      <c r="EQ167" s="139">
        <f t="shared" si="175"/>
        <v>0</v>
      </c>
      <c r="ER167" s="139">
        <f t="shared" si="176"/>
        <v>0</v>
      </c>
      <c r="ES167" s="139">
        <f t="shared" si="177"/>
        <v>0</v>
      </c>
      <c r="ET167" s="139">
        <f t="shared" si="178"/>
        <v>0</v>
      </c>
      <c r="EU167" s="139">
        <f t="shared" si="179"/>
        <v>0</v>
      </c>
      <c r="EV167" s="139">
        <f t="shared" si="180"/>
        <v>0</v>
      </c>
      <c r="EW167" s="139">
        <f t="shared" si="181"/>
        <v>0</v>
      </c>
      <c r="EX167" s="139">
        <f t="shared" si="182"/>
        <v>0</v>
      </c>
      <c r="EY167" s="139">
        <f t="shared" si="183"/>
        <v>0</v>
      </c>
      <c r="EZ167" s="139">
        <f t="shared" si="184"/>
        <v>0</v>
      </c>
      <c r="FA167" s="139">
        <f t="shared" si="185"/>
        <v>0</v>
      </c>
      <c r="FB167" s="139">
        <f t="shared" si="186"/>
        <v>0</v>
      </c>
      <c r="FC167" s="139">
        <f t="shared" si="187"/>
        <v>0</v>
      </c>
      <c r="FD167" s="139">
        <f t="shared" si="188"/>
        <v>0</v>
      </c>
      <c r="FE167" s="139">
        <f t="shared" si="189"/>
        <v>0</v>
      </c>
      <c r="FF167" s="139">
        <f t="shared" si="190"/>
        <v>0</v>
      </c>
      <c r="FG167" s="139">
        <f t="shared" si="191"/>
        <v>0</v>
      </c>
      <c r="FH167" s="139">
        <f t="shared" si="192"/>
        <v>0</v>
      </c>
      <c r="FI167" s="139">
        <f t="shared" si="193"/>
        <v>0</v>
      </c>
      <c r="FJ167" s="139">
        <f t="shared" si="194"/>
        <v>0</v>
      </c>
      <c r="FK167" s="139">
        <f t="shared" si="195"/>
        <v>0</v>
      </c>
      <c r="FL167" s="139">
        <f t="shared" si="196"/>
        <v>0</v>
      </c>
      <c r="FM167" s="139">
        <f t="shared" si="197"/>
        <v>0</v>
      </c>
      <c r="FN167" s="139">
        <f t="shared" si="198"/>
        <v>0</v>
      </c>
      <c r="FO167" s="139">
        <f t="shared" si="199"/>
        <v>0</v>
      </c>
      <c r="FP167" s="139">
        <f t="shared" si="200"/>
        <v>0</v>
      </c>
      <c r="FQ167" s="139">
        <f t="shared" si="201"/>
        <v>0</v>
      </c>
      <c r="FR167" s="139">
        <f t="shared" si="202"/>
        <v>0</v>
      </c>
      <c r="FS167" s="139">
        <f t="shared" si="203"/>
        <v>0</v>
      </c>
      <c r="FT167" s="139">
        <f t="shared" si="204"/>
        <v>0</v>
      </c>
      <c r="FU167" s="148">
        <f t="shared" si="205"/>
        <v>0</v>
      </c>
      <c r="FV167" s="149"/>
      <c r="FY167" s="213">
        <v>162</v>
      </c>
      <c r="FZ167">
        <v>4.9540357672217299</v>
      </c>
      <c r="GA167">
        <v>18.796605960702394</v>
      </c>
      <c r="GB167">
        <v>7.39610727400256</v>
      </c>
      <c r="GC167">
        <v>0.71301217664764449</v>
      </c>
      <c r="GD167">
        <v>0.71552295597656834</v>
      </c>
      <c r="GE167">
        <v>0.63153808624176566</v>
      </c>
      <c r="GF167">
        <v>0.47734812494006024</v>
      </c>
      <c r="GG167">
        <v>5.8616658487995661</v>
      </c>
      <c r="GH167">
        <v>8.165780953568003</v>
      </c>
      <c r="GI167">
        <v>4.4616344718068506</v>
      </c>
      <c r="GJ167"/>
      <c r="GK167"/>
      <c r="GL167"/>
      <c r="GM167"/>
      <c r="GN167" s="208"/>
      <c r="GO167" s="208"/>
      <c r="GP167" s="208"/>
      <c r="GQ167" s="208"/>
      <c r="GR167" s="208"/>
      <c r="GS167" s="208"/>
      <c r="GT167" s="208"/>
      <c r="GU167" s="213">
        <v>162</v>
      </c>
    </row>
    <row r="168" spans="1:203" s="7" customFormat="1">
      <c r="A168" s="128"/>
      <c r="B168" s="76">
        <f ca="1">IF(C168="", "", RAND())</f>
        <v>0.10137731961610386</v>
      </c>
      <c r="C168">
        <v>1</v>
      </c>
      <c r="D168">
        <v>39949</v>
      </c>
      <c r="E168">
        <v>0</v>
      </c>
      <c r="F168">
        <v>0</v>
      </c>
      <c r="G168">
        <v>40.788152610441763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32.235136976477328</v>
      </c>
      <c r="AO168">
        <v>6.9969492397496635</v>
      </c>
      <c r="AP168">
        <v>199.31065176012953</v>
      </c>
      <c r="AQ168">
        <v>49.204061459046805</v>
      </c>
      <c r="AR168">
        <v>6.4151342160863587</v>
      </c>
      <c r="AS168">
        <v>83.764361792952101</v>
      </c>
      <c r="AT168" t="e">
        <v>#DIV/0!</v>
      </c>
      <c r="AU168" t="e">
        <v>#DIV/0!</v>
      </c>
      <c r="AV168"/>
      <c r="AW168"/>
      <c r="AX168" s="128"/>
      <c r="AY168" s="76">
        <f t="shared" ca="1" si="171"/>
        <v>0.41313598889867986</v>
      </c>
      <c r="AZ168">
        <v>1</v>
      </c>
      <c r="BA168" s="129">
        <f>IF(AZ168="", "",$C$12)</f>
        <v>39949</v>
      </c>
      <c r="BB168" s="207">
        <v>0</v>
      </c>
      <c r="BC168" s="207">
        <v>0</v>
      </c>
      <c r="BD168" s="207">
        <v>0</v>
      </c>
      <c r="BE168" s="207">
        <v>0</v>
      </c>
      <c r="BF168" s="207">
        <v>0</v>
      </c>
      <c r="BG168" s="207">
        <v>0</v>
      </c>
      <c r="BH168" s="207">
        <v>0</v>
      </c>
      <c r="BI168" s="207">
        <v>0</v>
      </c>
      <c r="BJ168" s="207">
        <v>0</v>
      </c>
      <c r="BK168" s="207">
        <v>0</v>
      </c>
      <c r="BL168" s="207">
        <v>0</v>
      </c>
      <c r="BM168" s="207">
        <v>0</v>
      </c>
      <c r="BN168" s="207">
        <v>0</v>
      </c>
      <c r="BO168" s="207">
        <v>0</v>
      </c>
      <c r="BP168" s="207">
        <v>0</v>
      </c>
      <c r="BQ168" s="207">
        <v>0</v>
      </c>
      <c r="BR168" s="207">
        <v>0</v>
      </c>
      <c r="BS168" s="207">
        <v>0</v>
      </c>
      <c r="BT168" s="207">
        <v>0</v>
      </c>
      <c r="BU168" s="207">
        <v>0</v>
      </c>
      <c r="BV168" s="207">
        <v>0</v>
      </c>
      <c r="BW168" s="207">
        <v>0</v>
      </c>
      <c r="BX168" s="207">
        <v>0</v>
      </c>
      <c r="BY168" s="207">
        <v>0</v>
      </c>
      <c r="BZ168" s="207">
        <v>0</v>
      </c>
      <c r="CA168" s="207">
        <v>0</v>
      </c>
      <c r="CB168" s="207">
        <v>0</v>
      </c>
      <c r="CC168" s="207">
        <v>0</v>
      </c>
      <c r="CD168" s="207">
        <v>0</v>
      </c>
      <c r="CE168" s="207">
        <v>0</v>
      </c>
      <c r="CF168" s="207">
        <v>0</v>
      </c>
      <c r="CG168" s="147"/>
      <c r="CH168" s="176"/>
      <c r="CJ168" s="128"/>
      <c r="CK168" s="76">
        <f t="shared" ca="1" si="206"/>
        <v>0.81232769054639542</v>
      </c>
      <c r="CL168" s="179">
        <f t="shared" si="207"/>
        <v>1</v>
      </c>
      <c r="CM168" s="180">
        <f t="shared" si="208"/>
        <v>39949</v>
      </c>
      <c r="CN168" s="208">
        <v>0</v>
      </c>
      <c r="CO168" s="208">
        <v>0</v>
      </c>
      <c r="CP168" s="208">
        <v>1</v>
      </c>
      <c r="CQ168" s="208">
        <v>0</v>
      </c>
      <c r="CR168" s="208">
        <v>0</v>
      </c>
      <c r="CS168" s="208">
        <v>0</v>
      </c>
      <c r="CT168" s="208">
        <v>0</v>
      </c>
      <c r="CU168" s="20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09"/>
        <v>9.6000000000000002E-2</v>
      </c>
      <c r="DB168" s="128"/>
      <c r="DC168" s="76">
        <f t="shared" ca="1" si="172"/>
        <v>0.97052558308861947</v>
      </c>
      <c r="DD168">
        <f t="shared" si="210"/>
        <v>1</v>
      </c>
      <c r="DE168" s="129">
        <f t="shared" ref="DE168:DE177" si="244">IF((DD168)="", "", $C$12)</f>
        <v>39949</v>
      </c>
      <c r="DF168" s="161">
        <f t="shared" si="211"/>
        <v>0</v>
      </c>
      <c r="DG168" s="161">
        <f t="shared" si="212"/>
        <v>0</v>
      </c>
      <c r="DH168" s="161">
        <f t="shared" si="213"/>
        <v>40.788152610441763</v>
      </c>
      <c r="DI168" s="161">
        <f t="shared" si="214"/>
        <v>0</v>
      </c>
      <c r="DJ168" s="161">
        <f t="shared" si="215"/>
        <v>0</v>
      </c>
      <c r="DK168" s="161">
        <f t="shared" si="216"/>
        <v>0</v>
      </c>
      <c r="DL168" s="161">
        <f t="shared" si="217"/>
        <v>0</v>
      </c>
      <c r="DM168" s="161">
        <f t="shared" si="218"/>
        <v>0</v>
      </c>
      <c r="DN168" s="161">
        <f t="shared" si="219"/>
        <v>0</v>
      </c>
      <c r="DO168" s="161">
        <f t="shared" si="220"/>
        <v>0</v>
      </c>
      <c r="DP168" s="161">
        <f t="shared" si="221"/>
        <v>0</v>
      </c>
      <c r="DQ168" s="161">
        <f t="shared" si="222"/>
        <v>0</v>
      </c>
      <c r="DR168" s="161">
        <f t="shared" si="223"/>
        <v>0</v>
      </c>
      <c r="DS168" s="161">
        <f t="shared" si="224"/>
        <v>0</v>
      </c>
      <c r="DT168" s="161">
        <f t="shared" si="225"/>
        <v>0</v>
      </c>
      <c r="DU168" s="161">
        <f t="shared" si="226"/>
        <v>0</v>
      </c>
      <c r="DV168" s="161">
        <f t="shared" si="227"/>
        <v>0</v>
      </c>
      <c r="DW168" s="161">
        <f t="shared" si="228"/>
        <v>0</v>
      </c>
      <c r="DX168" s="161">
        <f t="shared" si="229"/>
        <v>0</v>
      </c>
      <c r="DY168" s="161">
        <f t="shared" si="230"/>
        <v>0</v>
      </c>
      <c r="DZ168" s="161">
        <f t="shared" si="231"/>
        <v>0</v>
      </c>
      <c r="EA168" s="161">
        <f t="shared" si="232"/>
        <v>0</v>
      </c>
      <c r="EB168" s="161">
        <f t="shared" si="233"/>
        <v>0</v>
      </c>
      <c r="EC168" s="161">
        <f t="shared" si="234"/>
        <v>0</v>
      </c>
      <c r="ED168" s="161">
        <f t="shared" si="235"/>
        <v>0</v>
      </c>
      <c r="EE168" s="161">
        <f t="shared" si="236"/>
        <v>0</v>
      </c>
      <c r="EF168" s="161">
        <f t="shared" si="237"/>
        <v>0</v>
      </c>
      <c r="EG168" s="161">
        <f t="shared" si="238"/>
        <v>0</v>
      </c>
      <c r="EH168" s="161">
        <f t="shared" si="239"/>
        <v>0</v>
      </c>
      <c r="EI168" s="161">
        <f t="shared" si="240"/>
        <v>0</v>
      </c>
      <c r="EJ168" s="161">
        <f t="shared" si="241"/>
        <v>0</v>
      </c>
      <c r="EK168" s="147">
        <f t="shared" si="173"/>
        <v>40.788152610441763</v>
      </c>
      <c r="EL168" s="149"/>
      <c r="EN168" s="146"/>
      <c r="EO168" s="146"/>
      <c r="EP168" s="139">
        <f t="shared" si="174"/>
        <v>0</v>
      </c>
      <c r="EQ168" s="139">
        <f t="shared" si="175"/>
        <v>0</v>
      </c>
      <c r="ER168" s="139">
        <f t="shared" si="176"/>
        <v>2.9871656386992496</v>
      </c>
      <c r="ES168" s="139">
        <f t="shared" si="177"/>
        <v>0</v>
      </c>
      <c r="ET168" s="139">
        <f t="shared" si="178"/>
        <v>0</v>
      </c>
      <c r="EU168" s="139">
        <f t="shared" si="179"/>
        <v>0</v>
      </c>
      <c r="EV168" s="139">
        <f t="shared" si="180"/>
        <v>0</v>
      </c>
      <c r="EW168" s="139">
        <f t="shared" si="181"/>
        <v>0</v>
      </c>
      <c r="EX168" s="139">
        <f t="shared" si="182"/>
        <v>0</v>
      </c>
      <c r="EY168" s="139">
        <f t="shared" si="183"/>
        <v>0</v>
      </c>
      <c r="EZ168" s="139">
        <f t="shared" si="184"/>
        <v>0</v>
      </c>
      <c r="FA168" s="139">
        <f t="shared" si="185"/>
        <v>0</v>
      </c>
      <c r="FB168" s="139">
        <f t="shared" si="186"/>
        <v>0</v>
      </c>
      <c r="FC168" s="139">
        <f t="shared" si="187"/>
        <v>0</v>
      </c>
      <c r="FD168" s="139">
        <f t="shared" si="188"/>
        <v>0</v>
      </c>
      <c r="FE168" s="139">
        <f t="shared" si="189"/>
        <v>0</v>
      </c>
      <c r="FF168" s="139">
        <f t="shared" si="190"/>
        <v>0</v>
      </c>
      <c r="FG168" s="139">
        <f t="shared" si="191"/>
        <v>0</v>
      </c>
      <c r="FH168" s="139">
        <f t="shared" si="192"/>
        <v>0</v>
      </c>
      <c r="FI168" s="139">
        <f t="shared" si="193"/>
        <v>0</v>
      </c>
      <c r="FJ168" s="139">
        <f t="shared" si="194"/>
        <v>0</v>
      </c>
      <c r="FK168" s="139">
        <f t="shared" si="195"/>
        <v>0</v>
      </c>
      <c r="FL168" s="139">
        <f t="shared" si="196"/>
        <v>0</v>
      </c>
      <c r="FM168" s="139">
        <f t="shared" si="197"/>
        <v>0</v>
      </c>
      <c r="FN168" s="139">
        <f t="shared" si="198"/>
        <v>0</v>
      </c>
      <c r="FO168" s="139">
        <f t="shared" si="199"/>
        <v>0</v>
      </c>
      <c r="FP168" s="139">
        <f t="shared" si="200"/>
        <v>0</v>
      </c>
      <c r="FQ168" s="139">
        <f t="shared" si="201"/>
        <v>0</v>
      </c>
      <c r="FR168" s="139">
        <f t="shared" si="202"/>
        <v>0</v>
      </c>
      <c r="FS168" s="139">
        <f t="shared" si="203"/>
        <v>0</v>
      </c>
      <c r="FT168" s="139">
        <f t="shared" si="204"/>
        <v>0</v>
      </c>
      <c r="FU168" s="148">
        <f t="shared" si="205"/>
        <v>2.9871656386992496</v>
      </c>
      <c r="FV168" s="149"/>
      <c r="FY168" s="213">
        <v>163</v>
      </c>
      <c r="FZ168">
        <v>1.596276202757001</v>
      </c>
      <c r="GA168">
        <v>11.276339778153289</v>
      </c>
      <c r="GB168">
        <v>4.5789970010724437</v>
      </c>
      <c r="GC168">
        <v>2.5756603441349175</v>
      </c>
      <c r="GD168">
        <v>2.9831049595067998</v>
      </c>
      <c r="GE168">
        <v>2.0338083961686086</v>
      </c>
      <c r="GF168">
        <v>0</v>
      </c>
      <c r="GG168">
        <v>6.8230040192573682</v>
      </c>
      <c r="GH168">
        <v>9.653451764873914</v>
      </c>
      <c r="GI168">
        <v>4.7688362135628442</v>
      </c>
      <c r="GJ168"/>
      <c r="GK168"/>
      <c r="GL168"/>
      <c r="GM168"/>
      <c r="GN168" s="208"/>
      <c r="GO168" s="208"/>
      <c r="GP168" s="208"/>
      <c r="GQ168" s="208"/>
      <c r="GR168" s="208"/>
      <c r="GS168" s="208"/>
      <c r="GT168" s="208"/>
      <c r="GU168" s="213">
        <v>163</v>
      </c>
    </row>
    <row r="169" spans="1:203" s="7" customFormat="1">
      <c r="A169" s="1"/>
      <c r="B169" s="76">
        <f ca="1">IF(C169="", "", RAND())</f>
        <v>0.8175123007514411</v>
      </c>
      <c r="C169">
        <v>5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21.007440476190474</v>
      </c>
      <c r="AO169">
        <v>6.6211984165293485</v>
      </c>
      <c r="AP169">
        <v>122.39182634519412</v>
      </c>
      <c r="AQ169">
        <v>49.84172732137678</v>
      </c>
      <c r="AR169">
        <v>6.1820851003321318</v>
      </c>
      <c r="AS169">
        <v>69.686056276225457</v>
      </c>
      <c r="AT169" t="e">
        <v>#DIV/0!</v>
      </c>
      <c r="AU169" t="e">
        <v>#DIV/0!</v>
      </c>
      <c r="AV169"/>
      <c r="AW169"/>
      <c r="AX169" s="146"/>
      <c r="AY169" s="76">
        <f t="shared" ca="1" si="171"/>
        <v>0.13429679189499488</v>
      </c>
      <c r="AZ169">
        <v>2</v>
      </c>
      <c r="BA169" s="129">
        <f t="shared" ref="BA169:BA177" si="245">IF(AZ169="", "",$C$12)</f>
        <v>39949</v>
      </c>
      <c r="BB169" s="207">
        <v>0</v>
      </c>
      <c r="BC169" s="207">
        <v>0</v>
      </c>
      <c r="BD169" s="207">
        <v>0</v>
      </c>
      <c r="BE169" s="207">
        <v>0</v>
      </c>
      <c r="BF169" s="207">
        <v>0</v>
      </c>
      <c r="BG169" s="207">
        <v>0</v>
      </c>
      <c r="BH169" s="207">
        <v>0</v>
      </c>
      <c r="BI169" s="207">
        <v>0</v>
      </c>
      <c r="BJ169" s="207">
        <v>0</v>
      </c>
      <c r="BK169" s="207">
        <v>0</v>
      </c>
      <c r="BL169" s="207">
        <v>0</v>
      </c>
      <c r="BM169" s="207">
        <v>0</v>
      </c>
      <c r="BN169" s="207">
        <v>0</v>
      </c>
      <c r="BO169" s="207">
        <v>0</v>
      </c>
      <c r="BP169" s="207">
        <v>0</v>
      </c>
      <c r="BQ169" s="207">
        <v>0</v>
      </c>
      <c r="BR169" s="207">
        <v>0</v>
      </c>
      <c r="BS169" s="207">
        <v>0</v>
      </c>
      <c r="BT169" s="207">
        <v>0</v>
      </c>
      <c r="BU169" s="207">
        <v>0</v>
      </c>
      <c r="BV169" s="207">
        <v>0</v>
      </c>
      <c r="BW169" s="207">
        <v>0</v>
      </c>
      <c r="BX169" s="207">
        <v>0</v>
      </c>
      <c r="BY169" s="207">
        <v>0</v>
      </c>
      <c r="BZ169" s="207">
        <v>0</v>
      </c>
      <c r="CA169" s="207">
        <v>0</v>
      </c>
      <c r="CB169" s="207">
        <v>0</v>
      </c>
      <c r="CC169" s="207">
        <v>0</v>
      </c>
      <c r="CD169" s="207">
        <v>0</v>
      </c>
      <c r="CE169" s="207">
        <v>0</v>
      </c>
      <c r="CF169" s="207">
        <v>0</v>
      </c>
      <c r="CG169" s="147"/>
      <c r="CH169" s="176"/>
      <c r="CJ169" s="146"/>
      <c r="CK169" s="76">
        <f t="shared" ca="1" si="206"/>
        <v>0.14645653999877073</v>
      </c>
      <c r="CL169" s="179">
        <f t="shared" si="207"/>
        <v>2</v>
      </c>
      <c r="CM169" s="180">
        <f t="shared" si="208"/>
        <v>39949</v>
      </c>
      <c r="CN169" s="208">
        <v>0</v>
      </c>
      <c r="CO169" s="208">
        <v>0</v>
      </c>
      <c r="CP169" s="208">
        <v>0</v>
      </c>
      <c r="CQ169" s="208">
        <v>0</v>
      </c>
      <c r="CR169" s="208">
        <v>0</v>
      </c>
      <c r="CS169" s="208">
        <v>0</v>
      </c>
      <c r="CT169" s="208">
        <v>0</v>
      </c>
      <c r="CU169" s="208">
        <v>0</v>
      </c>
      <c r="CV169" s="160"/>
      <c r="CW169">
        <v>1</v>
      </c>
      <c r="CX169">
        <v>1</v>
      </c>
      <c r="CY169" s="160"/>
      <c r="CZ169" s="177">
        <f t="shared" si="209"/>
        <v>9.6000000000000002E-2</v>
      </c>
      <c r="DB169" s="146"/>
      <c r="DC169" s="76">
        <f t="shared" ca="1" si="172"/>
        <v>0.70750611857403989</v>
      </c>
      <c r="DD169">
        <f t="shared" si="210"/>
        <v>2</v>
      </c>
      <c r="DE169" s="129">
        <f t="shared" si="244"/>
        <v>39949</v>
      </c>
      <c r="DF169" s="161">
        <f t="shared" si="211"/>
        <v>0</v>
      </c>
      <c r="DG169" s="161">
        <f t="shared" si="212"/>
        <v>0</v>
      </c>
      <c r="DH169" s="161">
        <f t="shared" si="213"/>
        <v>0</v>
      </c>
      <c r="DI169" s="161">
        <f t="shared" si="214"/>
        <v>0</v>
      </c>
      <c r="DJ169" s="161">
        <f t="shared" si="215"/>
        <v>0</v>
      </c>
      <c r="DK169" s="161">
        <f t="shared" si="216"/>
        <v>0</v>
      </c>
      <c r="DL169" s="161">
        <f t="shared" si="217"/>
        <v>0</v>
      </c>
      <c r="DM169" s="161">
        <f t="shared" si="218"/>
        <v>0</v>
      </c>
      <c r="DN169" s="161">
        <f t="shared" si="219"/>
        <v>0</v>
      </c>
      <c r="DO169" s="161">
        <f t="shared" si="220"/>
        <v>0</v>
      </c>
      <c r="DP169" s="161">
        <f t="shared" si="221"/>
        <v>0</v>
      </c>
      <c r="DQ169" s="161">
        <f t="shared" si="222"/>
        <v>0</v>
      </c>
      <c r="DR169" s="161">
        <f t="shared" si="223"/>
        <v>0</v>
      </c>
      <c r="DS169" s="161">
        <f t="shared" si="224"/>
        <v>0</v>
      </c>
      <c r="DT169" s="161">
        <f t="shared" si="225"/>
        <v>0</v>
      </c>
      <c r="DU169" s="161">
        <f t="shared" si="226"/>
        <v>0</v>
      </c>
      <c r="DV169" s="161">
        <f t="shared" si="227"/>
        <v>0</v>
      </c>
      <c r="DW169" s="161">
        <f t="shared" si="228"/>
        <v>0</v>
      </c>
      <c r="DX169" s="161">
        <f t="shared" si="229"/>
        <v>0</v>
      </c>
      <c r="DY169" s="161">
        <f t="shared" si="230"/>
        <v>0</v>
      </c>
      <c r="DZ169" s="161">
        <f t="shared" si="231"/>
        <v>0</v>
      </c>
      <c r="EA169" s="161">
        <f t="shared" si="232"/>
        <v>0</v>
      </c>
      <c r="EB169" s="161">
        <f t="shared" si="233"/>
        <v>0</v>
      </c>
      <c r="EC169" s="161">
        <f t="shared" si="234"/>
        <v>0</v>
      </c>
      <c r="ED169" s="161">
        <f t="shared" si="235"/>
        <v>0</v>
      </c>
      <c r="EE169" s="161">
        <f t="shared" si="236"/>
        <v>0</v>
      </c>
      <c r="EF169" s="161">
        <f t="shared" si="237"/>
        <v>0</v>
      </c>
      <c r="EG169" s="161">
        <f t="shared" si="238"/>
        <v>0</v>
      </c>
      <c r="EH169" s="161">
        <f t="shared" si="239"/>
        <v>0</v>
      </c>
      <c r="EI169" s="161">
        <f t="shared" si="240"/>
        <v>0</v>
      </c>
      <c r="EJ169" s="161">
        <f t="shared" si="241"/>
        <v>0</v>
      </c>
      <c r="EK169" s="147">
        <f t="shared" si="173"/>
        <v>0</v>
      </c>
      <c r="EL169" s="149"/>
      <c r="EN169" s="146"/>
      <c r="EO169" s="146"/>
      <c r="EP169" s="139">
        <f t="shared" si="174"/>
        <v>0</v>
      </c>
      <c r="EQ169" s="139">
        <f t="shared" si="175"/>
        <v>0</v>
      </c>
      <c r="ER169" s="139">
        <f t="shared" si="176"/>
        <v>0</v>
      </c>
      <c r="ES169" s="139">
        <f t="shared" si="177"/>
        <v>0</v>
      </c>
      <c r="ET169" s="139">
        <f t="shared" si="178"/>
        <v>0</v>
      </c>
      <c r="EU169" s="139">
        <f t="shared" si="179"/>
        <v>0</v>
      </c>
      <c r="EV169" s="139">
        <f t="shared" si="180"/>
        <v>0</v>
      </c>
      <c r="EW169" s="139">
        <f t="shared" si="181"/>
        <v>0</v>
      </c>
      <c r="EX169" s="139">
        <f t="shared" si="182"/>
        <v>0</v>
      </c>
      <c r="EY169" s="139">
        <f t="shared" si="183"/>
        <v>0</v>
      </c>
      <c r="EZ169" s="139">
        <f t="shared" si="184"/>
        <v>0</v>
      </c>
      <c r="FA169" s="139">
        <f t="shared" si="185"/>
        <v>0</v>
      </c>
      <c r="FB169" s="139">
        <f t="shared" si="186"/>
        <v>0</v>
      </c>
      <c r="FC169" s="139">
        <f t="shared" si="187"/>
        <v>0</v>
      </c>
      <c r="FD169" s="139">
        <f t="shared" si="188"/>
        <v>0</v>
      </c>
      <c r="FE169" s="139">
        <f t="shared" si="189"/>
        <v>0</v>
      </c>
      <c r="FF169" s="139">
        <f t="shared" si="190"/>
        <v>0</v>
      </c>
      <c r="FG169" s="139">
        <f t="shared" si="191"/>
        <v>0</v>
      </c>
      <c r="FH169" s="139">
        <f t="shared" si="192"/>
        <v>0</v>
      </c>
      <c r="FI169" s="139">
        <f t="shared" si="193"/>
        <v>0</v>
      </c>
      <c r="FJ169" s="139">
        <f t="shared" si="194"/>
        <v>0</v>
      </c>
      <c r="FK169" s="139">
        <f t="shared" si="195"/>
        <v>0</v>
      </c>
      <c r="FL169" s="139">
        <f t="shared" si="196"/>
        <v>0</v>
      </c>
      <c r="FM169" s="139">
        <f t="shared" si="197"/>
        <v>0</v>
      </c>
      <c r="FN169" s="139">
        <f t="shared" si="198"/>
        <v>0</v>
      </c>
      <c r="FO169" s="139">
        <f t="shared" si="199"/>
        <v>0</v>
      </c>
      <c r="FP169" s="139">
        <f t="shared" si="200"/>
        <v>0</v>
      </c>
      <c r="FQ169" s="139">
        <f t="shared" si="201"/>
        <v>0</v>
      </c>
      <c r="FR169" s="139">
        <f t="shared" si="202"/>
        <v>0</v>
      </c>
      <c r="FS169" s="139">
        <f t="shared" si="203"/>
        <v>0</v>
      </c>
      <c r="FT169" s="139">
        <f t="shared" si="204"/>
        <v>0</v>
      </c>
      <c r="FU169" s="148">
        <f t="shared" si="205"/>
        <v>0</v>
      </c>
      <c r="FV169" s="149"/>
      <c r="FY169" s="213">
        <v>164</v>
      </c>
      <c r="FZ169">
        <v>2.1834373233262436</v>
      </c>
      <c r="GA169">
        <v>22.349562832383164</v>
      </c>
      <c r="GB169">
        <v>9.9596722033339891</v>
      </c>
      <c r="GC169">
        <v>2.4342274887666489</v>
      </c>
      <c r="GD169">
        <v>2.3721293731256856</v>
      </c>
      <c r="GE169">
        <v>1.0136049516973293</v>
      </c>
      <c r="GF169">
        <v>0</v>
      </c>
      <c r="GG169">
        <v>5.0380339738105313</v>
      </c>
      <c r="GH169">
        <v>7.1928331357584732</v>
      </c>
      <c r="GI169">
        <v>5.4469724089678673</v>
      </c>
      <c r="GJ169"/>
      <c r="GK169"/>
      <c r="GL169"/>
      <c r="GM169"/>
      <c r="GN169" s="208"/>
      <c r="GO169" s="208"/>
      <c r="GP169" s="208"/>
      <c r="GQ169" s="208"/>
      <c r="GR169" s="208"/>
      <c r="GS169" s="208"/>
      <c r="GT169" s="208"/>
      <c r="GU169" s="213">
        <v>164</v>
      </c>
    </row>
    <row r="170" spans="1:203" s="7" customFormat="1">
      <c r="A170" s="1"/>
      <c r="B170" s="76">
        <f ca="1">IF(C170="", "", RAND())</f>
        <v>0.66884911150245618</v>
      </c>
      <c r="C170">
        <v>10</v>
      </c>
      <c r="D170">
        <v>39949</v>
      </c>
      <c r="E170">
        <v>0</v>
      </c>
      <c r="F170">
        <v>0</v>
      </c>
      <c r="G170">
        <v>59.865900383141756</v>
      </c>
      <c r="H170">
        <v>59.865900383141756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30.944940476190474</v>
      </c>
      <c r="AO170">
        <v>6.5274014060077947</v>
      </c>
      <c r="AP170">
        <v>108.65047664634949</v>
      </c>
      <c r="AQ170">
        <v>46.416985377813717</v>
      </c>
      <c r="AR170">
        <v>5.9882725490482978</v>
      </c>
      <c r="AS170">
        <v>83.776204116770813</v>
      </c>
      <c r="AT170" t="e">
        <v>#DIV/0!</v>
      </c>
      <c r="AU170" t="e">
        <v>#DIV/0!</v>
      </c>
      <c r="AV170"/>
      <c r="AW170"/>
      <c r="AX170" s="146"/>
      <c r="AY170" s="76">
        <f t="shared" ca="1" si="171"/>
        <v>5.6791586617066514E-3</v>
      </c>
      <c r="AZ170">
        <v>3</v>
      </c>
      <c r="BA170" s="129">
        <f t="shared" si="245"/>
        <v>39949</v>
      </c>
      <c r="BB170" s="207">
        <v>0</v>
      </c>
      <c r="BC170" s="207">
        <v>0</v>
      </c>
      <c r="BD170" s="207">
        <v>0</v>
      </c>
      <c r="BE170" s="207">
        <v>0</v>
      </c>
      <c r="BF170" s="207">
        <v>0</v>
      </c>
      <c r="BG170" s="207">
        <v>0</v>
      </c>
      <c r="BH170" s="207">
        <v>0</v>
      </c>
      <c r="BI170" s="207">
        <v>0</v>
      </c>
      <c r="BJ170" s="207">
        <v>0</v>
      </c>
      <c r="BK170" s="207">
        <v>0</v>
      </c>
      <c r="BL170" s="207">
        <v>0</v>
      </c>
      <c r="BM170" s="207">
        <v>0</v>
      </c>
      <c r="BN170" s="207">
        <v>0</v>
      </c>
      <c r="BO170" s="207">
        <v>0</v>
      </c>
      <c r="BP170" s="207">
        <v>0</v>
      </c>
      <c r="BQ170" s="207">
        <v>0</v>
      </c>
      <c r="BR170" s="207">
        <v>0</v>
      </c>
      <c r="BS170" s="207">
        <v>0</v>
      </c>
      <c r="BT170" s="207">
        <v>0</v>
      </c>
      <c r="BU170" s="207">
        <v>0</v>
      </c>
      <c r="BV170" s="207">
        <v>0</v>
      </c>
      <c r="BW170" s="207">
        <v>0</v>
      </c>
      <c r="BX170" s="207">
        <v>0</v>
      </c>
      <c r="BY170" s="207">
        <v>0</v>
      </c>
      <c r="BZ170" s="207">
        <v>0</v>
      </c>
      <c r="CA170" s="207">
        <v>0</v>
      </c>
      <c r="CB170" s="207">
        <v>0</v>
      </c>
      <c r="CC170" s="207">
        <v>0</v>
      </c>
      <c r="CD170" s="207">
        <v>0</v>
      </c>
      <c r="CE170" s="207">
        <v>0</v>
      </c>
      <c r="CF170" s="207">
        <v>0</v>
      </c>
      <c r="CG170" s="147"/>
      <c r="CH170" s="176"/>
      <c r="CJ170" s="146"/>
      <c r="CK170" s="76">
        <f t="shared" ca="1" si="206"/>
        <v>0.93188208207419354</v>
      </c>
      <c r="CL170" s="179">
        <f t="shared" si="207"/>
        <v>3</v>
      </c>
      <c r="CM170" s="180">
        <f t="shared" si="208"/>
        <v>39949</v>
      </c>
      <c r="CN170" s="208">
        <v>0</v>
      </c>
      <c r="CO170" s="208">
        <v>0</v>
      </c>
      <c r="CP170" s="208">
        <v>0</v>
      </c>
      <c r="CQ170" s="208">
        <v>0</v>
      </c>
      <c r="CR170" s="208">
        <v>0</v>
      </c>
      <c r="CS170" s="208">
        <v>0</v>
      </c>
      <c r="CT170" s="208">
        <v>0</v>
      </c>
      <c r="CU170" s="208">
        <v>0</v>
      </c>
      <c r="CV170" s="160"/>
      <c r="CW170">
        <v>1</v>
      </c>
      <c r="CX170">
        <f>350/45</f>
        <v>7.7777777777777777</v>
      </c>
      <c r="CY170" s="160"/>
      <c r="CZ170" s="177">
        <f t="shared" si="209"/>
        <v>9.6000000000000002E-2</v>
      </c>
      <c r="DB170" s="146"/>
      <c r="DC170" s="76">
        <f t="shared" ca="1" si="172"/>
        <v>0.7840658737122379</v>
      </c>
      <c r="DD170">
        <f t="shared" si="210"/>
        <v>3</v>
      </c>
      <c r="DE170" s="129">
        <f t="shared" si="244"/>
        <v>39949</v>
      </c>
      <c r="DF170" s="161">
        <f t="shared" si="211"/>
        <v>0</v>
      </c>
      <c r="DG170" s="161">
        <f t="shared" si="212"/>
        <v>0</v>
      </c>
      <c r="DH170" s="161">
        <f t="shared" si="213"/>
        <v>0</v>
      </c>
      <c r="DI170" s="161">
        <f t="shared" si="214"/>
        <v>0</v>
      </c>
      <c r="DJ170" s="161">
        <f t="shared" si="215"/>
        <v>0</v>
      </c>
      <c r="DK170" s="161">
        <f t="shared" si="216"/>
        <v>0</v>
      </c>
      <c r="DL170" s="161">
        <f t="shared" si="217"/>
        <v>0</v>
      </c>
      <c r="DM170" s="161">
        <f t="shared" si="218"/>
        <v>0</v>
      </c>
      <c r="DN170" s="161">
        <f t="shared" si="219"/>
        <v>0</v>
      </c>
      <c r="DO170" s="161">
        <f t="shared" si="220"/>
        <v>0</v>
      </c>
      <c r="DP170" s="161">
        <f t="shared" si="221"/>
        <v>0</v>
      </c>
      <c r="DQ170" s="161">
        <f t="shared" si="222"/>
        <v>0</v>
      </c>
      <c r="DR170" s="161">
        <f t="shared" si="223"/>
        <v>0</v>
      </c>
      <c r="DS170" s="161">
        <f t="shared" si="224"/>
        <v>0</v>
      </c>
      <c r="DT170" s="161">
        <f t="shared" si="225"/>
        <v>0</v>
      </c>
      <c r="DU170" s="161">
        <f t="shared" si="226"/>
        <v>0</v>
      </c>
      <c r="DV170" s="161">
        <f t="shared" si="227"/>
        <v>0</v>
      </c>
      <c r="DW170" s="161">
        <f t="shared" si="228"/>
        <v>0</v>
      </c>
      <c r="DX170" s="161">
        <f t="shared" si="229"/>
        <v>0</v>
      </c>
      <c r="DY170" s="161">
        <f t="shared" si="230"/>
        <v>0</v>
      </c>
      <c r="DZ170" s="161">
        <f t="shared" si="231"/>
        <v>0</v>
      </c>
      <c r="EA170" s="161">
        <f t="shared" si="232"/>
        <v>0</v>
      </c>
      <c r="EB170" s="161">
        <f t="shared" si="233"/>
        <v>0</v>
      </c>
      <c r="EC170" s="161">
        <f t="shared" si="234"/>
        <v>0</v>
      </c>
      <c r="ED170" s="161">
        <f t="shared" si="235"/>
        <v>0</v>
      </c>
      <c r="EE170" s="161">
        <f t="shared" si="236"/>
        <v>0</v>
      </c>
      <c r="EF170" s="161">
        <f t="shared" si="237"/>
        <v>0</v>
      </c>
      <c r="EG170" s="161">
        <f t="shared" si="238"/>
        <v>0</v>
      </c>
      <c r="EH170" s="161">
        <f t="shared" si="239"/>
        <v>0</v>
      </c>
      <c r="EI170" s="161">
        <f t="shared" si="240"/>
        <v>0</v>
      </c>
      <c r="EJ170" s="161">
        <f t="shared" si="241"/>
        <v>0</v>
      </c>
      <c r="EK170" s="147">
        <f t="shared" si="173"/>
        <v>0</v>
      </c>
      <c r="EL170" s="149"/>
      <c r="EN170" s="146"/>
      <c r="EO170" s="146"/>
      <c r="EP170" s="139">
        <f t="shared" si="174"/>
        <v>0</v>
      </c>
      <c r="EQ170" s="139">
        <f t="shared" si="175"/>
        <v>0</v>
      </c>
      <c r="ER170" s="139">
        <f t="shared" si="176"/>
        <v>0</v>
      </c>
      <c r="ES170" s="139">
        <f t="shared" si="177"/>
        <v>0</v>
      </c>
      <c r="ET170" s="139">
        <f t="shared" si="178"/>
        <v>0</v>
      </c>
      <c r="EU170" s="139">
        <f t="shared" si="179"/>
        <v>0</v>
      </c>
      <c r="EV170" s="139">
        <f t="shared" si="180"/>
        <v>0</v>
      </c>
      <c r="EW170" s="139">
        <f t="shared" si="181"/>
        <v>0</v>
      </c>
      <c r="EX170" s="139">
        <f t="shared" si="182"/>
        <v>0</v>
      </c>
      <c r="EY170" s="139">
        <f t="shared" si="183"/>
        <v>0</v>
      </c>
      <c r="EZ170" s="139">
        <f t="shared" si="184"/>
        <v>0</v>
      </c>
      <c r="FA170" s="139">
        <f t="shared" si="185"/>
        <v>0</v>
      </c>
      <c r="FB170" s="139">
        <f t="shared" si="186"/>
        <v>0</v>
      </c>
      <c r="FC170" s="139">
        <f t="shared" si="187"/>
        <v>0</v>
      </c>
      <c r="FD170" s="139">
        <f t="shared" si="188"/>
        <v>0</v>
      </c>
      <c r="FE170" s="139">
        <f t="shared" si="189"/>
        <v>0</v>
      </c>
      <c r="FF170" s="139">
        <f t="shared" si="190"/>
        <v>0</v>
      </c>
      <c r="FG170" s="139">
        <f t="shared" si="191"/>
        <v>0</v>
      </c>
      <c r="FH170" s="139">
        <f t="shared" si="192"/>
        <v>0</v>
      </c>
      <c r="FI170" s="139">
        <f t="shared" si="193"/>
        <v>0</v>
      </c>
      <c r="FJ170" s="139">
        <f t="shared" si="194"/>
        <v>0</v>
      </c>
      <c r="FK170" s="139">
        <f t="shared" si="195"/>
        <v>0</v>
      </c>
      <c r="FL170" s="139">
        <f t="shared" si="196"/>
        <v>0</v>
      </c>
      <c r="FM170" s="139">
        <f t="shared" si="197"/>
        <v>0</v>
      </c>
      <c r="FN170" s="139">
        <f t="shared" si="198"/>
        <v>0</v>
      </c>
      <c r="FO170" s="139">
        <f t="shared" si="199"/>
        <v>0</v>
      </c>
      <c r="FP170" s="139">
        <f t="shared" si="200"/>
        <v>0</v>
      </c>
      <c r="FQ170" s="139">
        <f t="shared" si="201"/>
        <v>0</v>
      </c>
      <c r="FR170" s="139">
        <f t="shared" si="202"/>
        <v>0</v>
      </c>
      <c r="FS170" s="139">
        <f t="shared" si="203"/>
        <v>0</v>
      </c>
      <c r="FT170" s="139">
        <f t="shared" si="204"/>
        <v>0</v>
      </c>
      <c r="FU170" s="148">
        <f t="shared" si="205"/>
        <v>0</v>
      </c>
      <c r="FV170" s="149"/>
      <c r="FY170" s="213">
        <v>165</v>
      </c>
      <c r="FZ170">
        <v>4.3668746466524873</v>
      </c>
      <c r="GA170">
        <v>20.310008692334989</v>
      </c>
      <c r="GB170">
        <v>8.1619425691710195</v>
      </c>
      <c r="GC170">
        <v>2.3641196360460159</v>
      </c>
      <c r="GD170">
        <v>1.9766810196184201</v>
      </c>
      <c r="GE170">
        <v>0.32191049458179555</v>
      </c>
      <c r="GF170">
        <v>0</v>
      </c>
      <c r="GG170">
        <v>3.1463251717296488</v>
      </c>
      <c r="GH170">
        <v>4.591632084118876</v>
      </c>
      <c r="GI170">
        <v>4.6252324973144212</v>
      </c>
      <c r="GJ170"/>
      <c r="GK170"/>
      <c r="GL170"/>
      <c r="GM170"/>
      <c r="GN170" s="208"/>
      <c r="GO170" s="208"/>
      <c r="GP170" s="208"/>
      <c r="GQ170" s="208"/>
      <c r="GR170" s="208"/>
      <c r="GS170" s="208"/>
      <c r="GT170" s="208"/>
      <c r="GU170" s="213">
        <v>165</v>
      </c>
    </row>
    <row r="171" spans="1:203" s="7" customFormat="1">
      <c r="A171" s="1"/>
      <c r="B171" s="76">
        <f ca="1">IF(C171="", "", RAND())</f>
        <v>0.73856726827277619</v>
      </c>
      <c r="C171">
        <v>7</v>
      </c>
      <c r="D171">
        <v>39949</v>
      </c>
      <c r="E171">
        <v>0</v>
      </c>
      <c r="F171">
        <v>0</v>
      </c>
      <c r="G171">
        <v>10.416666666666666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20.833333333333332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21.194940476190478</v>
      </c>
      <c r="AO171">
        <v>6.9126702225195729</v>
      </c>
      <c r="AP171">
        <v>380.33926148128614</v>
      </c>
      <c r="AQ171">
        <v>49.966369421913477</v>
      </c>
      <c r="AR171">
        <v>6.5013307402735494</v>
      </c>
      <c r="AS171">
        <v>74.724419049641355</v>
      </c>
      <c r="AT171" t="e">
        <v>#DIV/0!</v>
      </c>
      <c r="AU171" t="e">
        <v>#DIV/0!</v>
      </c>
      <c r="AV171"/>
      <c r="AW171"/>
      <c r="AX171" s="146"/>
      <c r="AY171" s="76">
        <f t="shared" ca="1" si="171"/>
        <v>0.42902886112770622</v>
      </c>
      <c r="AZ171">
        <v>4</v>
      </c>
      <c r="BA171" s="129">
        <f t="shared" si="245"/>
        <v>39949</v>
      </c>
      <c r="BB171" s="207">
        <v>0</v>
      </c>
      <c r="BC171" s="207">
        <v>0</v>
      </c>
      <c r="BD171" s="207">
        <v>0</v>
      </c>
      <c r="BE171" s="207">
        <v>0</v>
      </c>
      <c r="BF171" s="207">
        <v>0</v>
      </c>
      <c r="BG171" s="207">
        <v>0</v>
      </c>
      <c r="BH171" s="207">
        <v>0</v>
      </c>
      <c r="BI171" s="207">
        <v>0</v>
      </c>
      <c r="BJ171" s="207">
        <v>0</v>
      </c>
      <c r="BK171" s="207">
        <v>0</v>
      </c>
      <c r="BL171" s="207">
        <v>0</v>
      </c>
      <c r="BM171" s="207">
        <v>0</v>
      </c>
      <c r="BN171" s="207">
        <v>0</v>
      </c>
      <c r="BO171" s="207">
        <v>0</v>
      </c>
      <c r="BP171" s="207">
        <v>0</v>
      </c>
      <c r="BQ171" s="207">
        <v>0</v>
      </c>
      <c r="BR171" s="207">
        <v>0</v>
      </c>
      <c r="BS171" s="207">
        <v>0</v>
      </c>
      <c r="BT171" s="207">
        <v>0</v>
      </c>
      <c r="BU171" s="207">
        <v>0</v>
      </c>
      <c r="BV171" s="207">
        <v>0</v>
      </c>
      <c r="BW171" s="207">
        <v>0</v>
      </c>
      <c r="BX171" s="207">
        <v>0</v>
      </c>
      <c r="BY171" s="207">
        <v>0</v>
      </c>
      <c r="BZ171" s="207">
        <v>0</v>
      </c>
      <c r="CA171" s="207">
        <v>0</v>
      </c>
      <c r="CB171" s="207">
        <v>0</v>
      </c>
      <c r="CC171" s="207">
        <v>0</v>
      </c>
      <c r="CD171" s="207">
        <v>0</v>
      </c>
      <c r="CE171" s="207">
        <v>0</v>
      </c>
      <c r="CF171" s="207">
        <v>0</v>
      </c>
      <c r="CG171" s="147"/>
      <c r="CH171" s="176"/>
      <c r="CJ171" s="146"/>
      <c r="CK171" s="76">
        <f t="shared" ca="1" si="206"/>
        <v>0.24400271693541353</v>
      </c>
      <c r="CL171" s="179">
        <f t="shared" si="207"/>
        <v>4</v>
      </c>
      <c r="CM171" s="180">
        <f t="shared" si="208"/>
        <v>39949</v>
      </c>
      <c r="CN171" s="208">
        <v>0</v>
      </c>
      <c r="CO171" s="208">
        <v>0</v>
      </c>
      <c r="CP171" s="208">
        <v>0</v>
      </c>
      <c r="CQ171" s="208">
        <v>0</v>
      </c>
      <c r="CR171" s="208">
        <v>0</v>
      </c>
      <c r="CS171" s="208">
        <v>0</v>
      </c>
      <c r="CT171" s="208">
        <v>0</v>
      </c>
      <c r="CU171" s="208">
        <v>0</v>
      </c>
      <c r="CV171" s="160"/>
      <c r="CW171">
        <v>1</v>
      </c>
      <c r="CX171">
        <f>320/73</f>
        <v>4.3835616438356162</v>
      </c>
      <c r="CY171" s="160"/>
      <c r="CZ171" s="177">
        <f t="shared" si="209"/>
        <v>9.6000000000000002E-2</v>
      </c>
      <c r="DB171" s="146"/>
      <c r="DC171" s="76">
        <f t="shared" ca="1" si="172"/>
        <v>0.35029577360479647</v>
      </c>
      <c r="DD171">
        <f t="shared" si="210"/>
        <v>4</v>
      </c>
      <c r="DE171" s="129">
        <f t="shared" si="244"/>
        <v>39949</v>
      </c>
      <c r="DF171" s="161">
        <f t="shared" si="211"/>
        <v>0</v>
      </c>
      <c r="DG171" s="161">
        <f t="shared" si="212"/>
        <v>0</v>
      </c>
      <c r="DH171" s="161">
        <f t="shared" si="213"/>
        <v>0</v>
      </c>
      <c r="DI171" s="161">
        <f t="shared" si="214"/>
        <v>0</v>
      </c>
      <c r="DJ171" s="161">
        <f t="shared" si="215"/>
        <v>0</v>
      </c>
      <c r="DK171" s="161">
        <f t="shared" si="216"/>
        <v>0</v>
      </c>
      <c r="DL171" s="161">
        <f t="shared" si="217"/>
        <v>0</v>
      </c>
      <c r="DM171" s="161">
        <f t="shared" si="218"/>
        <v>0</v>
      </c>
      <c r="DN171" s="161">
        <f t="shared" si="219"/>
        <v>0</v>
      </c>
      <c r="DO171" s="161">
        <f t="shared" si="220"/>
        <v>0</v>
      </c>
      <c r="DP171" s="161">
        <f t="shared" si="221"/>
        <v>0</v>
      </c>
      <c r="DQ171" s="161">
        <f t="shared" si="222"/>
        <v>0</v>
      </c>
      <c r="DR171" s="161">
        <f t="shared" si="223"/>
        <v>0</v>
      </c>
      <c r="DS171" s="161">
        <f t="shared" si="224"/>
        <v>0</v>
      </c>
      <c r="DT171" s="161">
        <f t="shared" si="225"/>
        <v>0</v>
      </c>
      <c r="DU171" s="161">
        <f t="shared" si="226"/>
        <v>0</v>
      </c>
      <c r="DV171" s="161">
        <f t="shared" si="227"/>
        <v>0</v>
      </c>
      <c r="DW171" s="161">
        <f t="shared" si="228"/>
        <v>0</v>
      </c>
      <c r="DX171" s="161">
        <f t="shared" si="229"/>
        <v>0</v>
      </c>
      <c r="DY171" s="161">
        <f t="shared" si="230"/>
        <v>0</v>
      </c>
      <c r="DZ171" s="161">
        <f t="shared" si="231"/>
        <v>0</v>
      </c>
      <c r="EA171" s="161">
        <f t="shared" si="232"/>
        <v>0</v>
      </c>
      <c r="EB171" s="161">
        <f t="shared" si="233"/>
        <v>0</v>
      </c>
      <c r="EC171" s="161">
        <f t="shared" si="234"/>
        <v>0</v>
      </c>
      <c r="ED171" s="161">
        <f t="shared" si="235"/>
        <v>0</v>
      </c>
      <c r="EE171" s="161">
        <f t="shared" si="236"/>
        <v>0</v>
      </c>
      <c r="EF171" s="161">
        <f t="shared" si="237"/>
        <v>0</v>
      </c>
      <c r="EG171" s="161">
        <f t="shared" si="238"/>
        <v>0</v>
      </c>
      <c r="EH171" s="161">
        <f t="shared" si="239"/>
        <v>0</v>
      </c>
      <c r="EI171" s="161">
        <f t="shared" si="240"/>
        <v>0</v>
      </c>
      <c r="EJ171" s="161">
        <f t="shared" si="241"/>
        <v>0</v>
      </c>
      <c r="EK171" s="147">
        <f t="shared" si="173"/>
        <v>0</v>
      </c>
      <c r="EL171" s="149"/>
      <c r="EN171" s="146"/>
      <c r="EO171" s="146"/>
      <c r="EP171" s="139">
        <f t="shared" si="174"/>
        <v>0</v>
      </c>
      <c r="EQ171" s="139">
        <f t="shared" si="175"/>
        <v>0</v>
      </c>
      <c r="ER171" s="139">
        <f t="shared" si="176"/>
        <v>0</v>
      </c>
      <c r="ES171" s="139">
        <f t="shared" si="177"/>
        <v>0</v>
      </c>
      <c r="ET171" s="139">
        <f t="shared" si="178"/>
        <v>0</v>
      </c>
      <c r="EU171" s="139">
        <f t="shared" si="179"/>
        <v>0</v>
      </c>
      <c r="EV171" s="139">
        <f t="shared" si="180"/>
        <v>0</v>
      </c>
      <c r="EW171" s="139">
        <f t="shared" si="181"/>
        <v>0</v>
      </c>
      <c r="EX171" s="139">
        <f t="shared" si="182"/>
        <v>0</v>
      </c>
      <c r="EY171" s="139">
        <f t="shared" si="183"/>
        <v>0</v>
      </c>
      <c r="EZ171" s="139">
        <f t="shared" si="184"/>
        <v>0</v>
      </c>
      <c r="FA171" s="139">
        <f t="shared" si="185"/>
        <v>0</v>
      </c>
      <c r="FB171" s="139">
        <f t="shared" si="186"/>
        <v>0</v>
      </c>
      <c r="FC171" s="139">
        <f t="shared" si="187"/>
        <v>0</v>
      </c>
      <c r="FD171" s="139">
        <f t="shared" si="188"/>
        <v>0</v>
      </c>
      <c r="FE171" s="139">
        <f t="shared" si="189"/>
        <v>0</v>
      </c>
      <c r="FF171" s="139">
        <f t="shared" si="190"/>
        <v>0</v>
      </c>
      <c r="FG171" s="139">
        <f t="shared" si="191"/>
        <v>0</v>
      </c>
      <c r="FH171" s="139">
        <f t="shared" si="192"/>
        <v>0</v>
      </c>
      <c r="FI171" s="139">
        <f t="shared" si="193"/>
        <v>0</v>
      </c>
      <c r="FJ171" s="139">
        <f t="shared" si="194"/>
        <v>0</v>
      </c>
      <c r="FK171" s="139">
        <f t="shared" si="195"/>
        <v>0</v>
      </c>
      <c r="FL171" s="139">
        <f t="shared" si="196"/>
        <v>0</v>
      </c>
      <c r="FM171" s="139">
        <f t="shared" si="197"/>
        <v>0</v>
      </c>
      <c r="FN171" s="139">
        <f t="shared" si="198"/>
        <v>0</v>
      </c>
      <c r="FO171" s="139">
        <f t="shared" si="199"/>
        <v>0</v>
      </c>
      <c r="FP171" s="139">
        <f t="shared" si="200"/>
        <v>0</v>
      </c>
      <c r="FQ171" s="139">
        <f t="shared" si="201"/>
        <v>0</v>
      </c>
      <c r="FR171" s="139">
        <f t="shared" si="202"/>
        <v>0</v>
      </c>
      <c r="FS171" s="139">
        <f t="shared" si="203"/>
        <v>0</v>
      </c>
      <c r="FT171" s="139">
        <f t="shared" si="204"/>
        <v>0</v>
      </c>
      <c r="FU171" s="148">
        <f t="shared" si="205"/>
        <v>0</v>
      </c>
      <c r="FV171" s="149"/>
      <c r="FY171" s="213">
        <v>166</v>
      </c>
      <c r="FZ171">
        <v>4.7888286082710039</v>
      </c>
      <c r="GA171">
        <v>25.067277133728556</v>
      </c>
      <c r="GB171">
        <v>9.5818406968573733</v>
      </c>
      <c r="GC171">
        <v>2.0102436468991312</v>
      </c>
      <c r="GD171">
        <v>1.705177031969396</v>
      </c>
      <c r="GE171">
        <v>0.32191049458179555</v>
      </c>
      <c r="GF171">
        <v>0</v>
      </c>
      <c r="GG171">
        <v>8.0776203889061353</v>
      </c>
      <c r="GH171">
        <v>11.643882797353195</v>
      </c>
      <c r="GI171">
        <v>6.0550568999775303</v>
      </c>
      <c r="GJ171"/>
      <c r="GK171"/>
      <c r="GL171"/>
      <c r="GM171"/>
      <c r="GN171" s="208"/>
      <c r="GO171" s="208"/>
      <c r="GP171" s="208"/>
      <c r="GQ171" s="208"/>
      <c r="GR171" s="208"/>
      <c r="GS171" s="208"/>
      <c r="GT171" s="208"/>
      <c r="GU171" s="213">
        <v>166</v>
      </c>
    </row>
    <row r="172" spans="1:203" s="7" customFormat="1">
      <c r="A172" s="1"/>
      <c r="B172" s="76">
        <f ca="1">IF(C172="", "", RAND())</f>
        <v>3.5618145213937247E-2</v>
      </c>
      <c r="C172">
        <v>9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32.678656951286257</v>
      </c>
      <c r="AO172">
        <v>8.9854637505149917</v>
      </c>
      <c r="AP172">
        <v>253.52586815084561</v>
      </c>
      <c r="AQ172">
        <v>57.213876979138128</v>
      </c>
      <c r="AR172">
        <v>8.2771459512778716</v>
      </c>
      <c r="AS172">
        <v>102.8316249541589</v>
      </c>
      <c r="AT172" t="e">
        <v>#DIV/0!</v>
      </c>
      <c r="AU172" t="e">
        <v>#DIV/0!</v>
      </c>
      <c r="AV172"/>
      <c r="AW172"/>
      <c r="AX172" s="146"/>
      <c r="AY172" s="76">
        <f t="shared" ca="1" si="171"/>
        <v>0.67401900608793675</v>
      </c>
      <c r="AZ172">
        <v>5</v>
      </c>
      <c r="BA172" s="129">
        <f t="shared" si="245"/>
        <v>39949</v>
      </c>
      <c r="BB172" s="207">
        <v>0</v>
      </c>
      <c r="BC172" s="207">
        <v>0</v>
      </c>
      <c r="BD172" s="207">
        <v>0</v>
      </c>
      <c r="BE172" s="207">
        <v>0</v>
      </c>
      <c r="BF172" s="207">
        <v>0</v>
      </c>
      <c r="BG172" s="207">
        <v>0</v>
      </c>
      <c r="BH172" s="207">
        <v>0</v>
      </c>
      <c r="BI172" s="207">
        <v>0</v>
      </c>
      <c r="BJ172" s="207">
        <v>0</v>
      </c>
      <c r="BK172" s="207">
        <v>0</v>
      </c>
      <c r="BL172" s="207">
        <v>0</v>
      </c>
      <c r="BM172" s="207">
        <v>0</v>
      </c>
      <c r="BN172" s="207">
        <v>0</v>
      </c>
      <c r="BO172" s="207">
        <v>0</v>
      </c>
      <c r="BP172" s="207">
        <v>0</v>
      </c>
      <c r="BQ172" s="207">
        <v>0</v>
      </c>
      <c r="BR172" s="207">
        <v>0</v>
      </c>
      <c r="BS172" s="207">
        <v>0</v>
      </c>
      <c r="BT172" s="207">
        <v>0</v>
      </c>
      <c r="BU172" s="207">
        <v>0</v>
      </c>
      <c r="BV172" s="207">
        <v>0</v>
      </c>
      <c r="BW172" s="207">
        <v>0</v>
      </c>
      <c r="BX172" s="207">
        <v>0</v>
      </c>
      <c r="BY172" s="207">
        <v>0</v>
      </c>
      <c r="BZ172" s="207">
        <v>0</v>
      </c>
      <c r="CA172" s="207">
        <v>0</v>
      </c>
      <c r="CB172" s="207">
        <v>0</v>
      </c>
      <c r="CC172" s="207">
        <v>0</v>
      </c>
      <c r="CD172" s="207">
        <v>0</v>
      </c>
      <c r="CE172" s="207">
        <v>0</v>
      </c>
      <c r="CF172" s="207">
        <v>0</v>
      </c>
      <c r="CG172" s="147"/>
      <c r="CH172" s="176"/>
      <c r="CJ172" s="146"/>
      <c r="CK172" s="76">
        <f t="shared" ca="1" si="206"/>
        <v>0.74167217729877377</v>
      </c>
      <c r="CL172" s="179">
        <f t="shared" si="207"/>
        <v>5</v>
      </c>
      <c r="CM172" s="180">
        <f t="shared" si="208"/>
        <v>39949</v>
      </c>
      <c r="CN172" s="208">
        <v>0</v>
      </c>
      <c r="CO172" s="208">
        <v>0</v>
      </c>
      <c r="CP172" s="208">
        <v>0</v>
      </c>
      <c r="CQ172" s="208">
        <v>0</v>
      </c>
      <c r="CR172" s="208">
        <v>0</v>
      </c>
      <c r="CS172" s="208">
        <v>0</v>
      </c>
      <c r="CT172" s="208">
        <v>0</v>
      </c>
      <c r="CU172" s="208">
        <v>0</v>
      </c>
      <c r="CV172" s="160"/>
      <c r="CW172">
        <v>1</v>
      </c>
      <c r="CX172">
        <v>1</v>
      </c>
      <c r="CY172" s="160"/>
      <c r="CZ172" s="177">
        <f t="shared" si="209"/>
        <v>9.6000000000000002E-2</v>
      </c>
      <c r="DB172" s="146"/>
      <c r="DC172" s="76">
        <f t="shared" ca="1" si="172"/>
        <v>0.21596895845919128</v>
      </c>
      <c r="DD172">
        <f t="shared" si="210"/>
        <v>5</v>
      </c>
      <c r="DE172" s="129">
        <f t="shared" si="244"/>
        <v>39949</v>
      </c>
      <c r="DF172" s="161">
        <f t="shared" si="211"/>
        <v>0</v>
      </c>
      <c r="DG172" s="161">
        <f t="shared" si="212"/>
        <v>0</v>
      </c>
      <c r="DH172" s="161">
        <f t="shared" si="213"/>
        <v>0</v>
      </c>
      <c r="DI172" s="161">
        <f t="shared" si="214"/>
        <v>0</v>
      </c>
      <c r="DJ172" s="161">
        <f t="shared" si="215"/>
        <v>0</v>
      </c>
      <c r="DK172" s="161">
        <f t="shared" si="216"/>
        <v>0</v>
      </c>
      <c r="DL172" s="161">
        <f t="shared" si="217"/>
        <v>0</v>
      </c>
      <c r="DM172" s="161">
        <f t="shared" si="218"/>
        <v>0</v>
      </c>
      <c r="DN172" s="161">
        <f t="shared" si="219"/>
        <v>0</v>
      </c>
      <c r="DO172" s="161">
        <f t="shared" si="220"/>
        <v>0</v>
      </c>
      <c r="DP172" s="161">
        <f t="shared" si="221"/>
        <v>0</v>
      </c>
      <c r="DQ172" s="161">
        <f t="shared" si="222"/>
        <v>0</v>
      </c>
      <c r="DR172" s="161">
        <f t="shared" si="223"/>
        <v>0</v>
      </c>
      <c r="DS172" s="161">
        <f t="shared" si="224"/>
        <v>0</v>
      </c>
      <c r="DT172" s="161">
        <f t="shared" si="225"/>
        <v>0</v>
      </c>
      <c r="DU172" s="161">
        <f t="shared" si="226"/>
        <v>0</v>
      </c>
      <c r="DV172" s="161">
        <f t="shared" si="227"/>
        <v>0</v>
      </c>
      <c r="DW172" s="161">
        <f t="shared" si="228"/>
        <v>0</v>
      </c>
      <c r="DX172" s="161">
        <f t="shared" si="229"/>
        <v>0</v>
      </c>
      <c r="DY172" s="161">
        <f t="shared" si="230"/>
        <v>0</v>
      </c>
      <c r="DZ172" s="161">
        <f t="shared" si="231"/>
        <v>0</v>
      </c>
      <c r="EA172" s="161">
        <f t="shared" si="232"/>
        <v>0</v>
      </c>
      <c r="EB172" s="161">
        <f t="shared" si="233"/>
        <v>0</v>
      </c>
      <c r="EC172" s="161">
        <f t="shared" si="234"/>
        <v>0</v>
      </c>
      <c r="ED172" s="161">
        <f t="shared" si="235"/>
        <v>0</v>
      </c>
      <c r="EE172" s="161">
        <f t="shared" si="236"/>
        <v>0</v>
      </c>
      <c r="EF172" s="161">
        <f t="shared" si="237"/>
        <v>0</v>
      </c>
      <c r="EG172" s="161">
        <f t="shared" si="238"/>
        <v>0</v>
      </c>
      <c r="EH172" s="161">
        <f t="shared" si="239"/>
        <v>0</v>
      </c>
      <c r="EI172" s="161">
        <f t="shared" si="240"/>
        <v>0</v>
      </c>
      <c r="EJ172" s="161">
        <f t="shared" si="241"/>
        <v>0</v>
      </c>
      <c r="EK172" s="147">
        <f t="shared" si="173"/>
        <v>0</v>
      </c>
      <c r="EL172" s="149"/>
      <c r="EN172" s="146"/>
      <c r="EO172" s="146"/>
      <c r="EP172" s="139">
        <f t="shared" si="174"/>
        <v>0</v>
      </c>
      <c r="EQ172" s="139">
        <f t="shared" si="175"/>
        <v>0</v>
      </c>
      <c r="ER172" s="139">
        <f t="shared" si="176"/>
        <v>0</v>
      </c>
      <c r="ES172" s="139">
        <f t="shared" si="177"/>
        <v>0</v>
      </c>
      <c r="ET172" s="139">
        <f t="shared" si="178"/>
        <v>0</v>
      </c>
      <c r="EU172" s="139">
        <f t="shared" si="179"/>
        <v>0</v>
      </c>
      <c r="EV172" s="139">
        <f t="shared" si="180"/>
        <v>0</v>
      </c>
      <c r="EW172" s="139">
        <f t="shared" si="181"/>
        <v>0</v>
      </c>
      <c r="EX172" s="139">
        <f t="shared" si="182"/>
        <v>0</v>
      </c>
      <c r="EY172" s="139">
        <f t="shared" si="183"/>
        <v>0</v>
      </c>
      <c r="EZ172" s="139">
        <f t="shared" si="184"/>
        <v>0</v>
      </c>
      <c r="FA172" s="139">
        <f t="shared" si="185"/>
        <v>0</v>
      </c>
      <c r="FB172" s="139">
        <f t="shared" si="186"/>
        <v>0</v>
      </c>
      <c r="FC172" s="139">
        <f t="shared" si="187"/>
        <v>0</v>
      </c>
      <c r="FD172" s="139">
        <f t="shared" si="188"/>
        <v>0</v>
      </c>
      <c r="FE172" s="139">
        <f t="shared" si="189"/>
        <v>0</v>
      </c>
      <c r="FF172" s="139">
        <f t="shared" si="190"/>
        <v>0</v>
      </c>
      <c r="FG172" s="139">
        <f t="shared" si="191"/>
        <v>0</v>
      </c>
      <c r="FH172" s="139">
        <f t="shared" si="192"/>
        <v>0</v>
      </c>
      <c r="FI172" s="139">
        <f t="shared" si="193"/>
        <v>0</v>
      </c>
      <c r="FJ172" s="139">
        <f t="shared" si="194"/>
        <v>0</v>
      </c>
      <c r="FK172" s="139">
        <f t="shared" si="195"/>
        <v>0</v>
      </c>
      <c r="FL172" s="139">
        <f t="shared" si="196"/>
        <v>0</v>
      </c>
      <c r="FM172" s="139">
        <f t="shared" si="197"/>
        <v>0</v>
      </c>
      <c r="FN172" s="139">
        <f t="shared" si="198"/>
        <v>0</v>
      </c>
      <c r="FO172" s="139">
        <f t="shared" si="199"/>
        <v>0</v>
      </c>
      <c r="FP172" s="139">
        <f t="shared" si="200"/>
        <v>0</v>
      </c>
      <c r="FQ172" s="139">
        <f t="shared" si="201"/>
        <v>0</v>
      </c>
      <c r="FR172" s="139">
        <f t="shared" si="202"/>
        <v>0</v>
      </c>
      <c r="FS172" s="139">
        <f t="shared" si="203"/>
        <v>0</v>
      </c>
      <c r="FT172" s="139">
        <f t="shared" si="204"/>
        <v>0</v>
      </c>
      <c r="FU172" s="148">
        <f t="shared" si="205"/>
        <v>0</v>
      </c>
      <c r="FV172" s="149"/>
      <c r="FY172" s="213">
        <v>167</v>
      </c>
      <c r="FZ172">
        <v>1.596276202757001</v>
      </c>
      <c r="GA172">
        <v>12.84772850493502</v>
      </c>
      <c r="GB172">
        <v>5.4222971985039887</v>
      </c>
      <c r="GC172">
        <v>0.45016621220616626</v>
      </c>
      <c r="GD172">
        <v>0.88027999883523889</v>
      </c>
      <c r="GE172">
        <v>1.3740589487514896</v>
      </c>
      <c r="GF172">
        <v>0.47734812494006024</v>
      </c>
      <c r="GG172">
        <v>2.048950759489153</v>
      </c>
      <c r="GH172">
        <v>2.7056005373088885</v>
      </c>
      <c r="GI172">
        <v>2.6460803919617439</v>
      </c>
      <c r="GJ172"/>
      <c r="GK172"/>
      <c r="GL172"/>
      <c r="GM172"/>
      <c r="GN172" s="208"/>
      <c r="GO172" s="208"/>
      <c r="GP172" s="208"/>
      <c r="GQ172" s="208"/>
      <c r="GR172" s="208"/>
      <c r="GS172" s="208"/>
      <c r="GT172" s="208"/>
      <c r="GU172" s="213">
        <v>167</v>
      </c>
    </row>
    <row r="173" spans="1:203" s="7" customFormat="1">
      <c r="A173" s="1"/>
      <c r="B173" s="76">
        <f ca="1">IF(C173="", "", RAND())</f>
        <v>0.78900480608432222</v>
      </c>
      <c r="C173">
        <v>3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20.968750000000004</v>
      </c>
      <c r="AO173">
        <v>5.629094243364313</v>
      </c>
      <c r="AP173">
        <v>91.784735418050275</v>
      </c>
      <c r="AQ173">
        <v>35.05847648222371</v>
      </c>
      <c r="AR173">
        <v>5.1173584030584651</v>
      </c>
      <c r="AS173">
        <v>60.523617941306348</v>
      </c>
      <c r="AT173" t="e">
        <v>#DIV/0!</v>
      </c>
      <c r="AU173" t="e">
        <v>#DIV/0!</v>
      </c>
      <c r="AV173"/>
      <c r="AW173"/>
      <c r="AX173" s="146"/>
      <c r="AY173" s="76">
        <f t="shared" ca="1" si="171"/>
        <v>0.4989782369401885</v>
      </c>
      <c r="AZ173">
        <v>6</v>
      </c>
      <c r="BA173" s="129">
        <f t="shared" si="245"/>
        <v>39949</v>
      </c>
      <c r="BB173" s="207">
        <v>0</v>
      </c>
      <c r="BC173" s="207">
        <v>0</v>
      </c>
      <c r="BD173" s="207">
        <v>0</v>
      </c>
      <c r="BE173" s="207">
        <v>0</v>
      </c>
      <c r="BF173" s="207">
        <v>0</v>
      </c>
      <c r="BG173" s="207">
        <v>0</v>
      </c>
      <c r="BH173" s="207">
        <v>0</v>
      </c>
      <c r="BI173" s="207">
        <v>0</v>
      </c>
      <c r="BJ173" s="207">
        <v>0</v>
      </c>
      <c r="BK173" s="207">
        <v>0</v>
      </c>
      <c r="BL173" s="207">
        <v>0</v>
      </c>
      <c r="BM173" s="207">
        <v>0</v>
      </c>
      <c r="BN173" s="207">
        <v>0</v>
      </c>
      <c r="BO173" s="207">
        <v>0</v>
      </c>
      <c r="BP173" s="207">
        <v>0</v>
      </c>
      <c r="BQ173" s="207">
        <v>0</v>
      </c>
      <c r="BR173" s="207">
        <v>0</v>
      </c>
      <c r="BS173" s="207">
        <v>0</v>
      </c>
      <c r="BT173" s="207">
        <v>0</v>
      </c>
      <c r="BU173" s="207">
        <v>0</v>
      </c>
      <c r="BV173" s="207">
        <v>0</v>
      </c>
      <c r="BW173" s="207">
        <v>0</v>
      </c>
      <c r="BX173" s="207">
        <v>0</v>
      </c>
      <c r="BY173" s="207">
        <v>0</v>
      </c>
      <c r="BZ173" s="207">
        <v>0</v>
      </c>
      <c r="CA173" s="207">
        <v>0</v>
      </c>
      <c r="CB173" s="207">
        <v>0</v>
      </c>
      <c r="CC173" s="207">
        <v>0</v>
      </c>
      <c r="CD173" s="207">
        <v>0</v>
      </c>
      <c r="CE173" s="207">
        <v>0</v>
      </c>
      <c r="CF173" s="207">
        <v>0</v>
      </c>
      <c r="CG173" s="147"/>
      <c r="CH173" s="176"/>
      <c r="CJ173" s="146"/>
      <c r="CK173" s="76">
        <f t="shared" ca="1" si="206"/>
        <v>0.90131741498015683</v>
      </c>
      <c r="CL173" s="179">
        <f t="shared" si="207"/>
        <v>6</v>
      </c>
      <c r="CM173" s="180">
        <f t="shared" si="208"/>
        <v>39949</v>
      </c>
      <c r="CN173" s="208">
        <v>0</v>
      </c>
      <c r="CO173" s="208">
        <v>0</v>
      </c>
      <c r="CP173" s="208">
        <v>0</v>
      </c>
      <c r="CQ173" s="208">
        <v>0</v>
      </c>
      <c r="CR173" s="208">
        <v>0</v>
      </c>
      <c r="CS173" s="208">
        <v>0</v>
      </c>
      <c r="CT173" s="208">
        <v>0</v>
      </c>
      <c r="CU173" s="208">
        <v>0</v>
      </c>
      <c r="CV173" s="160"/>
      <c r="CW173">
        <v>1</v>
      </c>
      <c r="CX173">
        <v>1</v>
      </c>
      <c r="CY173" s="160"/>
      <c r="CZ173" s="177">
        <f t="shared" si="209"/>
        <v>9.6000000000000002E-2</v>
      </c>
      <c r="DB173" s="146"/>
      <c r="DC173" s="76">
        <f t="shared" ca="1" si="172"/>
        <v>0.77217288300426645</v>
      </c>
      <c r="DD173">
        <f t="shared" si="210"/>
        <v>6</v>
      </c>
      <c r="DE173" s="129">
        <f t="shared" si="244"/>
        <v>39949</v>
      </c>
      <c r="DF173" s="161">
        <f t="shared" si="211"/>
        <v>0</v>
      </c>
      <c r="DG173" s="161">
        <f t="shared" si="212"/>
        <v>0</v>
      </c>
      <c r="DH173" s="161">
        <f t="shared" si="213"/>
        <v>0</v>
      </c>
      <c r="DI173" s="161">
        <f t="shared" si="214"/>
        <v>0</v>
      </c>
      <c r="DJ173" s="161">
        <f t="shared" si="215"/>
        <v>0</v>
      </c>
      <c r="DK173" s="161">
        <f t="shared" si="216"/>
        <v>0</v>
      </c>
      <c r="DL173" s="161">
        <f t="shared" si="217"/>
        <v>0</v>
      </c>
      <c r="DM173" s="161">
        <f t="shared" si="218"/>
        <v>0</v>
      </c>
      <c r="DN173" s="161">
        <f t="shared" si="219"/>
        <v>0</v>
      </c>
      <c r="DO173" s="161">
        <f t="shared" si="220"/>
        <v>0</v>
      </c>
      <c r="DP173" s="161">
        <f t="shared" si="221"/>
        <v>0</v>
      </c>
      <c r="DQ173" s="161">
        <f t="shared" si="222"/>
        <v>0</v>
      </c>
      <c r="DR173" s="161">
        <f t="shared" si="223"/>
        <v>0</v>
      </c>
      <c r="DS173" s="161">
        <f t="shared" si="224"/>
        <v>0</v>
      </c>
      <c r="DT173" s="161">
        <f t="shared" si="225"/>
        <v>0</v>
      </c>
      <c r="DU173" s="161">
        <f t="shared" si="226"/>
        <v>0</v>
      </c>
      <c r="DV173" s="161">
        <f t="shared" si="227"/>
        <v>0</v>
      </c>
      <c r="DW173" s="161">
        <f t="shared" si="228"/>
        <v>0</v>
      </c>
      <c r="DX173" s="161">
        <f t="shared" si="229"/>
        <v>0</v>
      </c>
      <c r="DY173" s="161">
        <f t="shared" si="230"/>
        <v>0</v>
      </c>
      <c r="DZ173" s="161">
        <f t="shared" si="231"/>
        <v>0</v>
      </c>
      <c r="EA173" s="161">
        <f t="shared" si="232"/>
        <v>0</v>
      </c>
      <c r="EB173" s="161">
        <f t="shared" si="233"/>
        <v>0</v>
      </c>
      <c r="EC173" s="161">
        <f t="shared" si="234"/>
        <v>0</v>
      </c>
      <c r="ED173" s="161">
        <f t="shared" si="235"/>
        <v>0</v>
      </c>
      <c r="EE173" s="161">
        <f t="shared" si="236"/>
        <v>0</v>
      </c>
      <c r="EF173" s="161">
        <f t="shared" si="237"/>
        <v>0</v>
      </c>
      <c r="EG173" s="161">
        <f t="shared" si="238"/>
        <v>0</v>
      </c>
      <c r="EH173" s="161">
        <f t="shared" si="239"/>
        <v>0</v>
      </c>
      <c r="EI173" s="161">
        <f t="shared" si="240"/>
        <v>0</v>
      </c>
      <c r="EJ173" s="161">
        <f t="shared" si="241"/>
        <v>0</v>
      </c>
      <c r="EK173" s="147">
        <f t="shared" si="173"/>
        <v>0</v>
      </c>
      <c r="EL173" s="149"/>
      <c r="EN173" s="146"/>
      <c r="EO173" s="146"/>
      <c r="EP173" s="139">
        <f t="shared" si="174"/>
        <v>0</v>
      </c>
      <c r="EQ173" s="139">
        <f t="shared" si="175"/>
        <v>0</v>
      </c>
      <c r="ER173" s="139">
        <f t="shared" si="176"/>
        <v>0</v>
      </c>
      <c r="ES173" s="139">
        <f t="shared" si="177"/>
        <v>0</v>
      </c>
      <c r="ET173" s="139">
        <f t="shared" si="178"/>
        <v>0</v>
      </c>
      <c r="EU173" s="139">
        <f t="shared" si="179"/>
        <v>0</v>
      </c>
      <c r="EV173" s="139">
        <f t="shared" si="180"/>
        <v>0</v>
      </c>
      <c r="EW173" s="139">
        <f t="shared" si="181"/>
        <v>0</v>
      </c>
      <c r="EX173" s="139">
        <f t="shared" si="182"/>
        <v>0</v>
      </c>
      <c r="EY173" s="139">
        <f t="shared" si="183"/>
        <v>0</v>
      </c>
      <c r="EZ173" s="139">
        <f t="shared" si="184"/>
        <v>0</v>
      </c>
      <c r="FA173" s="139">
        <f t="shared" si="185"/>
        <v>0</v>
      </c>
      <c r="FB173" s="139">
        <f t="shared" si="186"/>
        <v>0</v>
      </c>
      <c r="FC173" s="139">
        <f t="shared" si="187"/>
        <v>0</v>
      </c>
      <c r="FD173" s="139">
        <f t="shared" si="188"/>
        <v>0</v>
      </c>
      <c r="FE173" s="139">
        <f t="shared" si="189"/>
        <v>0</v>
      </c>
      <c r="FF173" s="139">
        <f t="shared" si="190"/>
        <v>0</v>
      </c>
      <c r="FG173" s="139">
        <f t="shared" si="191"/>
        <v>0</v>
      </c>
      <c r="FH173" s="139">
        <f t="shared" si="192"/>
        <v>0</v>
      </c>
      <c r="FI173" s="139">
        <f t="shared" si="193"/>
        <v>0</v>
      </c>
      <c r="FJ173" s="139">
        <f t="shared" si="194"/>
        <v>0</v>
      </c>
      <c r="FK173" s="139">
        <f t="shared" si="195"/>
        <v>0</v>
      </c>
      <c r="FL173" s="139">
        <f t="shared" si="196"/>
        <v>0</v>
      </c>
      <c r="FM173" s="139">
        <f t="shared" si="197"/>
        <v>0</v>
      </c>
      <c r="FN173" s="139">
        <f t="shared" si="198"/>
        <v>0</v>
      </c>
      <c r="FO173" s="139">
        <f t="shared" si="199"/>
        <v>0</v>
      </c>
      <c r="FP173" s="139">
        <f t="shared" si="200"/>
        <v>0</v>
      </c>
      <c r="FQ173" s="139">
        <f t="shared" si="201"/>
        <v>0</v>
      </c>
      <c r="FR173" s="139">
        <f t="shared" si="202"/>
        <v>0</v>
      </c>
      <c r="FS173" s="139">
        <f t="shared" si="203"/>
        <v>0</v>
      </c>
      <c r="FT173" s="139">
        <f t="shared" si="204"/>
        <v>0</v>
      </c>
      <c r="FU173" s="148">
        <f t="shared" si="205"/>
        <v>0</v>
      </c>
      <c r="FV173" s="149"/>
      <c r="FY173" s="213">
        <v>168</v>
      </c>
      <c r="FZ173">
        <v>0.58716112056924263</v>
      </c>
      <c r="GA173">
        <v>15.353792565858905</v>
      </c>
      <c r="GB173">
        <v>7.6394169378847359</v>
      </c>
      <c r="GC173">
        <v>0.94547505672132059</v>
      </c>
      <c r="GD173">
        <v>3.2133221725840189</v>
      </c>
      <c r="GE173">
        <v>5.0516706834502809</v>
      </c>
      <c r="GF173">
        <v>0</v>
      </c>
      <c r="GG173">
        <v>3.6766788475277208</v>
      </c>
      <c r="GH173">
        <v>5.061819680755038</v>
      </c>
      <c r="GI173">
        <v>4.9206426064437814</v>
      </c>
      <c r="GJ173"/>
      <c r="GK173"/>
      <c r="GL173"/>
      <c r="GM173"/>
      <c r="GN173" s="208"/>
      <c r="GO173" s="208"/>
      <c r="GP173" s="208"/>
      <c r="GQ173" s="208"/>
      <c r="GR173" s="208"/>
      <c r="GS173" s="208"/>
      <c r="GT173" s="208"/>
      <c r="GU173" s="213">
        <v>168</v>
      </c>
    </row>
    <row r="174" spans="1:203" s="7" customFormat="1">
      <c r="A174" s="1"/>
      <c r="B174" s="76">
        <f ca="1">IF(C174="", "", RAND())</f>
        <v>0.85721432829918709</v>
      </c>
      <c r="C174">
        <v>8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10.416666666666666</v>
      </c>
      <c r="K174">
        <v>20.833333333333332</v>
      </c>
      <c r="L174">
        <v>10.416666666666666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30.584086345381525</v>
      </c>
      <c r="AO174">
        <v>8.9994853469496228</v>
      </c>
      <c r="AP174">
        <v>475.23105956844608</v>
      </c>
      <c r="AQ174">
        <v>59.637405597510721</v>
      </c>
      <c r="AR174">
        <v>8.1813503154087481</v>
      </c>
      <c r="AS174">
        <v>90.292864945233319</v>
      </c>
      <c r="AT174" t="e">
        <v>#DIV/0!</v>
      </c>
      <c r="AU174" t="e">
        <v>#DIV/0!</v>
      </c>
      <c r="AV174"/>
      <c r="AW174"/>
      <c r="AX174" s="146"/>
      <c r="AY174" s="76">
        <f t="shared" ca="1" si="171"/>
        <v>0.96816700049593418</v>
      </c>
      <c r="AZ174">
        <v>7</v>
      </c>
      <c r="BA174" s="129">
        <f t="shared" si="245"/>
        <v>39949</v>
      </c>
      <c r="BB174" s="207">
        <v>0</v>
      </c>
      <c r="BC174" s="207">
        <v>0</v>
      </c>
      <c r="BD174" s="207">
        <v>1</v>
      </c>
      <c r="BE174" s="207">
        <v>0</v>
      </c>
      <c r="BF174" s="207">
        <v>0</v>
      </c>
      <c r="BG174" s="207">
        <v>0</v>
      </c>
      <c r="BH174" s="207">
        <v>0</v>
      </c>
      <c r="BI174" s="207">
        <v>0</v>
      </c>
      <c r="BJ174" s="207">
        <v>2</v>
      </c>
      <c r="BK174" s="207">
        <v>0</v>
      </c>
      <c r="BL174" s="207">
        <v>0</v>
      </c>
      <c r="BM174" s="207">
        <v>0</v>
      </c>
      <c r="BN174" s="207">
        <v>0</v>
      </c>
      <c r="BO174" s="207">
        <v>0</v>
      </c>
      <c r="BP174" s="207">
        <v>0</v>
      </c>
      <c r="BQ174" s="207">
        <v>0</v>
      </c>
      <c r="BR174" s="207">
        <v>0</v>
      </c>
      <c r="BS174" s="207">
        <v>0</v>
      </c>
      <c r="BT174" s="207">
        <v>0</v>
      </c>
      <c r="BU174" s="207">
        <v>0</v>
      </c>
      <c r="BV174" s="207">
        <v>0</v>
      </c>
      <c r="BW174" s="207">
        <v>0</v>
      </c>
      <c r="BX174" s="207">
        <v>0</v>
      </c>
      <c r="BY174" s="207">
        <v>0</v>
      </c>
      <c r="BZ174" s="207">
        <v>0</v>
      </c>
      <c r="CA174" s="207">
        <v>0</v>
      </c>
      <c r="CB174" s="207">
        <v>0</v>
      </c>
      <c r="CC174" s="207">
        <v>0</v>
      </c>
      <c r="CD174" s="207">
        <v>0</v>
      </c>
      <c r="CE174" s="207">
        <v>0</v>
      </c>
      <c r="CF174" s="207">
        <v>0</v>
      </c>
      <c r="CG174" s="147"/>
      <c r="CH174" s="176"/>
      <c r="CJ174" s="146"/>
      <c r="CK174" s="76">
        <f t="shared" ca="1" si="206"/>
        <v>0.66181784914033082</v>
      </c>
      <c r="CL174" s="179">
        <f t="shared" si="207"/>
        <v>7</v>
      </c>
      <c r="CM174" s="180">
        <f t="shared" si="208"/>
        <v>39949</v>
      </c>
      <c r="CN174" s="208">
        <v>0</v>
      </c>
      <c r="CO174" s="208">
        <v>0</v>
      </c>
      <c r="CP174" s="208">
        <v>0</v>
      </c>
      <c r="CQ174" s="208">
        <v>0</v>
      </c>
      <c r="CR174" s="208">
        <v>0</v>
      </c>
      <c r="CS174" s="208">
        <v>0</v>
      </c>
      <c r="CT174" s="208">
        <v>0</v>
      </c>
      <c r="CU174" s="208">
        <v>0</v>
      </c>
      <c r="CV174" s="160"/>
      <c r="CW174">
        <v>1</v>
      </c>
      <c r="CX174">
        <v>1</v>
      </c>
      <c r="CY174" s="165"/>
      <c r="CZ174" s="177">
        <f t="shared" si="209"/>
        <v>9.6000000000000002E-2</v>
      </c>
      <c r="DB174" s="146"/>
      <c r="DC174" s="76">
        <f t="shared" ca="1" si="172"/>
        <v>0.72449833602753699</v>
      </c>
      <c r="DD174">
        <f t="shared" si="210"/>
        <v>7</v>
      </c>
      <c r="DE174" s="129">
        <f t="shared" si="244"/>
        <v>39949</v>
      </c>
      <c r="DF174" s="161">
        <f t="shared" si="211"/>
        <v>0</v>
      </c>
      <c r="DG174" s="161">
        <f t="shared" si="212"/>
        <v>0</v>
      </c>
      <c r="DH174" s="161">
        <f t="shared" si="213"/>
        <v>10.416666666666666</v>
      </c>
      <c r="DI174" s="161">
        <f t="shared" si="214"/>
        <v>0</v>
      </c>
      <c r="DJ174" s="161">
        <f t="shared" si="215"/>
        <v>0</v>
      </c>
      <c r="DK174" s="161">
        <f t="shared" si="216"/>
        <v>0</v>
      </c>
      <c r="DL174" s="161">
        <f t="shared" si="217"/>
        <v>0</v>
      </c>
      <c r="DM174" s="161">
        <f t="shared" si="218"/>
        <v>0</v>
      </c>
      <c r="DN174" s="161">
        <f t="shared" si="219"/>
        <v>20.833333333333332</v>
      </c>
      <c r="DO174" s="161">
        <f t="shared" si="220"/>
        <v>0</v>
      </c>
      <c r="DP174" s="161">
        <f t="shared" si="221"/>
        <v>0</v>
      </c>
      <c r="DQ174" s="161">
        <f t="shared" si="222"/>
        <v>0</v>
      </c>
      <c r="DR174" s="161">
        <f t="shared" si="223"/>
        <v>0</v>
      </c>
      <c r="DS174" s="161">
        <f t="shared" si="224"/>
        <v>0</v>
      </c>
      <c r="DT174" s="161">
        <f t="shared" si="225"/>
        <v>0</v>
      </c>
      <c r="DU174" s="161">
        <f t="shared" si="226"/>
        <v>0</v>
      </c>
      <c r="DV174" s="161">
        <f t="shared" si="227"/>
        <v>0</v>
      </c>
      <c r="DW174" s="161">
        <f t="shared" si="228"/>
        <v>0</v>
      </c>
      <c r="DX174" s="161">
        <f t="shared" si="229"/>
        <v>0</v>
      </c>
      <c r="DY174" s="161">
        <f t="shared" si="230"/>
        <v>0</v>
      </c>
      <c r="DZ174" s="161">
        <f t="shared" si="231"/>
        <v>0</v>
      </c>
      <c r="EA174" s="161">
        <f t="shared" si="232"/>
        <v>0</v>
      </c>
      <c r="EB174" s="161">
        <f t="shared" si="233"/>
        <v>0</v>
      </c>
      <c r="EC174" s="161">
        <f t="shared" si="234"/>
        <v>0</v>
      </c>
      <c r="ED174" s="161">
        <f t="shared" si="235"/>
        <v>0</v>
      </c>
      <c r="EE174" s="161">
        <f t="shared" si="236"/>
        <v>0</v>
      </c>
      <c r="EF174" s="161">
        <f t="shared" si="237"/>
        <v>0</v>
      </c>
      <c r="EG174" s="161">
        <f t="shared" si="238"/>
        <v>0</v>
      </c>
      <c r="EH174" s="161">
        <f t="shared" si="239"/>
        <v>0</v>
      </c>
      <c r="EI174" s="161">
        <f t="shared" si="240"/>
        <v>0</v>
      </c>
      <c r="EJ174" s="161">
        <f t="shared" si="241"/>
        <v>0</v>
      </c>
      <c r="EK174" s="147">
        <f t="shared" si="173"/>
        <v>31.25</v>
      </c>
      <c r="EL174" s="149"/>
      <c r="EN174" s="146"/>
      <c r="EO174" s="146"/>
      <c r="EP174" s="139">
        <f t="shared" si="174"/>
        <v>0</v>
      </c>
      <c r="EQ174" s="139">
        <f t="shared" si="175"/>
        <v>0</v>
      </c>
      <c r="ER174" s="139">
        <f t="shared" si="176"/>
        <v>0.76287614772934675</v>
      </c>
      <c r="ES174" s="139">
        <f t="shared" si="177"/>
        <v>0</v>
      </c>
      <c r="ET174" s="139">
        <f t="shared" si="178"/>
        <v>0</v>
      </c>
      <c r="EU174" s="139">
        <f t="shared" si="179"/>
        <v>0</v>
      </c>
      <c r="EV174" s="139">
        <f t="shared" si="180"/>
        <v>0</v>
      </c>
      <c r="EW174" s="139">
        <f t="shared" si="181"/>
        <v>0</v>
      </c>
      <c r="EX174" s="139">
        <f t="shared" si="182"/>
        <v>61.542910180518639</v>
      </c>
      <c r="EY174" s="139">
        <f t="shared" si="183"/>
        <v>0</v>
      </c>
      <c r="EZ174" s="139">
        <f t="shared" si="184"/>
        <v>0</v>
      </c>
      <c r="FA174" s="139">
        <f t="shared" si="185"/>
        <v>0</v>
      </c>
      <c r="FB174" s="139">
        <f t="shared" si="186"/>
        <v>0</v>
      </c>
      <c r="FC174" s="139">
        <f t="shared" si="187"/>
        <v>0</v>
      </c>
      <c r="FD174" s="139">
        <f t="shared" si="188"/>
        <v>0</v>
      </c>
      <c r="FE174" s="139">
        <f t="shared" si="189"/>
        <v>0</v>
      </c>
      <c r="FF174" s="139">
        <f t="shared" si="190"/>
        <v>0</v>
      </c>
      <c r="FG174" s="139">
        <f t="shared" si="191"/>
        <v>0</v>
      </c>
      <c r="FH174" s="139">
        <f t="shared" si="192"/>
        <v>0</v>
      </c>
      <c r="FI174" s="139">
        <f t="shared" si="193"/>
        <v>0</v>
      </c>
      <c r="FJ174" s="139">
        <f t="shared" si="194"/>
        <v>0</v>
      </c>
      <c r="FK174" s="139">
        <f t="shared" si="195"/>
        <v>0</v>
      </c>
      <c r="FL174" s="139">
        <f t="shared" si="196"/>
        <v>0</v>
      </c>
      <c r="FM174" s="139">
        <f t="shared" si="197"/>
        <v>0</v>
      </c>
      <c r="FN174" s="139">
        <f t="shared" si="198"/>
        <v>0</v>
      </c>
      <c r="FO174" s="139">
        <f t="shared" si="199"/>
        <v>0</v>
      </c>
      <c r="FP174" s="139">
        <f t="shared" si="200"/>
        <v>0</v>
      </c>
      <c r="FQ174" s="139">
        <f t="shared" si="201"/>
        <v>0</v>
      </c>
      <c r="FR174" s="139">
        <f t="shared" si="202"/>
        <v>0</v>
      </c>
      <c r="FS174" s="139">
        <f t="shared" si="203"/>
        <v>0</v>
      </c>
      <c r="FT174" s="139">
        <f t="shared" si="204"/>
        <v>0</v>
      </c>
      <c r="FU174" s="148">
        <f t="shared" si="205"/>
        <v>62.305786328247983</v>
      </c>
      <c r="FV174" s="149"/>
      <c r="FY174" s="213">
        <v>169</v>
      </c>
      <c r="FZ174">
        <v>5.9631508494094883</v>
      </c>
      <c r="GA174">
        <v>20.944236168278518</v>
      </c>
      <c r="GB174">
        <v>7.6708032544106715</v>
      </c>
      <c r="GC174">
        <v>2.639605572811961</v>
      </c>
      <c r="GD174">
        <v>3.2486910501510584</v>
      </c>
      <c r="GE174">
        <v>2.4713633809992483</v>
      </c>
      <c r="GF174">
        <v>0</v>
      </c>
      <c r="GG174">
        <v>4.0766958033527283</v>
      </c>
      <c r="GH174">
        <v>5.7051623244525604</v>
      </c>
      <c r="GI174">
        <v>5.6541577622574515</v>
      </c>
      <c r="GJ174"/>
      <c r="GK174"/>
      <c r="GL174"/>
      <c r="GM174"/>
      <c r="GN174" s="208"/>
      <c r="GO174" s="208"/>
      <c r="GP174" s="208"/>
      <c r="GQ174" s="208"/>
      <c r="GR174" s="208"/>
      <c r="GS174" s="208"/>
      <c r="GT174" s="208"/>
      <c r="GU174" s="213">
        <v>169</v>
      </c>
    </row>
    <row r="175" spans="1:203" s="7" customFormat="1">
      <c r="A175" s="1"/>
      <c r="B175" s="76">
        <f ca="1">IF(C175="", "", RAND())</f>
        <v>8.9030800888876493E-2</v>
      </c>
      <c r="C175">
        <v>4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19.698669678714857</v>
      </c>
      <c r="AO175">
        <v>6.7273202634169751</v>
      </c>
      <c r="AP175">
        <v>341.486755875423</v>
      </c>
      <c r="AQ175">
        <v>43.398216038380511</v>
      </c>
      <c r="AR175">
        <v>6.1157456940154322</v>
      </c>
      <c r="AS175">
        <v>62.23867703342826</v>
      </c>
      <c r="AT175" t="e">
        <v>#DIV/0!</v>
      </c>
      <c r="AU175" t="e">
        <v>#DIV/0!</v>
      </c>
      <c r="AV175"/>
      <c r="AW175"/>
      <c r="AX175" s="146"/>
      <c r="AY175" s="76">
        <f t="shared" ca="1" si="171"/>
        <v>0.89430661488688057</v>
      </c>
      <c r="AZ175">
        <v>8</v>
      </c>
      <c r="BA175" s="129">
        <f t="shared" si="245"/>
        <v>39949</v>
      </c>
      <c r="BB175" s="207">
        <v>0</v>
      </c>
      <c r="BC175" s="207">
        <v>0</v>
      </c>
      <c r="BD175" s="207">
        <v>0</v>
      </c>
      <c r="BE175" s="207">
        <v>0</v>
      </c>
      <c r="BF175" s="207">
        <v>0</v>
      </c>
      <c r="BG175" s="207">
        <v>1</v>
      </c>
      <c r="BH175" s="207">
        <v>2</v>
      </c>
      <c r="BI175" s="207">
        <v>1</v>
      </c>
      <c r="BJ175" s="207">
        <v>0</v>
      </c>
      <c r="BK175" s="207">
        <v>0</v>
      </c>
      <c r="BL175" s="207">
        <v>0</v>
      </c>
      <c r="BM175" s="207">
        <v>0</v>
      </c>
      <c r="BN175" s="207">
        <v>0</v>
      </c>
      <c r="BO175" s="207">
        <v>0</v>
      </c>
      <c r="BP175" s="207">
        <v>0</v>
      </c>
      <c r="BQ175" s="207">
        <v>0</v>
      </c>
      <c r="BR175" s="207">
        <v>0</v>
      </c>
      <c r="BS175" s="207">
        <v>0</v>
      </c>
      <c r="BT175" s="207">
        <v>0</v>
      </c>
      <c r="BU175" s="207">
        <v>0</v>
      </c>
      <c r="BV175" s="207">
        <v>0</v>
      </c>
      <c r="BW175" s="207">
        <v>0</v>
      </c>
      <c r="BX175" s="207">
        <v>0</v>
      </c>
      <c r="BY175" s="207">
        <v>0</v>
      </c>
      <c r="BZ175" s="207">
        <v>0</v>
      </c>
      <c r="CA175" s="207">
        <v>0</v>
      </c>
      <c r="CB175" s="207">
        <v>0</v>
      </c>
      <c r="CC175" s="207">
        <v>0</v>
      </c>
      <c r="CD175" s="207">
        <v>0</v>
      </c>
      <c r="CE175" s="207">
        <v>0</v>
      </c>
      <c r="CF175" s="207">
        <v>0</v>
      </c>
      <c r="CG175" s="147"/>
      <c r="CH175" s="176"/>
      <c r="CJ175" s="146"/>
      <c r="CK175" s="76">
        <f t="shared" ca="1" si="206"/>
        <v>9.6732082636327377E-2</v>
      </c>
      <c r="CL175" s="179">
        <f t="shared" si="207"/>
        <v>8</v>
      </c>
      <c r="CM175" s="180">
        <f t="shared" si="208"/>
        <v>39949</v>
      </c>
      <c r="CN175" s="208">
        <v>0</v>
      </c>
      <c r="CO175" s="208">
        <v>0</v>
      </c>
      <c r="CP175" s="208">
        <v>0</v>
      </c>
      <c r="CQ175" s="208">
        <v>0</v>
      </c>
      <c r="CR175" s="208">
        <v>0</v>
      </c>
      <c r="CS175" s="208">
        <v>0</v>
      </c>
      <c r="CT175" s="208">
        <v>0</v>
      </c>
      <c r="CU175" s="208">
        <v>0</v>
      </c>
      <c r="CV175" s="160"/>
      <c r="CW175">
        <v>1</v>
      </c>
      <c r="CX175">
        <v>1</v>
      </c>
      <c r="CY175" s="165"/>
      <c r="CZ175" s="177">
        <f t="shared" si="209"/>
        <v>9.6000000000000002E-2</v>
      </c>
      <c r="DB175" s="146"/>
      <c r="DC175" s="76">
        <f t="shared" ca="1" si="172"/>
        <v>0.59360405958592732</v>
      </c>
      <c r="DD175">
        <f t="shared" si="210"/>
        <v>8</v>
      </c>
      <c r="DE175" s="129">
        <f t="shared" si="244"/>
        <v>39949</v>
      </c>
      <c r="DF175" s="161">
        <f t="shared" si="211"/>
        <v>0</v>
      </c>
      <c r="DG175" s="161">
        <f t="shared" si="212"/>
        <v>0</v>
      </c>
      <c r="DH175" s="161">
        <f t="shared" si="213"/>
        <v>0</v>
      </c>
      <c r="DI175" s="161">
        <f t="shared" si="214"/>
        <v>0</v>
      </c>
      <c r="DJ175" s="161">
        <f t="shared" si="215"/>
        <v>0</v>
      </c>
      <c r="DK175" s="161">
        <f t="shared" si="216"/>
        <v>10.416666666666666</v>
      </c>
      <c r="DL175" s="161">
        <f t="shared" si="217"/>
        <v>20.833333333333332</v>
      </c>
      <c r="DM175" s="161">
        <f t="shared" si="218"/>
        <v>10.416666666666666</v>
      </c>
      <c r="DN175" s="161">
        <f t="shared" si="219"/>
        <v>0</v>
      </c>
      <c r="DO175" s="161">
        <f t="shared" si="220"/>
        <v>0</v>
      </c>
      <c r="DP175" s="161">
        <f t="shared" si="221"/>
        <v>0</v>
      </c>
      <c r="DQ175" s="161">
        <f t="shared" si="222"/>
        <v>0</v>
      </c>
      <c r="DR175" s="161">
        <f t="shared" si="223"/>
        <v>0</v>
      </c>
      <c r="DS175" s="161">
        <f t="shared" si="224"/>
        <v>0</v>
      </c>
      <c r="DT175" s="161">
        <f t="shared" si="225"/>
        <v>0</v>
      </c>
      <c r="DU175" s="161">
        <f t="shared" si="226"/>
        <v>0</v>
      </c>
      <c r="DV175" s="161">
        <f t="shared" si="227"/>
        <v>0</v>
      </c>
      <c r="DW175" s="161">
        <f t="shared" si="228"/>
        <v>0</v>
      </c>
      <c r="DX175" s="161">
        <f t="shared" si="229"/>
        <v>0</v>
      </c>
      <c r="DY175" s="161">
        <f t="shared" si="230"/>
        <v>0</v>
      </c>
      <c r="DZ175" s="161">
        <f t="shared" si="231"/>
        <v>0</v>
      </c>
      <c r="EA175" s="161">
        <f t="shared" si="232"/>
        <v>0</v>
      </c>
      <c r="EB175" s="161">
        <f t="shared" si="233"/>
        <v>0</v>
      </c>
      <c r="EC175" s="161">
        <f t="shared" si="234"/>
        <v>0</v>
      </c>
      <c r="ED175" s="161">
        <f t="shared" si="235"/>
        <v>0</v>
      </c>
      <c r="EE175" s="161">
        <f t="shared" si="236"/>
        <v>0</v>
      </c>
      <c r="EF175" s="161">
        <f t="shared" si="237"/>
        <v>0</v>
      </c>
      <c r="EG175" s="161">
        <f t="shared" si="238"/>
        <v>0</v>
      </c>
      <c r="EH175" s="161">
        <f t="shared" si="239"/>
        <v>0</v>
      </c>
      <c r="EI175" s="161">
        <f t="shared" si="240"/>
        <v>0</v>
      </c>
      <c r="EJ175" s="161">
        <f t="shared" si="241"/>
        <v>0</v>
      </c>
      <c r="EK175" s="147">
        <f t="shared" si="173"/>
        <v>41.666666666666664</v>
      </c>
      <c r="EL175" s="149"/>
      <c r="EN175" s="146"/>
      <c r="EO175" s="146"/>
      <c r="EP175" s="139">
        <f t="shared" si="174"/>
        <v>0</v>
      </c>
      <c r="EQ175" s="139">
        <f t="shared" si="175"/>
        <v>0</v>
      </c>
      <c r="ER175" s="139">
        <f t="shared" si="176"/>
        <v>0</v>
      </c>
      <c r="ES175" s="139">
        <f t="shared" si="177"/>
        <v>0</v>
      </c>
      <c r="ET175" s="139">
        <f t="shared" si="178"/>
        <v>0</v>
      </c>
      <c r="EU175" s="139">
        <f t="shared" si="179"/>
        <v>8.7853696509678922</v>
      </c>
      <c r="EV175" s="139">
        <f t="shared" si="180"/>
        <v>28.573695898683585</v>
      </c>
      <c r="EW175" s="139">
        <f t="shared" si="181"/>
        <v>21.551798137789032</v>
      </c>
      <c r="EX175" s="139">
        <f t="shared" si="182"/>
        <v>0</v>
      </c>
      <c r="EY175" s="139">
        <f t="shared" si="183"/>
        <v>0</v>
      </c>
      <c r="EZ175" s="139">
        <f t="shared" si="184"/>
        <v>0</v>
      </c>
      <c r="FA175" s="139">
        <f t="shared" si="185"/>
        <v>0</v>
      </c>
      <c r="FB175" s="139">
        <f t="shared" si="186"/>
        <v>0</v>
      </c>
      <c r="FC175" s="139">
        <f t="shared" si="187"/>
        <v>0</v>
      </c>
      <c r="FD175" s="139">
        <f t="shared" si="188"/>
        <v>0</v>
      </c>
      <c r="FE175" s="139">
        <f t="shared" si="189"/>
        <v>0</v>
      </c>
      <c r="FF175" s="139">
        <f t="shared" si="190"/>
        <v>0</v>
      </c>
      <c r="FG175" s="139">
        <f t="shared" si="191"/>
        <v>0</v>
      </c>
      <c r="FH175" s="139">
        <f t="shared" si="192"/>
        <v>0</v>
      </c>
      <c r="FI175" s="139">
        <f t="shared" si="193"/>
        <v>0</v>
      </c>
      <c r="FJ175" s="139">
        <f t="shared" si="194"/>
        <v>0</v>
      </c>
      <c r="FK175" s="139">
        <f t="shared" si="195"/>
        <v>0</v>
      </c>
      <c r="FL175" s="139">
        <f t="shared" si="196"/>
        <v>0</v>
      </c>
      <c r="FM175" s="139">
        <f t="shared" si="197"/>
        <v>0</v>
      </c>
      <c r="FN175" s="139">
        <f t="shared" si="198"/>
        <v>0</v>
      </c>
      <c r="FO175" s="139">
        <f t="shared" si="199"/>
        <v>0</v>
      </c>
      <c r="FP175" s="139">
        <f t="shared" si="200"/>
        <v>0</v>
      </c>
      <c r="FQ175" s="139">
        <f t="shared" si="201"/>
        <v>0</v>
      </c>
      <c r="FR175" s="139">
        <f t="shared" si="202"/>
        <v>0</v>
      </c>
      <c r="FS175" s="139">
        <f t="shared" si="203"/>
        <v>0</v>
      </c>
      <c r="FT175" s="139">
        <f t="shared" si="204"/>
        <v>0</v>
      </c>
      <c r="FU175" s="148">
        <f t="shared" si="205"/>
        <v>58.910863687440511</v>
      </c>
      <c r="FV175" s="149"/>
      <c r="FY175" s="213">
        <v>170</v>
      </c>
      <c r="FZ175">
        <v>0</v>
      </c>
      <c r="GA175">
        <v>22.166230212308001</v>
      </c>
      <c r="GB175">
        <v>10.863623161523087</v>
      </c>
      <c r="GC175">
        <v>0.79049980333886993</v>
      </c>
      <c r="GD175">
        <v>2.3179594088709266</v>
      </c>
      <c r="GE175">
        <v>3.7643522458828276</v>
      </c>
      <c r="GF175">
        <v>0.47734812494006024</v>
      </c>
      <c r="GG175">
        <v>9.4316059396932417</v>
      </c>
      <c r="GH175">
        <v>13.087018211798886</v>
      </c>
      <c r="GI175">
        <v>6.464696058787081</v>
      </c>
      <c r="GJ175"/>
      <c r="GK175"/>
      <c r="GL175"/>
      <c r="GM175"/>
      <c r="GN175" s="208"/>
      <c r="GO175" s="208"/>
      <c r="GP175" s="208"/>
      <c r="GQ175" s="208"/>
      <c r="GR175" s="208"/>
      <c r="GS175" s="208"/>
      <c r="GT175" s="208"/>
      <c r="GU175" s="213">
        <v>170</v>
      </c>
    </row>
    <row r="176" spans="1:203" s="7" customFormat="1">
      <c r="A176" s="1"/>
      <c r="B176" s="76">
        <f ca="1">IF(C176="", "", RAND())</f>
        <v>0.49597920745258461</v>
      </c>
      <c r="C176">
        <v>2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29.799107142857132</v>
      </c>
      <c r="AO176">
        <v>7.5771557940181111</v>
      </c>
      <c r="AP176">
        <v>189.43466958523732</v>
      </c>
      <c r="AQ176">
        <v>53.876658179484949</v>
      </c>
      <c r="AR176">
        <v>6.9425947199667659</v>
      </c>
      <c r="AS176">
        <v>82.904342367729015</v>
      </c>
      <c r="AT176" t="e">
        <v>#DIV/0!</v>
      </c>
      <c r="AU176" t="e">
        <v>#DIV/0!</v>
      </c>
      <c r="AV176"/>
      <c r="AW176"/>
      <c r="AX176" s="146"/>
      <c r="AY176" s="76">
        <f t="shared" ca="1" si="171"/>
        <v>0.99912205061437298</v>
      </c>
      <c r="AZ176">
        <v>9</v>
      </c>
      <c r="BA176" s="129">
        <f t="shared" si="245"/>
        <v>39949</v>
      </c>
      <c r="BB176" s="207">
        <v>0</v>
      </c>
      <c r="BC176" s="207">
        <v>0</v>
      </c>
      <c r="BD176" s="207">
        <v>0</v>
      </c>
      <c r="BE176" s="207">
        <v>0</v>
      </c>
      <c r="BF176" s="207">
        <v>0</v>
      </c>
      <c r="BG176" s="207">
        <v>0</v>
      </c>
      <c r="BH176" s="207">
        <v>0</v>
      </c>
      <c r="BI176" s="207">
        <v>0</v>
      </c>
      <c r="BJ176" s="207">
        <v>0</v>
      </c>
      <c r="BK176" s="207">
        <v>0</v>
      </c>
      <c r="BL176" s="207">
        <v>0</v>
      </c>
      <c r="BM176" s="207">
        <v>0</v>
      </c>
      <c r="BN176" s="207">
        <v>0</v>
      </c>
      <c r="BO176" s="207">
        <v>0</v>
      </c>
      <c r="BP176" s="207">
        <v>0</v>
      </c>
      <c r="BQ176" s="207">
        <v>0</v>
      </c>
      <c r="BR176" s="207">
        <v>0</v>
      </c>
      <c r="BS176" s="207">
        <v>0</v>
      </c>
      <c r="BT176" s="207">
        <v>0</v>
      </c>
      <c r="BU176" s="207">
        <v>0</v>
      </c>
      <c r="BV176" s="207">
        <v>0</v>
      </c>
      <c r="BW176" s="207">
        <v>0</v>
      </c>
      <c r="BX176" s="207">
        <v>0</v>
      </c>
      <c r="BY176" s="207">
        <v>0</v>
      </c>
      <c r="BZ176" s="207">
        <v>0</v>
      </c>
      <c r="CA176" s="207">
        <v>0</v>
      </c>
      <c r="CB176" s="207">
        <v>0</v>
      </c>
      <c r="CC176" s="207">
        <v>0</v>
      </c>
      <c r="CD176" s="207">
        <v>0</v>
      </c>
      <c r="CE176" s="207">
        <v>0</v>
      </c>
      <c r="CF176" s="207">
        <v>0</v>
      </c>
      <c r="CG176" s="147"/>
      <c r="CH176" s="176"/>
      <c r="CJ176" s="146"/>
      <c r="CK176" s="76">
        <f t="shared" ca="1" si="206"/>
        <v>0.41751048166558125</v>
      </c>
      <c r="CL176" s="179">
        <f t="shared" si="207"/>
        <v>9</v>
      </c>
      <c r="CM176" s="180">
        <f t="shared" si="208"/>
        <v>39949</v>
      </c>
      <c r="CN176" s="208">
        <v>0</v>
      </c>
      <c r="CO176" s="208">
        <v>0</v>
      </c>
      <c r="CP176" s="208">
        <v>0</v>
      </c>
      <c r="CQ176" s="208">
        <v>0</v>
      </c>
      <c r="CR176" s="208">
        <v>0</v>
      </c>
      <c r="CS176" s="208">
        <v>0</v>
      </c>
      <c r="CT176" s="208">
        <v>0</v>
      </c>
      <c r="CU176" s="208">
        <v>0</v>
      </c>
      <c r="CV176" s="160"/>
      <c r="CW176">
        <v>1</v>
      </c>
      <c r="CX176">
        <v>1</v>
      </c>
      <c r="CY176" s="165"/>
      <c r="CZ176" s="177">
        <f t="shared" si="209"/>
        <v>9.6000000000000002E-2</v>
      </c>
      <c r="DB176" s="146"/>
      <c r="DC176" s="76">
        <f t="shared" ca="1" si="172"/>
        <v>0.73027414689044878</v>
      </c>
      <c r="DD176">
        <f t="shared" si="210"/>
        <v>9</v>
      </c>
      <c r="DE176" s="129">
        <f t="shared" si="244"/>
        <v>39949</v>
      </c>
      <c r="DF176" s="161">
        <f t="shared" si="211"/>
        <v>0</v>
      </c>
      <c r="DG176" s="161">
        <f t="shared" si="212"/>
        <v>0</v>
      </c>
      <c r="DH176" s="161">
        <f t="shared" si="213"/>
        <v>0</v>
      </c>
      <c r="DI176" s="161">
        <f t="shared" si="214"/>
        <v>0</v>
      </c>
      <c r="DJ176" s="161">
        <f t="shared" si="215"/>
        <v>0</v>
      </c>
      <c r="DK176" s="161">
        <f t="shared" si="216"/>
        <v>0</v>
      </c>
      <c r="DL176" s="161">
        <f t="shared" si="217"/>
        <v>0</v>
      </c>
      <c r="DM176" s="161">
        <f t="shared" si="218"/>
        <v>0</v>
      </c>
      <c r="DN176" s="161">
        <f t="shared" si="219"/>
        <v>0</v>
      </c>
      <c r="DO176" s="161">
        <f t="shared" si="220"/>
        <v>0</v>
      </c>
      <c r="DP176" s="161">
        <f t="shared" si="221"/>
        <v>0</v>
      </c>
      <c r="DQ176" s="161">
        <f t="shared" si="222"/>
        <v>0</v>
      </c>
      <c r="DR176" s="161">
        <f t="shared" si="223"/>
        <v>0</v>
      </c>
      <c r="DS176" s="161">
        <f t="shared" si="224"/>
        <v>0</v>
      </c>
      <c r="DT176" s="161">
        <f t="shared" si="225"/>
        <v>0</v>
      </c>
      <c r="DU176" s="161">
        <f t="shared" si="226"/>
        <v>0</v>
      </c>
      <c r="DV176" s="161">
        <f t="shared" si="227"/>
        <v>0</v>
      </c>
      <c r="DW176" s="161">
        <f t="shared" si="228"/>
        <v>0</v>
      </c>
      <c r="DX176" s="161">
        <f t="shared" si="229"/>
        <v>0</v>
      </c>
      <c r="DY176" s="161">
        <f t="shared" si="230"/>
        <v>0</v>
      </c>
      <c r="DZ176" s="161">
        <f t="shared" si="231"/>
        <v>0</v>
      </c>
      <c r="EA176" s="161">
        <f t="shared" si="232"/>
        <v>0</v>
      </c>
      <c r="EB176" s="161">
        <f t="shared" si="233"/>
        <v>0</v>
      </c>
      <c r="EC176" s="161">
        <f t="shared" si="234"/>
        <v>0</v>
      </c>
      <c r="ED176" s="161">
        <f t="shared" si="235"/>
        <v>0</v>
      </c>
      <c r="EE176" s="161">
        <f t="shared" si="236"/>
        <v>0</v>
      </c>
      <c r="EF176" s="161">
        <f t="shared" si="237"/>
        <v>0</v>
      </c>
      <c r="EG176" s="161">
        <f t="shared" si="238"/>
        <v>0</v>
      </c>
      <c r="EH176" s="161">
        <f t="shared" si="239"/>
        <v>0</v>
      </c>
      <c r="EI176" s="161">
        <f t="shared" si="240"/>
        <v>0</v>
      </c>
      <c r="EJ176" s="161">
        <f t="shared" si="241"/>
        <v>0</v>
      </c>
      <c r="EK176" s="147">
        <f t="shared" si="173"/>
        <v>0</v>
      </c>
      <c r="EL176" s="149"/>
      <c r="EN176" s="146"/>
      <c r="EO176" s="146"/>
      <c r="EP176" s="139">
        <f t="shared" si="174"/>
        <v>0</v>
      </c>
      <c r="EQ176" s="139">
        <f t="shared" si="175"/>
        <v>0</v>
      </c>
      <c r="ER176" s="139">
        <f t="shared" si="176"/>
        <v>0</v>
      </c>
      <c r="ES176" s="139">
        <f t="shared" si="177"/>
        <v>0</v>
      </c>
      <c r="ET176" s="139">
        <f t="shared" si="178"/>
        <v>0</v>
      </c>
      <c r="EU176" s="139">
        <f t="shared" si="179"/>
        <v>0</v>
      </c>
      <c r="EV176" s="139">
        <f t="shared" si="180"/>
        <v>0</v>
      </c>
      <c r="EW176" s="139">
        <f t="shared" si="181"/>
        <v>0</v>
      </c>
      <c r="EX176" s="139">
        <f t="shared" si="182"/>
        <v>0</v>
      </c>
      <c r="EY176" s="139">
        <f t="shared" si="183"/>
        <v>0</v>
      </c>
      <c r="EZ176" s="139">
        <f t="shared" si="184"/>
        <v>0</v>
      </c>
      <c r="FA176" s="139">
        <f t="shared" si="185"/>
        <v>0</v>
      </c>
      <c r="FB176" s="139">
        <f t="shared" si="186"/>
        <v>0</v>
      </c>
      <c r="FC176" s="139">
        <f t="shared" si="187"/>
        <v>0</v>
      </c>
      <c r="FD176" s="139">
        <f t="shared" si="188"/>
        <v>0</v>
      </c>
      <c r="FE176" s="139">
        <f t="shared" si="189"/>
        <v>0</v>
      </c>
      <c r="FF176" s="139">
        <f t="shared" si="190"/>
        <v>0</v>
      </c>
      <c r="FG176" s="139">
        <f t="shared" si="191"/>
        <v>0</v>
      </c>
      <c r="FH176" s="139">
        <f t="shared" si="192"/>
        <v>0</v>
      </c>
      <c r="FI176" s="139">
        <f t="shared" si="193"/>
        <v>0</v>
      </c>
      <c r="FJ176" s="139">
        <f t="shared" si="194"/>
        <v>0</v>
      </c>
      <c r="FK176" s="139">
        <f t="shared" si="195"/>
        <v>0</v>
      </c>
      <c r="FL176" s="139">
        <f t="shared" si="196"/>
        <v>0</v>
      </c>
      <c r="FM176" s="139">
        <f t="shared" si="197"/>
        <v>0</v>
      </c>
      <c r="FN176" s="139">
        <f t="shared" si="198"/>
        <v>0</v>
      </c>
      <c r="FO176" s="139">
        <f t="shared" si="199"/>
        <v>0</v>
      </c>
      <c r="FP176" s="139">
        <f t="shared" si="200"/>
        <v>0</v>
      </c>
      <c r="FQ176" s="139">
        <f t="shared" si="201"/>
        <v>0</v>
      </c>
      <c r="FR176" s="139">
        <f t="shared" si="202"/>
        <v>0</v>
      </c>
      <c r="FS176" s="139">
        <f t="shared" si="203"/>
        <v>0</v>
      </c>
      <c r="FT176" s="139">
        <f t="shared" si="204"/>
        <v>0</v>
      </c>
      <c r="FU176" s="148">
        <f t="shared" si="205"/>
        <v>0</v>
      </c>
      <c r="FV176" s="149"/>
      <c r="FY176" s="213">
        <v>171</v>
      </c>
      <c r="FZ176">
        <v>0</v>
      </c>
      <c r="GA176">
        <v>7.7058892805040191</v>
      </c>
      <c r="GB176">
        <v>3.858440920073912</v>
      </c>
      <c r="GC176">
        <v>1.9327560202079057</v>
      </c>
      <c r="GD176">
        <v>2.7385625574793595</v>
      </c>
      <c r="GE176">
        <v>2.5354888479644471</v>
      </c>
      <c r="GF176">
        <v>0</v>
      </c>
      <c r="GG176">
        <v>0.71856317204106601</v>
      </c>
      <c r="GH176">
        <v>0.94872765327768138</v>
      </c>
      <c r="GI176">
        <v>2.684817228081835</v>
      </c>
      <c r="GJ176"/>
      <c r="GK176"/>
      <c r="GL176"/>
      <c r="GM176"/>
      <c r="GN176" s="208"/>
      <c r="GO176" s="208"/>
      <c r="GP176" s="208"/>
      <c r="GQ176" s="208"/>
      <c r="GR176" s="208"/>
      <c r="GS176" s="208"/>
      <c r="GT176" s="208"/>
      <c r="GU176" s="213">
        <v>171</v>
      </c>
    </row>
    <row r="177" spans="1:203" s="7" customFormat="1">
      <c r="A177" s="1"/>
      <c r="B177" s="76">
        <f ca="1">IF(C177="", "", RAND())</f>
        <v>0.12787700352486375</v>
      </c>
      <c r="C177">
        <v>6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31.596009036144579</v>
      </c>
      <c r="AO177">
        <v>5.6886437401037266</v>
      </c>
      <c r="AP177">
        <v>198.02982727243273</v>
      </c>
      <c r="AQ177">
        <v>36.501236617023032</v>
      </c>
      <c r="AR177">
        <v>5.1714943091852072</v>
      </c>
      <c r="AS177">
        <v>78.245929441523728</v>
      </c>
      <c r="AT177" t="e">
        <v>#DIV/0!</v>
      </c>
      <c r="AU177" t="e">
        <v>#DIV/0!</v>
      </c>
      <c r="AV177"/>
      <c r="AW177"/>
      <c r="AX177" s="146"/>
      <c r="AY177" s="76">
        <f t="shared" ca="1" si="171"/>
        <v>0.42222348431753831</v>
      </c>
      <c r="AZ177">
        <v>10</v>
      </c>
      <c r="BA177" s="129">
        <f t="shared" si="245"/>
        <v>39949</v>
      </c>
      <c r="BB177" s="207">
        <v>0</v>
      </c>
      <c r="BC177" s="207">
        <v>0</v>
      </c>
      <c r="BD177" s="207">
        <v>0</v>
      </c>
      <c r="BE177" s="207">
        <v>0</v>
      </c>
      <c r="BF177" s="207">
        <v>0</v>
      </c>
      <c r="BG177" s="207">
        <v>0</v>
      </c>
      <c r="BH177" s="207">
        <v>0</v>
      </c>
      <c r="BI177" s="207">
        <v>0</v>
      </c>
      <c r="BJ177" s="207">
        <v>0</v>
      </c>
      <c r="BK177" s="207">
        <v>0</v>
      </c>
      <c r="BL177" s="207">
        <v>0</v>
      </c>
      <c r="BM177" s="207">
        <v>0</v>
      </c>
      <c r="BN177" s="207">
        <v>0</v>
      </c>
      <c r="BO177" s="207">
        <v>0</v>
      </c>
      <c r="BP177" s="207">
        <v>0</v>
      </c>
      <c r="BQ177" s="207">
        <v>0</v>
      </c>
      <c r="BR177" s="207">
        <v>0</v>
      </c>
      <c r="BS177" s="207">
        <v>0</v>
      </c>
      <c r="BT177" s="207">
        <v>0</v>
      </c>
      <c r="BU177" s="207">
        <v>0</v>
      </c>
      <c r="BV177" s="207">
        <v>0</v>
      </c>
      <c r="BW177" s="207">
        <v>0</v>
      </c>
      <c r="BX177" s="207">
        <v>0</v>
      </c>
      <c r="BY177" s="207">
        <v>0</v>
      </c>
      <c r="BZ177" s="207">
        <v>0</v>
      </c>
      <c r="CA177" s="207">
        <v>0</v>
      </c>
      <c r="CB177" s="207">
        <v>0</v>
      </c>
      <c r="CC177" s="207">
        <v>0</v>
      </c>
      <c r="CD177" s="207">
        <v>0</v>
      </c>
      <c r="CE177" s="207">
        <v>0</v>
      </c>
      <c r="CF177" s="207">
        <v>0</v>
      </c>
      <c r="CG177" s="147"/>
      <c r="CH177" s="176"/>
      <c r="CJ177" s="146"/>
      <c r="CK177" s="76">
        <f t="shared" ca="1" si="206"/>
        <v>0.23290252662253685</v>
      </c>
      <c r="CL177" s="179">
        <f t="shared" si="207"/>
        <v>10</v>
      </c>
      <c r="CM177" s="180">
        <f t="shared" si="208"/>
        <v>39949</v>
      </c>
      <c r="CN177" s="208">
        <v>0</v>
      </c>
      <c r="CO177" s="208">
        <v>0</v>
      </c>
      <c r="CP177" s="208">
        <v>1</v>
      </c>
      <c r="CQ177" s="208">
        <v>1</v>
      </c>
      <c r="CR177" s="208">
        <v>0</v>
      </c>
      <c r="CS177" s="208">
        <v>0</v>
      </c>
      <c r="CT177" s="208">
        <v>0</v>
      </c>
      <c r="CU177" s="208">
        <v>0</v>
      </c>
      <c r="CV177" s="160"/>
      <c r="CW177">
        <v>1</v>
      </c>
      <c r="CX177">
        <f>500/87</f>
        <v>5.7471264367816088</v>
      </c>
      <c r="CY177" s="165"/>
      <c r="CZ177" s="177">
        <f t="shared" si="209"/>
        <v>9.6000000000000002E-2</v>
      </c>
      <c r="DB177" s="146"/>
      <c r="DC177" s="76">
        <f t="shared" ca="1" si="172"/>
        <v>0.29526532397246807</v>
      </c>
      <c r="DD177">
        <f t="shared" si="210"/>
        <v>10</v>
      </c>
      <c r="DE177" s="129">
        <f t="shared" si="244"/>
        <v>39949</v>
      </c>
      <c r="DF177" s="161">
        <f t="shared" si="211"/>
        <v>0</v>
      </c>
      <c r="DG177" s="161">
        <f t="shared" si="212"/>
        <v>0</v>
      </c>
      <c r="DH177" s="161">
        <f t="shared" si="213"/>
        <v>59.865900383141756</v>
      </c>
      <c r="DI177" s="161">
        <f t="shared" si="214"/>
        <v>59.865900383141756</v>
      </c>
      <c r="DJ177" s="161">
        <f t="shared" si="215"/>
        <v>0</v>
      </c>
      <c r="DK177" s="161">
        <f t="shared" si="216"/>
        <v>0</v>
      </c>
      <c r="DL177" s="161">
        <f t="shared" si="217"/>
        <v>0</v>
      </c>
      <c r="DM177" s="161">
        <f t="shared" si="218"/>
        <v>0</v>
      </c>
      <c r="DN177" s="161">
        <f t="shared" si="219"/>
        <v>0</v>
      </c>
      <c r="DO177" s="161">
        <f t="shared" si="220"/>
        <v>0</v>
      </c>
      <c r="DP177" s="161">
        <f t="shared" si="221"/>
        <v>0</v>
      </c>
      <c r="DQ177" s="161">
        <f t="shared" si="222"/>
        <v>0</v>
      </c>
      <c r="DR177" s="161">
        <f t="shared" si="223"/>
        <v>0</v>
      </c>
      <c r="DS177" s="161">
        <f t="shared" si="224"/>
        <v>0</v>
      </c>
      <c r="DT177" s="161">
        <f t="shared" si="225"/>
        <v>0</v>
      </c>
      <c r="DU177" s="161">
        <f t="shared" si="226"/>
        <v>0</v>
      </c>
      <c r="DV177" s="161">
        <f t="shared" si="227"/>
        <v>0</v>
      </c>
      <c r="DW177" s="161">
        <f t="shared" si="228"/>
        <v>0</v>
      </c>
      <c r="DX177" s="161">
        <f t="shared" si="229"/>
        <v>0</v>
      </c>
      <c r="DY177" s="161">
        <f t="shared" si="230"/>
        <v>0</v>
      </c>
      <c r="DZ177" s="161">
        <f t="shared" si="231"/>
        <v>0</v>
      </c>
      <c r="EA177" s="161">
        <f t="shared" si="232"/>
        <v>0</v>
      </c>
      <c r="EB177" s="161">
        <f t="shared" si="233"/>
        <v>0</v>
      </c>
      <c r="EC177" s="161">
        <f t="shared" si="234"/>
        <v>0</v>
      </c>
      <c r="ED177" s="161">
        <f t="shared" si="235"/>
        <v>0</v>
      </c>
      <c r="EE177" s="161">
        <f t="shared" si="236"/>
        <v>0</v>
      </c>
      <c r="EF177" s="161">
        <f t="shared" si="237"/>
        <v>0</v>
      </c>
      <c r="EG177" s="161">
        <f t="shared" si="238"/>
        <v>0</v>
      </c>
      <c r="EH177" s="161">
        <f t="shared" si="239"/>
        <v>0</v>
      </c>
      <c r="EI177" s="161">
        <f t="shared" si="240"/>
        <v>0</v>
      </c>
      <c r="EJ177" s="161">
        <f t="shared" si="241"/>
        <v>0</v>
      </c>
      <c r="EK177" s="147">
        <f t="shared" si="173"/>
        <v>119.73180076628351</v>
      </c>
      <c r="EL177" s="149"/>
      <c r="EN177" s="146"/>
      <c r="EO177" s="146"/>
      <c r="EP177" s="139">
        <f t="shared" si="174"/>
        <v>0</v>
      </c>
      <c r="EQ177" s="139">
        <f t="shared" si="175"/>
        <v>0</v>
      </c>
      <c r="ER177" s="139">
        <f t="shared" si="176"/>
        <v>4.3843456766054416</v>
      </c>
      <c r="ES177" s="139">
        <f t="shared" si="177"/>
        <v>12.928262928118494</v>
      </c>
      <c r="ET177" s="139">
        <f t="shared" si="178"/>
        <v>0</v>
      </c>
      <c r="EU177" s="139">
        <f t="shared" si="179"/>
        <v>0</v>
      </c>
      <c r="EV177" s="139">
        <f t="shared" si="180"/>
        <v>0</v>
      </c>
      <c r="EW177" s="139">
        <f t="shared" si="181"/>
        <v>0</v>
      </c>
      <c r="EX177" s="139">
        <f t="shared" si="182"/>
        <v>0</v>
      </c>
      <c r="EY177" s="139">
        <f t="shared" si="183"/>
        <v>0</v>
      </c>
      <c r="EZ177" s="139">
        <f t="shared" si="184"/>
        <v>0</v>
      </c>
      <c r="FA177" s="139">
        <f t="shared" si="185"/>
        <v>0</v>
      </c>
      <c r="FB177" s="139">
        <f t="shared" si="186"/>
        <v>0</v>
      </c>
      <c r="FC177" s="139">
        <f t="shared" si="187"/>
        <v>0</v>
      </c>
      <c r="FD177" s="139">
        <f t="shared" si="188"/>
        <v>0</v>
      </c>
      <c r="FE177" s="139">
        <f t="shared" si="189"/>
        <v>0</v>
      </c>
      <c r="FF177" s="139">
        <f t="shared" si="190"/>
        <v>0</v>
      </c>
      <c r="FG177" s="139">
        <f t="shared" si="191"/>
        <v>0</v>
      </c>
      <c r="FH177" s="139">
        <f t="shared" si="192"/>
        <v>0</v>
      </c>
      <c r="FI177" s="139">
        <f t="shared" si="193"/>
        <v>0</v>
      </c>
      <c r="FJ177" s="139">
        <f t="shared" si="194"/>
        <v>0</v>
      </c>
      <c r="FK177" s="139">
        <f t="shared" si="195"/>
        <v>0</v>
      </c>
      <c r="FL177" s="139">
        <f t="shared" si="196"/>
        <v>0</v>
      </c>
      <c r="FM177" s="139">
        <f t="shared" si="197"/>
        <v>0</v>
      </c>
      <c r="FN177" s="139">
        <f t="shared" si="198"/>
        <v>0</v>
      </c>
      <c r="FO177" s="139">
        <f t="shared" si="199"/>
        <v>0</v>
      </c>
      <c r="FP177" s="139">
        <f t="shared" si="200"/>
        <v>0</v>
      </c>
      <c r="FQ177" s="139">
        <f t="shared" si="201"/>
        <v>0</v>
      </c>
      <c r="FR177" s="139">
        <f t="shared" si="202"/>
        <v>0</v>
      </c>
      <c r="FS177" s="139">
        <f t="shared" si="203"/>
        <v>0</v>
      </c>
      <c r="FT177" s="139">
        <f t="shared" si="204"/>
        <v>0</v>
      </c>
      <c r="FU177" s="148">
        <f t="shared" si="205"/>
        <v>17.312608604723934</v>
      </c>
      <c r="FV177" s="149"/>
      <c r="FY177" s="213">
        <v>172</v>
      </c>
      <c r="FZ177">
        <v>0</v>
      </c>
      <c r="GA177">
        <v>18.570487885328077</v>
      </c>
      <c r="GB177">
        <v>9.3157816530313191</v>
      </c>
      <c r="GC177">
        <v>0.23246288007367605</v>
      </c>
      <c r="GD177">
        <v>1.2817395857439668</v>
      </c>
      <c r="GE177">
        <v>3.1115248319993865</v>
      </c>
      <c r="GF177">
        <v>1.432044374820181</v>
      </c>
      <c r="GG177">
        <v>5.3313121730014954</v>
      </c>
      <c r="GH177">
        <v>7.695593356931842</v>
      </c>
      <c r="GI177">
        <v>4.6334957939752179</v>
      </c>
      <c r="GJ177"/>
      <c r="GK177"/>
      <c r="GL177"/>
      <c r="GM177"/>
      <c r="GN177" s="208"/>
      <c r="GO177" s="208"/>
      <c r="GP177" s="208"/>
      <c r="GQ177" s="208"/>
      <c r="GR177" s="208"/>
      <c r="GS177" s="208"/>
      <c r="GT177" s="208"/>
      <c r="GU177" s="213">
        <v>172</v>
      </c>
    </row>
    <row r="178" spans="1:203" s="7" customFormat="1">
      <c r="A178" s="128"/>
      <c r="B178" s="76">
        <f ca="1">IF(C178="", "", RAND())</f>
        <v>0.16114470039130158</v>
      </c>
      <c r="C178">
        <v>4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21.119886153810647</v>
      </c>
      <c r="AO178">
        <v>6.9072474043566858</v>
      </c>
      <c r="AP178">
        <v>165.81425370922184</v>
      </c>
      <c r="AQ178">
        <v>52.173251619907148</v>
      </c>
      <c r="AR178">
        <v>6.4421296347206214</v>
      </c>
      <c r="AS178">
        <v>69.702567277631545</v>
      </c>
      <c r="AT178" t="e">
        <v>#DIV/0!</v>
      </c>
      <c r="AU178" t="e">
        <v>#DIV/0!</v>
      </c>
      <c r="AV178"/>
      <c r="AW178"/>
      <c r="AX178" s="128"/>
      <c r="AY178" s="76">
        <f t="shared" ca="1" si="171"/>
        <v>0.25575618965097302</v>
      </c>
      <c r="AZ178">
        <v>1</v>
      </c>
      <c r="BA178" s="129">
        <f>IF(AZ178="", "",$C$13)</f>
        <v>39987</v>
      </c>
      <c r="BB178" s="207">
        <v>0</v>
      </c>
      <c r="BC178" s="207">
        <v>0</v>
      </c>
      <c r="BD178" s="207">
        <v>0</v>
      </c>
      <c r="BE178" s="207">
        <v>0</v>
      </c>
      <c r="BF178" s="207">
        <v>0</v>
      </c>
      <c r="BG178" s="207">
        <v>0</v>
      </c>
      <c r="BH178" s="207">
        <v>0</v>
      </c>
      <c r="BI178" s="207">
        <v>0</v>
      </c>
      <c r="BJ178" s="207">
        <v>0</v>
      </c>
      <c r="BK178" s="207">
        <v>0</v>
      </c>
      <c r="BL178" s="207">
        <v>0</v>
      </c>
      <c r="BM178" s="207">
        <v>0</v>
      </c>
      <c r="BN178" s="207">
        <v>0</v>
      </c>
      <c r="BO178" s="207">
        <v>0</v>
      </c>
      <c r="BP178" s="207">
        <v>0</v>
      </c>
      <c r="BQ178" s="207">
        <v>0</v>
      </c>
      <c r="BR178" s="207">
        <v>0</v>
      </c>
      <c r="BS178" s="207">
        <v>0</v>
      </c>
      <c r="BT178" s="207">
        <v>0</v>
      </c>
      <c r="BU178" s="207">
        <v>0</v>
      </c>
      <c r="BV178" s="207">
        <v>0</v>
      </c>
      <c r="BW178" s="207">
        <v>0</v>
      </c>
      <c r="BX178" s="207">
        <v>0</v>
      </c>
      <c r="BY178" s="207">
        <v>0</v>
      </c>
      <c r="BZ178" s="207">
        <v>0</v>
      </c>
      <c r="CA178" s="207">
        <v>0</v>
      </c>
      <c r="CB178" s="207">
        <v>0</v>
      </c>
      <c r="CC178" s="207">
        <v>0</v>
      </c>
      <c r="CD178" s="207">
        <v>0</v>
      </c>
      <c r="CE178" s="207">
        <v>0</v>
      </c>
      <c r="CF178" s="207">
        <v>0</v>
      </c>
      <c r="CG178" s="147"/>
      <c r="CH178" s="176"/>
      <c r="CJ178" s="128"/>
      <c r="CK178" s="76">
        <f t="shared" ca="1" si="206"/>
        <v>0.96780159086807682</v>
      </c>
      <c r="CL178" s="179">
        <f t="shared" si="207"/>
        <v>1</v>
      </c>
      <c r="CM178" s="180">
        <f t="shared" si="208"/>
        <v>39987</v>
      </c>
      <c r="CN178" s="208">
        <v>0</v>
      </c>
      <c r="CO178" s="208">
        <v>0</v>
      </c>
      <c r="CP178" s="208">
        <v>0</v>
      </c>
      <c r="CQ178" s="208">
        <v>0</v>
      </c>
      <c r="CR178" s="208">
        <v>0</v>
      </c>
      <c r="CS178" s="208">
        <v>0</v>
      </c>
      <c r="CT178" s="208">
        <v>0</v>
      </c>
      <c r="CU178" s="20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09"/>
        <v>9.6000000000000002E-2</v>
      </c>
      <c r="DB178" s="128"/>
      <c r="DC178" s="76">
        <f t="shared" ca="1" si="172"/>
        <v>0.16625620404464669</v>
      </c>
      <c r="DD178">
        <f t="shared" si="210"/>
        <v>1</v>
      </c>
      <c r="DE178" s="129">
        <f t="shared" ref="DE178:DE187" si="246">IF((DD178)="", "", $C$13)</f>
        <v>39987</v>
      </c>
      <c r="DF178" s="161">
        <f t="shared" si="211"/>
        <v>0</v>
      </c>
      <c r="DG178" s="161">
        <f t="shared" si="212"/>
        <v>0</v>
      </c>
      <c r="DH178" s="161">
        <f t="shared" si="213"/>
        <v>0</v>
      </c>
      <c r="DI178" s="161">
        <f t="shared" si="214"/>
        <v>0</v>
      </c>
      <c r="DJ178" s="161">
        <f t="shared" si="215"/>
        <v>0</v>
      </c>
      <c r="DK178" s="161">
        <f t="shared" si="216"/>
        <v>0</v>
      </c>
      <c r="DL178" s="161">
        <f t="shared" si="217"/>
        <v>0</v>
      </c>
      <c r="DM178" s="161">
        <f t="shared" si="218"/>
        <v>0</v>
      </c>
      <c r="DN178" s="161">
        <f t="shared" si="219"/>
        <v>0</v>
      </c>
      <c r="DO178" s="161">
        <f t="shared" si="220"/>
        <v>0</v>
      </c>
      <c r="DP178" s="161">
        <f t="shared" si="221"/>
        <v>0</v>
      </c>
      <c r="DQ178" s="161">
        <f t="shared" si="222"/>
        <v>0</v>
      </c>
      <c r="DR178" s="161">
        <f t="shared" si="223"/>
        <v>0</v>
      </c>
      <c r="DS178" s="161">
        <f t="shared" si="224"/>
        <v>0</v>
      </c>
      <c r="DT178" s="161">
        <f t="shared" si="225"/>
        <v>0</v>
      </c>
      <c r="DU178" s="161">
        <f t="shared" si="226"/>
        <v>0</v>
      </c>
      <c r="DV178" s="161">
        <f t="shared" si="227"/>
        <v>0</v>
      </c>
      <c r="DW178" s="161">
        <f t="shared" si="228"/>
        <v>0</v>
      </c>
      <c r="DX178" s="161">
        <f t="shared" si="229"/>
        <v>0</v>
      </c>
      <c r="DY178" s="161">
        <f t="shared" si="230"/>
        <v>0</v>
      </c>
      <c r="DZ178" s="161">
        <f t="shared" si="231"/>
        <v>0</v>
      </c>
      <c r="EA178" s="161">
        <f t="shared" si="232"/>
        <v>0</v>
      </c>
      <c r="EB178" s="161">
        <f t="shared" si="233"/>
        <v>0</v>
      </c>
      <c r="EC178" s="161">
        <f t="shared" si="234"/>
        <v>0</v>
      </c>
      <c r="ED178" s="161">
        <f t="shared" si="235"/>
        <v>0</v>
      </c>
      <c r="EE178" s="161">
        <f t="shared" si="236"/>
        <v>0</v>
      </c>
      <c r="EF178" s="161">
        <f t="shared" si="237"/>
        <v>0</v>
      </c>
      <c r="EG178" s="161">
        <f t="shared" si="238"/>
        <v>0</v>
      </c>
      <c r="EH178" s="161">
        <f t="shared" si="239"/>
        <v>0</v>
      </c>
      <c r="EI178" s="161">
        <f t="shared" si="240"/>
        <v>0</v>
      </c>
      <c r="EJ178" s="161">
        <f t="shared" si="241"/>
        <v>0</v>
      </c>
      <c r="EK178" s="147">
        <f t="shared" si="173"/>
        <v>0</v>
      </c>
      <c r="EL178" s="149"/>
      <c r="EN178" s="146"/>
      <c r="EO178" s="146"/>
      <c r="EP178" s="139">
        <f t="shared" si="174"/>
        <v>0</v>
      </c>
      <c r="EQ178" s="139">
        <f t="shared" si="175"/>
        <v>0</v>
      </c>
      <c r="ER178" s="139">
        <f t="shared" si="176"/>
        <v>0</v>
      </c>
      <c r="ES178" s="139">
        <f t="shared" si="177"/>
        <v>0</v>
      </c>
      <c r="ET178" s="139">
        <f t="shared" si="178"/>
        <v>0</v>
      </c>
      <c r="EU178" s="139">
        <f t="shared" si="179"/>
        <v>0</v>
      </c>
      <c r="EV178" s="139">
        <f t="shared" si="180"/>
        <v>0</v>
      </c>
      <c r="EW178" s="139">
        <f t="shared" si="181"/>
        <v>0</v>
      </c>
      <c r="EX178" s="139">
        <f t="shared" si="182"/>
        <v>0</v>
      </c>
      <c r="EY178" s="139">
        <f t="shared" si="183"/>
        <v>0</v>
      </c>
      <c r="EZ178" s="139">
        <f t="shared" si="184"/>
        <v>0</v>
      </c>
      <c r="FA178" s="139">
        <f t="shared" si="185"/>
        <v>0</v>
      </c>
      <c r="FB178" s="139">
        <f t="shared" si="186"/>
        <v>0</v>
      </c>
      <c r="FC178" s="139">
        <f t="shared" si="187"/>
        <v>0</v>
      </c>
      <c r="FD178" s="139">
        <f t="shared" si="188"/>
        <v>0</v>
      </c>
      <c r="FE178" s="139">
        <f t="shared" si="189"/>
        <v>0</v>
      </c>
      <c r="FF178" s="139">
        <f t="shared" si="190"/>
        <v>0</v>
      </c>
      <c r="FG178" s="139">
        <f t="shared" si="191"/>
        <v>0</v>
      </c>
      <c r="FH178" s="139">
        <f t="shared" si="192"/>
        <v>0</v>
      </c>
      <c r="FI178" s="139">
        <f t="shared" si="193"/>
        <v>0</v>
      </c>
      <c r="FJ178" s="139">
        <f t="shared" si="194"/>
        <v>0</v>
      </c>
      <c r="FK178" s="139">
        <f t="shared" si="195"/>
        <v>0</v>
      </c>
      <c r="FL178" s="139">
        <f t="shared" si="196"/>
        <v>0</v>
      </c>
      <c r="FM178" s="139">
        <f t="shared" si="197"/>
        <v>0</v>
      </c>
      <c r="FN178" s="139">
        <f t="shared" si="198"/>
        <v>0</v>
      </c>
      <c r="FO178" s="139">
        <f t="shared" si="199"/>
        <v>0</v>
      </c>
      <c r="FP178" s="139">
        <f t="shared" si="200"/>
        <v>0</v>
      </c>
      <c r="FQ178" s="139">
        <f t="shared" si="201"/>
        <v>0</v>
      </c>
      <c r="FR178" s="139">
        <f t="shared" si="202"/>
        <v>0</v>
      </c>
      <c r="FS178" s="139">
        <f t="shared" si="203"/>
        <v>0</v>
      </c>
      <c r="FT178" s="139">
        <f t="shared" si="204"/>
        <v>0</v>
      </c>
      <c r="FU178" s="148">
        <f t="shared" si="205"/>
        <v>0</v>
      </c>
      <c r="FV178" s="149"/>
      <c r="FY178" s="213">
        <v>173</v>
      </c>
      <c r="FZ178">
        <v>0</v>
      </c>
      <c r="GA178">
        <v>16.87416705877768</v>
      </c>
      <c r="GB178">
        <v>8.3672874547382339</v>
      </c>
      <c r="GC178">
        <v>0.9899302812656644</v>
      </c>
      <c r="GD178">
        <v>2.5723914291791825</v>
      </c>
      <c r="GE178">
        <v>3.6713367826845702</v>
      </c>
      <c r="GF178">
        <v>0</v>
      </c>
      <c r="GG178">
        <v>4.2885032629347419</v>
      </c>
      <c r="GH178">
        <v>5.8699649115085659</v>
      </c>
      <c r="GI178">
        <v>4.6024809748404882</v>
      </c>
      <c r="GJ178"/>
      <c r="GK178"/>
      <c r="GL178"/>
      <c r="GM178"/>
      <c r="GN178" s="208"/>
      <c r="GO178" s="208"/>
      <c r="GP178" s="208"/>
      <c r="GQ178" s="208"/>
      <c r="GR178" s="208"/>
      <c r="GS178" s="208"/>
      <c r="GT178" s="208"/>
      <c r="GU178" s="213">
        <v>173</v>
      </c>
    </row>
    <row r="179" spans="1:203" s="7" customFormat="1">
      <c r="A179" s="1"/>
      <c r="B179" s="76">
        <f ca="1">IF(C179="", "", RAND())</f>
        <v>0.37599313400020584</v>
      </c>
      <c r="C179">
        <v>8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35.101943488238675</v>
      </c>
      <c r="AO179">
        <v>7.6312338382667848</v>
      </c>
      <c r="AP179">
        <v>289.90446350689365</v>
      </c>
      <c r="AQ179">
        <v>46.289478679487182</v>
      </c>
      <c r="AR179">
        <v>6.93748530751526</v>
      </c>
      <c r="AS179">
        <v>91.815217031492367</v>
      </c>
      <c r="AT179" t="e">
        <v>#DIV/0!</v>
      </c>
      <c r="AU179" t="e">
        <v>#DIV/0!</v>
      </c>
      <c r="AV179"/>
      <c r="AW179"/>
      <c r="AX179" s="146"/>
      <c r="AY179" s="76">
        <f t="shared" ca="1" si="171"/>
        <v>6.9301657185885546E-2</v>
      </c>
      <c r="AZ179">
        <v>2</v>
      </c>
      <c r="BA179" s="129">
        <f t="shared" ref="BA179:BA187" si="247">IF(AZ179="", "",$C$13)</f>
        <v>39987</v>
      </c>
      <c r="BB179" s="207">
        <v>0</v>
      </c>
      <c r="BC179" s="207">
        <v>0</v>
      </c>
      <c r="BD179" s="207">
        <v>0</v>
      </c>
      <c r="BE179" s="207">
        <v>0</v>
      </c>
      <c r="BF179" s="207">
        <v>0</v>
      </c>
      <c r="BG179" s="207">
        <v>0</v>
      </c>
      <c r="BH179" s="207">
        <v>0</v>
      </c>
      <c r="BI179" s="207">
        <v>0</v>
      </c>
      <c r="BJ179" s="207">
        <v>0</v>
      </c>
      <c r="BK179" s="207">
        <v>0</v>
      </c>
      <c r="BL179" s="207">
        <v>0</v>
      </c>
      <c r="BM179" s="207">
        <v>0</v>
      </c>
      <c r="BN179" s="207">
        <v>0</v>
      </c>
      <c r="BO179" s="207">
        <v>0</v>
      </c>
      <c r="BP179" s="207">
        <v>0</v>
      </c>
      <c r="BQ179" s="207">
        <v>0</v>
      </c>
      <c r="BR179" s="207">
        <v>0</v>
      </c>
      <c r="BS179" s="207">
        <v>0</v>
      </c>
      <c r="BT179" s="207">
        <v>0</v>
      </c>
      <c r="BU179" s="207">
        <v>0</v>
      </c>
      <c r="BV179" s="207">
        <v>0</v>
      </c>
      <c r="BW179" s="207">
        <v>0</v>
      </c>
      <c r="BX179" s="207">
        <v>0</v>
      </c>
      <c r="BY179" s="207">
        <v>0</v>
      </c>
      <c r="BZ179" s="207">
        <v>0</v>
      </c>
      <c r="CA179" s="207">
        <v>0</v>
      </c>
      <c r="CB179" s="207">
        <v>0</v>
      </c>
      <c r="CC179" s="207">
        <v>0</v>
      </c>
      <c r="CD179" s="207">
        <v>0</v>
      </c>
      <c r="CE179" s="207">
        <v>0</v>
      </c>
      <c r="CF179" s="207">
        <v>0</v>
      </c>
      <c r="CG179" s="147"/>
      <c r="CH179" s="176"/>
      <c r="CJ179" s="146"/>
      <c r="CK179" s="76">
        <f t="shared" ca="1" si="206"/>
        <v>0.70160080896524502</v>
      </c>
      <c r="CL179" s="179">
        <f t="shared" si="207"/>
        <v>2</v>
      </c>
      <c r="CM179" s="180">
        <f t="shared" si="208"/>
        <v>39987</v>
      </c>
      <c r="CN179" s="208">
        <v>0</v>
      </c>
      <c r="CO179" s="208">
        <v>0</v>
      </c>
      <c r="CP179" s="208">
        <v>0</v>
      </c>
      <c r="CQ179" s="208">
        <v>0</v>
      </c>
      <c r="CR179" s="208">
        <v>0</v>
      </c>
      <c r="CS179" s="208">
        <v>0</v>
      </c>
      <c r="CT179" s="208">
        <v>0</v>
      </c>
      <c r="CU179" s="208">
        <v>0</v>
      </c>
      <c r="CV179" s="160"/>
      <c r="CW179">
        <v>1</v>
      </c>
      <c r="CX179">
        <f>355/64</f>
        <v>5.546875</v>
      </c>
      <c r="CY179" s="160"/>
      <c r="CZ179" s="177">
        <f t="shared" si="209"/>
        <v>9.6000000000000002E-2</v>
      </c>
      <c r="DB179" s="146"/>
      <c r="DC179" s="76">
        <f t="shared" ca="1" si="172"/>
        <v>0.71407835809885167</v>
      </c>
      <c r="DD179">
        <f t="shared" si="210"/>
        <v>2</v>
      </c>
      <c r="DE179" s="129">
        <f t="shared" si="246"/>
        <v>39987</v>
      </c>
      <c r="DF179" s="161">
        <f t="shared" si="211"/>
        <v>0</v>
      </c>
      <c r="DG179" s="161">
        <f t="shared" si="212"/>
        <v>0</v>
      </c>
      <c r="DH179" s="161">
        <f t="shared" si="213"/>
        <v>0</v>
      </c>
      <c r="DI179" s="161">
        <f t="shared" si="214"/>
        <v>0</v>
      </c>
      <c r="DJ179" s="161">
        <f t="shared" si="215"/>
        <v>0</v>
      </c>
      <c r="DK179" s="161">
        <f t="shared" si="216"/>
        <v>0</v>
      </c>
      <c r="DL179" s="161">
        <f t="shared" si="217"/>
        <v>0</v>
      </c>
      <c r="DM179" s="161">
        <f t="shared" si="218"/>
        <v>0</v>
      </c>
      <c r="DN179" s="161">
        <f t="shared" si="219"/>
        <v>0</v>
      </c>
      <c r="DO179" s="161">
        <f t="shared" si="220"/>
        <v>0</v>
      </c>
      <c r="DP179" s="161">
        <f t="shared" si="221"/>
        <v>0</v>
      </c>
      <c r="DQ179" s="161">
        <f t="shared" si="222"/>
        <v>0</v>
      </c>
      <c r="DR179" s="161">
        <f t="shared" si="223"/>
        <v>0</v>
      </c>
      <c r="DS179" s="161">
        <f t="shared" si="224"/>
        <v>0</v>
      </c>
      <c r="DT179" s="161">
        <f t="shared" si="225"/>
        <v>0</v>
      </c>
      <c r="DU179" s="161">
        <f t="shared" si="226"/>
        <v>0</v>
      </c>
      <c r="DV179" s="161">
        <f t="shared" si="227"/>
        <v>0</v>
      </c>
      <c r="DW179" s="161">
        <f t="shared" si="228"/>
        <v>0</v>
      </c>
      <c r="DX179" s="161">
        <f t="shared" si="229"/>
        <v>0</v>
      </c>
      <c r="DY179" s="161">
        <f t="shared" si="230"/>
        <v>0</v>
      </c>
      <c r="DZ179" s="161">
        <f t="shared" si="231"/>
        <v>0</v>
      </c>
      <c r="EA179" s="161">
        <f t="shared" si="232"/>
        <v>0</v>
      </c>
      <c r="EB179" s="161">
        <f t="shared" si="233"/>
        <v>0</v>
      </c>
      <c r="EC179" s="161">
        <f t="shared" si="234"/>
        <v>0</v>
      </c>
      <c r="ED179" s="161">
        <f t="shared" si="235"/>
        <v>0</v>
      </c>
      <c r="EE179" s="161">
        <f t="shared" si="236"/>
        <v>0</v>
      </c>
      <c r="EF179" s="161">
        <f t="shared" si="237"/>
        <v>0</v>
      </c>
      <c r="EG179" s="161">
        <f t="shared" si="238"/>
        <v>0</v>
      </c>
      <c r="EH179" s="161">
        <f t="shared" si="239"/>
        <v>0</v>
      </c>
      <c r="EI179" s="161">
        <f t="shared" si="240"/>
        <v>0</v>
      </c>
      <c r="EJ179" s="161">
        <f t="shared" si="241"/>
        <v>0</v>
      </c>
      <c r="EK179" s="147">
        <f t="shared" si="173"/>
        <v>0</v>
      </c>
      <c r="EL179" s="149"/>
      <c r="EN179" s="146"/>
      <c r="EO179" s="146"/>
      <c r="EP179" s="139">
        <f t="shared" si="174"/>
        <v>0</v>
      </c>
      <c r="EQ179" s="139">
        <f t="shared" si="175"/>
        <v>0</v>
      </c>
      <c r="ER179" s="139">
        <f t="shared" si="176"/>
        <v>0</v>
      </c>
      <c r="ES179" s="139">
        <f t="shared" si="177"/>
        <v>0</v>
      </c>
      <c r="ET179" s="139">
        <f t="shared" si="178"/>
        <v>0</v>
      </c>
      <c r="EU179" s="139">
        <f t="shared" si="179"/>
        <v>0</v>
      </c>
      <c r="EV179" s="139">
        <f t="shared" si="180"/>
        <v>0</v>
      </c>
      <c r="EW179" s="139">
        <f t="shared" si="181"/>
        <v>0</v>
      </c>
      <c r="EX179" s="139">
        <f t="shared" si="182"/>
        <v>0</v>
      </c>
      <c r="EY179" s="139">
        <f t="shared" si="183"/>
        <v>0</v>
      </c>
      <c r="EZ179" s="139">
        <f t="shared" si="184"/>
        <v>0</v>
      </c>
      <c r="FA179" s="139">
        <f t="shared" si="185"/>
        <v>0</v>
      </c>
      <c r="FB179" s="139">
        <f t="shared" si="186"/>
        <v>0</v>
      </c>
      <c r="FC179" s="139">
        <f t="shared" si="187"/>
        <v>0</v>
      </c>
      <c r="FD179" s="139">
        <f t="shared" si="188"/>
        <v>0</v>
      </c>
      <c r="FE179" s="139">
        <f t="shared" si="189"/>
        <v>0</v>
      </c>
      <c r="FF179" s="139">
        <f t="shared" si="190"/>
        <v>0</v>
      </c>
      <c r="FG179" s="139">
        <f t="shared" si="191"/>
        <v>0</v>
      </c>
      <c r="FH179" s="139">
        <f t="shared" si="192"/>
        <v>0</v>
      </c>
      <c r="FI179" s="139">
        <f t="shared" si="193"/>
        <v>0</v>
      </c>
      <c r="FJ179" s="139">
        <f t="shared" si="194"/>
        <v>0</v>
      </c>
      <c r="FK179" s="139">
        <f t="shared" si="195"/>
        <v>0</v>
      </c>
      <c r="FL179" s="139">
        <f t="shared" si="196"/>
        <v>0</v>
      </c>
      <c r="FM179" s="139">
        <f t="shared" si="197"/>
        <v>0</v>
      </c>
      <c r="FN179" s="139">
        <f t="shared" si="198"/>
        <v>0</v>
      </c>
      <c r="FO179" s="139">
        <f t="shared" si="199"/>
        <v>0</v>
      </c>
      <c r="FP179" s="139">
        <f t="shared" si="200"/>
        <v>0</v>
      </c>
      <c r="FQ179" s="139">
        <f t="shared" si="201"/>
        <v>0</v>
      </c>
      <c r="FR179" s="139">
        <f t="shared" si="202"/>
        <v>0</v>
      </c>
      <c r="FS179" s="139">
        <f t="shared" si="203"/>
        <v>0</v>
      </c>
      <c r="FT179" s="139">
        <f t="shared" si="204"/>
        <v>0</v>
      </c>
      <c r="FU179" s="148">
        <f t="shared" si="205"/>
        <v>0</v>
      </c>
      <c r="FV179" s="149"/>
      <c r="FY179" s="213">
        <v>174</v>
      </c>
      <c r="FZ179">
        <v>0</v>
      </c>
      <c r="GA179">
        <v>16.1538590359091</v>
      </c>
      <c r="GB179">
        <v>8.0873355132681883</v>
      </c>
      <c r="GC179">
        <v>1.1752886190159173</v>
      </c>
      <c r="GD179">
        <v>1.6887924423169185</v>
      </c>
      <c r="GE179">
        <v>1.882337893321278</v>
      </c>
      <c r="GF179">
        <v>0.47734812494006024</v>
      </c>
      <c r="GG179">
        <v>5.7565971458515968</v>
      </c>
      <c r="GH179">
        <v>8.1415607890361557</v>
      </c>
      <c r="GI179">
        <v>4.4283289410561011</v>
      </c>
      <c r="GJ179"/>
      <c r="GK179"/>
      <c r="GL179"/>
      <c r="GM179"/>
      <c r="GN179" s="208"/>
      <c r="GO179" s="208"/>
      <c r="GP179" s="208"/>
      <c r="GQ179" s="208"/>
      <c r="GR179" s="208"/>
      <c r="GS179" s="208"/>
      <c r="GT179" s="208"/>
      <c r="GU179" s="213">
        <v>174</v>
      </c>
    </row>
    <row r="180" spans="1:203" s="7" customFormat="1">
      <c r="A180" s="1"/>
      <c r="B180" s="76">
        <f ca="1">IF(C180="", "", RAND())</f>
        <v>0.70805051475897529</v>
      </c>
      <c r="C180">
        <v>1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34.651050631095821</v>
      </c>
      <c r="AO180">
        <v>8.6476017430544765</v>
      </c>
      <c r="AP180">
        <v>215.12176371328314</v>
      </c>
      <c r="AQ180">
        <v>57.990473691169939</v>
      </c>
      <c r="AR180">
        <v>7.9157274009089189</v>
      </c>
      <c r="AS180">
        <v>88.589250309811632</v>
      </c>
      <c r="AT180" t="e">
        <v>#DIV/0!</v>
      </c>
      <c r="AU180" t="e">
        <v>#DIV/0!</v>
      </c>
      <c r="AV180"/>
      <c r="AW180"/>
      <c r="AX180" s="146"/>
      <c r="AY180" s="76">
        <f t="shared" ca="1" si="171"/>
        <v>0.48680464311975769</v>
      </c>
      <c r="AZ180">
        <v>3</v>
      </c>
      <c r="BA180" s="129">
        <f t="shared" si="247"/>
        <v>39987</v>
      </c>
      <c r="BB180" s="207">
        <v>0</v>
      </c>
      <c r="BC180" s="207">
        <v>0</v>
      </c>
      <c r="BD180" s="207">
        <v>0</v>
      </c>
      <c r="BE180" s="207">
        <v>0</v>
      </c>
      <c r="BF180" s="207">
        <v>0</v>
      </c>
      <c r="BG180" s="207">
        <v>0</v>
      </c>
      <c r="BH180" s="207">
        <v>0</v>
      </c>
      <c r="BI180" s="207">
        <v>0</v>
      </c>
      <c r="BJ180" s="207">
        <v>0</v>
      </c>
      <c r="BK180" s="207">
        <v>0</v>
      </c>
      <c r="BL180" s="207">
        <v>0</v>
      </c>
      <c r="BM180" s="207">
        <v>0</v>
      </c>
      <c r="BN180" s="207">
        <v>0</v>
      </c>
      <c r="BO180" s="207">
        <v>0</v>
      </c>
      <c r="BP180" s="207">
        <v>0</v>
      </c>
      <c r="BQ180" s="207">
        <v>0</v>
      </c>
      <c r="BR180" s="207">
        <v>0</v>
      </c>
      <c r="BS180" s="207">
        <v>0</v>
      </c>
      <c r="BT180" s="207">
        <v>0</v>
      </c>
      <c r="BU180" s="207">
        <v>0</v>
      </c>
      <c r="BV180" s="207">
        <v>0</v>
      </c>
      <c r="BW180" s="207">
        <v>0</v>
      </c>
      <c r="BX180" s="207">
        <v>0</v>
      </c>
      <c r="BY180" s="207">
        <v>0</v>
      </c>
      <c r="BZ180" s="207">
        <v>0</v>
      </c>
      <c r="CA180" s="207">
        <v>0</v>
      </c>
      <c r="CB180" s="207">
        <v>0</v>
      </c>
      <c r="CC180" s="207">
        <v>0</v>
      </c>
      <c r="CD180" s="207">
        <v>0</v>
      </c>
      <c r="CE180" s="207">
        <v>0</v>
      </c>
      <c r="CF180" s="207">
        <v>0</v>
      </c>
      <c r="CG180" s="147"/>
      <c r="CH180" s="176"/>
      <c r="CJ180" s="146"/>
      <c r="CK180" s="76">
        <f t="shared" ca="1" si="206"/>
        <v>0.74909289520568678</v>
      </c>
      <c r="CL180" s="179">
        <f t="shared" si="207"/>
        <v>3</v>
      </c>
      <c r="CM180" s="180">
        <f t="shared" si="208"/>
        <v>39987</v>
      </c>
      <c r="CN180" s="208">
        <v>0</v>
      </c>
      <c r="CO180" s="208">
        <v>0</v>
      </c>
      <c r="CP180" s="208">
        <v>0</v>
      </c>
      <c r="CQ180" s="208">
        <v>0</v>
      </c>
      <c r="CR180" s="208">
        <v>0</v>
      </c>
      <c r="CS180" s="208">
        <v>0</v>
      </c>
      <c r="CT180" s="208">
        <v>0</v>
      </c>
      <c r="CU180" s="208">
        <v>0</v>
      </c>
      <c r="CV180" s="160"/>
      <c r="CW180">
        <v>1</v>
      </c>
      <c r="CX180">
        <f>350/54</f>
        <v>6.4814814814814818</v>
      </c>
      <c r="CY180" s="160"/>
      <c r="CZ180" s="177">
        <f t="shared" si="209"/>
        <v>9.6000000000000002E-2</v>
      </c>
      <c r="DB180" s="146"/>
      <c r="DC180" s="76">
        <f t="shared" ca="1" si="172"/>
        <v>0.81066512151995229</v>
      </c>
      <c r="DD180">
        <f t="shared" si="210"/>
        <v>3</v>
      </c>
      <c r="DE180" s="129">
        <f t="shared" si="246"/>
        <v>39987</v>
      </c>
      <c r="DF180" s="161">
        <f t="shared" si="211"/>
        <v>0</v>
      </c>
      <c r="DG180" s="161">
        <f t="shared" si="212"/>
        <v>0</v>
      </c>
      <c r="DH180" s="161">
        <f t="shared" si="213"/>
        <v>0</v>
      </c>
      <c r="DI180" s="161">
        <f t="shared" si="214"/>
        <v>0</v>
      </c>
      <c r="DJ180" s="161">
        <f t="shared" si="215"/>
        <v>0</v>
      </c>
      <c r="DK180" s="161">
        <f t="shared" si="216"/>
        <v>0</v>
      </c>
      <c r="DL180" s="161">
        <f t="shared" si="217"/>
        <v>0</v>
      </c>
      <c r="DM180" s="161">
        <f t="shared" si="218"/>
        <v>0</v>
      </c>
      <c r="DN180" s="161">
        <f t="shared" si="219"/>
        <v>0</v>
      </c>
      <c r="DO180" s="161">
        <f t="shared" si="220"/>
        <v>0</v>
      </c>
      <c r="DP180" s="161">
        <f t="shared" si="221"/>
        <v>0</v>
      </c>
      <c r="DQ180" s="161">
        <f t="shared" si="222"/>
        <v>0</v>
      </c>
      <c r="DR180" s="161">
        <f t="shared" si="223"/>
        <v>0</v>
      </c>
      <c r="DS180" s="161">
        <f t="shared" si="224"/>
        <v>0</v>
      </c>
      <c r="DT180" s="161">
        <f t="shared" si="225"/>
        <v>0</v>
      </c>
      <c r="DU180" s="161">
        <f t="shared" si="226"/>
        <v>0</v>
      </c>
      <c r="DV180" s="161">
        <f t="shared" si="227"/>
        <v>0</v>
      </c>
      <c r="DW180" s="161">
        <f t="shared" si="228"/>
        <v>0</v>
      </c>
      <c r="DX180" s="161">
        <f t="shared" si="229"/>
        <v>0</v>
      </c>
      <c r="DY180" s="161">
        <f t="shared" si="230"/>
        <v>0</v>
      </c>
      <c r="DZ180" s="161">
        <f t="shared" si="231"/>
        <v>0</v>
      </c>
      <c r="EA180" s="161">
        <f t="shared" si="232"/>
        <v>0</v>
      </c>
      <c r="EB180" s="161">
        <f t="shared" si="233"/>
        <v>0</v>
      </c>
      <c r="EC180" s="161">
        <f t="shared" si="234"/>
        <v>0</v>
      </c>
      <c r="ED180" s="161">
        <f t="shared" si="235"/>
        <v>0</v>
      </c>
      <c r="EE180" s="161">
        <f t="shared" si="236"/>
        <v>0</v>
      </c>
      <c r="EF180" s="161">
        <f t="shared" si="237"/>
        <v>0</v>
      </c>
      <c r="EG180" s="161">
        <f t="shared" si="238"/>
        <v>0</v>
      </c>
      <c r="EH180" s="161">
        <f t="shared" si="239"/>
        <v>0</v>
      </c>
      <c r="EI180" s="161">
        <f t="shared" si="240"/>
        <v>0</v>
      </c>
      <c r="EJ180" s="161">
        <f t="shared" si="241"/>
        <v>0</v>
      </c>
      <c r="EK180" s="147">
        <f t="shared" si="173"/>
        <v>0</v>
      </c>
      <c r="EL180" s="149"/>
      <c r="EN180" s="146"/>
      <c r="EO180" s="146"/>
      <c r="EP180" s="139">
        <f t="shared" si="174"/>
        <v>0</v>
      </c>
      <c r="EQ180" s="139">
        <f t="shared" si="175"/>
        <v>0</v>
      </c>
      <c r="ER180" s="139">
        <f t="shared" si="176"/>
        <v>0</v>
      </c>
      <c r="ES180" s="139">
        <f t="shared" si="177"/>
        <v>0</v>
      </c>
      <c r="ET180" s="139">
        <f t="shared" si="178"/>
        <v>0</v>
      </c>
      <c r="EU180" s="139">
        <f t="shared" si="179"/>
        <v>0</v>
      </c>
      <c r="EV180" s="139">
        <f t="shared" si="180"/>
        <v>0</v>
      </c>
      <c r="EW180" s="139">
        <f t="shared" si="181"/>
        <v>0</v>
      </c>
      <c r="EX180" s="139">
        <f t="shared" si="182"/>
        <v>0</v>
      </c>
      <c r="EY180" s="139">
        <f t="shared" si="183"/>
        <v>0</v>
      </c>
      <c r="EZ180" s="139">
        <f t="shared" si="184"/>
        <v>0</v>
      </c>
      <c r="FA180" s="139">
        <f t="shared" si="185"/>
        <v>0</v>
      </c>
      <c r="FB180" s="139">
        <f t="shared" si="186"/>
        <v>0</v>
      </c>
      <c r="FC180" s="139">
        <f t="shared" si="187"/>
        <v>0</v>
      </c>
      <c r="FD180" s="139">
        <f t="shared" si="188"/>
        <v>0</v>
      </c>
      <c r="FE180" s="139">
        <f t="shared" si="189"/>
        <v>0</v>
      </c>
      <c r="FF180" s="139">
        <f t="shared" si="190"/>
        <v>0</v>
      </c>
      <c r="FG180" s="139">
        <f t="shared" si="191"/>
        <v>0</v>
      </c>
      <c r="FH180" s="139">
        <f t="shared" si="192"/>
        <v>0</v>
      </c>
      <c r="FI180" s="139">
        <f t="shared" si="193"/>
        <v>0</v>
      </c>
      <c r="FJ180" s="139">
        <f t="shared" si="194"/>
        <v>0</v>
      </c>
      <c r="FK180" s="139">
        <f t="shared" si="195"/>
        <v>0</v>
      </c>
      <c r="FL180" s="139">
        <f t="shared" si="196"/>
        <v>0</v>
      </c>
      <c r="FM180" s="139">
        <f t="shared" si="197"/>
        <v>0</v>
      </c>
      <c r="FN180" s="139">
        <f t="shared" si="198"/>
        <v>0</v>
      </c>
      <c r="FO180" s="139">
        <f t="shared" si="199"/>
        <v>0</v>
      </c>
      <c r="FP180" s="139">
        <f t="shared" si="200"/>
        <v>0</v>
      </c>
      <c r="FQ180" s="139">
        <f t="shared" si="201"/>
        <v>0</v>
      </c>
      <c r="FR180" s="139">
        <f t="shared" si="202"/>
        <v>0</v>
      </c>
      <c r="FS180" s="139">
        <f t="shared" si="203"/>
        <v>0</v>
      </c>
      <c r="FT180" s="139">
        <f t="shared" si="204"/>
        <v>0</v>
      </c>
      <c r="FU180" s="148">
        <f t="shared" si="205"/>
        <v>0</v>
      </c>
      <c r="FV180" s="149"/>
      <c r="FY180" s="213">
        <v>175</v>
      </c>
      <c r="FZ180">
        <v>5.3759897288402456</v>
      </c>
      <c r="GA180">
        <v>15.654975737193475</v>
      </c>
      <c r="GB180">
        <v>5.0408084740998884</v>
      </c>
      <c r="GC180">
        <v>1.7595079126197593</v>
      </c>
      <c r="GD180">
        <v>2.9720336104795031</v>
      </c>
      <c r="GE180">
        <v>3.2816552658058735</v>
      </c>
      <c r="GF180">
        <v>0</v>
      </c>
      <c r="GG180">
        <v>2.2917257579058905</v>
      </c>
      <c r="GH180">
        <v>3.2445436953371196</v>
      </c>
      <c r="GI180">
        <v>4.3472969498254015</v>
      </c>
      <c r="GJ180"/>
      <c r="GK180"/>
      <c r="GL180"/>
      <c r="GM180"/>
      <c r="GN180" s="208"/>
      <c r="GO180" s="208"/>
      <c r="GP180" s="208"/>
      <c r="GQ180" s="208"/>
      <c r="GR180" s="208"/>
      <c r="GS180" s="208"/>
      <c r="GT180" s="208"/>
      <c r="GU180" s="213">
        <v>175</v>
      </c>
    </row>
    <row r="181" spans="1:203" s="7" customFormat="1">
      <c r="A181" s="1"/>
      <c r="B181" s="76">
        <f ca="1">IF(C181="", "", RAND())</f>
        <v>0.70611002334658846</v>
      </c>
      <c r="C181">
        <v>9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30.559523809523807</v>
      </c>
      <c r="AO181">
        <v>7.2032422050493095</v>
      </c>
      <c r="AP181">
        <v>171.09893270823875</v>
      </c>
      <c r="AQ181">
        <v>49.864726811567671</v>
      </c>
      <c r="AR181">
        <v>6.6569445463090702</v>
      </c>
      <c r="AS181">
        <v>106.50815504099245</v>
      </c>
      <c r="AT181" t="e">
        <v>#DIV/0!</v>
      </c>
      <c r="AU181" t="e">
        <v>#DIV/0!</v>
      </c>
      <c r="AV181"/>
      <c r="AW181"/>
      <c r="AX181" s="146"/>
      <c r="AY181" s="76">
        <f t="shared" ca="1" si="171"/>
        <v>0.20042629252084287</v>
      </c>
      <c r="AZ181">
        <v>4</v>
      </c>
      <c r="BA181" s="129">
        <f t="shared" si="247"/>
        <v>39987</v>
      </c>
      <c r="BB181" s="207">
        <v>0</v>
      </c>
      <c r="BC181" s="207">
        <v>0</v>
      </c>
      <c r="BD181" s="207">
        <v>0</v>
      </c>
      <c r="BE181" s="207">
        <v>0</v>
      </c>
      <c r="BF181" s="207">
        <v>0</v>
      </c>
      <c r="BG181" s="207">
        <v>0</v>
      </c>
      <c r="BH181" s="207">
        <v>0</v>
      </c>
      <c r="BI181" s="207">
        <v>0</v>
      </c>
      <c r="BJ181" s="207">
        <v>0</v>
      </c>
      <c r="BK181" s="207">
        <v>0</v>
      </c>
      <c r="BL181" s="207">
        <v>0</v>
      </c>
      <c r="BM181" s="207">
        <v>0</v>
      </c>
      <c r="BN181" s="207">
        <v>0</v>
      </c>
      <c r="BO181" s="207">
        <v>0</v>
      </c>
      <c r="BP181" s="207">
        <v>0</v>
      </c>
      <c r="BQ181" s="207">
        <v>0</v>
      </c>
      <c r="BR181" s="207">
        <v>0</v>
      </c>
      <c r="BS181" s="207">
        <v>0</v>
      </c>
      <c r="BT181" s="207">
        <v>0</v>
      </c>
      <c r="BU181" s="207">
        <v>0</v>
      </c>
      <c r="BV181" s="207">
        <v>0</v>
      </c>
      <c r="BW181" s="207">
        <v>0</v>
      </c>
      <c r="BX181" s="207">
        <v>0</v>
      </c>
      <c r="BY181" s="207">
        <v>0</v>
      </c>
      <c r="BZ181" s="207">
        <v>0</v>
      </c>
      <c r="CA181" s="207">
        <v>0</v>
      </c>
      <c r="CB181" s="207">
        <v>0</v>
      </c>
      <c r="CC181" s="207">
        <v>0</v>
      </c>
      <c r="CD181" s="207">
        <v>0</v>
      </c>
      <c r="CE181" s="207">
        <v>0</v>
      </c>
      <c r="CF181" s="207">
        <v>0</v>
      </c>
      <c r="CG181" s="147"/>
      <c r="CH181" s="176"/>
      <c r="CJ181" s="146"/>
      <c r="CK181" s="76">
        <f t="shared" ca="1" si="206"/>
        <v>0.39915979543791291</v>
      </c>
      <c r="CL181" s="179">
        <f t="shared" si="207"/>
        <v>4</v>
      </c>
      <c r="CM181" s="180">
        <f t="shared" si="208"/>
        <v>39987</v>
      </c>
      <c r="CN181" s="208">
        <v>0</v>
      </c>
      <c r="CO181" s="208">
        <v>0</v>
      </c>
      <c r="CP181" s="208">
        <v>0</v>
      </c>
      <c r="CQ181" s="208">
        <v>0</v>
      </c>
      <c r="CR181" s="208">
        <v>0</v>
      </c>
      <c r="CS181" s="208">
        <v>0</v>
      </c>
      <c r="CT181" s="208">
        <v>0</v>
      </c>
      <c r="CU181" s="208">
        <v>0</v>
      </c>
      <c r="CV181" s="160"/>
      <c r="CW181">
        <v>1</v>
      </c>
      <c r="CX181">
        <f>350/41</f>
        <v>8.536585365853659</v>
      </c>
      <c r="CY181" s="160"/>
      <c r="CZ181" s="177">
        <f t="shared" si="209"/>
        <v>9.6000000000000002E-2</v>
      </c>
      <c r="DB181" s="146"/>
      <c r="DC181" s="76">
        <f t="shared" ca="1" si="172"/>
        <v>0.4603543675806343</v>
      </c>
      <c r="DD181">
        <f t="shared" si="210"/>
        <v>4</v>
      </c>
      <c r="DE181" s="129">
        <f t="shared" si="246"/>
        <v>39987</v>
      </c>
      <c r="DF181" s="161">
        <f t="shared" si="211"/>
        <v>0</v>
      </c>
      <c r="DG181" s="161">
        <f t="shared" si="212"/>
        <v>0</v>
      </c>
      <c r="DH181" s="161">
        <f t="shared" si="213"/>
        <v>0</v>
      </c>
      <c r="DI181" s="161">
        <f t="shared" si="214"/>
        <v>0</v>
      </c>
      <c r="DJ181" s="161">
        <f t="shared" si="215"/>
        <v>0</v>
      </c>
      <c r="DK181" s="161">
        <f t="shared" si="216"/>
        <v>0</v>
      </c>
      <c r="DL181" s="161">
        <f t="shared" si="217"/>
        <v>0</v>
      </c>
      <c r="DM181" s="161">
        <f t="shared" si="218"/>
        <v>0</v>
      </c>
      <c r="DN181" s="161">
        <f t="shared" si="219"/>
        <v>0</v>
      </c>
      <c r="DO181" s="161">
        <f t="shared" si="220"/>
        <v>0</v>
      </c>
      <c r="DP181" s="161">
        <f t="shared" si="221"/>
        <v>0</v>
      </c>
      <c r="DQ181" s="161">
        <f t="shared" si="222"/>
        <v>0</v>
      </c>
      <c r="DR181" s="161">
        <f t="shared" si="223"/>
        <v>0</v>
      </c>
      <c r="DS181" s="161">
        <f t="shared" si="224"/>
        <v>0</v>
      </c>
      <c r="DT181" s="161">
        <f t="shared" si="225"/>
        <v>0</v>
      </c>
      <c r="DU181" s="161">
        <f t="shared" si="226"/>
        <v>0</v>
      </c>
      <c r="DV181" s="161">
        <f t="shared" si="227"/>
        <v>0</v>
      </c>
      <c r="DW181" s="161">
        <f t="shared" si="228"/>
        <v>0</v>
      </c>
      <c r="DX181" s="161">
        <f t="shared" si="229"/>
        <v>0</v>
      </c>
      <c r="DY181" s="161">
        <f t="shared" si="230"/>
        <v>0</v>
      </c>
      <c r="DZ181" s="161">
        <f t="shared" si="231"/>
        <v>0</v>
      </c>
      <c r="EA181" s="161">
        <f t="shared" si="232"/>
        <v>0</v>
      </c>
      <c r="EB181" s="161">
        <f t="shared" si="233"/>
        <v>0</v>
      </c>
      <c r="EC181" s="161">
        <f t="shared" si="234"/>
        <v>0</v>
      </c>
      <c r="ED181" s="161">
        <f t="shared" si="235"/>
        <v>0</v>
      </c>
      <c r="EE181" s="161">
        <f t="shared" si="236"/>
        <v>0</v>
      </c>
      <c r="EF181" s="161">
        <f t="shared" si="237"/>
        <v>0</v>
      </c>
      <c r="EG181" s="161">
        <f t="shared" si="238"/>
        <v>0</v>
      </c>
      <c r="EH181" s="161">
        <f t="shared" si="239"/>
        <v>0</v>
      </c>
      <c r="EI181" s="161">
        <f t="shared" si="240"/>
        <v>0</v>
      </c>
      <c r="EJ181" s="161">
        <f t="shared" si="241"/>
        <v>0</v>
      </c>
      <c r="EK181" s="147">
        <f t="shared" si="173"/>
        <v>0</v>
      </c>
      <c r="EL181" s="149"/>
      <c r="EN181" s="146"/>
      <c r="EO181" s="146"/>
      <c r="EP181" s="139">
        <f t="shared" si="174"/>
        <v>0</v>
      </c>
      <c r="EQ181" s="139">
        <f t="shared" si="175"/>
        <v>0</v>
      </c>
      <c r="ER181" s="139">
        <f t="shared" si="176"/>
        <v>0</v>
      </c>
      <c r="ES181" s="139">
        <f t="shared" si="177"/>
        <v>0</v>
      </c>
      <c r="ET181" s="139">
        <f t="shared" si="178"/>
        <v>0</v>
      </c>
      <c r="EU181" s="139">
        <f t="shared" si="179"/>
        <v>0</v>
      </c>
      <c r="EV181" s="139">
        <f t="shared" si="180"/>
        <v>0</v>
      </c>
      <c r="EW181" s="139">
        <f t="shared" si="181"/>
        <v>0</v>
      </c>
      <c r="EX181" s="139">
        <f t="shared" si="182"/>
        <v>0</v>
      </c>
      <c r="EY181" s="139">
        <f t="shared" si="183"/>
        <v>0</v>
      </c>
      <c r="EZ181" s="139">
        <f t="shared" si="184"/>
        <v>0</v>
      </c>
      <c r="FA181" s="139">
        <f t="shared" si="185"/>
        <v>0</v>
      </c>
      <c r="FB181" s="139">
        <f t="shared" si="186"/>
        <v>0</v>
      </c>
      <c r="FC181" s="139">
        <f t="shared" si="187"/>
        <v>0</v>
      </c>
      <c r="FD181" s="139">
        <f t="shared" si="188"/>
        <v>0</v>
      </c>
      <c r="FE181" s="139">
        <f t="shared" si="189"/>
        <v>0</v>
      </c>
      <c r="FF181" s="139">
        <f t="shared" si="190"/>
        <v>0</v>
      </c>
      <c r="FG181" s="139">
        <f t="shared" si="191"/>
        <v>0</v>
      </c>
      <c r="FH181" s="139">
        <f t="shared" si="192"/>
        <v>0</v>
      </c>
      <c r="FI181" s="139">
        <f t="shared" si="193"/>
        <v>0</v>
      </c>
      <c r="FJ181" s="139">
        <f t="shared" si="194"/>
        <v>0</v>
      </c>
      <c r="FK181" s="139">
        <f t="shared" si="195"/>
        <v>0</v>
      </c>
      <c r="FL181" s="139">
        <f t="shared" si="196"/>
        <v>0</v>
      </c>
      <c r="FM181" s="139">
        <f t="shared" si="197"/>
        <v>0</v>
      </c>
      <c r="FN181" s="139">
        <f t="shared" si="198"/>
        <v>0</v>
      </c>
      <c r="FO181" s="139">
        <f t="shared" si="199"/>
        <v>0</v>
      </c>
      <c r="FP181" s="139">
        <f t="shared" si="200"/>
        <v>0</v>
      </c>
      <c r="FQ181" s="139">
        <f t="shared" si="201"/>
        <v>0</v>
      </c>
      <c r="FR181" s="139">
        <f t="shared" si="202"/>
        <v>0</v>
      </c>
      <c r="FS181" s="139">
        <f t="shared" si="203"/>
        <v>0</v>
      </c>
      <c r="FT181" s="139">
        <f t="shared" si="204"/>
        <v>0</v>
      </c>
      <c r="FU181" s="148">
        <f t="shared" si="205"/>
        <v>0</v>
      </c>
      <c r="FV181" s="149"/>
      <c r="FY181" s="213">
        <v>176</v>
      </c>
      <c r="FZ181">
        <v>0.58716112056924263</v>
      </c>
      <c r="GA181">
        <v>8.5059557505542127</v>
      </c>
      <c r="GB181">
        <v>4.3063594954573645</v>
      </c>
      <c r="GC181">
        <v>1.7851605407960478</v>
      </c>
      <c r="GD181">
        <v>2.7168208760862589</v>
      </c>
      <c r="GE181">
        <v>2.7255028532841425</v>
      </c>
      <c r="GF181">
        <v>0</v>
      </c>
      <c r="GG181">
        <v>5.7549270921655209</v>
      </c>
      <c r="GH181">
        <v>8.0251985310438485</v>
      </c>
      <c r="GI181">
        <v>4.0747542466219286</v>
      </c>
      <c r="GJ181"/>
      <c r="GK181"/>
      <c r="GL181"/>
      <c r="GM181"/>
      <c r="GN181" s="208"/>
      <c r="GO181" s="208"/>
      <c r="GP181" s="208"/>
      <c r="GQ181" s="208"/>
      <c r="GR181" s="208"/>
      <c r="GS181" s="208"/>
      <c r="GT181" s="208"/>
      <c r="GU181" s="213">
        <v>176</v>
      </c>
    </row>
    <row r="182" spans="1:203" s="7" customFormat="1">
      <c r="A182" s="1"/>
      <c r="B182" s="76">
        <f ca="1">IF(C182="", "", RAND())</f>
        <v>0.13573252059473173</v>
      </c>
      <c r="C182">
        <v>2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32.181547619047613</v>
      </c>
      <c r="AO182">
        <v>9.7787882075773425</v>
      </c>
      <c r="AP182">
        <v>353.91472853917662</v>
      </c>
      <c r="AQ182">
        <v>69.251837698544122</v>
      </c>
      <c r="AR182">
        <v>8.88980746143395</v>
      </c>
      <c r="AS182">
        <v>139.52309663694018</v>
      </c>
      <c r="AT182" t="e">
        <v>#DIV/0!</v>
      </c>
      <c r="AU182" t="e">
        <v>#DIV/0!</v>
      </c>
      <c r="AV182"/>
      <c r="AW182"/>
      <c r="AX182" s="146"/>
      <c r="AY182" s="76">
        <f t="shared" ca="1" si="171"/>
        <v>0.46912727436543133</v>
      </c>
      <c r="AZ182">
        <v>5</v>
      </c>
      <c r="BA182" s="129">
        <f t="shared" si="247"/>
        <v>39987</v>
      </c>
      <c r="BB182" s="207">
        <v>0</v>
      </c>
      <c r="BC182" s="207">
        <v>0</v>
      </c>
      <c r="BD182" s="207">
        <v>0</v>
      </c>
      <c r="BE182" s="207">
        <v>0</v>
      </c>
      <c r="BF182" s="207">
        <v>0</v>
      </c>
      <c r="BG182" s="207">
        <v>0</v>
      </c>
      <c r="BH182" s="207">
        <v>0</v>
      </c>
      <c r="BI182" s="207">
        <v>0</v>
      </c>
      <c r="BJ182" s="207">
        <v>0</v>
      </c>
      <c r="BK182" s="207">
        <v>0</v>
      </c>
      <c r="BL182" s="207">
        <v>0</v>
      </c>
      <c r="BM182" s="207">
        <v>0</v>
      </c>
      <c r="BN182" s="207">
        <v>0</v>
      </c>
      <c r="BO182" s="207">
        <v>0</v>
      </c>
      <c r="BP182" s="207">
        <v>0</v>
      </c>
      <c r="BQ182" s="207">
        <v>0</v>
      </c>
      <c r="BR182" s="207">
        <v>0</v>
      </c>
      <c r="BS182" s="207">
        <v>0</v>
      </c>
      <c r="BT182" s="207">
        <v>0</v>
      </c>
      <c r="BU182" s="207">
        <v>0</v>
      </c>
      <c r="BV182" s="207">
        <v>0</v>
      </c>
      <c r="BW182" s="207">
        <v>0</v>
      </c>
      <c r="BX182" s="207">
        <v>0</v>
      </c>
      <c r="BY182" s="207">
        <v>0</v>
      </c>
      <c r="BZ182" s="207">
        <v>0</v>
      </c>
      <c r="CA182" s="207">
        <v>0</v>
      </c>
      <c r="CB182" s="207">
        <v>0</v>
      </c>
      <c r="CC182" s="207">
        <v>0</v>
      </c>
      <c r="CD182" s="207">
        <v>0</v>
      </c>
      <c r="CE182" s="207">
        <v>0</v>
      </c>
      <c r="CF182" s="207">
        <v>0</v>
      </c>
      <c r="CG182" s="147"/>
      <c r="CH182" s="176"/>
      <c r="CJ182" s="146"/>
      <c r="CK182" s="76">
        <f t="shared" ca="1" si="206"/>
        <v>8.0494943498580662E-2</v>
      </c>
      <c r="CL182" s="179">
        <f t="shared" si="207"/>
        <v>5</v>
      </c>
      <c r="CM182" s="180">
        <f t="shared" si="208"/>
        <v>39987</v>
      </c>
      <c r="CN182" s="208">
        <v>0</v>
      </c>
      <c r="CO182" s="208">
        <v>0</v>
      </c>
      <c r="CP182" s="208">
        <v>0</v>
      </c>
      <c r="CQ182" s="208">
        <v>0</v>
      </c>
      <c r="CR182" s="208">
        <v>0</v>
      </c>
      <c r="CS182" s="208">
        <v>0</v>
      </c>
      <c r="CT182" s="208">
        <v>0</v>
      </c>
      <c r="CU182" s="208">
        <v>0</v>
      </c>
      <c r="CV182" s="160"/>
      <c r="CW182">
        <v>1</v>
      </c>
      <c r="CX182">
        <f>350/60</f>
        <v>5.833333333333333</v>
      </c>
      <c r="CY182" s="160"/>
      <c r="CZ182" s="177">
        <f t="shared" si="209"/>
        <v>9.6000000000000002E-2</v>
      </c>
      <c r="DB182" s="146"/>
      <c r="DC182" s="76">
        <f t="shared" ca="1" si="172"/>
        <v>0.95925614818071558</v>
      </c>
      <c r="DD182">
        <f t="shared" si="210"/>
        <v>5</v>
      </c>
      <c r="DE182" s="129">
        <f t="shared" si="246"/>
        <v>39987</v>
      </c>
      <c r="DF182" s="161">
        <f t="shared" si="211"/>
        <v>0</v>
      </c>
      <c r="DG182" s="161">
        <f t="shared" si="212"/>
        <v>0</v>
      </c>
      <c r="DH182" s="161">
        <f t="shared" si="213"/>
        <v>0</v>
      </c>
      <c r="DI182" s="161">
        <f t="shared" si="214"/>
        <v>0</v>
      </c>
      <c r="DJ182" s="161">
        <f t="shared" si="215"/>
        <v>0</v>
      </c>
      <c r="DK182" s="161">
        <f t="shared" si="216"/>
        <v>0</v>
      </c>
      <c r="DL182" s="161">
        <f t="shared" si="217"/>
        <v>0</v>
      </c>
      <c r="DM182" s="161">
        <f t="shared" si="218"/>
        <v>0</v>
      </c>
      <c r="DN182" s="161">
        <f t="shared" si="219"/>
        <v>0</v>
      </c>
      <c r="DO182" s="161">
        <f t="shared" si="220"/>
        <v>0</v>
      </c>
      <c r="DP182" s="161">
        <f t="shared" si="221"/>
        <v>0</v>
      </c>
      <c r="DQ182" s="161">
        <f t="shared" si="222"/>
        <v>0</v>
      </c>
      <c r="DR182" s="161">
        <f t="shared" si="223"/>
        <v>0</v>
      </c>
      <c r="DS182" s="161">
        <f t="shared" si="224"/>
        <v>0</v>
      </c>
      <c r="DT182" s="161">
        <f t="shared" si="225"/>
        <v>0</v>
      </c>
      <c r="DU182" s="161">
        <f t="shared" si="226"/>
        <v>0</v>
      </c>
      <c r="DV182" s="161">
        <f t="shared" si="227"/>
        <v>0</v>
      </c>
      <c r="DW182" s="161">
        <f t="shared" si="228"/>
        <v>0</v>
      </c>
      <c r="DX182" s="161">
        <f t="shared" si="229"/>
        <v>0</v>
      </c>
      <c r="DY182" s="161">
        <f t="shared" si="230"/>
        <v>0</v>
      </c>
      <c r="DZ182" s="161">
        <f t="shared" si="231"/>
        <v>0</v>
      </c>
      <c r="EA182" s="161">
        <f t="shared" si="232"/>
        <v>0</v>
      </c>
      <c r="EB182" s="161">
        <f t="shared" si="233"/>
        <v>0</v>
      </c>
      <c r="EC182" s="161">
        <f t="shared" si="234"/>
        <v>0</v>
      </c>
      <c r="ED182" s="161">
        <f t="shared" si="235"/>
        <v>0</v>
      </c>
      <c r="EE182" s="161">
        <f t="shared" si="236"/>
        <v>0</v>
      </c>
      <c r="EF182" s="161">
        <f t="shared" si="237"/>
        <v>0</v>
      </c>
      <c r="EG182" s="161">
        <f t="shared" si="238"/>
        <v>0</v>
      </c>
      <c r="EH182" s="161">
        <f t="shared" si="239"/>
        <v>0</v>
      </c>
      <c r="EI182" s="161">
        <f t="shared" si="240"/>
        <v>0</v>
      </c>
      <c r="EJ182" s="161">
        <f t="shared" si="241"/>
        <v>0</v>
      </c>
      <c r="EK182" s="147">
        <f t="shared" si="173"/>
        <v>0</v>
      </c>
      <c r="EL182" s="149"/>
      <c r="EN182" s="146"/>
      <c r="EO182" s="146"/>
      <c r="EP182" s="139">
        <f t="shared" si="174"/>
        <v>0</v>
      </c>
      <c r="EQ182" s="139">
        <f t="shared" si="175"/>
        <v>0</v>
      </c>
      <c r="ER182" s="139">
        <f t="shared" si="176"/>
        <v>0</v>
      </c>
      <c r="ES182" s="139">
        <f t="shared" si="177"/>
        <v>0</v>
      </c>
      <c r="ET182" s="139">
        <f t="shared" si="178"/>
        <v>0</v>
      </c>
      <c r="EU182" s="139">
        <f t="shared" si="179"/>
        <v>0</v>
      </c>
      <c r="EV182" s="139">
        <f t="shared" si="180"/>
        <v>0</v>
      </c>
      <c r="EW182" s="139">
        <f t="shared" si="181"/>
        <v>0</v>
      </c>
      <c r="EX182" s="139">
        <f t="shared" si="182"/>
        <v>0</v>
      </c>
      <c r="EY182" s="139">
        <f t="shared" si="183"/>
        <v>0</v>
      </c>
      <c r="EZ182" s="139">
        <f t="shared" si="184"/>
        <v>0</v>
      </c>
      <c r="FA182" s="139">
        <f t="shared" si="185"/>
        <v>0</v>
      </c>
      <c r="FB182" s="139">
        <f t="shared" si="186"/>
        <v>0</v>
      </c>
      <c r="FC182" s="139">
        <f t="shared" si="187"/>
        <v>0</v>
      </c>
      <c r="FD182" s="139">
        <f t="shared" si="188"/>
        <v>0</v>
      </c>
      <c r="FE182" s="139">
        <f t="shared" si="189"/>
        <v>0</v>
      </c>
      <c r="FF182" s="139">
        <f t="shared" si="190"/>
        <v>0</v>
      </c>
      <c r="FG182" s="139">
        <f t="shared" si="191"/>
        <v>0</v>
      </c>
      <c r="FH182" s="139">
        <f t="shared" si="192"/>
        <v>0</v>
      </c>
      <c r="FI182" s="139">
        <f t="shared" si="193"/>
        <v>0</v>
      </c>
      <c r="FJ182" s="139">
        <f t="shared" si="194"/>
        <v>0</v>
      </c>
      <c r="FK182" s="139">
        <f t="shared" si="195"/>
        <v>0</v>
      </c>
      <c r="FL182" s="139">
        <f t="shared" si="196"/>
        <v>0</v>
      </c>
      <c r="FM182" s="139">
        <f t="shared" si="197"/>
        <v>0</v>
      </c>
      <c r="FN182" s="139">
        <f t="shared" si="198"/>
        <v>0</v>
      </c>
      <c r="FO182" s="139">
        <f t="shared" si="199"/>
        <v>0</v>
      </c>
      <c r="FP182" s="139">
        <f t="shared" si="200"/>
        <v>0</v>
      </c>
      <c r="FQ182" s="139">
        <f t="shared" si="201"/>
        <v>0</v>
      </c>
      <c r="FR182" s="139">
        <f t="shared" si="202"/>
        <v>0</v>
      </c>
      <c r="FS182" s="139">
        <f t="shared" si="203"/>
        <v>0</v>
      </c>
      <c r="FT182" s="139">
        <f t="shared" si="204"/>
        <v>0</v>
      </c>
      <c r="FU182" s="148">
        <f t="shared" si="205"/>
        <v>0</v>
      </c>
      <c r="FV182" s="149"/>
      <c r="FY182" s="213">
        <v>177</v>
      </c>
      <c r="FZ182">
        <v>0.58716112056924263</v>
      </c>
      <c r="GA182">
        <v>11.555348040112943</v>
      </c>
      <c r="GB182">
        <v>5.806643769268347</v>
      </c>
      <c r="GC182">
        <v>0.38005835948553379</v>
      </c>
      <c r="GD182">
        <v>2.8608272670225672</v>
      </c>
      <c r="GE182">
        <v>5.2181415790933166</v>
      </c>
      <c r="GF182">
        <v>0</v>
      </c>
      <c r="GG182">
        <v>3.6783489012137967</v>
      </c>
      <c r="GH182">
        <v>5.1781819387473451</v>
      </c>
      <c r="GI182">
        <v>4.269646177050352</v>
      </c>
      <c r="GJ182"/>
      <c r="GK182"/>
      <c r="GL182"/>
      <c r="GM182"/>
      <c r="GN182" s="208"/>
      <c r="GO182" s="208"/>
      <c r="GP182" s="208"/>
      <c r="GQ182" s="208"/>
      <c r="GR182" s="208"/>
      <c r="GS182" s="208"/>
      <c r="GT182" s="208"/>
      <c r="GU182" s="213">
        <v>177</v>
      </c>
    </row>
    <row r="183" spans="1:203" s="7" customFormat="1">
      <c r="A183" s="1"/>
      <c r="B183" s="76">
        <f ca="1">IF(C183="", "", RAND())</f>
        <v>0.63224334258036174</v>
      </c>
      <c r="C183">
        <v>10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19.613369735098029</v>
      </c>
      <c r="AO183">
        <v>4.072804235640878</v>
      </c>
      <c r="AP183">
        <v>78.935536664024937</v>
      </c>
      <c r="AQ183">
        <v>30.448786879688747</v>
      </c>
      <c r="AR183">
        <v>3.7025493051280702</v>
      </c>
      <c r="AS183">
        <v>44.988768150256561</v>
      </c>
      <c r="AT183" t="e">
        <v>#DIV/0!</v>
      </c>
      <c r="AU183" t="e">
        <v>#DIV/0!</v>
      </c>
      <c r="AV183"/>
      <c r="AW183"/>
      <c r="AX183" s="146"/>
      <c r="AY183" s="76">
        <f t="shared" ca="1" si="171"/>
        <v>0.36305943600020107</v>
      </c>
      <c r="AZ183">
        <v>6</v>
      </c>
      <c r="BA183" s="129">
        <f t="shared" si="247"/>
        <v>39987</v>
      </c>
      <c r="BB183" s="207">
        <v>0</v>
      </c>
      <c r="BC183" s="207">
        <v>0</v>
      </c>
      <c r="BD183" s="207">
        <v>0</v>
      </c>
      <c r="BE183" s="207">
        <v>0</v>
      </c>
      <c r="BF183" s="207">
        <v>0</v>
      </c>
      <c r="BG183" s="207">
        <v>0</v>
      </c>
      <c r="BH183" s="207">
        <v>0</v>
      </c>
      <c r="BI183" s="207">
        <v>0</v>
      </c>
      <c r="BJ183" s="207">
        <v>0</v>
      </c>
      <c r="BK183" s="207">
        <v>0</v>
      </c>
      <c r="BL183" s="207">
        <v>0</v>
      </c>
      <c r="BM183" s="207">
        <v>0</v>
      </c>
      <c r="BN183" s="207">
        <v>0</v>
      </c>
      <c r="BO183" s="207">
        <v>0</v>
      </c>
      <c r="BP183" s="207">
        <v>0</v>
      </c>
      <c r="BQ183" s="207">
        <v>0</v>
      </c>
      <c r="BR183" s="207">
        <v>0</v>
      </c>
      <c r="BS183" s="207">
        <v>0</v>
      </c>
      <c r="BT183" s="207">
        <v>0</v>
      </c>
      <c r="BU183" s="207">
        <v>0</v>
      </c>
      <c r="BV183" s="207">
        <v>0</v>
      </c>
      <c r="BW183" s="207">
        <v>0</v>
      </c>
      <c r="BX183" s="207">
        <v>0</v>
      </c>
      <c r="BY183" s="207">
        <v>0</v>
      </c>
      <c r="BZ183" s="207">
        <v>0</v>
      </c>
      <c r="CA183" s="207">
        <v>0</v>
      </c>
      <c r="CB183" s="207">
        <v>0</v>
      </c>
      <c r="CC183" s="207">
        <v>0</v>
      </c>
      <c r="CD183" s="207">
        <v>0</v>
      </c>
      <c r="CE183" s="207">
        <v>0</v>
      </c>
      <c r="CF183" s="207">
        <v>0</v>
      </c>
      <c r="CG183" s="147"/>
      <c r="CH183" s="176"/>
      <c r="CJ183" s="146"/>
      <c r="CK183" s="76">
        <f t="shared" ca="1" si="206"/>
        <v>0.34033691754306461</v>
      </c>
      <c r="CL183" s="179">
        <f t="shared" si="207"/>
        <v>6</v>
      </c>
      <c r="CM183" s="180">
        <f t="shared" si="208"/>
        <v>39987</v>
      </c>
      <c r="CN183" s="208">
        <v>0</v>
      </c>
      <c r="CO183" s="208">
        <v>0</v>
      </c>
      <c r="CP183" s="208">
        <v>0</v>
      </c>
      <c r="CQ183" s="208">
        <v>0</v>
      </c>
      <c r="CR183" s="208">
        <v>0</v>
      </c>
      <c r="CS183" s="208">
        <v>0</v>
      </c>
      <c r="CT183" s="208">
        <v>0</v>
      </c>
      <c r="CU183" s="208">
        <v>0</v>
      </c>
      <c r="CV183" s="160"/>
      <c r="CW183">
        <v>1</v>
      </c>
      <c r="CX183">
        <f>350/50</f>
        <v>7</v>
      </c>
      <c r="CY183" s="160"/>
      <c r="CZ183" s="177">
        <f t="shared" si="209"/>
        <v>9.6000000000000002E-2</v>
      </c>
      <c r="DB183" s="146"/>
      <c r="DC183" s="76">
        <f t="shared" ca="1" si="172"/>
        <v>0.61418771050123677</v>
      </c>
      <c r="DD183">
        <f t="shared" si="210"/>
        <v>6</v>
      </c>
      <c r="DE183" s="129">
        <f t="shared" si="246"/>
        <v>39987</v>
      </c>
      <c r="DF183" s="161">
        <f t="shared" si="211"/>
        <v>0</v>
      </c>
      <c r="DG183" s="161">
        <f t="shared" si="212"/>
        <v>0</v>
      </c>
      <c r="DH183" s="161">
        <f t="shared" si="213"/>
        <v>0</v>
      </c>
      <c r="DI183" s="161">
        <f t="shared" si="214"/>
        <v>0</v>
      </c>
      <c r="DJ183" s="161">
        <f t="shared" si="215"/>
        <v>0</v>
      </c>
      <c r="DK183" s="161">
        <f t="shared" si="216"/>
        <v>0</v>
      </c>
      <c r="DL183" s="161">
        <f t="shared" si="217"/>
        <v>0</v>
      </c>
      <c r="DM183" s="161">
        <f t="shared" si="218"/>
        <v>0</v>
      </c>
      <c r="DN183" s="161">
        <f t="shared" si="219"/>
        <v>0</v>
      </c>
      <c r="DO183" s="161">
        <f t="shared" si="220"/>
        <v>0</v>
      </c>
      <c r="DP183" s="161">
        <f t="shared" si="221"/>
        <v>0</v>
      </c>
      <c r="DQ183" s="161">
        <f t="shared" si="222"/>
        <v>0</v>
      </c>
      <c r="DR183" s="161">
        <f t="shared" si="223"/>
        <v>0</v>
      </c>
      <c r="DS183" s="161">
        <f t="shared" si="224"/>
        <v>0</v>
      </c>
      <c r="DT183" s="161">
        <f t="shared" si="225"/>
        <v>0</v>
      </c>
      <c r="DU183" s="161">
        <f t="shared" si="226"/>
        <v>0</v>
      </c>
      <c r="DV183" s="161">
        <f t="shared" si="227"/>
        <v>0</v>
      </c>
      <c r="DW183" s="161">
        <f t="shared" si="228"/>
        <v>0</v>
      </c>
      <c r="DX183" s="161">
        <f t="shared" si="229"/>
        <v>0</v>
      </c>
      <c r="DY183" s="161">
        <f t="shared" si="230"/>
        <v>0</v>
      </c>
      <c r="DZ183" s="161">
        <f t="shared" si="231"/>
        <v>0</v>
      </c>
      <c r="EA183" s="161">
        <f t="shared" si="232"/>
        <v>0</v>
      </c>
      <c r="EB183" s="161">
        <f t="shared" si="233"/>
        <v>0</v>
      </c>
      <c r="EC183" s="161">
        <f t="shared" si="234"/>
        <v>0</v>
      </c>
      <c r="ED183" s="161">
        <f t="shared" si="235"/>
        <v>0</v>
      </c>
      <c r="EE183" s="161">
        <f t="shared" si="236"/>
        <v>0</v>
      </c>
      <c r="EF183" s="161">
        <f t="shared" si="237"/>
        <v>0</v>
      </c>
      <c r="EG183" s="161">
        <f t="shared" si="238"/>
        <v>0</v>
      </c>
      <c r="EH183" s="161">
        <f t="shared" si="239"/>
        <v>0</v>
      </c>
      <c r="EI183" s="161">
        <f t="shared" si="240"/>
        <v>0</v>
      </c>
      <c r="EJ183" s="161">
        <f t="shared" si="241"/>
        <v>0</v>
      </c>
      <c r="EK183" s="147">
        <f t="shared" si="173"/>
        <v>0</v>
      </c>
      <c r="EL183" s="149"/>
      <c r="EN183" s="146"/>
      <c r="EO183" s="146"/>
      <c r="EP183" s="139">
        <f t="shared" si="174"/>
        <v>0</v>
      </c>
      <c r="EQ183" s="139">
        <f t="shared" si="175"/>
        <v>0</v>
      </c>
      <c r="ER183" s="139">
        <f t="shared" si="176"/>
        <v>0</v>
      </c>
      <c r="ES183" s="139">
        <f t="shared" si="177"/>
        <v>0</v>
      </c>
      <c r="ET183" s="139">
        <f t="shared" si="178"/>
        <v>0</v>
      </c>
      <c r="EU183" s="139">
        <f t="shared" si="179"/>
        <v>0</v>
      </c>
      <c r="EV183" s="139">
        <f t="shared" si="180"/>
        <v>0</v>
      </c>
      <c r="EW183" s="139">
        <f t="shared" si="181"/>
        <v>0</v>
      </c>
      <c r="EX183" s="139">
        <f t="shared" si="182"/>
        <v>0</v>
      </c>
      <c r="EY183" s="139">
        <f t="shared" si="183"/>
        <v>0</v>
      </c>
      <c r="EZ183" s="139">
        <f t="shared" si="184"/>
        <v>0</v>
      </c>
      <c r="FA183" s="139">
        <f t="shared" si="185"/>
        <v>0</v>
      </c>
      <c r="FB183" s="139">
        <f t="shared" si="186"/>
        <v>0</v>
      </c>
      <c r="FC183" s="139">
        <f t="shared" si="187"/>
        <v>0</v>
      </c>
      <c r="FD183" s="139">
        <f t="shared" si="188"/>
        <v>0</v>
      </c>
      <c r="FE183" s="139">
        <f t="shared" si="189"/>
        <v>0</v>
      </c>
      <c r="FF183" s="139">
        <f t="shared" si="190"/>
        <v>0</v>
      </c>
      <c r="FG183" s="139">
        <f t="shared" si="191"/>
        <v>0</v>
      </c>
      <c r="FH183" s="139">
        <f t="shared" si="192"/>
        <v>0</v>
      </c>
      <c r="FI183" s="139">
        <f t="shared" si="193"/>
        <v>0</v>
      </c>
      <c r="FJ183" s="139">
        <f t="shared" si="194"/>
        <v>0</v>
      </c>
      <c r="FK183" s="139">
        <f t="shared" si="195"/>
        <v>0</v>
      </c>
      <c r="FL183" s="139">
        <f t="shared" si="196"/>
        <v>0</v>
      </c>
      <c r="FM183" s="139">
        <f t="shared" si="197"/>
        <v>0</v>
      </c>
      <c r="FN183" s="139">
        <f t="shared" si="198"/>
        <v>0</v>
      </c>
      <c r="FO183" s="139">
        <f t="shared" si="199"/>
        <v>0</v>
      </c>
      <c r="FP183" s="139">
        <f t="shared" si="200"/>
        <v>0</v>
      </c>
      <c r="FQ183" s="139">
        <f t="shared" si="201"/>
        <v>0</v>
      </c>
      <c r="FR183" s="139">
        <f t="shared" si="202"/>
        <v>0</v>
      </c>
      <c r="FS183" s="139">
        <f t="shared" si="203"/>
        <v>0</v>
      </c>
      <c r="FT183" s="139">
        <f t="shared" si="204"/>
        <v>0</v>
      </c>
      <c r="FU183" s="148">
        <f t="shared" si="205"/>
        <v>0</v>
      </c>
      <c r="FV183" s="149"/>
      <c r="FY183" s="213">
        <v>178</v>
      </c>
      <c r="FZ183">
        <v>2.1834373233262436</v>
      </c>
      <c r="GA183">
        <v>13.92721776210224</v>
      </c>
      <c r="GB183">
        <v>6.0112526807696236</v>
      </c>
      <c r="GC183">
        <v>2.4159546345609537</v>
      </c>
      <c r="GD183">
        <v>3.626465744669138</v>
      </c>
      <c r="GE183">
        <v>3.5939122541483632</v>
      </c>
      <c r="GF183">
        <v>0</v>
      </c>
      <c r="GG183">
        <v>1.437126344082132</v>
      </c>
      <c r="GH183">
        <v>1.8974553065553628</v>
      </c>
      <c r="GI183">
        <v>4.3962004170583198</v>
      </c>
      <c r="GJ183"/>
      <c r="GK183"/>
      <c r="GL183"/>
      <c r="GM183"/>
      <c r="GN183" s="208"/>
      <c r="GO183" s="208"/>
      <c r="GP183" s="208"/>
      <c r="GQ183" s="208"/>
      <c r="GR183" s="208"/>
      <c r="GS183" s="208"/>
      <c r="GT183" s="208"/>
      <c r="GU183" s="213">
        <v>178</v>
      </c>
    </row>
    <row r="184" spans="1:203" s="7" customFormat="1">
      <c r="A184" s="1"/>
      <c r="B184" s="76">
        <f ca="1">IF(C184="", "", RAND())</f>
        <v>0.30839743895724769</v>
      </c>
      <c r="C184">
        <v>6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23.667419678714861</v>
      </c>
      <c r="AO184">
        <v>7.6912138017796492</v>
      </c>
      <c r="AP184">
        <v>314.58807780596163</v>
      </c>
      <c r="AQ184">
        <v>46.449979671795035</v>
      </c>
      <c r="AR184">
        <v>7.0462838179318021</v>
      </c>
      <c r="AS184">
        <v>75.763435525324738</v>
      </c>
      <c r="AT184" t="e">
        <v>#DIV/0!</v>
      </c>
      <c r="AU184" t="e">
        <v>#DIV/0!</v>
      </c>
      <c r="AV184"/>
      <c r="AW184"/>
      <c r="AX184" s="146"/>
      <c r="AY184" s="76">
        <f t="shared" ca="1" si="171"/>
        <v>0.26192169212686434</v>
      </c>
      <c r="AZ184">
        <v>7</v>
      </c>
      <c r="BA184" s="129">
        <f t="shared" si="247"/>
        <v>39987</v>
      </c>
      <c r="BB184" s="207">
        <v>0</v>
      </c>
      <c r="BC184" s="207">
        <v>0</v>
      </c>
      <c r="BD184" s="207">
        <v>0</v>
      </c>
      <c r="BE184" s="207">
        <v>0</v>
      </c>
      <c r="BF184" s="207">
        <v>0</v>
      </c>
      <c r="BG184" s="207">
        <v>0</v>
      </c>
      <c r="BH184" s="207">
        <v>0</v>
      </c>
      <c r="BI184" s="207">
        <v>0</v>
      </c>
      <c r="BJ184" s="207">
        <v>0</v>
      </c>
      <c r="BK184" s="207">
        <v>0</v>
      </c>
      <c r="BL184" s="207">
        <v>0</v>
      </c>
      <c r="BM184" s="207">
        <v>0</v>
      </c>
      <c r="BN184" s="207">
        <v>0</v>
      </c>
      <c r="BO184" s="207">
        <v>0</v>
      </c>
      <c r="BP184" s="207">
        <v>0</v>
      </c>
      <c r="BQ184" s="207">
        <v>0</v>
      </c>
      <c r="BR184" s="207">
        <v>0</v>
      </c>
      <c r="BS184" s="207">
        <v>0</v>
      </c>
      <c r="BT184" s="207">
        <v>0</v>
      </c>
      <c r="BU184" s="207">
        <v>0</v>
      </c>
      <c r="BV184" s="207">
        <v>0</v>
      </c>
      <c r="BW184" s="207">
        <v>0</v>
      </c>
      <c r="BX184" s="207">
        <v>0</v>
      </c>
      <c r="BY184" s="207">
        <v>0</v>
      </c>
      <c r="BZ184" s="207">
        <v>0</v>
      </c>
      <c r="CA184" s="207">
        <v>0</v>
      </c>
      <c r="CB184" s="207">
        <v>0</v>
      </c>
      <c r="CC184" s="207">
        <v>0</v>
      </c>
      <c r="CD184" s="207">
        <v>0</v>
      </c>
      <c r="CE184" s="207">
        <v>0</v>
      </c>
      <c r="CF184" s="207">
        <v>0</v>
      </c>
      <c r="CG184" s="147"/>
      <c r="CH184" s="176"/>
      <c r="CJ184" s="146"/>
      <c r="CK184" s="76">
        <f t="shared" ca="1" si="206"/>
        <v>0.93337890587857153</v>
      </c>
      <c r="CL184" s="179">
        <f t="shared" si="207"/>
        <v>7</v>
      </c>
      <c r="CM184" s="180">
        <f t="shared" si="208"/>
        <v>39987</v>
      </c>
      <c r="CN184" s="208">
        <v>0</v>
      </c>
      <c r="CO184" s="208">
        <v>0</v>
      </c>
      <c r="CP184" s="208">
        <v>0</v>
      </c>
      <c r="CQ184" s="208">
        <v>0</v>
      </c>
      <c r="CR184" s="208">
        <v>0</v>
      </c>
      <c r="CS184" s="208">
        <v>0</v>
      </c>
      <c r="CT184" s="208">
        <v>0</v>
      </c>
      <c r="CU184" s="208">
        <v>0</v>
      </c>
      <c r="CV184" s="160"/>
      <c r="CW184">
        <v>1</v>
      </c>
      <c r="CX184">
        <f>350/51</f>
        <v>6.8627450980392153</v>
      </c>
      <c r="CY184" s="165"/>
      <c r="CZ184" s="177">
        <f t="shared" si="209"/>
        <v>9.6000000000000002E-2</v>
      </c>
      <c r="DB184" s="146"/>
      <c r="DC184" s="76">
        <f t="shared" ca="1" si="172"/>
        <v>0.16354103791951013</v>
      </c>
      <c r="DD184">
        <f t="shared" si="210"/>
        <v>7</v>
      </c>
      <c r="DE184" s="129">
        <f t="shared" si="246"/>
        <v>39987</v>
      </c>
      <c r="DF184" s="161">
        <f t="shared" si="211"/>
        <v>0</v>
      </c>
      <c r="DG184" s="161">
        <f t="shared" si="212"/>
        <v>0</v>
      </c>
      <c r="DH184" s="161">
        <f t="shared" si="213"/>
        <v>0</v>
      </c>
      <c r="DI184" s="161">
        <f t="shared" si="214"/>
        <v>0</v>
      </c>
      <c r="DJ184" s="161">
        <f t="shared" si="215"/>
        <v>0</v>
      </c>
      <c r="DK184" s="161">
        <f t="shared" si="216"/>
        <v>0</v>
      </c>
      <c r="DL184" s="161">
        <f t="shared" si="217"/>
        <v>0</v>
      </c>
      <c r="DM184" s="161">
        <f t="shared" si="218"/>
        <v>0</v>
      </c>
      <c r="DN184" s="161">
        <f t="shared" si="219"/>
        <v>0</v>
      </c>
      <c r="DO184" s="161">
        <f t="shared" si="220"/>
        <v>0</v>
      </c>
      <c r="DP184" s="161">
        <f t="shared" si="221"/>
        <v>0</v>
      </c>
      <c r="DQ184" s="161">
        <f t="shared" si="222"/>
        <v>0</v>
      </c>
      <c r="DR184" s="161">
        <f t="shared" si="223"/>
        <v>0</v>
      </c>
      <c r="DS184" s="161">
        <f t="shared" si="224"/>
        <v>0</v>
      </c>
      <c r="DT184" s="161">
        <f t="shared" si="225"/>
        <v>0</v>
      </c>
      <c r="DU184" s="161">
        <f t="shared" si="226"/>
        <v>0</v>
      </c>
      <c r="DV184" s="161">
        <f t="shared" si="227"/>
        <v>0</v>
      </c>
      <c r="DW184" s="161">
        <f t="shared" si="228"/>
        <v>0</v>
      </c>
      <c r="DX184" s="161">
        <f t="shared" si="229"/>
        <v>0</v>
      </c>
      <c r="DY184" s="161">
        <f t="shared" si="230"/>
        <v>0</v>
      </c>
      <c r="DZ184" s="161">
        <f t="shared" si="231"/>
        <v>0</v>
      </c>
      <c r="EA184" s="161">
        <f t="shared" si="232"/>
        <v>0</v>
      </c>
      <c r="EB184" s="161">
        <f t="shared" si="233"/>
        <v>0</v>
      </c>
      <c r="EC184" s="161">
        <f t="shared" si="234"/>
        <v>0</v>
      </c>
      <c r="ED184" s="161">
        <f t="shared" si="235"/>
        <v>0</v>
      </c>
      <c r="EE184" s="161">
        <f t="shared" si="236"/>
        <v>0</v>
      </c>
      <c r="EF184" s="161">
        <f t="shared" si="237"/>
        <v>0</v>
      </c>
      <c r="EG184" s="161">
        <f t="shared" si="238"/>
        <v>0</v>
      </c>
      <c r="EH184" s="161">
        <f t="shared" si="239"/>
        <v>0</v>
      </c>
      <c r="EI184" s="161">
        <f t="shared" si="240"/>
        <v>0</v>
      </c>
      <c r="EJ184" s="161">
        <f t="shared" si="241"/>
        <v>0</v>
      </c>
      <c r="EK184" s="147">
        <f t="shared" ref="EK184:EK207" si="248">IF(DF184="", "", SUM(DF184:EJ184))</f>
        <v>0</v>
      </c>
      <c r="EL184" s="149"/>
      <c r="EN184" s="146"/>
      <c r="EO184" s="146"/>
      <c r="EP184" s="139">
        <f t="shared" ref="EP184:EP207" si="249">IF(DF184="", "", DF184*G$36)</f>
        <v>0</v>
      </c>
      <c r="EQ184" s="139">
        <f t="shared" ref="EQ184:EQ207" si="250">IF(DG184="", "", DG184*H$36)</f>
        <v>0</v>
      </c>
      <c r="ER184" s="139">
        <f t="shared" ref="ER184:ER207" si="251">IF(DH184="", "", DH184*I$36)</f>
        <v>0</v>
      </c>
      <c r="ES184" s="139">
        <f t="shared" ref="ES184:ES207" si="252">IF(DI184="", "", DI184*J$36)</f>
        <v>0</v>
      </c>
      <c r="ET184" s="139">
        <f t="shared" ref="ET184:ET207" si="253">IF(DJ184="", "", DJ184*K$36)</f>
        <v>0</v>
      </c>
      <c r="EU184" s="139">
        <f t="shared" ref="EU184:EU207" si="254">IF(DK184="", "", DK184*L$36)</f>
        <v>0</v>
      </c>
      <c r="EV184" s="139">
        <f t="shared" ref="EV184:EV207" si="255">IF(DL184="", "", DL184*M$36)</f>
        <v>0</v>
      </c>
      <c r="EW184" s="139">
        <f t="shared" ref="EW184:EW207" si="256">IF(DM184="", "", DM184*N$36)</f>
        <v>0</v>
      </c>
      <c r="EX184" s="139">
        <f t="shared" ref="EX184:EX207" si="257">IF(DN184="", "", DN184*O$36)</f>
        <v>0</v>
      </c>
      <c r="EY184" s="139">
        <f t="shared" ref="EY184:EY207" si="258">IF(DO184="", "", DO184*P$36)</f>
        <v>0</v>
      </c>
      <c r="EZ184" s="139">
        <f t="shared" ref="EZ184:EZ207" si="259">IF(DP184="", "", DP184*Q$36)</f>
        <v>0</v>
      </c>
      <c r="FA184" s="139">
        <f t="shared" ref="FA184:FA207" si="260">IF(DQ184="", "", DQ184*R$36)</f>
        <v>0</v>
      </c>
      <c r="FB184" s="139">
        <f t="shared" ref="FB184:FB207" si="261">IF(DR184="", "", DR184*S$36)</f>
        <v>0</v>
      </c>
      <c r="FC184" s="139">
        <f t="shared" ref="FC184:FC207" si="262">IF(DS184="", "", DS184*T$36)</f>
        <v>0</v>
      </c>
      <c r="FD184" s="139">
        <f t="shared" ref="FD184:FD207" si="263">IF(DT184="", "", DT184*U$36)</f>
        <v>0</v>
      </c>
      <c r="FE184" s="139">
        <f t="shared" ref="FE184:FE207" si="264">IF(DU184="", "", DU184*V$36)</f>
        <v>0</v>
      </c>
      <c r="FF184" s="139">
        <f t="shared" ref="FF184:FF207" si="265">IF(DV184="", "", DV184*W$36)</f>
        <v>0</v>
      </c>
      <c r="FG184" s="139">
        <f t="shared" ref="FG184:FG207" si="266">IF(DW184="", "", DW184*X$36)</f>
        <v>0</v>
      </c>
      <c r="FH184" s="139">
        <f t="shared" ref="FH184:FH207" si="267">IF(DX184="", "", DX184*Y$36)</f>
        <v>0</v>
      </c>
      <c r="FI184" s="139">
        <f t="shared" ref="FI184:FI207" si="268">IF(DY184="", "", DY184*Z$36)</f>
        <v>0</v>
      </c>
      <c r="FJ184" s="139">
        <f t="shared" ref="FJ184:FJ207" si="269">IF(DZ184="", "", DZ184*AA$36)</f>
        <v>0</v>
      </c>
      <c r="FK184" s="139">
        <f t="shared" ref="FK184:FK207" si="270">IF(EA184="", "", EA184*AB$36)</f>
        <v>0</v>
      </c>
      <c r="FL184" s="139">
        <f t="shared" ref="FL184:FL207" si="271">IF(EB184="", "", EB184*AC$36)</f>
        <v>0</v>
      </c>
      <c r="FM184" s="139">
        <f t="shared" ref="FM184:FM207" si="272">IF(EC184="", "", EC184*AD$36)</f>
        <v>0</v>
      </c>
      <c r="FN184" s="139">
        <f t="shared" ref="FN184:FN207" si="273">IF(ED184="", "", ED184*AE$36)</f>
        <v>0</v>
      </c>
      <c r="FO184" s="139">
        <f t="shared" ref="FO184:FO207" si="274">IF(EE184="", "", EE184*AF$36)</f>
        <v>0</v>
      </c>
      <c r="FP184" s="139">
        <f t="shared" ref="FP184:FP207" si="275">IF(EF184="", "", EF184*AG$36)</f>
        <v>0</v>
      </c>
      <c r="FQ184" s="139">
        <f t="shared" ref="FQ184:FQ207" si="276">IF(EG184="", "", EG184*AH$36)</f>
        <v>0</v>
      </c>
      <c r="FR184" s="139">
        <f t="shared" ref="FR184:FR207" si="277">IF(EH184="", "", EH184*AI$36)</f>
        <v>0</v>
      </c>
      <c r="FS184" s="139">
        <f t="shared" ref="FS184:FS207" si="278">IF(EI184="", "", EI184*AJ$36)</f>
        <v>0</v>
      </c>
      <c r="FT184" s="139">
        <f t="shared" ref="FT184:FT207" si="279">IF(EJ184="", "", EJ184*AK$36)</f>
        <v>0</v>
      </c>
      <c r="FU184" s="148">
        <f t="shared" ref="FU184:FU207" si="280">IF(EP184="","",SUM(EP184:FT184))</f>
        <v>0</v>
      </c>
      <c r="FV184" s="149"/>
      <c r="FY184" s="213">
        <v>179</v>
      </c>
      <c r="FZ184">
        <v>4.3668746466524873</v>
      </c>
      <c r="GA184">
        <v>20.911225196710813</v>
      </c>
      <c r="GB184">
        <v>8.5149028234094395</v>
      </c>
      <c r="GC184">
        <v>2.1834917544872772</v>
      </c>
      <c r="GD184">
        <v>2.2130703184509342</v>
      </c>
      <c r="GE184">
        <v>1.0813759739942308</v>
      </c>
      <c r="GF184">
        <v>0</v>
      </c>
      <c r="GG184">
        <v>4.0766958033527283</v>
      </c>
      <c r="GH184">
        <v>5.7051623244525604</v>
      </c>
      <c r="GI184">
        <v>5.0004592169843729</v>
      </c>
      <c r="GJ184"/>
      <c r="GK184"/>
      <c r="GL184"/>
      <c r="GM184"/>
      <c r="GN184" s="208"/>
      <c r="GO184" s="208"/>
      <c r="GP184" s="208"/>
      <c r="GQ184" s="208"/>
      <c r="GR184" s="208"/>
      <c r="GS184" s="208"/>
      <c r="GT184" s="208"/>
      <c r="GU184" s="213">
        <v>179</v>
      </c>
    </row>
    <row r="185" spans="1:203" s="7" customFormat="1">
      <c r="A185" s="1"/>
      <c r="B185" s="76">
        <f ca="1">IF(C185="", "", RAND())</f>
        <v>9.6993151008130774E-2</v>
      </c>
      <c r="C185">
        <v>3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45.109469487143976</v>
      </c>
      <c r="AO185">
        <v>8.6469442825626501</v>
      </c>
      <c r="AP185">
        <v>193.83940541151702</v>
      </c>
      <c r="AQ185">
        <v>58.37386616612369</v>
      </c>
      <c r="AR185">
        <v>7.9694009804121038</v>
      </c>
      <c r="AS185">
        <v>104.56274297756619</v>
      </c>
      <c r="AT185" t="e">
        <v>#DIV/0!</v>
      </c>
      <c r="AU185" t="e">
        <v>#DIV/0!</v>
      </c>
      <c r="AV185"/>
      <c r="AW185"/>
      <c r="AX185" s="146"/>
      <c r="AY185" s="76">
        <f t="shared" ca="1" si="171"/>
        <v>0.6840349339268057</v>
      </c>
      <c r="AZ185">
        <v>8</v>
      </c>
      <c r="BA185" s="129">
        <f t="shared" si="247"/>
        <v>39987</v>
      </c>
      <c r="BB185" s="207">
        <v>0</v>
      </c>
      <c r="BC185" s="207">
        <v>0</v>
      </c>
      <c r="BD185" s="207">
        <v>0</v>
      </c>
      <c r="BE185" s="207">
        <v>0</v>
      </c>
      <c r="BF185" s="207">
        <v>0</v>
      </c>
      <c r="BG185" s="207">
        <v>0</v>
      </c>
      <c r="BH185" s="207">
        <v>0</v>
      </c>
      <c r="BI185" s="207">
        <v>0</v>
      </c>
      <c r="BJ185" s="207">
        <v>0</v>
      </c>
      <c r="BK185" s="207">
        <v>0</v>
      </c>
      <c r="BL185" s="207">
        <v>0</v>
      </c>
      <c r="BM185" s="207">
        <v>0</v>
      </c>
      <c r="BN185" s="207">
        <v>0</v>
      </c>
      <c r="BO185" s="207">
        <v>0</v>
      </c>
      <c r="BP185" s="207">
        <v>0</v>
      </c>
      <c r="BQ185" s="207">
        <v>0</v>
      </c>
      <c r="BR185" s="207">
        <v>0</v>
      </c>
      <c r="BS185" s="207">
        <v>0</v>
      </c>
      <c r="BT185" s="207">
        <v>0</v>
      </c>
      <c r="BU185" s="207">
        <v>0</v>
      </c>
      <c r="BV185" s="207">
        <v>0</v>
      </c>
      <c r="BW185" s="207">
        <v>0</v>
      </c>
      <c r="BX185" s="207">
        <v>0</v>
      </c>
      <c r="BY185" s="207">
        <v>0</v>
      </c>
      <c r="BZ185" s="207">
        <v>0</v>
      </c>
      <c r="CA185" s="207">
        <v>0</v>
      </c>
      <c r="CB185" s="207">
        <v>0</v>
      </c>
      <c r="CC185" s="207">
        <v>0</v>
      </c>
      <c r="CD185" s="207">
        <v>0</v>
      </c>
      <c r="CE185" s="207">
        <v>0</v>
      </c>
      <c r="CF185" s="207">
        <v>0</v>
      </c>
      <c r="CG185" s="147"/>
      <c r="CH185" s="176"/>
      <c r="CJ185" s="146"/>
      <c r="CK185" s="76">
        <f t="shared" ca="1" si="206"/>
        <v>0.3642959326675026</v>
      </c>
      <c r="CL185" s="179">
        <f t="shared" si="207"/>
        <v>8</v>
      </c>
      <c r="CM185" s="180">
        <f t="shared" si="208"/>
        <v>39987</v>
      </c>
      <c r="CN185" s="208">
        <v>0</v>
      </c>
      <c r="CO185" s="208">
        <v>0</v>
      </c>
      <c r="CP185" s="208">
        <v>0</v>
      </c>
      <c r="CQ185" s="208">
        <v>0</v>
      </c>
      <c r="CR185" s="208">
        <v>0</v>
      </c>
      <c r="CS185" s="208">
        <v>0</v>
      </c>
      <c r="CT185" s="208">
        <v>0</v>
      </c>
      <c r="CU185" s="208">
        <v>0</v>
      </c>
      <c r="CV185" s="160"/>
      <c r="CW185">
        <v>1</v>
      </c>
      <c r="CX185">
        <f>350/65</f>
        <v>5.384615384615385</v>
      </c>
      <c r="CY185" s="165"/>
      <c r="CZ185" s="177">
        <f t="shared" si="209"/>
        <v>9.6000000000000002E-2</v>
      </c>
      <c r="DB185" s="146"/>
      <c r="DC185" s="76">
        <f t="shared" ca="1" si="172"/>
        <v>0.95415958036979487</v>
      </c>
      <c r="DD185">
        <f t="shared" si="210"/>
        <v>8</v>
      </c>
      <c r="DE185" s="129">
        <f t="shared" si="246"/>
        <v>39987</v>
      </c>
      <c r="DF185" s="161">
        <f t="shared" si="211"/>
        <v>0</v>
      </c>
      <c r="DG185" s="161">
        <f t="shared" si="212"/>
        <v>0</v>
      </c>
      <c r="DH185" s="161">
        <f t="shared" si="213"/>
        <v>0</v>
      </c>
      <c r="DI185" s="161">
        <f t="shared" si="214"/>
        <v>0</v>
      </c>
      <c r="DJ185" s="161">
        <f t="shared" si="215"/>
        <v>0</v>
      </c>
      <c r="DK185" s="161">
        <f t="shared" si="216"/>
        <v>0</v>
      </c>
      <c r="DL185" s="161">
        <f t="shared" si="217"/>
        <v>0</v>
      </c>
      <c r="DM185" s="161">
        <f t="shared" si="218"/>
        <v>0</v>
      </c>
      <c r="DN185" s="161">
        <f t="shared" si="219"/>
        <v>0</v>
      </c>
      <c r="DO185" s="161">
        <f t="shared" si="220"/>
        <v>0</v>
      </c>
      <c r="DP185" s="161">
        <f t="shared" si="221"/>
        <v>0</v>
      </c>
      <c r="DQ185" s="161">
        <f t="shared" si="222"/>
        <v>0</v>
      </c>
      <c r="DR185" s="161">
        <f t="shared" si="223"/>
        <v>0</v>
      </c>
      <c r="DS185" s="161">
        <f t="shared" si="224"/>
        <v>0</v>
      </c>
      <c r="DT185" s="161">
        <f t="shared" si="225"/>
        <v>0</v>
      </c>
      <c r="DU185" s="161">
        <f t="shared" si="226"/>
        <v>0</v>
      </c>
      <c r="DV185" s="161">
        <f t="shared" si="227"/>
        <v>0</v>
      </c>
      <c r="DW185" s="161">
        <f t="shared" si="228"/>
        <v>0</v>
      </c>
      <c r="DX185" s="161">
        <f t="shared" si="229"/>
        <v>0</v>
      </c>
      <c r="DY185" s="161">
        <f t="shared" si="230"/>
        <v>0</v>
      </c>
      <c r="DZ185" s="161">
        <f t="shared" si="231"/>
        <v>0</v>
      </c>
      <c r="EA185" s="161">
        <f t="shared" si="232"/>
        <v>0</v>
      </c>
      <c r="EB185" s="161">
        <f t="shared" si="233"/>
        <v>0</v>
      </c>
      <c r="EC185" s="161">
        <f t="shared" si="234"/>
        <v>0</v>
      </c>
      <c r="ED185" s="161">
        <f t="shared" si="235"/>
        <v>0</v>
      </c>
      <c r="EE185" s="161">
        <f t="shared" si="236"/>
        <v>0</v>
      </c>
      <c r="EF185" s="161">
        <f t="shared" si="237"/>
        <v>0</v>
      </c>
      <c r="EG185" s="161">
        <f t="shared" si="238"/>
        <v>0</v>
      </c>
      <c r="EH185" s="161">
        <f t="shared" si="239"/>
        <v>0</v>
      </c>
      <c r="EI185" s="161">
        <f t="shared" si="240"/>
        <v>0</v>
      </c>
      <c r="EJ185" s="161">
        <f t="shared" si="241"/>
        <v>0</v>
      </c>
      <c r="EK185" s="147">
        <f t="shared" si="248"/>
        <v>0</v>
      </c>
      <c r="EL185" s="149"/>
      <c r="EN185" s="146"/>
      <c r="EO185" s="146"/>
      <c r="EP185" s="139">
        <f t="shared" si="249"/>
        <v>0</v>
      </c>
      <c r="EQ185" s="139">
        <f t="shared" si="250"/>
        <v>0</v>
      </c>
      <c r="ER185" s="139">
        <f t="shared" si="251"/>
        <v>0</v>
      </c>
      <c r="ES185" s="139">
        <f t="shared" si="252"/>
        <v>0</v>
      </c>
      <c r="ET185" s="139">
        <f t="shared" si="253"/>
        <v>0</v>
      </c>
      <c r="EU185" s="139">
        <f t="shared" si="254"/>
        <v>0</v>
      </c>
      <c r="EV185" s="139">
        <f t="shared" si="255"/>
        <v>0</v>
      </c>
      <c r="EW185" s="139">
        <f t="shared" si="256"/>
        <v>0</v>
      </c>
      <c r="EX185" s="139">
        <f t="shared" si="257"/>
        <v>0</v>
      </c>
      <c r="EY185" s="139">
        <f t="shared" si="258"/>
        <v>0</v>
      </c>
      <c r="EZ185" s="139">
        <f t="shared" si="259"/>
        <v>0</v>
      </c>
      <c r="FA185" s="139">
        <f t="shared" si="260"/>
        <v>0</v>
      </c>
      <c r="FB185" s="139">
        <f t="shared" si="261"/>
        <v>0</v>
      </c>
      <c r="FC185" s="139">
        <f t="shared" si="262"/>
        <v>0</v>
      </c>
      <c r="FD185" s="139">
        <f t="shared" si="263"/>
        <v>0</v>
      </c>
      <c r="FE185" s="139">
        <f t="shared" si="264"/>
        <v>0</v>
      </c>
      <c r="FF185" s="139">
        <f t="shared" si="265"/>
        <v>0</v>
      </c>
      <c r="FG185" s="139">
        <f t="shared" si="266"/>
        <v>0</v>
      </c>
      <c r="FH185" s="139">
        <f t="shared" si="267"/>
        <v>0</v>
      </c>
      <c r="FI185" s="139">
        <f t="shared" si="268"/>
        <v>0</v>
      </c>
      <c r="FJ185" s="139">
        <f t="shared" si="269"/>
        <v>0</v>
      </c>
      <c r="FK185" s="139">
        <f t="shared" si="270"/>
        <v>0</v>
      </c>
      <c r="FL185" s="139">
        <f t="shared" si="271"/>
        <v>0</v>
      </c>
      <c r="FM185" s="139">
        <f t="shared" si="272"/>
        <v>0</v>
      </c>
      <c r="FN185" s="139">
        <f t="shared" si="273"/>
        <v>0</v>
      </c>
      <c r="FO185" s="139">
        <f t="shared" si="274"/>
        <v>0</v>
      </c>
      <c r="FP185" s="139">
        <f t="shared" si="275"/>
        <v>0</v>
      </c>
      <c r="FQ185" s="139">
        <f t="shared" si="276"/>
        <v>0</v>
      </c>
      <c r="FR185" s="139">
        <f t="shared" si="277"/>
        <v>0</v>
      </c>
      <c r="FS185" s="139">
        <f t="shared" si="278"/>
        <v>0</v>
      </c>
      <c r="FT185" s="139">
        <f t="shared" si="279"/>
        <v>0</v>
      </c>
      <c r="FU185" s="148">
        <f t="shared" si="280"/>
        <v>0</v>
      </c>
      <c r="FV185" s="149"/>
      <c r="FY185" s="213">
        <v>180</v>
      </c>
      <c r="FZ185">
        <v>3.3577595644647293</v>
      </c>
      <c r="GA185">
        <v>17.310166600835451</v>
      </c>
      <c r="GB185">
        <v>7.5400654247462846</v>
      </c>
      <c r="GC185">
        <v>1.1752886190159173</v>
      </c>
      <c r="GD185">
        <v>1.7222606558999991</v>
      </c>
      <c r="GE185">
        <v>1.9501089156181792</v>
      </c>
      <c r="GF185">
        <v>0.47734812494006024</v>
      </c>
      <c r="GG185">
        <v>1.5731625858648244</v>
      </c>
      <c r="GH185">
        <v>2.295816042059438</v>
      </c>
      <c r="GI185">
        <v>3.9065224575775059</v>
      </c>
      <c r="GJ185"/>
      <c r="GK185"/>
      <c r="GL185"/>
      <c r="GM185"/>
      <c r="GN185" s="208"/>
      <c r="GO185" s="208"/>
      <c r="GP185" s="208"/>
      <c r="GQ185" s="208"/>
      <c r="GR185" s="208"/>
      <c r="GS185" s="208"/>
      <c r="GT185" s="208"/>
      <c r="GU185" s="213">
        <v>180</v>
      </c>
    </row>
    <row r="186" spans="1:203" s="7" customFormat="1">
      <c r="A186" s="1"/>
      <c r="B186" s="76">
        <f ca="1">IF(C186="", "", RAND())</f>
        <v>7.0237645336501231E-2</v>
      </c>
      <c r="C186">
        <v>7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26.744886153810643</v>
      </c>
      <c r="AO186">
        <v>10.345304535670294</v>
      </c>
      <c r="AP186">
        <v>534.73381316419159</v>
      </c>
      <c r="AQ186">
        <v>69.363333167142969</v>
      </c>
      <c r="AR186">
        <v>9.4048223051548128</v>
      </c>
      <c r="AS186">
        <v>91.13163435152741</v>
      </c>
      <c r="AT186" t="e">
        <v>#DIV/0!</v>
      </c>
      <c r="AU186" t="e">
        <v>#DIV/0!</v>
      </c>
      <c r="AV186"/>
      <c r="AW186"/>
      <c r="AX186" s="146"/>
      <c r="AY186" s="76">
        <f t="shared" ca="1" si="171"/>
        <v>8.1992598177689668E-2</v>
      </c>
      <c r="AZ186">
        <v>9</v>
      </c>
      <c r="BA186" s="129">
        <f t="shared" si="247"/>
        <v>39987</v>
      </c>
      <c r="BB186" s="207">
        <v>0</v>
      </c>
      <c r="BC186" s="207">
        <v>0</v>
      </c>
      <c r="BD186" s="207">
        <v>0</v>
      </c>
      <c r="BE186" s="207">
        <v>0</v>
      </c>
      <c r="BF186" s="207">
        <v>0</v>
      </c>
      <c r="BG186" s="207">
        <v>0</v>
      </c>
      <c r="BH186" s="207">
        <v>0</v>
      </c>
      <c r="BI186" s="207">
        <v>0</v>
      </c>
      <c r="BJ186" s="207">
        <v>0</v>
      </c>
      <c r="BK186" s="207">
        <v>0</v>
      </c>
      <c r="BL186" s="207">
        <v>0</v>
      </c>
      <c r="BM186" s="207">
        <v>0</v>
      </c>
      <c r="BN186" s="207">
        <v>0</v>
      </c>
      <c r="BO186" s="207">
        <v>0</v>
      </c>
      <c r="BP186" s="207">
        <v>0</v>
      </c>
      <c r="BQ186" s="207">
        <v>0</v>
      </c>
      <c r="BR186" s="207">
        <v>0</v>
      </c>
      <c r="BS186" s="207">
        <v>0</v>
      </c>
      <c r="BT186" s="207">
        <v>0</v>
      </c>
      <c r="BU186" s="207">
        <v>0</v>
      </c>
      <c r="BV186" s="207">
        <v>0</v>
      </c>
      <c r="BW186" s="207">
        <v>0</v>
      </c>
      <c r="BX186" s="207">
        <v>0</v>
      </c>
      <c r="BY186" s="207">
        <v>0</v>
      </c>
      <c r="BZ186" s="207">
        <v>0</v>
      </c>
      <c r="CA186" s="207">
        <v>0</v>
      </c>
      <c r="CB186" s="207">
        <v>0</v>
      </c>
      <c r="CC186" s="207">
        <v>0</v>
      </c>
      <c r="CD186" s="207">
        <v>0</v>
      </c>
      <c r="CE186" s="207">
        <v>0</v>
      </c>
      <c r="CF186" s="207">
        <v>0</v>
      </c>
      <c r="CG186" s="147"/>
      <c r="CH186" s="176"/>
      <c r="CJ186" s="146"/>
      <c r="CK186" s="76">
        <f t="shared" ca="1" si="206"/>
        <v>0.18323535554059123</v>
      </c>
      <c r="CL186" s="179">
        <f t="shared" si="207"/>
        <v>9</v>
      </c>
      <c r="CM186" s="180">
        <f t="shared" si="208"/>
        <v>39987</v>
      </c>
      <c r="CN186" s="208">
        <v>0</v>
      </c>
      <c r="CO186" s="208">
        <v>0</v>
      </c>
      <c r="CP186" s="208">
        <v>0</v>
      </c>
      <c r="CQ186" s="208">
        <v>0</v>
      </c>
      <c r="CR186" s="208">
        <v>0</v>
      </c>
      <c r="CS186" s="208">
        <v>0</v>
      </c>
      <c r="CT186" s="208">
        <v>0</v>
      </c>
      <c r="CU186" s="208">
        <v>0</v>
      </c>
      <c r="CV186" s="160"/>
      <c r="CW186">
        <v>1</v>
      </c>
      <c r="CX186">
        <f>350/52</f>
        <v>6.7307692307692308</v>
      </c>
      <c r="CY186" s="165"/>
      <c r="CZ186" s="177">
        <f t="shared" si="209"/>
        <v>9.6000000000000002E-2</v>
      </c>
      <c r="DB186" s="146"/>
      <c r="DC186" s="76">
        <f t="shared" ca="1" si="172"/>
        <v>0.40570125335393947</v>
      </c>
      <c r="DD186">
        <f t="shared" si="210"/>
        <v>9</v>
      </c>
      <c r="DE186" s="129">
        <f t="shared" si="246"/>
        <v>39987</v>
      </c>
      <c r="DF186" s="161">
        <f t="shared" si="211"/>
        <v>0</v>
      </c>
      <c r="DG186" s="161">
        <f t="shared" si="212"/>
        <v>0</v>
      </c>
      <c r="DH186" s="161">
        <f t="shared" si="213"/>
        <v>0</v>
      </c>
      <c r="DI186" s="161">
        <f t="shared" si="214"/>
        <v>0</v>
      </c>
      <c r="DJ186" s="161">
        <f t="shared" si="215"/>
        <v>0</v>
      </c>
      <c r="DK186" s="161">
        <f t="shared" si="216"/>
        <v>0</v>
      </c>
      <c r="DL186" s="161">
        <f t="shared" si="217"/>
        <v>0</v>
      </c>
      <c r="DM186" s="161">
        <f t="shared" si="218"/>
        <v>0</v>
      </c>
      <c r="DN186" s="161">
        <f t="shared" si="219"/>
        <v>0</v>
      </c>
      <c r="DO186" s="161">
        <f t="shared" si="220"/>
        <v>0</v>
      </c>
      <c r="DP186" s="161">
        <f t="shared" si="221"/>
        <v>0</v>
      </c>
      <c r="DQ186" s="161">
        <f t="shared" si="222"/>
        <v>0</v>
      </c>
      <c r="DR186" s="161">
        <f t="shared" si="223"/>
        <v>0</v>
      </c>
      <c r="DS186" s="161">
        <f t="shared" si="224"/>
        <v>0</v>
      </c>
      <c r="DT186" s="161">
        <f t="shared" si="225"/>
        <v>0</v>
      </c>
      <c r="DU186" s="161">
        <f t="shared" si="226"/>
        <v>0</v>
      </c>
      <c r="DV186" s="161">
        <f t="shared" si="227"/>
        <v>0</v>
      </c>
      <c r="DW186" s="161">
        <f t="shared" si="228"/>
        <v>0</v>
      </c>
      <c r="DX186" s="161">
        <f t="shared" si="229"/>
        <v>0</v>
      </c>
      <c r="DY186" s="161">
        <f t="shared" si="230"/>
        <v>0</v>
      </c>
      <c r="DZ186" s="161">
        <f t="shared" si="231"/>
        <v>0</v>
      </c>
      <c r="EA186" s="161">
        <f t="shared" si="232"/>
        <v>0</v>
      </c>
      <c r="EB186" s="161">
        <f t="shared" si="233"/>
        <v>0</v>
      </c>
      <c r="EC186" s="161">
        <f t="shared" si="234"/>
        <v>0</v>
      </c>
      <c r="ED186" s="161">
        <f t="shared" si="235"/>
        <v>0</v>
      </c>
      <c r="EE186" s="161">
        <f t="shared" si="236"/>
        <v>0</v>
      </c>
      <c r="EF186" s="161">
        <f t="shared" si="237"/>
        <v>0</v>
      </c>
      <c r="EG186" s="161">
        <f t="shared" si="238"/>
        <v>0</v>
      </c>
      <c r="EH186" s="161">
        <f t="shared" si="239"/>
        <v>0</v>
      </c>
      <c r="EI186" s="161">
        <f t="shared" si="240"/>
        <v>0</v>
      </c>
      <c r="EJ186" s="161">
        <f t="shared" si="241"/>
        <v>0</v>
      </c>
      <c r="EK186" s="147">
        <f t="shared" si="248"/>
        <v>0</v>
      </c>
      <c r="EL186" s="149"/>
      <c r="EN186" s="146"/>
      <c r="EO186" s="146"/>
      <c r="EP186" s="139">
        <f t="shared" si="249"/>
        <v>0</v>
      </c>
      <c r="EQ186" s="139">
        <f t="shared" si="250"/>
        <v>0</v>
      </c>
      <c r="ER186" s="139">
        <f t="shared" si="251"/>
        <v>0</v>
      </c>
      <c r="ES186" s="139">
        <f t="shared" si="252"/>
        <v>0</v>
      </c>
      <c r="ET186" s="139">
        <f t="shared" si="253"/>
        <v>0</v>
      </c>
      <c r="EU186" s="139">
        <f t="shared" si="254"/>
        <v>0</v>
      </c>
      <c r="EV186" s="139">
        <f t="shared" si="255"/>
        <v>0</v>
      </c>
      <c r="EW186" s="139">
        <f t="shared" si="256"/>
        <v>0</v>
      </c>
      <c r="EX186" s="139">
        <f t="shared" si="257"/>
        <v>0</v>
      </c>
      <c r="EY186" s="139">
        <f t="shared" si="258"/>
        <v>0</v>
      </c>
      <c r="EZ186" s="139">
        <f t="shared" si="259"/>
        <v>0</v>
      </c>
      <c r="FA186" s="139">
        <f t="shared" si="260"/>
        <v>0</v>
      </c>
      <c r="FB186" s="139">
        <f t="shared" si="261"/>
        <v>0</v>
      </c>
      <c r="FC186" s="139">
        <f t="shared" si="262"/>
        <v>0</v>
      </c>
      <c r="FD186" s="139">
        <f t="shared" si="263"/>
        <v>0</v>
      </c>
      <c r="FE186" s="139">
        <f t="shared" si="264"/>
        <v>0</v>
      </c>
      <c r="FF186" s="139">
        <f t="shared" si="265"/>
        <v>0</v>
      </c>
      <c r="FG186" s="139">
        <f t="shared" si="266"/>
        <v>0</v>
      </c>
      <c r="FH186" s="139">
        <f t="shared" si="267"/>
        <v>0</v>
      </c>
      <c r="FI186" s="139">
        <f t="shared" si="268"/>
        <v>0</v>
      </c>
      <c r="FJ186" s="139">
        <f t="shared" si="269"/>
        <v>0</v>
      </c>
      <c r="FK186" s="139">
        <f t="shared" si="270"/>
        <v>0</v>
      </c>
      <c r="FL186" s="139">
        <f t="shared" si="271"/>
        <v>0</v>
      </c>
      <c r="FM186" s="139">
        <f t="shared" si="272"/>
        <v>0</v>
      </c>
      <c r="FN186" s="139">
        <f t="shared" si="273"/>
        <v>0</v>
      </c>
      <c r="FO186" s="139">
        <f t="shared" si="274"/>
        <v>0</v>
      </c>
      <c r="FP186" s="139">
        <f t="shared" si="275"/>
        <v>0</v>
      </c>
      <c r="FQ186" s="139">
        <f t="shared" si="276"/>
        <v>0</v>
      </c>
      <c r="FR186" s="139">
        <f t="shared" si="277"/>
        <v>0</v>
      </c>
      <c r="FS186" s="139">
        <f t="shared" si="278"/>
        <v>0</v>
      </c>
      <c r="FT186" s="139">
        <f t="shared" si="279"/>
        <v>0</v>
      </c>
      <c r="FU186" s="148">
        <f t="shared" si="280"/>
        <v>0</v>
      </c>
      <c r="FV186" s="149"/>
      <c r="FY186" s="213">
        <v>181</v>
      </c>
      <c r="FZ186">
        <v>2.1834373233262436</v>
      </c>
      <c r="GA186">
        <v>18.726759414229431</v>
      </c>
      <c r="GB186">
        <v>8.494368066475138</v>
      </c>
      <c r="GC186">
        <v>1.0020405114277708</v>
      </c>
      <c r="GD186">
        <v>1.4887173112743159</v>
      </c>
      <c r="GE186">
        <v>1.7504414040591776</v>
      </c>
      <c r="GF186">
        <v>0.47734812494006024</v>
      </c>
      <c r="GG186">
        <v>4.8262265142285186</v>
      </c>
      <c r="GH186">
        <v>7.0280305487024703</v>
      </c>
      <c r="GI186">
        <v>4.61678036114</v>
      </c>
      <c r="GJ186"/>
      <c r="GK186"/>
      <c r="GL186"/>
      <c r="GM186"/>
      <c r="GN186" s="208"/>
      <c r="GO186" s="208"/>
      <c r="GP186" s="208"/>
      <c r="GQ186" s="208"/>
      <c r="GR186" s="208"/>
      <c r="GS186" s="208"/>
      <c r="GT186" s="208"/>
      <c r="GU186" s="213">
        <v>181</v>
      </c>
    </row>
    <row r="187" spans="1:203" s="7" customFormat="1">
      <c r="A187" s="1"/>
      <c r="B187" s="76">
        <f ca="1">IF(C187="", "", RAND())</f>
        <v>0.9376739343231304</v>
      </c>
      <c r="C187">
        <v>5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33.947267106191603</v>
      </c>
      <c r="AO187">
        <v>4.0385011923780105</v>
      </c>
      <c r="AP187">
        <v>166.50340565379446</v>
      </c>
      <c r="AQ187">
        <v>23.12324567963023</v>
      </c>
      <c r="AR187">
        <v>3.6713647203436452</v>
      </c>
      <c r="AS187">
        <v>65.319199592726108</v>
      </c>
      <c r="AT187" t="e">
        <v>#DIV/0!</v>
      </c>
      <c r="AU187" t="e">
        <v>#DIV/0!</v>
      </c>
      <c r="AV187"/>
      <c r="AW187"/>
      <c r="AX187" s="146"/>
      <c r="AY187" s="76">
        <f t="shared" ca="1" si="171"/>
        <v>0.27635432103483559</v>
      </c>
      <c r="AZ187">
        <v>10</v>
      </c>
      <c r="BA187" s="129">
        <f t="shared" si="247"/>
        <v>39987</v>
      </c>
      <c r="BB187" s="207">
        <v>0</v>
      </c>
      <c r="BC187" s="207">
        <v>0</v>
      </c>
      <c r="BD187" s="207">
        <v>0</v>
      </c>
      <c r="BE187" s="207">
        <v>0</v>
      </c>
      <c r="BF187" s="207">
        <v>0</v>
      </c>
      <c r="BG187" s="207">
        <v>0</v>
      </c>
      <c r="BH187" s="207">
        <v>0</v>
      </c>
      <c r="BI187" s="207">
        <v>0</v>
      </c>
      <c r="BJ187" s="207">
        <v>0</v>
      </c>
      <c r="BK187" s="207">
        <v>0</v>
      </c>
      <c r="BL187" s="207">
        <v>0</v>
      </c>
      <c r="BM187" s="207">
        <v>0</v>
      </c>
      <c r="BN187" s="207">
        <v>0</v>
      </c>
      <c r="BO187" s="207">
        <v>0</v>
      </c>
      <c r="BP187" s="207">
        <v>0</v>
      </c>
      <c r="BQ187" s="207">
        <v>0</v>
      </c>
      <c r="BR187" s="207">
        <v>0</v>
      </c>
      <c r="BS187" s="207">
        <v>0</v>
      </c>
      <c r="BT187" s="207">
        <v>0</v>
      </c>
      <c r="BU187" s="207">
        <v>0</v>
      </c>
      <c r="BV187" s="207">
        <v>0</v>
      </c>
      <c r="BW187" s="207">
        <v>0</v>
      </c>
      <c r="BX187" s="207">
        <v>0</v>
      </c>
      <c r="BY187" s="207">
        <v>0</v>
      </c>
      <c r="BZ187" s="207">
        <v>0</v>
      </c>
      <c r="CA187" s="207">
        <v>0</v>
      </c>
      <c r="CB187" s="207">
        <v>0</v>
      </c>
      <c r="CC187" s="207">
        <v>0</v>
      </c>
      <c r="CD187" s="207">
        <v>0</v>
      </c>
      <c r="CE187" s="207">
        <v>0</v>
      </c>
      <c r="CF187" s="207">
        <v>0</v>
      </c>
      <c r="CG187" s="147"/>
      <c r="CH187" s="176"/>
      <c r="CJ187" s="146"/>
      <c r="CK187" s="76">
        <f t="shared" ca="1" si="206"/>
        <v>0.48142726459663976</v>
      </c>
      <c r="CL187" s="179">
        <f t="shared" si="207"/>
        <v>10</v>
      </c>
      <c r="CM187" s="180">
        <f t="shared" si="208"/>
        <v>39987</v>
      </c>
      <c r="CN187" s="208">
        <v>0</v>
      </c>
      <c r="CO187" s="208">
        <v>0</v>
      </c>
      <c r="CP187" s="208">
        <v>0</v>
      </c>
      <c r="CQ187" s="208">
        <v>0</v>
      </c>
      <c r="CR187" s="208">
        <v>0</v>
      </c>
      <c r="CS187" s="208">
        <v>0</v>
      </c>
      <c r="CT187" s="208">
        <v>0</v>
      </c>
      <c r="CU187" s="208">
        <v>0</v>
      </c>
      <c r="CV187" s="160"/>
      <c r="CW187">
        <v>1</v>
      </c>
      <c r="CX187">
        <f>350/73</f>
        <v>4.7945205479452051</v>
      </c>
      <c r="CY187" s="165"/>
      <c r="CZ187" s="177">
        <f t="shared" si="209"/>
        <v>9.6000000000000002E-2</v>
      </c>
      <c r="DB187" s="146"/>
      <c r="DC187" s="76">
        <f t="shared" ca="1" si="172"/>
        <v>0.74945735905444411</v>
      </c>
      <c r="DD187">
        <f t="shared" si="210"/>
        <v>10</v>
      </c>
      <c r="DE187" s="129">
        <f t="shared" si="246"/>
        <v>39987</v>
      </c>
      <c r="DF187" s="161">
        <f t="shared" si="211"/>
        <v>0</v>
      </c>
      <c r="DG187" s="161">
        <f t="shared" si="212"/>
        <v>0</v>
      </c>
      <c r="DH187" s="161">
        <f t="shared" si="213"/>
        <v>0</v>
      </c>
      <c r="DI187" s="161">
        <f t="shared" si="214"/>
        <v>0</v>
      </c>
      <c r="DJ187" s="161">
        <f t="shared" si="215"/>
        <v>0</v>
      </c>
      <c r="DK187" s="161">
        <f t="shared" si="216"/>
        <v>0</v>
      </c>
      <c r="DL187" s="161">
        <f t="shared" si="217"/>
        <v>0</v>
      </c>
      <c r="DM187" s="161">
        <f t="shared" si="218"/>
        <v>0</v>
      </c>
      <c r="DN187" s="161">
        <f t="shared" si="219"/>
        <v>0</v>
      </c>
      <c r="DO187" s="161">
        <f t="shared" si="220"/>
        <v>0</v>
      </c>
      <c r="DP187" s="161">
        <f t="shared" si="221"/>
        <v>0</v>
      </c>
      <c r="DQ187" s="161">
        <f t="shared" si="222"/>
        <v>0</v>
      </c>
      <c r="DR187" s="161">
        <f t="shared" si="223"/>
        <v>0</v>
      </c>
      <c r="DS187" s="161">
        <f t="shared" si="224"/>
        <v>0</v>
      </c>
      <c r="DT187" s="161">
        <f t="shared" si="225"/>
        <v>0</v>
      </c>
      <c r="DU187" s="161">
        <f t="shared" si="226"/>
        <v>0</v>
      </c>
      <c r="DV187" s="161">
        <f t="shared" si="227"/>
        <v>0</v>
      </c>
      <c r="DW187" s="161">
        <f t="shared" si="228"/>
        <v>0</v>
      </c>
      <c r="DX187" s="161">
        <f t="shared" si="229"/>
        <v>0</v>
      </c>
      <c r="DY187" s="161">
        <f t="shared" si="230"/>
        <v>0</v>
      </c>
      <c r="DZ187" s="161">
        <f t="shared" si="231"/>
        <v>0</v>
      </c>
      <c r="EA187" s="161">
        <f t="shared" si="232"/>
        <v>0</v>
      </c>
      <c r="EB187" s="161">
        <f t="shared" si="233"/>
        <v>0</v>
      </c>
      <c r="EC187" s="161">
        <f t="shared" si="234"/>
        <v>0</v>
      </c>
      <c r="ED187" s="161">
        <f t="shared" si="235"/>
        <v>0</v>
      </c>
      <c r="EE187" s="161">
        <f t="shared" si="236"/>
        <v>0</v>
      </c>
      <c r="EF187" s="161">
        <f t="shared" si="237"/>
        <v>0</v>
      </c>
      <c r="EG187" s="161">
        <f t="shared" si="238"/>
        <v>0</v>
      </c>
      <c r="EH187" s="161">
        <f t="shared" si="239"/>
        <v>0</v>
      </c>
      <c r="EI187" s="161">
        <f t="shared" si="240"/>
        <v>0</v>
      </c>
      <c r="EJ187" s="161">
        <f t="shared" si="241"/>
        <v>0</v>
      </c>
      <c r="EK187" s="147">
        <f t="shared" si="248"/>
        <v>0</v>
      </c>
      <c r="EL187" s="149"/>
      <c r="EN187" s="146"/>
      <c r="EO187" s="146"/>
      <c r="EP187" s="139">
        <f t="shared" si="249"/>
        <v>0</v>
      </c>
      <c r="EQ187" s="139">
        <f t="shared" si="250"/>
        <v>0</v>
      </c>
      <c r="ER187" s="139">
        <f t="shared" si="251"/>
        <v>0</v>
      </c>
      <c r="ES187" s="139">
        <f t="shared" si="252"/>
        <v>0</v>
      </c>
      <c r="ET187" s="139">
        <f t="shared" si="253"/>
        <v>0</v>
      </c>
      <c r="EU187" s="139">
        <f t="shared" si="254"/>
        <v>0</v>
      </c>
      <c r="EV187" s="139">
        <f t="shared" si="255"/>
        <v>0</v>
      </c>
      <c r="EW187" s="139">
        <f t="shared" si="256"/>
        <v>0</v>
      </c>
      <c r="EX187" s="139">
        <f t="shared" si="257"/>
        <v>0</v>
      </c>
      <c r="EY187" s="139">
        <f t="shared" si="258"/>
        <v>0</v>
      </c>
      <c r="EZ187" s="139">
        <f t="shared" si="259"/>
        <v>0</v>
      </c>
      <c r="FA187" s="139">
        <f t="shared" si="260"/>
        <v>0</v>
      </c>
      <c r="FB187" s="139">
        <f t="shared" si="261"/>
        <v>0</v>
      </c>
      <c r="FC187" s="139">
        <f t="shared" si="262"/>
        <v>0</v>
      </c>
      <c r="FD187" s="139">
        <f t="shared" si="263"/>
        <v>0</v>
      </c>
      <c r="FE187" s="139">
        <f t="shared" si="264"/>
        <v>0</v>
      </c>
      <c r="FF187" s="139">
        <f t="shared" si="265"/>
        <v>0</v>
      </c>
      <c r="FG187" s="139">
        <f t="shared" si="266"/>
        <v>0</v>
      </c>
      <c r="FH187" s="139">
        <f t="shared" si="267"/>
        <v>0</v>
      </c>
      <c r="FI187" s="139">
        <f t="shared" si="268"/>
        <v>0</v>
      </c>
      <c r="FJ187" s="139">
        <f t="shared" si="269"/>
        <v>0</v>
      </c>
      <c r="FK187" s="139">
        <f t="shared" si="270"/>
        <v>0</v>
      </c>
      <c r="FL187" s="139">
        <f t="shared" si="271"/>
        <v>0</v>
      </c>
      <c r="FM187" s="139">
        <f t="shared" si="272"/>
        <v>0</v>
      </c>
      <c r="FN187" s="139">
        <f t="shared" si="273"/>
        <v>0</v>
      </c>
      <c r="FO187" s="139">
        <f t="shared" si="274"/>
        <v>0</v>
      </c>
      <c r="FP187" s="139">
        <f t="shared" si="275"/>
        <v>0</v>
      </c>
      <c r="FQ187" s="139">
        <f t="shared" si="276"/>
        <v>0</v>
      </c>
      <c r="FR187" s="139">
        <f t="shared" si="277"/>
        <v>0</v>
      </c>
      <c r="FS187" s="139">
        <f t="shared" si="278"/>
        <v>0</v>
      </c>
      <c r="FT187" s="139">
        <f t="shared" si="279"/>
        <v>0</v>
      </c>
      <c r="FU187" s="148">
        <f t="shared" si="280"/>
        <v>0</v>
      </c>
      <c r="FV187" s="149"/>
      <c r="FY187" s="213">
        <v>182</v>
      </c>
      <c r="FZ187">
        <v>2.7705984438954863</v>
      </c>
      <c r="GA187">
        <v>12.545718891524475</v>
      </c>
      <c r="GB187">
        <v>5.3126466081477428</v>
      </c>
      <c r="GC187">
        <v>1.792540314766641</v>
      </c>
      <c r="GD187">
        <v>2.8381030507457456</v>
      </c>
      <c r="GE187">
        <v>3.2524277459813367</v>
      </c>
      <c r="GF187">
        <v>0.47734812494006024</v>
      </c>
      <c r="GG187">
        <v>3.9699570467186831</v>
      </c>
      <c r="GH187">
        <v>5.5645799019284059</v>
      </c>
      <c r="GI187">
        <v>4.4427347225825216</v>
      </c>
      <c r="GJ187"/>
      <c r="GK187"/>
      <c r="GL187"/>
      <c r="GM187"/>
      <c r="GN187" s="208"/>
      <c r="GO187" s="208"/>
      <c r="GP187" s="208"/>
      <c r="GQ187" s="208"/>
      <c r="GR187" s="208"/>
      <c r="GS187" s="208"/>
      <c r="GT187" s="208"/>
      <c r="GU187" s="213">
        <v>182</v>
      </c>
    </row>
    <row r="188" spans="1:203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24.80663314176245</v>
      </c>
      <c r="AO188">
        <v>7.3840980535477865</v>
      </c>
      <c r="AP188">
        <v>376.48128518086355</v>
      </c>
      <c r="AQ188">
        <v>51.604442534905161</v>
      </c>
      <c r="AR188">
        <v>6.7128164123161707</v>
      </c>
      <c r="AS188">
        <v>73.147350999614901</v>
      </c>
      <c r="AT188" t="e">
        <v>#DIV/0!</v>
      </c>
      <c r="AU188" t="e">
        <v>#DIV/0!</v>
      </c>
      <c r="AV188"/>
      <c r="AW188"/>
      <c r="AX188" s="128"/>
      <c r="AY188" s="76" t="str">
        <f t="shared" ca="1" si="171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6"/>
        <v/>
      </c>
      <c r="CL188" s="179" t="str">
        <f t="shared" si="207"/>
        <v/>
      </c>
      <c r="CM188" s="180" t="str">
        <f t="shared" si="208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9"/>
        <v/>
      </c>
      <c r="DB188" s="128"/>
      <c r="DC188" s="76" t="str">
        <f t="shared" ca="1" si="172"/>
        <v/>
      </c>
      <c r="DD188" t="str">
        <f t="shared" si="210"/>
        <v/>
      </c>
      <c r="DE188" s="129" t="str">
        <f t="shared" ref="DE188:DE197" si="281">IF((DD188)="", "", $C$14)</f>
        <v/>
      </c>
      <c r="DF188" s="161" t="str">
        <f t="shared" ref="DF188:DF207" si="282">IF($AZ188="", "", ((BB188*$CW188)+(CN188*$CX188))/$CZ188)</f>
        <v/>
      </c>
      <c r="DG188" s="161" t="str">
        <f t="shared" ref="DG188:DG207" si="283">IF($AZ188="", "", ((BC188*$CW188)+(CO188*$CX188))/$CZ188)</f>
        <v/>
      </c>
      <c r="DH188" s="161" t="str">
        <f t="shared" ref="DH188:DH207" si="284">IF($AZ188="", "", ((BD188*$CW188)+(CP188*$CX188))/$CZ188)</f>
        <v/>
      </c>
      <c r="DI188" s="161" t="str">
        <f t="shared" ref="DI188:DI207" si="285">IF($AZ188="", "", ((BE188*$CW188)+(CQ188*$CX188))/$CZ188)</f>
        <v/>
      </c>
      <c r="DJ188" s="161" t="str">
        <f t="shared" ref="DJ188:DJ207" si="286">IF($AZ188="", "", ((BF188*$CW188)+(CR188*$CX188))/$CZ188)</f>
        <v/>
      </c>
      <c r="DK188" s="161" t="str">
        <f t="shared" ref="DK188:DK207" si="287">IF($AZ188="", "", ((BG188*$CW188)+(CS188*$CX188))/$CZ188)</f>
        <v/>
      </c>
      <c r="DL188" s="161" t="str">
        <f t="shared" ref="DL188:DL207" si="288">IF($AZ188="", "", ((BH188*$CW188)+(CT188*$CX188))/$CZ188)</f>
        <v/>
      </c>
      <c r="DM188" s="161" t="str">
        <f t="shared" ref="DM188:DM207" si="289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0">IF($AZ188="", "", (BK187*$CW188)/$CZ188)</f>
        <v/>
      </c>
      <c r="DP188" s="161" t="str">
        <f t="shared" ref="DP188:DP193" si="291">IF($AZ188="", "", (BL187*$CW188)/$CZ188)</f>
        <v/>
      </c>
      <c r="DQ188" s="161" t="str">
        <f t="shared" ref="DQ188:DQ193" si="292">IF($AZ188="", "", (BM187*$CW188)/$CZ188)</f>
        <v/>
      </c>
      <c r="DR188" s="161" t="str">
        <f t="shared" ref="DR188:DR193" si="293">IF($AZ188="", "", (BN187*$CW188)/$CZ188)</f>
        <v/>
      </c>
      <c r="DS188" s="161" t="str">
        <f t="shared" ref="DS188:DS193" si="294">IF($AZ188="", "", (BO187*$CW188)/$CZ188)</f>
        <v/>
      </c>
      <c r="DT188" s="161" t="str">
        <f t="shared" ref="DT188:DT193" si="295">IF($AZ188="", "", (BP187*$CW188)/$CZ188)</f>
        <v/>
      </c>
      <c r="DU188" s="161" t="str">
        <f t="shared" ref="DU188:DU193" si="296">IF($AZ188="", "", (BQ187*$CW188)/$CZ188)</f>
        <v/>
      </c>
      <c r="DV188" s="161" t="str">
        <f t="shared" ref="DV188:DV193" si="297">IF($AZ188="", "", (BR187*$CW188)/$CZ188)</f>
        <v/>
      </c>
      <c r="DW188" s="161" t="str">
        <f t="shared" ref="DW188:DW193" si="298">IF($AZ188="", "", (BS187*$CW188)/$CZ188)</f>
        <v/>
      </c>
      <c r="DX188" s="161" t="str">
        <f t="shared" ref="DX188:DX193" si="299">IF($AZ188="", "", (BT187*$CW188)/$CZ188)</f>
        <v/>
      </c>
      <c r="DY188" s="161" t="str">
        <f t="shared" ref="DY188:DY193" si="300">IF($AZ188="", "", (BU187*$CW188)/$CZ188)</f>
        <v/>
      </c>
      <c r="DZ188" s="161" t="str">
        <f t="shared" ref="DZ188:DZ193" si="301">IF($AZ188="", "", (BV187*$CW188)/$CZ188)</f>
        <v/>
      </c>
      <c r="EA188" s="161" t="str">
        <f t="shared" ref="EA188:EA193" si="302">IF($AZ188="", "", (BW187*$CW188)/$CZ188)</f>
        <v/>
      </c>
      <c r="EB188" s="161" t="str">
        <f t="shared" ref="EB188:EB193" si="303">IF($AZ188="", "", (BX187*$CW188)/$CZ188)</f>
        <v/>
      </c>
      <c r="EC188" s="161" t="str">
        <f t="shared" ref="EC188:EC193" si="304">IF($AZ188="", "", (BY187*$CW188)/$CZ188)</f>
        <v/>
      </c>
      <c r="ED188" s="161" t="str">
        <f t="shared" ref="ED188:ED193" si="305">IF($AZ188="", "", (BZ187*$CW188)/$CZ188)</f>
        <v/>
      </c>
      <c r="EE188" s="161" t="str">
        <f t="shared" ref="EE188:EE193" si="306">IF($AZ188="", "", (CA187*$CW188)/$CZ188)</f>
        <v/>
      </c>
      <c r="EF188" s="161" t="str">
        <f t="shared" ref="EF188:EF193" si="307">IF($AZ188="", "", (CB187*$CW188)/$CZ188)</f>
        <v/>
      </c>
      <c r="EG188" s="161" t="str">
        <f t="shared" ref="EG188:EG193" si="308">IF($AZ188="", "", (CC187*$CW188)/$CZ188)</f>
        <v/>
      </c>
      <c r="EH188" s="161" t="str">
        <f t="shared" ref="EH188:EH193" si="309">IF($AZ188="", "", (CD187*$CW188)/$CZ188)</f>
        <v/>
      </c>
      <c r="EI188" s="161" t="str">
        <f t="shared" ref="EI188:EI193" si="310">IF($AZ188="", "", (CE187*$CW188)/$CZ188)</f>
        <v/>
      </c>
      <c r="EJ188" s="161" t="str">
        <f t="shared" ref="EJ188:EJ193" si="311">IF($AZ188="", "", (CF187*$CW188)/$CZ188)</f>
        <v/>
      </c>
      <c r="EK188" s="147" t="str">
        <f t="shared" si="248"/>
        <v/>
      </c>
      <c r="EL188" s="149"/>
      <c r="EN188" s="146"/>
      <c r="EO188" s="146"/>
      <c r="EP188" s="139" t="str">
        <f t="shared" si="249"/>
        <v/>
      </c>
      <c r="EQ188" s="139" t="str">
        <f t="shared" si="250"/>
        <v/>
      </c>
      <c r="ER188" s="139" t="str">
        <f t="shared" si="251"/>
        <v/>
      </c>
      <c r="ES188" s="139" t="str">
        <f t="shared" si="252"/>
        <v/>
      </c>
      <c r="ET188" s="139" t="str">
        <f t="shared" si="253"/>
        <v/>
      </c>
      <c r="EU188" s="139" t="str">
        <f t="shared" si="254"/>
        <v/>
      </c>
      <c r="EV188" s="139" t="str">
        <f t="shared" si="255"/>
        <v/>
      </c>
      <c r="EW188" s="139" t="str">
        <f t="shared" si="256"/>
        <v/>
      </c>
      <c r="EX188" s="139" t="str">
        <f t="shared" si="257"/>
        <v/>
      </c>
      <c r="EY188" s="139" t="str">
        <f t="shared" si="258"/>
        <v/>
      </c>
      <c r="EZ188" s="139" t="str">
        <f t="shared" si="259"/>
        <v/>
      </c>
      <c r="FA188" s="139" t="str">
        <f t="shared" si="260"/>
        <v/>
      </c>
      <c r="FB188" s="139" t="str">
        <f t="shared" si="261"/>
        <v/>
      </c>
      <c r="FC188" s="139" t="str">
        <f t="shared" si="262"/>
        <v/>
      </c>
      <c r="FD188" s="139" t="str">
        <f t="shared" si="263"/>
        <v/>
      </c>
      <c r="FE188" s="139" t="str">
        <f t="shared" si="264"/>
        <v/>
      </c>
      <c r="FF188" s="139" t="str">
        <f t="shared" si="265"/>
        <v/>
      </c>
      <c r="FG188" s="139" t="str">
        <f t="shared" si="266"/>
        <v/>
      </c>
      <c r="FH188" s="139" t="str">
        <f t="shared" si="267"/>
        <v/>
      </c>
      <c r="FI188" s="139" t="str">
        <f t="shared" si="268"/>
        <v/>
      </c>
      <c r="FJ188" s="139" t="str">
        <f t="shared" si="269"/>
        <v/>
      </c>
      <c r="FK188" s="139" t="str">
        <f t="shared" si="270"/>
        <v/>
      </c>
      <c r="FL188" s="139" t="str">
        <f t="shared" si="271"/>
        <v/>
      </c>
      <c r="FM188" s="139" t="str">
        <f t="shared" si="272"/>
        <v/>
      </c>
      <c r="FN188" s="139" t="str">
        <f t="shared" si="273"/>
        <v/>
      </c>
      <c r="FO188" s="139" t="str">
        <f t="shared" si="274"/>
        <v/>
      </c>
      <c r="FP188" s="139" t="str">
        <f t="shared" si="275"/>
        <v/>
      </c>
      <c r="FQ188" s="139" t="str">
        <f t="shared" si="276"/>
        <v/>
      </c>
      <c r="FR188" s="139" t="str">
        <f t="shared" si="277"/>
        <v/>
      </c>
      <c r="FS188" s="139" t="str">
        <f t="shared" si="278"/>
        <v/>
      </c>
      <c r="FT188" s="139" t="str">
        <f t="shared" si="279"/>
        <v/>
      </c>
      <c r="FU188" s="148" t="str">
        <f t="shared" si="280"/>
        <v/>
      </c>
      <c r="FV188" s="149"/>
      <c r="FY188" s="213">
        <v>183</v>
      </c>
      <c r="FZ188">
        <v>2.7705984438954863</v>
      </c>
      <c r="GA188">
        <v>15.447592255021013</v>
      </c>
      <c r="GB188">
        <v>6.7391231976231225</v>
      </c>
      <c r="GC188">
        <v>1.1752886190159173</v>
      </c>
      <c r="GD188">
        <v>3.2065169429753171</v>
      </c>
      <c r="GE188">
        <v>4.6716426728108909</v>
      </c>
      <c r="GF188">
        <v>0</v>
      </c>
      <c r="GG188">
        <v>6.2616828046245736</v>
      </c>
      <c r="GH188">
        <v>8.8091235972655255</v>
      </c>
      <c r="GI188">
        <v>5.5155089201036658</v>
      </c>
      <c r="GJ188"/>
      <c r="GK188"/>
      <c r="GL188"/>
      <c r="GM188"/>
      <c r="GN188" s="208"/>
      <c r="GO188" s="208"/>
      <c r="GP188" s="208"/>
      <c r="GQ188" s="208"/>
      <c r="GR188" s="208"/>
      <c r="GS188" s="208"/>
      <c r="GT188" s="208"/>
      <c r="GU188" s="213">
        <v>183</v>
      </c>
    </row>
    <row r="189" spans="1:203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31.770183772858257</v>
      </c>
      <c r="AO189">
        <v>7.1592224034094958</v>
      </c>
      <c r="AP189">
        <v>326.95153332953794</v>
      </c>
      <c r="AQ189">
        <v>47.236062155929126</v>
      </c>
      <c r="AR189">
        <v>6.5083840030995415</v>
      </c>
      <c r="AS189">
        <v>82.657939219530562</v>
      </c>
      <c r="AT189" t="e">
        <v>#DIV/0!</v>
      </c>
      <c r="AU189" t="e">
        <v>#DIV/0!</v>
      </c>
      <c r="AV189"/>
      <c r="AW189"/>
      <c r="AX189" s="146"/>
      <c r="AY189" s="76" t="str">
        <f t="shared" ca="1" si="171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6"/>
        <v/>
      </c>
      <c r="CL189" s="179" t="str">
        <f t="shared" si="207"/>
        <v/>
      </c>
      <c r="CM189" s="180" t="str">
        <f t="shared" si="208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9"/>
        <v/>
      </c>
      <c r="DB189" s="146"/>
      <c r="DC189" s="76" t="str">
        <f t="shared" ca="1" si="172"/>
        <v/>
      </c>
      <c r="DD189" t="str">
        <f t="shared" si="210"/>
        <v/>
      </c>
      <c r="DE189" s="129" t="str">
        <f t="shared" si="281"/>
        <v/>
      </c>
      <c r="DF189" s="161" t="str">
        <f t="shared" si="282"/>
        <v/>
      </c>
      <c r="DG189" s="161" t="str">
        <f t="shared" si="283"/>
        <v/>
      </c>
      <c r="DH189" s="161" t="str">
        <f t="shared" si="284"/>
        <v/>
      </c>
      <c r="DI189" s="161" t="str">
        <f t="shared" si="285"/>
        <v/>
      </c>
      <c r="DJ189" s="161" t="str">
        <f t="shared" si="286"/>
        <v/>
      </c>
      <c r="DK189" s="161" t="str">
        <f t="shared" si="287"/>
        <v/>
      </c>
      <c r="DL189" s="161" t="str">
        <f t="shared" si="288"/>
        <v/>
      </c>
      <c r="DM189" s="161" t="str">
        <f t="shared" si="289"/>
        <v/>
      </c>
      <c r="DN189" s="161" t="str">
        <f>IF($AZ189="", "", (BJ189*$CW189)/$CZ189)</f>
        <v/>
      </c>
      <c r="DO189" s="161" t="str">
        <f t="shared" si="290"/>
        <v/>
      </c>
      <c r="DP189" s="161" t="str">
        <f t="shared" si="291"/>
        <v/>
      </c>
      <c r="DQ189" s="161" t="str">
        <f t="shared" si="292"/>
        <v/>
      </c>
      <c r="DR189" s="161" t="str">
        <f t="shared" si="293"/>
        <v/>
      </c>
      <c r="DS189" s="161" t="str">
        <f t="shared" si="294"/>
        <v/>
      </c>
      <c r="DT189" s="161" t="str">
        <f t="shared" si="295"/>
        <v/>
      </c>
      <c r="DU189" s="161" t="str">
        <f t="shared" si="296"/>
        <v/>
      </c>
      <c r="DV189" s="161" t="str">
        <f t="shared" si="297"/>
        <v/>
      </c>
      <c r="DW189" s="161" t="str">
        <f t="shared" si="298"/>
        <v/>
      </c>
      <c r="DX189" s="161" t="str">
        <f t="shared" si="299"/>
        <v/>
      </c>
      <c r="DY189" s="161" t="str">
        <f t="shared" si="300"/>
        <v/>
      </c>
      <c r="DZ189" s="161" t="str">
        <f t="shared" si="301"/>
        <v/>
      </c>
      <c r="EA189" s="161" t="str">
        <f t="shared" si="302"/>
        <v/>
      </c>
      <c r="EB189" s="161" t="str">
        <f t="shared" si="303"/>
        <v/>
      </c>
      <c r="EC189" s="161" t="str">
        <f t="shared" si="304"/>
        <v/>
      </c>
      <c r="ED189" s="161" t="str">
        <f t="shared" si="305"/>
        <v/>
      </c>
      <c r="EE189" s="161" t="str">
        <f t="shared" si="306"/>
        <v/>
      </c>
      <c r="EF189" s="161" t="str">
        <f t="shared" si="307"/>
        <v/>
      </c>
      <c r="EG189" s="161" t="str">
        <f t="shared" si="308"/>
        <v/>
      </c>
      <c r="EH189" s="161" t="str">
        <f t="shared" si="309"/>
        <v/>
      </c>
      <c r="EI189" s="161" t="str">
        <f t="shared" si="310"/>
        <v/>
      </c>
      <c r="EJ189" s="161" t="str">
        <f t="shared" si="311"/>
        <v/>
      </c>
      <c r="EK189" s="147" t="str">
        <f t="shared" si="248"/>
        <v/>
      </c>
      <c r="EL189" s="149"/>
      <c r="EN189" s="146"/>
      <c r="EO189" s="146"/>
      <c r="EP189" s="139" t="str">
        <f t="shared" si="249"/>
        <v/>
      </c>
      <c r="EQ189" s="139" t="str">
        <f t="shared" si="250"/>
        <v/>
      </c>
      <c r="ER189" s="139" t="str">
        <f t="shared" si="251"/>
        <v/>
      </c>
      <c r="ES189" s="139" t="str">
        <f t="shared" si="252"/>
        <v/>
      </c>
      <c r="ET189" s="139" t="str">
        <f t="shared" si="253"/>
        <v/>
      </c>
      <c r="EU189" s="139" t="str">
        <f t="shared" si="254"/>
        <v/>
      </c>
      <c r="EV189" s="139" t="str">
        <f t="shared" si="255"/>
        <v/>
      </c>
      <c r="EW189" s="139" t="str">
        <f t="shared" si="256"/>
        <v/>
      </c>
      <c r="EX189" s="139" t="str">
        <f t="shared" si="257"/>
        <v/>
      </c>
      <c r="EY189" s="139" t="str">
        <f t="shared" si="258"/>
        <v/>
      </c>
      <c r="EZ189" s="139" t="str">
        <f t="shared" si="259"/>
        <v/>
      </c>
      <c r="FA189" s="139" t="str">
        <f t="shared" si="260"/>
        <v/>
      </c>
      <c r="FB189" s="139" t="str">
        <f t="shared" si="261"/>
        <v/>
      </c>
      <c r="FC189" s="139" t="str">
        <f t="shared" si="262"/>
        <v/>
      </c>
      <c r="FD189" s="139" t="str">
        <f t="shared" si="263"/>
        <v/>
      </c>
      <c r="FE189" s="139" t="str">
        <f t="shared" si="264"/>
        <v/>
      </c>
      <c r="FF189" s="139" t="str">
        <f t="shared" si="265"/>
        <v/>
      </c>
      <c r="FG189" s="139" t="str">
        <f t="shared" si="266"/>
        <v/>
      </c>
      <c r="FH189" s="139" t="str">
        <f t="shared" si="267"/>
        <v/>
      </c>
      <c r="FI189" s="139" t="str">
        <f t="shared" si="268"/>
        <v/>
      </c>
      <c r="FJ189" s="139" t="str">
        <f t="shared" si="269"/>
        <v/>
      </c>
      <c r="FK189" s="139" t="str">
        <f t="shared" si="270"/>
        <v/>
      </c>
      <c r="FL189" s="139" t="str">
        <f t="shared" si="271"/>
        <v/>
      </c>
      <c r="FM189" s="139" t="str">
        <f t="shared" si="272"/>
        <v/>
      </c>
      <c r="FN189" s="139" t="str">
        <f t="shared" si="273"/>
        <v/>
      </c>
      <c r="FO189" s="139" t="str">
        <f t="shared" si="274"/>
        <v/>
      </c>
      <c r="FP189" s="139" t="str">
        <f t="shared" si="275"/>
        <v/>
      </c>
      <c r="FQ189" s="139" t="str">
        <f t="shared" si="276"/>
        <v/>
      </c>
      <c r="FR189" s="139" t="str">
        <f t="shared" si="277"/>
        <v/>
      </c>
      <c r="FS189" s="139" t="str">
        <f t="shared" si="278"/>
        <v/>
      </c>
      <c r="FT189" s="139" t="str">
        <f t="shared" si="279"/>
        <v/>
      </c>
      <c r="FU189" s="148" t="str">
        <f t="shared" si="280"/>
        <v/>
      </c>
      <c r="FV189" s="149"/>
      <c r="FY189" s="213">
        <v>184</v>
      </c>
      <c r="FZ189">
        <v>1.7614833617077283</v>
      </c>
      <c r="GA189">
        <v>13.402307320920027</v>
      </c>
      <c r="GB189">
        <v>6.6010075346024832</v>
      </c>
      <c r="GC189">
        <v>0.46227644236827292</v>
      </c>
      <c r="GD189">
        <v>1.8150384665712735</v>
      </c>
      <c r="GE189">
        <v>3.2524277459813367</v>
      </c>
      <c r="GF189">
        <v>0.47734812494006024</v>
      </c>
      <c r="GG189">
        <v>6.8735072200315948</v>
      </c>
      <c r="GH189">
        <v>9.6172688280190535</v>
      </c>
      <c r="GI189">
        <v>4.7146084479002273</v>
      </c>
      <c r="GJ189"/>
      <c r="GK189"/>
      <c r="GL189"/>
      <c r="GM189"/>
      <c r="GN189" s="208"/>
      <c r="GO189" s="208"/>
      <c r="GP189" s="208"/>
      <c r="GQ189" s="208"/>
      <c r="GR189" s="208"/>
      <c r="GS189" s="208"/>
      <c r="GT189" s="208"/>
      <c r="GU189" s="213">
        <v>184</v>
      </c>
    </row>
    <row r="190" spans="1:203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29.370639165858837</v>
      </c>
      <c r="AO190">
        <v>6.9894593646846532</v>
      </c>
      <c r="AP190">
        <v>371.73051399938288</v>
      </c>
      <c r="AQ190">
        <v>47.791448504715312</v>
      </c>
      <c r="AR190">
        <v>6.3540539678951404</v>
      </c>
      <c r="AS190">
        <v>84.493472578388875</v>
      </c>
      <c r="AT190" t="e">
        <v>#DIV/0!</v>
      </c>
      <c r="AU190" t="e">
        <v>#DIV/0!</v>
      </c>
      <c r="AV190"/>
      <c r="AW190"/>
      <c r="AX190" s="146"/>
      <c r="AY190" s="76" t="str">
        <f t="shared" ca="1" si="171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6"/>
        <v/>
      </c>
      <c r="CL190" s="179" t="str">
        <f t="shared" si="207"/>
        <v/>
      </c>
      <c r="CM190" s="180" t="str">
        <f t="shared" si="208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9"/>
        <v/>
      </c>
      <c r="DB190" s="146"/>
      <c r="DC190" s="76" t="str">
        <f t="shared" ca="1" si="172"/>
        <v/>
      </c>
      <c r="DD190" t="str">
        <f t="shared" si="210"/>
        <v/>
      </c>
      <c r="DE190" s="129" t="str">
        <f t="shared" si="281"/>
        <v/>
      </c>
      <c r="DF190" s="161" t="str">
        <f t="shared" si="282"/>
        <v/>
      </c>
      <c r="DG190" s="161" t="str">
        <f t="shared" si="283"/>
        <v/>
      </c>
      <c r="DH190" s="161" t="str">
        <f t="shared" si="284"/>
        <v/>
      </c>
      <c r="DI190" s="161" t="str">
        <f t="shared" si="285"/>
        <v/>
      </c>
      <c r="DJ190" s="161" t="str">
        <f t="shared" si="286"/>
        <v/>
      </c>
      <c r="DK190" s="161" t="str">
        <f t="shared" si="287"/>
        <v/>
      </c>
      <c r="DL190" s="161" t="str">
        <f t="shared" si="288"/>
        <v/>
      </c>
      <c r="DM190" s="161" t="str">
        <f t="shared" si="289"/>
        <v/>
      </c>
      <c r="DN190" s="161" t="str">
        <f>IF($AZ190="", "", (BJ190*$CW190)/$CZ190)</f>
        <v/>
      </c>
      <c r="DO190" s="161" t="str">
        <f t="shared" si="290"/>
        <v/>
      </c>
      <c r="DP190" s="161" t="str">
        <f t="shared" si="291"/>
        <v/>
      </c>
      <c r="DQ190" s="161" t="str">
        <f t="shared" si="292"/>
        <v/>
      </c>
      <c r="DR190" s="161" t="str">
        <f t="shared" si="293"/>
        <v/>
      </c>
      <c r="DS190" s="161" t="str">
        <f t="shared" si="294"/>
        <v/>
      </c>
      <c r="DT190" s="161" t="str">
        <f t="shared" si="295"/>
        <v/>
      </c>
      <c r="DU190" s="161" t="str">
        <f t="shared" si="296"/>
        <v/>
      </c>
      <c r="DV190" s="161" t="str">
        <f t="shared" si="297"/>
        <v/>
      </c>
      <c r="DW190" s="161" t="str">
        <f t="shared" si="298"/>
        <v/>
      </c>
      <c r="DX190" s="161" t="str">
        <f t="shared" si="299"/>
        <v/>
      </c>
      <c r="DY190" s="161" t="str">
        <f t="shared" si="300"/>
        <v/>
      </c>
      <c r="DZ190" s="161" t="str">
        <f t="shared" si="301"/>
        <v/>
      </c>
      <c r="EA190" s="161" t="str">
        <f t="shared" si="302"/>
        <v/>
      </c>
      <c r="EB190" s="161" t="str">
        <f t="shared" si="303"/>
        <v/>
      </c>
      <c r="EC190" s="161" t="str">
        <f t="shared" si="304"/>
        <v/>
      </c>
      <c r="ED190" s="161" t="str">
        <f t="shared" si="305"/>
        <v/>
      </c>
      <c r="EE190" s="161" t="str">
        <f t="shared" si="306"/>
        <v/>
      </c>
      <c r="EF190" s="161" t="str">
        <f t="shared" si="307"/>
        <v/>
      </c>
      <c r="EG190" s="161" t="str">
        <f t="shared" si="308"/>
        <v/>
      </c>
      <c r="EH190" s="161" t="str">
        <f t="shared" si="309"/>
        <v/>
      </c>
      <c r="EI190" s="161" t="str">
        <f t="shared" si="310"/>
        <v/>
      </c>
      <c r="EJ190" s="161" t="str">
        <f t="shared" si="311"/>
        <v/>
      </c>
      <c r="EK190" s="147" t="str">
        <f t="shared" si="248"/>
        <v/>
      </c>
      <c r="EL190" s="149"/>
      <c r="EN190" s="146"/>
      <c r="EO190" s="146"/>
      <c r="EP190" s="139" t="str">
        <f t="shared" si="249"/>
        <v/>
      </c>
      <c r="EQ190" s="139" t="str">
        <f t="shared" si="250"/>
        <v/>
      </c>
      <c r="ER190" s="139" t="str">
        <f t="shared" si="251"/>
        <v/>
      </c>
      <c r="ES190" s="139" t="str">
        <f t="shared" si="252"/>
        <v/>
      </c>
      <c r="ET190" s="139" t="str">
        <f t="shared" si="253"/>
        <v/>
      </c>
      <c r="EU190" s="139" t="str">
        <f t="shared" si="254"/>
        <v/>
      </c>
      <c r="EV190" s="139" t="str">
        <f t="shared" si="255"/>
        <v/>
      </c>
      <c r="EW190" s="139" t="str">
        <f t="shared" si="256"/>
        <v/>
      </c>
      <c r="EX190" s="139" t="str">
        <f t="shared" si="257"/>
        <v/>
      </c>
      <c r="EY190" s="139" t="str">
        <f t="shared" si="258"/>
        <v/>
      </c>
      <c r="EZ190" s="139" t="str">
        <f t="shared" si="259"/>
        <v/>
      </c>
      <c r="FA190" s="139" t="str">
        <f t="shared" si="260"/>
        <v/>
      </c>
      <c r="FB190" s="139" t="str">
        <f t="shared" si="261"/>
        <v/>
      </c>
      <c r="FC190" s="139" t="str">
        <f t="shared" si="262"/>
        <v/>
      </c>
      <c r="FD190" s="139" t="str">
        <f t="shared" si="263"/>
        <v/>
      </c>
      <c r="FE190" s="139" t="str">
        <f t="shared" si="264"/>
        <v/>
      </c>
      <c r="FF190" s="139" t="str">
        <f t="shared" si="265"/>
        <v/>
      </c>
      <c r="FG190" s="139" t="str">
        <f t="shared" si="266"/>
        <v/>
      </c>
      <c r="FH190" s="139" t="str">
        <f t="shared" si="267"/>
        <v/>
      </c>
      <c r="FI190" s="139" t="str">
        <f t="shared" si="268"/>
        <v/>
      </c>
      <c r="FJ190" s="139" t="str">
        <f t="shared" si="269"/>
        <v/>
      </c>
      <c r="FK190" s="139" t="str">
        <f t="shared" si="270"/>
        <v/>
      </c>
      <c r="FL190" s="139" t="str">
        <f t="shared" si="271"/>
        <v/>
      </c>
      <c r="FM190" s="139" t="str">
        <f t="shared" si="272"/>
        <v/>
      </c>
      <c r="FN190" s="139" t="str">
        <f t="shared" si="273"/>
        <v/>
      </c>
      <c r="FO190" s="139" t="str">
        <f t="shared" si="274"/>
        <v/>
      </c>
      <c r="FP190" s="139" t="str">
        <f t="shared" si="275"/>
        <v/>
      </c>
      <c r="FQ190" s="139" t="str">
        <f t="shared" si="276"/>
        <v/>
      </c>
      <c r="FR190" s="139" t="str">
        <f t="shared" si="277"/>
        <v/>
      </c>
      <c r="FS190" s="139" t="str">
        <f t="shared" si="278"/>
        <v/>
      </c>
      <c r="FT190" s="139" t="str">
        <f t="shared" si="279"/>
        <v/>
      </c>
      <c r="FU190" s="148" t="str">
        <f t="shared" si="280"/>
        <v/>
      </c>
      <c r="FV190" s="149"/>
      <c r="FY190" s="213">
        <v>185</v>
      </c>
      <c r="FZ190">
        <v>2.1834373233262436</v>
      </c>
      <c r="GA190">
        <v>21.138169714161108</v>
      </c>
      <c r="GB190">
        <v>9.3034874985217773</v>
      </c>
      <c r="GC190">
        <v>1.1570157648102217</v>
      </c>
      <c r="GD190">
        <v>1.6165411608599898</v>
      </c>
      <c r="GE190">
        <v>1.7637404656301865</v>
      </c>
      <c r="GF190">
        <v>0.47734812494006024</v>
      </c>
      <c r="GG190">
        <v>7.2466189384213955</v>
      </c>
      <c r="GH190">
        <v>9.9830569389859214</v>
      </c>
      <c r="GI190">
        <v>5.3885288649751875</v>
      </c>
      <c r="GJ190"/>
      <c r="GK190"/>
      <c r="GL190"/>
      <c r="GM190"/>
      <c r="GN190" s="208"/>
      <c r="GO190" s="208"/>
      <c r="GP190" s="208"/>
      <c r="GQ190" s="208"/>
      <c r="GR190" s="208"/>
      <c r="GS190" s="208"/>
      <c r="GT190" s="208"/>
      <c r="GU190" s="213">
        <v>185</v>
      </c>
    </row>
    <row r="191" spans="1:203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35.968100439524932</v>
      </c>
      <c r="AO191">
        <v>6.6615792560313256</v>
      </c>
      <c r="AP191">
        <v>123.47139511554238</v>
      </c>
      <c r="AQ191">
        <v>43.968537132107159</v>
      </c>
      <c r="AR191">
        <v>6.1102524127060525</v>
      </c>
      <c r="AS191">
        <v>87.886811017423341</v>
      </c>
      <c r="AT191" t="e">
        <v>#DIV/0!</v>
      </c>
      <c r="AU191" t="e">
        <v>#DIV/0!</v>
      </c>
      <c r="AV191"/>
      <c r="AW191"/>
      <c r="AX191" s="146"/>
      <c r="AY191" s="76" t="str">
        <f t="shared" ca="1" si="171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6"/>
        <v/>
      </c>
      <c r="CL191" s="179" t="str">
        <f t="shared" si="207"/>
        <v/>
      </c>
      <c r="CM191" s="180" t="str">
        <f t="shared" si="208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9"/>
        <v/>
      </c>
      <c r="DB191" s="146"/>
      <c r="DC191" s="76" t="str">
        <f t="shared" ca="1" si="172"/>
        <v/>
      </c>
      <c r="DD191" t="str">
        <f t="shared" si="210"/>
        <v/>
      </c>
      <c r="DE191" s="129" t="str">
        <f t="shared" si="281"/>
        <v/>
      </c>
      <c r="DF191" s="161" t="str">
        <f t="shared" si="282"/>
        <v/>
      </c>
      <c r="DG191" s="161" t="str">
        <f t="shared" si="283"/>
        <v/>
      </c>
      <c r="DH191" s="161" t="str">
        <f t="shared" si="284"/>
        <v/>
      </c>
      <c r="DI191" s="161" t="str">
        <f t="shared" si="285"/>
        <v/>
      </c>
      <c r="DJ191" s="161" t="str">
        <f t="shared" si="286"/>
        <v/>
      </c>
      <c r="DK191" s="161" t="str">
        <f t="shared" si="287"/>
        <v/>
      </c>
      <c r="DL191" s="161" t="str">
        <f t="shared" si="288"/>
        <v/>
      </c>
      <c r="DM191" s="161" t="str">
        <f t="shared" si="289"/>
        <v/>
      </c>
      <c r="DN191" s="161" t="str">
        <f>IF($AZ191="", "", (BJ191*$CW191)/$CZ191)</f>
        <v/>
      </c>
      <c r="DO191" s="161" t="str">
        <f t="shared" si="290"/>
        <v/>
      </c>
      <c r="DP191" s="161" t="str">
        <f t="shared" si="291"/>
        <v/>
      </c>
      <c r="DQ191" s="161" t="str">
        <f t="shared" si="292"/>
        <v/>
      </c>
      <c r="DR191" s="161" t="str">
        <f t="shared" si="293"/>
        <v/>
      </c>
      <c r="DS191" s="161" t="str">
        <f t="shared" si="294"/>
        <v/>
      </c>
      <c r="DT191" s="161" t="str">
        <f t="shared" si="295"/>
        <v/>
      </c>
      <c r="DU191" s="161" t="str">
        <f t="shared" si="296"/>
        <v/>
      </c>
      <c r="DV191" s="161" t="str">
        <f t="shared" si="297"/>
        <v/>
      </c>
      <c r="DW191" s="161" t="str">
        <f t="shared" si="298"/>
        <v/>
      </c>
      <c r="DX191" s="161" t="str">
        <f t="shared" si="299"/>
        <v/>
      </c>
      <c r="DY191" s="161" t="str">
        <f t="shared" si="300"/>
        <v/>
      </c>
      <c r="DZ191" s="161" t="str">
        <f t="shared" si="301"/>
        <v/>
      </c>
      <c r="EA191" s="161" t="str">
        <f t="shared" si="302"/>
        <v/>
      </c>
      <c r="EB191" s="161" t="str">
        <f t="shared" si="303"/>
        <v/>
      </c>
      <c r="EC191" s="161" t="str">
        <f t="shared" si="304"/>
        <v/>
      </c>
      <c r="ED191" s="161" t="str">
        <f t="shared" si="305"/>
        <v/>
      </c>
      <c r="EE191" s="161" t="str">
        <f t="shared" si="306"/>
        <v/>
      </c>
      <c r="EF191" s="161" t="str">
        <f t="shared" si="307"/>
        <v/>
      </c>
      <c r="EG191" s="161" t="str">
        <f t="shared" si="308"/>
        <v/>
      </c>
      <c r="EH191" s="161" t="str">
        <f t="shared" si="309"/>
        <v/>
      </c>
      <c r="EI191" s="161" t="str">
        <f t="shared" si="310"/>
        <v/>
      </c>
      <c r="EJ191" s="161" t="str">
        <f t="shared" si="311"/>
        <v/>
      </c>
      <c r="EK191" s="147" t="str">
        <f t="shared" si="248"/>
        <v/>
      </c>
      <c r="EL191" s="149"/>
      <c r="EN191" s="146"/>
      <c r="EO191" s="146"/>
      <c r="EP191" s="139" t="str">
        <f t="shared" si="249"/>
        <v/>
      </c>
      <c r="EQ191" s="139" t="str">
        <f t="shared" si="250"/>
        <v/>
      </c>
      <c r="ER191" s="139" t="str">
        <f t="shared" si="251"/>
        <v/>
      </c>
      <c r="ES191" s="139" t="str">
        <f t="shared" si="252"/>
        <v/>
      </c>
      <c r="ET191" s="139" t="str">
        <f t="shared" si="253"/>
        <v/>
      </c>
      <c r="EU191" s="139" t="str">
        <f t="shared" si="254"/>
        <v/>
      </c>
      <c r="EV191" s="139" t="str">
        <f t="shared" si="255"/>
        <v/>
      </c>
      <c r="EW191" s="139" t="str">
        <f t="shared" si="256"/>
        <v/>
      </c>
      <c r="EX191" s="139" t="str">
        <f t="shared" si="257"/>
        <v/>
      </c>
      <c r="EY191" s="139" t="str">
        <f t="shared" si="258"/>
        <v/>
      </c>
      <c r="EZ191" s="139" t="str">
        <f t="shared" si="259"/>
        <v/>
      </c>
      <c r="FA191" s="139" t="str">
        <f t="shared" si="260"/>
        <v/>
      </c>
      <c r="FB191" s="139" t="str">
        <f t="shared" si="261"/>
        <v/>
      </c>
      <c r="FC191" s="139" t="str">
        <f t="shared" si="262"/>
        <v/>
      </c>
      <c r="FD191" s="139" t="str">
        <f t="shared" si="263"/>
        <v/>
      </c>
      <c r="FE191" s="139" t="str">
        <f t="shared" si="264"/>
        <v/>
      </c>
      <c r="FF191" s="139" t="str">
        <f t="shared" si="265"/>
        <v/>
      </c>
      <c r="FG191" s="139" t="str">
        <f t="shared" si="266"/>
        <v/>
      </c>
      <c r="FH191" s="139" t="str">
        <f t="shared" si="267"/>
        <v/>
      </c>
      <c r="FI191" s="139" t="str">
        <f t="shared" si="268"/>
        <v/>
      </c>
      <c r="FJ191" s="139" t="str">
        <f t="shared" si="269"/>
        <v/>
      </c>
      <c r="FK191" s="139" t="str">
        <f t="shared" si="270"/>
        <v/>
      </c>
      <c r="FL191" s="139" t="str">
        <f t="shared" si="271"/>
        <v/>
      </c>
      <c r="FM191" s="139" t="str">
        <f t="shared" si="272"/>
        <v/>
      </c>
      <c r="FN191" s="139" t="str">
        <f t="shared" si="273"/>
        <v/>
      </c>
      <c r="FO191" s="139" t="str">
        <f t="shared" si="274"/>
        <v/>
      </c>
      <c r="FP191" s="139" t="str">
        <f t="shared" si="275"/>
        <v/>
      </c>
      <c r="FQ191" s="139" t="str">
        <f t="shared" si="276"/>
        <v/>
      </c>
      <c r="FR191" s="139" t="str">
        <f t="shared" si="277"/>
        <v/>
      </c>
      <c r="FS191" s="139" t="str">
        <f t="shared" si="278"/>
        <v/>
      </c>
      <c r="FT191" s="139" t="str">
        <f t="shared" si="279"/>
        <v/>
      </c>
      <c r="FU191" s="148" t="str">
        <f t="shared" si="280"/>
        <v/>
      </c>
      <c r="FV191" s="149"/>
      <c r="FY191" s="213">
        <v>186</v>
      </c>
      <c r="FZ191">
        <v>3.7797135260832437</v>
      </c>
      <c r="GA191">
        <v>18.443265307679653</v>
      </c>
      <c r="GB191">
        <v>7.2653060468368862</v>
      </c>
      <c r="GC191">
        <v>0.60514146558861692</v>
      </c>
      <c r="GD191">
        <v>0.78349878717981425</v>
      </c>
      <c r="GE191">
        <v>0.93650396392084989</v>
      </c>
      <c r="GF191">
        <v>0.47734812494006024</v>
      </c>
      <c r="GG191">
        <v>6.9280727222053375</v>
      </c>
      <c r="GH191">
        <v>9.6776719294057649</v>
      </c>
      <c r="GI191">
        <v>4.5279103826757821</v>
      </c>
      <c r="GJ191"/>
      <c r="GK191"/>
      <c r="GL191"/>
      <c r="GM191"/>
      <c r="GN191" s="208"/>
      <c r="GO191" s="208"/>
      <c r="GP191" s="208"/>
      <c r="GQ191" s="208"/>
      <c r="GR191" s="208"/>
      <c r="GS191" s="208"/>
      <c r="GT191" s="208"/>
      <c r="GU191" s="213">
        <v>186</v>
      </c>
    </row>
    <row r="192" spans="1:203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32.261990284619586</v>
      </c>
      <c r="AO192">
        <v>6.3037405834575555</v>
      </c>
      <c r="AP192">
        <v>295.45669367368026</v>
      </c>
      <c r="AQ192">
        <v>38.481840506578571</v>
      </c>
      <c r="AR192">
        <v>5.7849445285480785</v>
      </c>
      <c r="AS192">
        <v>75.847659948432891</v>
      </c>
      <c r="AT192" t="e">
        <v>#DIV/0!</v>
      </c>
      <c r="AU192" t="e">
        <v>#DIV/0!</v>
      </c>
      <c r="AV192"/>
      <c r="AW192"/>
      <c r="AX192" s="146"/>
      <c r="AY192" s="76" t="str">
        <f t="shared" ca="1" si="171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6"/>
        <v/>
      </c>
      <c r="CL192" s="179" t="str">
        <f t="shared" si="207"/>
        <v/>
      </c>
      <c r="CM192" s="180" t="str">
        <f t="shared" si="208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9"/>
        <v/>
      </c>
      <c r="DB192" s="146"/>
      <c r="DC192" s="76" t="str">
        <f t="shared" ca="1" si="172"/>
        <v/>
      </c>
      <c r="DD192" t="str">
        <f t="shared" si="210"/>
        <v/>
      </c>
      <c r="DE192" s="129" t="str">
        <f t="shared" si="281"/>
        <v/>
      </c>
      <c r="DF192" s="161" t="str">
        <f t="shared" si="282"/>
        <v/>
      </c>
      <c r="DG192" s="161" t="str">
        <f t="shared" si="283"/>
        <v/>
      </c>
      <c r="DH192" s="161" t="str">
        <f t="shared" si="284"/>
        <v/>
      </c>
      <c r="DI192" s="161" t="str">
        <f t="shared" si="285"/>
        <v/>
      </c>
      <c r="DJ192" s="161" t="str">
        <f t="shared" si="286"/>
        <v/>
      </c>
      <c r="DK192" s="161" t="str">
        <f t="shared" si="287"/>
        <v/>
      </c>
      <c r="DL192" s="161" t="str">
        <f t="shared" si="288"/>
        <v/>
      </c>
      <c r="DM192" s="161" t="str">
        <f t="shared" si="289"/>
        <v/>
      </c>
      <c r="DN192" s="161" t="str">
        <f>IF($AZ192="", "", (BJ192*$CW192)/$CZ192)</f>
        <v/>
      </c>
      <c r="DO192" s="161" t="str">
        <f t="shared" si="290"/>
        <v/>
      </c>
      <c r="DP192" s="161" t="str">
        <f t="shared" si="291"/>
        <v/>
      </c>
      <c r="DQ192" s="161" t="str">
        <f t="shared" si="292"/>
        <v/>
      </c>
      <c r="DR192" s="161" t="str">
        <f t="shared" si="293"/>
        <v/>
      </c>
      <c r="DS192" s="161" t="str">
        <f t="shared" si="294"/>
        <v/>
      </c>
      <c r="DT192" s="161" t="str">
        <f t="shared" si="295"/>
        <v/>
      </c>
      <c r="DU192" s="161" t="str">
        <f t="shared" si="296"/>
        <v/>
      </c>
      <c r="DV192" s="161" t="str">
        <f t="shared" si="297"/>
        <v/>
      </c>
      <c r="DW192" s="161" t="str">
        <f t="shared" si="298"/>
        <v/>
      </c>
      <c r="DX192" s="161" t="str">
        <f t="shared" si="299"/>
        <v/>
      </c>
      <c r="DY192" s="161" t="str">
        <f t="shared" si="300"/>
        <v/>
      </c>
      <c r="DZ192" s="161" t="str">
        <f t="shared" si="301"/>
        <v/>
      </c>
      <c r="EA192" s="161" t="str">
        <f t="shared" si="302"/>
        <v/>
      </c>
      <c r="EB192" s="161" t="str">
        <f t="shared" si="303"/>
        <v/>
      </c>
      <c r="EC192" s="161" t="str">
        <f t="shared" si="304"/>
        <v/>
      </c>
      <c r="ED192" s="161" t="str">
        <f t="shared" si="305"/>
        <v/>
      </c>
      <c r="EE192" s="161" t="str">
        <f t="shared" si="306"/>
        <v/>
      </c>
      <c r="EF192" s="161" t="str">
        <f t="shared" si="307"/>
        <v/>
      </c>
      <c r="EG192" s="161" t="str">
        <f t="shared" si="308"/>
        <v/>
      </c>
      <c r="EH192" s="161" t="str">
        <f t="shared" si="309"/>
        <v/>
      </c>
      <c r="EI192" s="161" t="str">
        <f t="shared" si="310"/>
        <v/>
      </c>
      <c r="EJ192" s="161" t="str">
        <f t="shared" si="311"/>
        <v/>
      </c>
      <c r="EK192" s="147" t="str">
        <f t="shared" si="248"/>
        <v/>
      </c>
      <c r="EL192" s="149"/>
      <c r="EN192" s="146"/>
      <c r="EO192" s="146"/>
      <c r="EP192" s="139" t="str">
        <f t="shared" si="249"/>
        <v/>
      </c>
      <c r="EQ192" s="139" t="str">
        <f t="shared" si="250"/>
        <v/>
      </c>
      <c r="ER192" s="139" t="str">
        <f t="shared" si="251"/>
        <v/>
      </c>
      <c r="ES192" s="139" t="str">
        <f t="shared" si="252"/>
        <v/>
      </c>
      <c r="ET192" s="139" t="str">
        <f t="shared" si="253"/>
        <v/>
      </c>
      <c r="EU192" s="139" t="str">
        <f t="shared" si="254"/>
        <v/>
      </c>
      <c r="EV192" s="139" t="str">
        <f t="shared" si="255"/>
        <v/>
      </c>
      <c r="EW192" s="139" t="str">
        <f t="shared" si="256"/>
        <v/>
      </c>
      <c r="EX192" s="139" t="str">
        <f t="shared" si="257"/>
        <v/>
      </c>
      <c r="EY192" s="139" t="str">
        <f t="shared" si="258"/>
        <v/>
      </c>
      <c r="EZ192" s="139" t="str">
        <f t="shared" si="259"/>
        <v/>
      </c>
      <c r="FA192" s="139" t="str">
        <f t="shared" si="260"/>
        <v/>
      </c>
      <c r="FB192" s="139" t="str">
        <f t="shared" si="261"/>
        <v/>
      </c>
      <c r="FC192" s="139" t="str">
        <f t="shared" si="262"/>
        <v/>
      </c>
      <c r="FD192" s="139" t="str">
        <f t="shared" si="263"/>
        <v/>
      </c>
      <c r="FE192" s="139" t="str">
        <f t="shared" si="264"/>
        <v/>
      </c>
      <c r="FF192" s="139" t="str">
        <f t="shared" si="265"/>
        <v/>
      </c>
      <c r="FG192" s="139" t="str">
        <f t="shared" si="266"/>
        <v/>
      </c>
      <c r="FH192" s="139" t="str">
        <f t="shared" si="267"/>
        <v/>
      </c>
      <c r="FI192" s="139" t="str">
        <f t="shared" si="268"/>
        <v/>
      </c>
      <c r="FJ192" s="139" t="str">
        <f t="shared" si="269"/>
        <v/>
      </c>
      <c r="FK192" s="139" t="str">
        <f t="shared" si="270"/>
        <v/>
      </c>
      <c r="FL192" s="139" t="str">
        <f t="shared" si="271"/>
        <v/>
      </c>
      <c r="FM192" s="139" t="str">
        <f t="shared" si="272"/>
        <v/>
      </c>
      <c r="FN192" s="139" t="str">
        <f t="shared" si="273"/>
        <v/>
      </c>
      <c r="FO192" s="139" t="str">
        <f t="shared" si="274"/>
        <v/>
      </c>
      <c r="FP192" s="139" t="str">
        <f t="shared" si="275"/>
        <v/>
      </c>
      <c r="FQ192" s="139" t="str">
        <f t="shared" si="276"/>
        <v/>
      </c>
      <c r="FR192" s="139" t="str">
        <f t="shared" si="277"/>
        <v/>
      </c>
      <c r="FS192" s="139" t="str">
        <f t="shared" si="278"/>
        <v/>
      </c>
      <c r="FT192" s="139" t="str">
        <f t="shared" si="279"/>
        <v/>
      </c>
      <c r="FU192" s="148" t="str">
        <f t="shared" si="280"/>
        <v/>
      </c>
      <c r="FV192" s="149"/>
      <c r="FY192" s="213">
        <v>187</v>
      </c>
      <c r="FZ192">
        <v>2.1834373233262436</v>
      </c>
      <c r="GA192">
        <v>19.448738979533019</v>
      </c>
      <c r="GB192">
        <v>8.8568280263641306</v>
      </c>
      <c r="GC192">
        <v>0.23246288007367605</v>
      </c>
      <c r="GD192">
        <v>1.6382259612328969</v>
      </c>
      <c r="GE192">
        <v>2.9597447712240781</v>
      </c>
      <c r="GF192">
        <v>0</v>
      </c>
      <c r="GG192">
        <v>2.3984645145399348</v>
      </c>
      <c r="GH192">
        <v>3.3851261178612746</v>
      </c>
      <c r="GI192">
        <v>4.0852405747498475</v>
      </c>
      <c r="GJ192"/>
      <c r="GK192"/>
      <c r="GL192"/>
      <c r="GM192"/>
      <c r="GN192" s="208"/>
      <c r="GO192" s="208"/>
      <c r="GP192" s="208"/>
      <c r="GQ192" s="208"/>
      <c r="GR192" s="208"/>
      <c r="GS192" s="208"/>
      <c r="GT192" s="208"/>
      <c r="GU192" s="213">
        <v>187</v>
      </c>
    </row>
    <row r="193" spans="1:203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16.93678284566839</v>
      </c>
      <c r="AO193">
        <v>6.720363531179169</v>
      </c>
      <c r="AP193">
        <v>255.88934834266317</v>
      </c>
      <c r="AQ193">
        <v>39.534357152563445</v>
      </c>
      <c r="AR193">
        <v>6.1636926628404547</v>
      </c>
      <c r="AS193">
        <v>53.835687316878598</v>
      </c>
      <c r="AT193" t="e">
        <v>#DIV/0!</v>
      </c>
      <c r="AU193" t="e">
        <v>#DIV/0!</v>
      </c>
      <c r="AV193"/>
      <c r="AW193"/>
      <c r="AX193" s="146"/>
      <c r="AY193" s="76" t="str">
        <f t="shared" ca="1" si="171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6"/>
        <v/>
      </c>
      <c r="CL193" s="179" t="str">
        <f t="shared" si="207"/>
        <v/>
      </c>
      <c r="CM193" s="180" t="str">
        <f t="shared" si="208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9"/>
        <v/>
      </c>
      <c r="DB193" s="146"/>
      <c r="DC193" s="76" t="str">
        <f t="shared" ca="1" si="172"/>
        <v/>
      </c>
      <c r="DD193" t="str">
        <f t="shared" si="210"/>
        <v/>
      </c>
      <c r="DE193" s="129" t="str">
        <f t="shared" si="281"/>
        <v/>
      </c>
      <c r="DF193" s="161" t="str">
        <f t="shared" si="282"/>
        <v/>
      </c>
      <c r="DG193" s="161" t="str">
        <f t="shared" si="283"/>
        <v/>
      </c>
      <c r="DH193" s="161" t="str">
        <f t="shared" si="284"/>
        <v/>
      </c>
      <c r="DI193" s="161" t="str">
        <f t="shared" si="285"/>
        <v/>
      </c>
      <c r="DJ193" s="161" t="str">
        <f t="shared" si="286"/>
        <v/>
      </c>
      <c r="DK193" s="161" t="str">
        <f t="shared" si="287"/>
        <v/>
      </c>
      <c r="DL193" s="161" t="str">
        <f t="shared" si="288"/>
        <v/>
      </c>
      <c r="DM193" s="161" t="str">
        <f t="shared" si="289"/>
        <v/>
      </c>
      <c r="DN193" s="161" t="str">
        <f t="shared" ref="DN193:DN207" si="312">IF($AZ193="", "", (BJ193*$CW193)/$CZ193)</f>
        <v/>
      </c>
      <c r="DO193" s="161" t="str">
        <f t="shared" si="290"/>
        <v/>
      </c>
      <c r="DP193" s="161" t="str">
        <f t="shared" si="291"/>
        <v/>
      </c>
      <c r="DQ193" s="161" t="str">
        <f t="shared" si="292"/>
        <v/>
      </c>
      <c r="DR193" s="161" t="str">
        <f t="shared" si="293"/>
        <v/>
      </c>
      <c r="DS193" s="161" t="str">
        <f t="shared" si="294"/>
        <v/>
      </c>
      <c r="DT193" s="161" t="str">
        <f t="shared" si="295"/>
        <v/>
      </c>
      <c r="DU193" s="161" t="str">
        <f t="shared" si="296"/>
        <v/>
      </c>
      <c r="DV193" s="161" t="str">
        <f t="shared" si="297"/>
        <v/>
      </c>
      <c r="DW193" s="161" t="str">
        <f t="shared" si="298"/>
        <v/>
      </c>
      <c r="DX193" s="161" t="str">
        <f t="shared" si="299"/>
        <v/>
      </c>
      <c r="DY193" s="161" t="str">
        <f t="shared" si="300"/>
        <v/>
      </c>
      <c r="DZ193" s="161" t="str">
        <f t="shared" si="301"/>
        <v/>
      </c>
      <c r="EA193" s="161" t="str">
        <f t="shared" si="302"/>
        <v/>
      </c>
      <c r="EB193" s="161" t="str">
        <f t="shared" si="303"/>
        <v/>
      </c>
      <c r="EC193" s="161" t="str">
        <f t="shared" si="304"/>
        <v/>
      </c>
      <c r="ED193" s="161" t="str">
        <f t="shared" si="305"/>
        <v/>
      </c>
      <c r="EE193" s="161" t="str">
        <f t="shared" si="306"/>
        <v/>
      </c>
      <c r="EF193" s="161" t="str">
        <f t="shared" si="307"/>
        <v/>
      </c>
      <c r="EG193" s="161" t="str">
        <f t="shared" si="308"/>
        <v/>
      </c>
      <c r="EH193" s="161" t="str">
        <f t="shared" si="309"/>
        <v/>
      </c>
      <c r="EI193" s="161" t="str">
        <f t="shared" si="310"/>
        <v/>
      </c>
      <c r="EJ193" s="161" t="str">
        <f t="shared" si="311"/>
        <v/>
      </c>
      <c r="EK193" s="147" t="str">
        <f t="shared" si="248"/>
        <v/>
      </c>
      <c r="EL193" s="149"/>
      <c r="EN193" s="146"/>
      <c r="EO193" s="146"/>
      <c r="EP193" s="139" t="str">
        <f t="shared" si="249"/>
        <v/>
      </c>
      <c r="EQ193" s="139" t="str">
        <f t="shared" si="250"/>
        <v/>
      </c>
      <c r="ER193" s="139" t="str">
        <f t="shared" si="251"/>
        <v/>
      </c>
      <c r="ES193" s="139" t="str">
        <f t="shared" si="252"/>
        <v/>
      </c>
      <c r="ET193" s="139" t="str">
        <f t="shared" si="253"/>
        <v/>
      </c>
      <c r="EU193" s="139" t="str">
        <f t="shared" si="254"/>
        <v/>
      </c>
      <c r="EV193" s="139" t="str">
        <f t="shared" si="255"/>
        <v/>
      </c>
      <c r="EW193" s="139" t="str">
        <f t="shared" si="256"/>
        <v/>
      </c>
      <c r="EX193" s="139" t="str">
        <f t="shared" si="257"/>
        <v/>
      </c>
      <c r="EY193" s="139" t="str">
        <f t="shared" si="258"/>
        <v/>
      </c>
      <c r="EZ193" s="139" t="str">
        <f t="shared" si="259"/>
        <v/>
      </c>
      <c r="FA193" s="139" t="str">
        <f t="shared" si="260"/>
        <v/>
      </c>
      <c r="FB193" s="139" t="str">
        <f t="shared" si="261"/>
        <v/>
      </c>
      <c r="FC193" s="139" t="str">
        <f t="shared" si="262"/>
        <v/>
      </c>
      <c r="FD193" s="139" t="str">
        <f t="shared" si="263"/>
        <v/>
      </c>
      <c r="FE193" s="139" t="str">
        <f t="shared" si="264"/>
        <v/>
      </c>
      <c r="FF193" s="139" t="str">
        <f t="shared" si="265"/>
        <v/>
      </c>
      <c r="FG193" s="139" t="str">
        <f t="shared" si="266"/>
        <v/>
      </c>
      <c r="FH193" s="139" t="str">
        <f t="shared" si="267"/>
        <v/>
      </c>
      <c r="FI193" s="139" t="str">
        <f t="shared" si="268"/>
        <v/>
      </c>
      <c r="FJ193" s="139" t="str">
        <f t="shared" si="269"/>
        <v/>
      </c>
      <c r="FK193" s="139" t="str">
        <f t="shared" si="270"/>
        <v/>
      </c>
      <c r="FL193" s="139" t="str">
        <f t="shared" si="271"/>
        <v/>
      </c>
      <c r="FM193" s="139" t="str">
        <f t="shared" si="272"/>
        <v/>
      </c>
      <c r="FN193" s="139" t="str">
        <f t="shared" si="273"/>
        <v/>
      </c>
      <c r="FO193" s="139" t="str">
        <f t="shared" si="274"/>
        <v/>
      </c>
      <c r="FP193" s="139" t="str">
        <f t="shared" si="275"/>
        <v/>
      </c>
      <c r="FQ193" s="139" t="str">
        <f t="shared" si="276"/>
        <v/>
      </c>
      <c r="FR193" s="139" t="str">
        <f t="shared" si="277"/>
        <v/>
      </c>
      <c r="FS193" s="139" t="str">
        <f t="shared" si="278"/>
        <v/>
      </c>
      <c r="FT193" s="139" t="str">
        <f t="shared" si="279"/>
        <v/>
      </c>
      <c r="FU193" s="148" t="str">
        <f t="shared" si="280"/>
        <v/>
      </c>
      <c r="FV193" s="149"/>
      <c r="FY193" s="213">
        <v>188</v>
      </c>
      <c r="FZ193">
        <v>0</v>
      </c>
      <c r="GA193">
        <v>26.663445445275411</v>
      </c>
      <c r="GB193">
        <v>13.331367000640977</v>
      </c>
      <c r="GC193">
        <v>0.46227644236827292</v>
      </c>
      <c r="GD193">
        <v>0.58156181538279073</v>
      </c>
      <c r="GE193">
        <v>0.75013551393285716</v>
      </c>
      <c r="GF193">
        <v>0.47734812494006024</v>
      </c>
      <c r="GG193">
        <v>1.7866400991329137</v>
      </c>
      <c r="GH193">
        <v>2.5769808871077484</v>
      </c>
      <c r="GI193">
        <v>4.2081804213785592</v>
      </c>
      <c r="GJ193"/>
      <c r="GK193"/>
      <c r="GL193"/>
      <c r="GM193"/>
      <c r="GN193" s="208"/>
      <c r="GO193" s="208"/>
      <c r="GP193" s="208"/>
      <c r="GQ193" s="208"/>
      <c r="GR193" s="208"/>
      <c r="GS193" s="208"/>
      <c r="GT193" s="208"/>
      <c r="GU193" s="213">
        <v>188</v>
      </c>
    </row>
    <row r="194" spans="1:203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34.983819926668907</v>
      </c>
      <c r="AO194">
        <v>6.7265661273588986</v>
      </c>
      <c r="AP194">
        <v>134.35081574784937</v>
      </c>
      <c r="AQ194">
        <v>39.489022467272378</v>
      </c>
      <c r="AR194">
        <v>6.1693313866402111</v>
      </c>
      <c r="AS194">
        <v>90.068193883975383</v>
      </c>
      <c r="AT194" t="e">
        <v>#DIV/0!</v>
      </c>
      <c r="AU194" t="e">
        <v>#DIV/0!</v>
      </c>
      <c r="AV194"/>
      <c r="AW194"/>
      <c r="AX194" s="146"/>
      <c r="AY194" s="76" t="str">
        <f t="shared" ca="1" si="171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6"/>
        <v/>
      </c>
      <c r="CL194" s="179" t="str">
        <f t="shared" si="207"/>
        <v/>
      </c>
      <c r="CM194" s="180" t="str">
        <f t="shared" si="208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9"/>
        <v/>
      </c>
      <c r="DB194" s="146"/>
      <c r="DC194" s="76" t="str">
        <f t="shared" ca="1" si="172"/>
        <v/>
      </c>
      <c r="DD194" t="str">
        <f t="shared" si="210"/>
        <v/>
      </c>
      <c r="DE194" s="129" t="str">
        <f t="shared" si="281"/>
        <v/>
      </c>
      <c r="DF194" s="161" t="str">
        <f t="shared" si="282"/>
        <v/>
      </c>
      <c r="DG194" s="161" t="str">
        <f t="shared" si="283"/>
        <v/>
      </c>
      <c r="DH194" s="161" t="str">
        <f t="shared" si="284"/>
        <v/>
      </c>
      <c r="DI194" s="161" t="str">
        <f t="shared" si="285"/>
        <v/>
      </c>
      <c r="DJ194" s="161" t="str">
        <f t="shared" si="286"/>
        <v/>
      </c>
      <c r="DK194" s="161" t="str">
        <f t="shared" si="287"/>
        <v/>
      </c>
      <c r="DL194" s="161" t="str">
        <f t="shared" si="288"/>
        <v/>
      </c>
      <c r="DM194" s="161" t="str">
        <f t="shared" si="289"/>
        <v/>
      </c>
      <c r="DN194" s="161" t="str">
        <f t="shared" si="312"/>
        <v/>
      </c>
      <c r="DO194" s="161" t="str">
        <f t="shared" ref="DO194:DO206" si="313">IF($AZ194="", "", (BK193*$CW194)/$CZ194)</f>
        <v/>
      </c>
      <c r="DP194" s="161" t="str">
        <f t="shared" ref="DP194:DP206" si="314">IF($AZ194="", "", (BL193*$CW194)/$CZ194)</f>
        <v/>
      </c>
      <c r="DQ194" s="161" t="str">
        <f t="shared" ref="DQ194:DQ206" si="315">IF($AZ194="", "", (BM193*$CW194)/$CZ194)</f>
        <v/>
      </c>
      <c r="DR194" s="161" t="str">
        <f t="shared" ref="DR194:DR206" si="316">IF($AZ194="", "", (BN193*$CW194)/$CZ194)</f>
        <v/>
      </c>
      <c r="DS194" s="161" t="str">
        <f t="shared" ref="DS194:DS206" si="317">IF($AZ194="", "", (BO193*$CW194)/$CZ194)</f>
        <v/>
      </c>
      <c r="DT194" s="161" t="str">
        <f t="shared" ref="DT194:DT206" si="318">IF($AZ194="", "", (BP193*$CW194)/$CZ194)</f>
        <v/>
      </c>
      <c r="DU194" s="161" t="str">
        <f t="shared" ref="DU194:DU206" si="319">IF($AZ194="", "", (BQ193*$CW194)/$CZ194)</f>
        <v/>
      </c>
      <c r="DV194" s="161" t="str">
        <f t="shared" ref="DV194:DV206" si="320">IF($AZ194="", "", (BR193*$CW194)/$CZ194)</f>
        <v/>
      </c>
      <c r="DW194" s="161" t="str">
        <f t="shared" ref="DW194:DW206" si="321">IF($AZ194="", "", (BS193*$CW194)/$CZ194)</f>
        <v/>
      </c>
      <c r="DX194" s="161" t="str">
        <f t="shared" ref="DX194:DX206" si="322">IF($AZ194="", "", (BT193*$CW194)/$CZ194)</f>
        <v/>
      </c>
      <c r="DY194" s="161" t="str">
        <f t="shared" ref="DY194:DY206" si="323">IF($AZ194="", "", (BU193*$CW194)/$CZ194)</f>
        <v/>
      </c>
      <c r="DZ194" s="161" t="str">
        <f t="shared" ref="DZ194:DZ206" si="324">IF($AZ194="", "", (BV193*$CW194)/$CZ194)</f>
        <v/>
      </c>
      <c r="EA194" s="161" t="str">
        <f t="shared" ref="EA194:EA206" si="325">IF($AZ194="", "", (BW193*$CW194)/$CZ194)</f>
        <v/>
      </c>
      <c r="EB194" s="161" t="str">
        <f t="shared" ref="EB194:EB206" si="326">IF($AZ194="", "", (BX193*$CW194)/$CZ194)</f>
        <v/>
      </c>
      <c r="EC194" s="161" t="str">
        <f t="shared" ref="EC194:EC206" si="327">IF($AZ194="", "", (BY193*$CW194)/$CZ194)</f>
        <v/>
      </c>
      <c r="ED194" s="161" t="str">
        <f t="shared" ref="ED194:ED206" si="328">IF($AZ194="", "", (BZ193*$CW194)/$CZ194)</f>
        <v/>
      </c>
      <c r="EE194" s="161" t="str">
        <f t="shared" ref="EE194:EE206" si="329">IF($AZ194="", "", (CA193*$CW194)/$CZ194)</f>
        <v/>
      </c>
      <c r="EF194" s="161" t="str">
        <f t="shared" ref="EF194:EF206" si="330">IF($AZ194="", "", (CB193*$CW194)/$CZ194)</f>
        <v/>
      </c>
      <c r="EG194" s="161" t="str">
        <f t="shared" ref="EG194:EG206" si="331">IF($AZ194="", "", (CC193*$CW194)/$CZ194)</f>
        <v/>
      </c>
      <c r="EH194" s="161" t="str">
        <f t="shared" ref="EH194:EH206" si="332">IF($AZ194="", "", (CD193*$CW194)/$CZ194)</f>
        <v/>
      </c>
      <c r="EI194" s="161" t="str">
        <f t="shared" ref="EI194:EI206" si="333">IF($AZ194="", "", (CE193*$CW194)/$CZ194)</f>
        <v/>
      </c>
      <c r="EJ194" s="161" t="str">
        <f t="shared" ref="EJ194:EJ206" si="334">IF($AZ194="", "", (CF193*$CW194)/$CZ194)</f>
        <v/>
      </c>
      <c r="EK194" s="147" t="str">
        <f t="shared" si="248"/>
        <v/>
      </c>
      <c r="EL194" s="149"/>
      <c r="EN194" s="146"/>
      <c r="EO194" s="146"/>
      <c r="EP194" s="139" t="str">
        <f t="shared" si="249"/>
        <v/>
      </c>
      <c r="EQ194" s="139" t="str">
        <f t="shared" si="250"/>
        <v/>
      </c>
      <c r="ER194" s="139" t="str">
        <f t="shared" si="251"/>
        <v/>
      </c>
      <c r="ES194" s="139" t="str">
        <f t="shared" si="252"/>
        <v/>
      </c>
      <c r="ET194" s="139" t="str">
        <f t="shared" si="253"/>
        <v/>
      </c>
      <c r="EU194" s="139" t="str">
        <f t="shared" si="254"/>
        <v/>
      </c>
      <c r="EV194" s="139" t="str">
        <f t="shared" si="255"/>
        <v/>
      </c>
      <c r="EW194" s="139" t="str">
        <f t="shared" si="256"/>
        <v/>
      </c>
      <c r="EX194" s="139" t="str">
        <f t="shared" si="257"/>
        <v/>
      </c>
      <c r="EY194" s="139" t="str">
        <f t="shared" si="258"/>
        <v/>
      </c>
      <c r="EZ194" s="139" t="str">
        <f t="shared" si="259"/>
        <v/>
      </c>
      <c r="FA194" s="139" t="str">
        <f t="shared" si="260"/>
        <v/>
      </c>
      <c r="FB194" s="139" t="str">
        <f t="shared" si="261"/>
        <v/>
      </c>
      <c r="FC194" s="139" t="str">
        <f t="shared" si="262"/>
        <v/>
      </c>
      <c r="FD194" s="139" t="str">
        <f t="shared" si="263"/>
        <v/>
      </c>
      <c r="FE194" s="139" t="str">
        <f t="shared" si="264"/>
        <v/>
      </c>
      <c r="FF194" s="139" t="str">
        <f t="shared" si="265"/>
        <v/>
      </c>
      <c r="FG194" s="139" t="str">
        <f t="shared" si="266"/>
        <v/>
      </c>
      <c r="FH194" s="139" t="str">
        <f t="shared" si="267"/>
        <v/>
      </c>
      <c r="FI194" s="139" t="str">
        <f t="shared" si="268"/>
        <v/>
      </c>
      <c r="FJ194" s="139" t="str">
        <f t="shared" si="269"/>
        <v/>
      </c>
      <c r="FK194" s="139" t="str">
        <f t="shared" si="270"/>
        <v/>
      </c>
      <c r="FL194" s="139" t="str">
        <f t="shared" si="271"/>
        <v/>
      </c>
      <c r="FM194" s="139" t="str">
        <f t="shared" si="272"/>
        <v/>
      </c>
      <c r="FN194" s="139" t="str">
        <f t="shared" si="273"/>
        <v/>
      </c>
      <c r="FO194" s="139" t="str">
        <f t="shared" si="274"/>
        <v/>
      </c>
      <c r="FP194" s="139" t="str">
        <f t="shared" si="275"/>
        <v/>
      </c>
      <c r="FQ194" s="139" t="str">
        <f t="shared" si="276"/>
        <v/>
      </c>
      <c r="FR194" s="139" t="str">
        <f t="shared" si="277"/>
        <v/>
      </c>
      <c r="FS194" s="139" t="str">
        <f t="shared" si="278"/>
        <v/>
      </c>
      <c r="FT194" s="139" t="str">
        <f t="shared" si="279"/>
        <v/>
      </c>
      <c r="FU194" s="148" t="str">
        <f t="shared" si="280"/>
        <v/>
      </c>
      <c r="FV194" s="149"/>
      <c r="FY194" s="213">
        <v>189</v>
      </c>
      <c r="FZ194">
        <v>1.1743222411384853</v>
      </c>
      <c r="GA194">
        <v>26.314895862882196</v>
      </c>
      <c r="GB194">
        <v>13.055135674599699</v>
      </c>
      <c r="GC194">
        <v>0.30257073279430846</v>
      </c>
      <c r="GD194">
        <v>0.26624683875969185</v>
      </c>
      <c r="GE194">
        <v>6.7771022296901365E-2</v>
      </c>
      <c r="GF194">
        <v>0</v>
      </c>
      <c r="GG194">
        <v>1.3303875874480875</v>
      </c>
      <c r="GH194">
        <v>1.7568728840312078</v>
      </c>
      <c r="GI194">
        <v>3.914587503657831</v>
      </c>
      <c r="GJ194"/>
      <c r="GK194"/>
      <c r="GL194"/>
      <c r="GM194"/>
      <c r="GN194" s="208"/>
      <c r="GO194" s="208"/>
      <c r="GP194" s="208"/>
      <c r="GQ194" s="208"/>
      <c r="GR194" s="208"/>
      <c r="GS194" s="208"/>
      <c r="GT194" s="208"/>
      <c r="GU194" s="213">
        <v>189</v>
      </c>
    </row>
    <row r="195" spans="1:203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35.811850439524932</v>
      </c>
      <c r="AO195">
        <v>7.6738424908395162</v>
      </c>
      <c r="AP195">
        <v>169.49113434840848</v>
      </c>
      <c r="AQ195">
        <v>54.053258058494841</v>
      </c>
      <c r="AR195">
        <v>7.0847629879365295</v>
      </c>
      <c r="AS195">
        <v>89.604378594213159</v>
      </c>
      <c r="AT195" t="e">
        <v>#DIV/0!</v>
      </c>
      <c r="AU195" t="e">
        <v>#DIV/0!</v>
      </c>
      <c r="AV195"/>
      <c r="AW195"/>
      <c r="AX195" s="146"/>
      <c r="AY195" s="76" t="str">
        <f t="shared" ca="1" si="171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6"/>
        <v/>
      </c>
      <c r="CL195" s="179" t="str">
        <f t="shared" si="207"/>
        <v/>
      </c>
      <c r="CM195" s="180" t="str">
        <f t="shared" si="208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9"/>
        <v/>
      </c>
      <c r="DB195" s="146"/>
      <c r="DC195" s="76" t="str">
        <f t="shared" ca="1" si="172"/>
        <v/>
      </c>
      <c r="DD195" t="str">
        <f t="shared" si="210"/>
        <v/>
      </c>
      <c r="DE195" s="129" t="str">
        <f t="shared" si="281"/>
        <v/>
      </c>
      <c r="DF195" s="161" t="str">
        <f t="shared" si="282"/>
        <v/>
      </c>
      <c r="DG195" s="161" t="str">
        <f t="shared" si="283"/>
        <v/>
      </c>
      <c r="DH195" s="161" t="str">
        <f t="shared" si="284"/>
        <v/>
      </c>
      <c r="DI195" s="161" t="str">
        <f t="shared" si="285"/>
        <v/>
      </c>
      <c r="DJ195" s="161" t="str">
        <f t="shared" si="286"/>
        <v/>
      </c>
      <c r="DK195" s="161" t="str">
        <f t="shared" si="287"/>
        <v/>
      </c>
      <c r="DL195" s="161" t="str">
        <f t="shared" si="288"/>
        <v/>
      </c>
      <c r="DM195" s="161" t="str">
        <f t="shared" si="289"/>
        <v/>
      </c>
      <c r="DN195" s="161" t="str">
        <f t="shared" si="312"/>
        <v/>
      </c>
      <c r="DO195" s="161" t="str">
        <f t="shared" si="313"/>
        <v/>
      </c>
      <c r="DP195" s="161" t="str">
        <f t="shared" si="314"/>
        <v/>
      </c>
      <c r="DQ195" s="161" t="str">
        <f t="shared" si="315"/>
        <v/>
      </c>
      <c r="DR195" s="161" t="str">
        <f t="shared" si="316"/>
        <v/>
      </c>
      <c r="DS195" s="161" t="str">
        <f t="shared" si="317"/>
        <v/>
      </c>
      <c r="DT195" s="161" t="str">
        <f t="shared" si="318"/>
        <v/>
      </c>
      <c r="DU195" s="161" t="str">
        <f t="shared" si="319"/>
        <v/>
      </c>
      <c r="DV195" s="161" t="str">
        <f t="shared" si="320"/>
        <v/>
      </c>
      <c r="DW195" s="161" t="str">
        <f t="shared" si="321"/>
        <v/>
      </c>
      <c r="DX195" s="161" t="str">
        <f t="shared" si="322"/>
        <v/>
      </c>
      <c r="DY195" s="161" t="str">
        <f t="shared" si="323"/>
        <v/>
      </c>
      <c r="DZ195" s="161" t="str">
        <f t="shared" si="324"/>
        <v/>
      </c>
      <c r="EA195" s="161" t="str">
        <f t="shared" si="325"/>
        <v/>
      </c>
      <c r="EB195" s="161" t="str">
        <f t="shared" si="326"/>
        <v/>
      </c>
      <c r="EC195" s="161" t="str">
        <f t="shared" si="327"/>
        <v/>
      </c>
      <c r="ED195" s="161" t="str">
        <f t="shared" si="328"/>
        <v/>
      </c>
      <c r="EE195" s="161" t="str">
        <f t="shared" si="329"/>
        <v/>
      </c>
      <c r="EF195" s="161" t="str">
        <f t="shared" si="330"/>
        <v/>
      </c>
      <c r="EG195" s="161" t="str">
        <f t="shared" si="331"/>
        <v/>
      </c>
      <c r="EH195" s="161" t="str">
        <f t="shared" si="332"/>
        <v/>
      </c>
      <c r="EI195" s="161" t="str">
        <f t="shared" si="333"/>
        <v/>
      </c>
      <c r="EJ195" s="161" t="str">
        <f t="shared" si="334"/>
        <v/>
      </c>
      <c r="EK195" s="147" t="str">
        <f t="shared" si="248"/>
        <v/>
      </c>
      <c r="EL195" s="149"/>
      <c r="EN195" s="146"/>
      <c r="EO195" s="146"/>
      <c r="EP195" s="139" t="str">
        <f t="shared" si="249"/>
        <v/>
      </c>
      <c r="EQ195" s="139" t="str">
        <f t="shared" si="250"/>
        <v/>
      </c>
      <c r="ER195" s="139" t="str">
        <f t="shared" si="251"/>
        <v/>
      </c>
      <c r="ES195" s="139" t="str">
        <f t="shared" si="252"/>
        <v/>
      </c>
      <c r="ET195" s="139" t="str">
        <f t="shared" si="253"/>
        <v/>
      </c>
      <c r="EU195" s="139" t="str">
        <f t="shared" si="254"/>
        <v/>
      </c>
      <c r="EV195" s="139" t="str">
        <f t="shared" si="255"/>
        <v/>
      </c>
      <c r="EW195" s="139" t="str">
        <f t="shared" si="256"/>
        <v/>
      </c>
      <c r="EX195" s="139" t="str">
        <f t="shared" si="257"/>
        <v/>
      </c>
      <c r="EY195" s="139" t="str">
        <f t="shared" si="258"/>
        <v/>
      </c>
      <c r="EZ195" s="139" t="str">
        <f t="shared" si="259"/>
        <v/>
      </c>
      <c r="FA195" s="139" t="str">
        <f t="shared" si="260"/>
        <v/>
      </c>
      <c r="FB195" s="139" t="str">
        <f t="shared" si="261"/>
        <v/>
      </c>
      <c r="FC195" s="139" t="str">
        <f t="shared" si="262"/>
        <v/>
      </c>
      <c r="FD195" s="139" t="str">
        <f t="shared" si="263"/>
        <v/>
      </c>
      <c r="FE195" s="139" t="str">
        <f t="shared" si="264"/>
        <v/>
      </c>
      <c r="FF195" s="139" t="str">
        <f t="shared" si="265"/>
        <v/>
      </c>
      <c r="FG195" s="139" t="str">
        <f t="shared" si="266"/>
        <v/>
      </c>
      <c r="FH195" s="139" t="str">
        <f t="shared" si="267"/>
        <v/>
      </c>
      <c r="FI195" s="139" t="str">
        <f t="shared" si="268"/>
        <v/>
      </c>
      <c r="FJ195" s="139" t="str">
        <f t="shared" si="269"/>
        <v/>
      </c>
      <c r="FK195" s="139" t="str">
        <f t="shared" si="270"/>
        <v/>
      </c>
      <c r="FL195" s="139" t="str">
        <f t="shared" si="271"/>
        <v/>
      </c>
      <c r="FM195" s="139" t="str">
        <f t="shared" si="272"/>
        <v/>
      </c>
      <c r="FN195" s="139" t="str">
        <f t="shared" si="273"/>
        <v/>
      </c>
      <c r="FO195" s="139" t="str">
        <f t="shared" si="274"/>
        <v/>
      </c>
      <c r="FP195" s="139" t="str">
        <f t="shared" si="275"/>
        <v/>
      </c>
      <c r="FQ195" s="139" t="str">
        <f t="shared" si="276"/>
        <v/>
      </c>
      <c r="FR195" s="139" t="str">
        <f t="shared" si="277"/>
        <v/>
      </c>
      <c r="FS195" s="139" t="str">
        <f t="shared" si="278"/>
        <v/>
      </c>
      <c r="FT195" s="139" t="str">
        <f t="shared" si="279"/>
        <v/>
      </c>
      <c r="FU195" s="148" t="str">
        <f t="shared" si="280"/>
        <v/>
      </c>
      <c r="FV195" s="149"/>
      <c r="FY195" s="213">
        <v>190</v>
      </c>
      <c r="FZ195">
        <v>2.1834373233262436</v>
      </c>
      <c r="GA195">
        <v>9.1586010139503671</v>
      </c>
      <c r="GB195">
        <v>3.6881395689601124</v>
      </c>
      <c r="GC195">
        <v>0.68735954847135594</v>
      </c>
      <c r="GD195">
        <v>1.7719682918539075</v>
      </c>
      <c r="GE195">
        <v>3.1112012912396585</v>
      </c>
      <c r="GF195">
        <v>0.95469624988012047</v>
      </c>
      <c r="GG195">
        <v>6.1549440479905293</v>
      </c>
      <c r="GH195">
        <v>8.668541174741371</v>
      </c>
      <c r="GI195">
        <v>3.985232868785856</v>
      </c>
      <c r="GJ195"/>
      <c r="GK195"/>
      <c r="GL195"/>
      <c r="GM195"/>
      <c r="GN195" s="208"/>
      <c r="GO195" s="208"/>
      <c r="GP195" s="208"/>
      <c r="GQ195" s="208"/>
      <c r="GR195" s="208"/>
      <c r="GS195" s="208"/>
      <c r="GT195" s="208"/>
      <c r="GU195" s="213">
        <v>190</v>
      </c>
    </row>
    <row r="196" spans="1:203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26.34375</v>
      </c>
      <c r="AO196">
        <v>5.9868448797872666</v>
      </c>
      <c r="AP196">
        <v>97.052403450047862</v>
      </c>
      <c r="AQ196">
        <v>41.308498991022383</v>
      </c>
      <c r="AR196">
        <v>5.6054000669302413</v>
      </c>
      <c r="AS196">
        <v>72.291117010413544</v>
      </c>
      <c r="AT196" t="e">
        <v>#DIV/0!</v>
      </c>
      <c r="AU196" t="e">
        <v>#DIV/0!</v>
      </c>
      <c r="AV196"/>
      <c r="AW196"/>
      <c r="AX196" s="146"/>
      <c r="AY196" s="76" t="str">
        <f t="shared" ca="1" si="171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6"/>
        <v/>
      </c>
      <c r="CL196" s="179" t="str">
        <f t="shared" si="207"/>
        <v/>
      </c>
      <c r="CM196" s="180" t="str">
        <f t="shared" si="208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9"/>
        <v/>
      </c>
      <c r="DB196" s="146"/>
      <c r="DC196" s="76" t="str">
        <f t="shared" ca="1" si="172"/>
        <v/>
      </c>
      <c r="DD196" t="str">
        <f t="shared" si="210"/>
        <v/>
      </c>
      <c r="DE196" s="129" t="str">
        <f t="shared" si="281"/>
        <v/>
      </c>
      <c r="DF196" s="161" t="str">
        <f t="shared" si="282"/>
        <v/>
      </c>
      <c r="DG196" s="161" t="str">
        <f t="shared" si="283"/>
        <v/>
      </c>
      <c r="DH196" s="161" t="str">
        <f t="shared" si="284"/>
        <v/>
      </c>
      <c r="DI196" s="161" t="str">
        <f t="shared" si="285"/>
        <v/>
      </c>
      <c r="DJ196" s="161" t="str">
        <f t="shared" si="286"/>
        <v/>
      </c>
      <c r="DK196" s="161" t="str">
        <f t="shared" si="287"/>
        <v/>
      </c>
      <c r="DL196" s="161" t="str">
        <f t="shared" si="288"/>
        <v/>
      </c>
      <c r="DM196" s="161" t="str">
        <f t="shared" si="289"/>
        <v/>
      </c>
      <c r="DN196" s="161" t="str">
        <f t="shared" si="312"/>
        <v/>
      </c>
      <c r="DO196" s="161" t="str">
        <f t="shared" si="313"/>
        <v/>
      </c>
      <c r="DP196" s="161" t="str">
        <f t="shared" si="314"/>
        <v/>
      </c>
      <c r="DQ196" s="161" t="str">
        <f t="shared" si="315"/>
        <v/>
      </c>
      <c r="DR196" s="161" t="str">
        <f t="shared" si="316"/>
        <v/>
      </c>
      <c r="DS196" s="161" t="str">
        <f t="shared" si="317"/>
        <v/>
      </c>
      <c r="DT196" s="161" t="str">
        <f t="shared" si="318"/>
        <v/>
      </c>
      <c r="DU196" s="161" t="str">
        <f t="shared" si="319"/>
        <v/>
      </c>
      <c r="DV196" s="161" t="str">
        <f t="shared" si="320"/>
        <v/>
      </c>
      <c r="DW196" s="161" t="str">
        <f t="shared" si="321"/>
        <v/>
      </c>
      <c r="DX196" s="161" t="str">
        <f t="shared" si="322"/>
        <v/>
      </c>
      <c r="DY196" s="161" t="str">
        <f t="shared" si="323"/>
        <v/>
      </c>
      <c r="DZ196" s="161" t="str">
        <f t="shared" si="324"/>
        <v/>
      </c>
      <c r="EA196" s="161" t="str">
        <f t="shared" si="325"/>
        <v/>
      </c>
      <c r="EB196" s="161" t="str">
        <f t="shared" si="326"/>
        <v/>
      </c>
      <c r="EC196" s="161" t="str">
        <f t="shared" si="327"/>
        <v/>
      </c>
      <c r="ED196" s="161" t="str">
        <f t="shared" si="328"/>
        <v/>
      </c>
      <c r="EE196" s="161" t="str">
        <f t="shared" si="329"/>
        <v/>
      </c>
      <c r="EF196" s="161" t="str">
        <f t="shared" si="330"/>
        <v/>
      </c>
      <c r="EG196" s="161" t="str">
        <f t="shared" si="331"/>
        <v/>
      </c>
      <c r="EH196" s="161" t="str">
        <f t="shared" si="332"/>
        <v/>
      </c>
      <c r="EI196" s="161" t="str">
        <f t="shared" si="333"/>
        <v/>
      </c>
      <c r="EJ196" s="161" t="str">
        <f t="shared" si="334"/>
        <v/>
      </c>
      <c r="EK196" s="147" t="str">
        <f t="shared" si="248"/>
        <v/>
      </c>
      <c r="EL196" s="149"/>
      <c r="EN196" s="146"/>
      <c r="EO196" s="146"/>
      <c r="EP196" s="139" t="str">
        <f t="shared" si="249"/>
        <v/>
      </c>
      <c r="EQ196" s="139" t="str">
        <f t="shared" si="250"/>
        <v/>
      </c>
      <c r="ER196" s="139" t="str">
        <f t="shared" si="251"/>
        <v/>
      </c>
      <c r="ES196" s="139" t="str">
        <f t="shared" si="252"/>
        <v/>
      </c>
      <c r="ET196" s="139" t="str">
        <f t="shared" si="253"/>
        <v/>
      </c>
      <c r="EU196" s="139" t="str">
        <f t="shared" si="254"/>
        <v/>
      </c>
      <c r="EV196" s="139" t="str">
        <f t="shared" si="255"/>
        <v/>
      </c>
      <c r="EW196" s="139" t="str">
        <f t="shared" si="256"/>
        <v/>
      </c>
      <c r="EX196" s="139" t="str">
        <f t="shared" si="257"/>
        <v/>
      </c>
      <c r="EY196" s="139" t="str">
        <f t="shared" si="258"/>
        <v/>
      </c>
      <c r="EZ196" s="139" t="str">
        <f t="shared" si="259"/>
        <v/>
      </c>
      <c r="FA196" s="139" t="str">
        <f t="shared" si="260"/>
        <v/>
      </c>
      <c r="FB196" s="139" t="str">
        <f t="shared" si="261"/>
        <v/>
      </c>
      <c r="FC196" s="139" t="str">
        <f t="shared" si="262"/>
        <v/>
      </c>
      <c r="FD196" s="139" t="str">
        <f t="shared" si="263"/>
        <v/>
      </c>
      <c r="FE196" s="139" t="str">
        <f t="shared" si="264"/>
        <v/>
      </c>
      <c r="FF196" s="139" t="str">
        <f t="shared" si="265"/>
        <v/>
      </c>
      <c r="FG196" s="139" t="str">
        <f t="shared" si="266"/>
        <v/>
      </c>
      <c r="FH196" s="139" t="str">
        <f t="shared" si="267"/>
        <v/>
      </c>
      <c r="FI196" s="139" t="str">
        <f t="shared" si="268"/>
        <v/>
      </c>
      <c r="FJ196" s="139" t="str">
        <f t="shared" si="269"/>
        <v/>
      </c>
      <c r="FK196" s="139" t="str">
        <f t="shared" si="270"/>
        <v/>
      </c>
      <c r="FL196" s="139" t="str">
        <f t="shared" si="271"/>
        <v/>
      </c>
      <c r="FM196" s="139" t="str">
        <f t="shared" si="272"/>
        <v/>
      </c>
      <c r="FN196" s="139" t="str">
        <f t="shared" si="273"/>
        <v/>
      </c>
      <c r="FO196" s="139" t="str">
        <f t="shared" si="274"/>
        <v/>
      </c>
      <c r="FP196" s="139" t="str">
        <f t="shared" si="275"/>
        <v/>
      </c>
      <c r="FQ196" s="139" t="str">
        <f t="shared" si="276"/>
        <v/>
      </c>
      <c r="FR196" s="139" t="str">
        <f t="shared" si="277"/>
        <v/>
      </c>
      <c r="FS196" s="139" t="str">
        <f t="shared" si="278"/>
        <v/>
      </c>
      <c r="FT196" s="139" t="str">
        <f t="shared" si="279"/>
        <v/>
      </c>
      <c r="FU196" s="148" t="str">
        <f t="shared" si="280"/>
        <v/>
      </c>
      <c r="FV196" s="149"/>
      <c r="FY196" s="213">
        <v>191</v>
      </c>
      <c r="FZ196">
        <v>1.596276202757001</v>
      </c>
      <c r="GA196">
        <v>15.257702398817049</v>
      </c>
      <c r="GB196">
        <v>6.5944290728134574</v>
      </c>
      <c r="GC196">
        <v>1.3228840984277752</v>
      </c>
      <c r="GD196">
        <v>2.2270679281770076</v>
      </c>
      <c r="GE196">
        <v>2.7507472941854987</v>
      </c>
      <c r="GF196">
        <v>0.47734812494006024</v>
      </c>
      <c r="GG196">
        <v>4.1817645063006967</v>
      </c>
      <c r="GH196">
        <v>5.7293824889844096</v>
      </c>
      <c r="GI196">
        <v>4.3386604648144509</v>
      </c>
      <c r="GJ196"/>
      <c r="GK196"/>
      <c r="GL196"/>
      <c r="GM196"/>
      <c r="GN196" s="208"/>
      <c r="GO196" s="208"/>
      <c r="GP196" s="208"/>
      <c r="GQ196" s="208"/>
      <c r="GR196" s="208"/>
      <c r="GS196" s="208"/>
      <c r="GT196" s="208"/>
      <c r="GU196" s="213">
        <v>191</v>
      </c>
    </row>
    <row r="197" spans="1:203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24.46950301204819</v>
      </c>
      <c r="AO197">
        <v>7.3038312718143459</v>
      </c>
      <c r="AP197">
        <v>183.43498761055145</v>
      </c>
      <c r="AQ197">
        <v>50.594149579803123</v>
      </c>
      <c r="AR197">
        <v>6.6941178815997091</v>
      </c>
      <c r="AS197">
        <v>76.144429544029663</v>
      </c>
      <c r="AT197" t="e">
        <v>#DIV/0!</v>
      </c>
      <c r="AU197" t="e">
        <v>#DIV/0!</v>
      </c>
      <c r="AV197"/>
      <c r="AW197"/>
      <c r="AX197" s="146"/>
      <c r="AY197" s="76" t="str">
        <f t="shared" ca="1" si="171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6"/>
        <v/>
      </c>
      <c r="CL197" s="179" t="str">
        <f t="shared" si="207"/>
        <v/>
      </c>
      <c r="CM197" s="180" t="str">
        <f t="shared" si="208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9"/>
        <v/>
      </c>
      <c r="DB197" s="146"/>
      <c r="DC197" s="76" t="str">
        <f t="shared" ca="1" si="172"/>
        <v/>
      </c>
      <c r="DD197" t="str">
        <f t="shared" si="210"/>
        <v/>
      </c>
      <c r="DE197" s="129" t="str">
        <f t="shared" si="281"/>
        <v/>
      </c>
      <c r="DF197" s="161" t="str">
        <f t="shared" si="282"/>
        <v/>
      </c>
      <c r="DG197" s="161" t="str">
        <f t="shared" si="283"/>
        <v/>
      </c>
      <c r="DH197" s="161" t="str">
        <f t="shared" si="284"/>
        <v/>
      </c>
      <c r="DI197" s="161" t="str">
        <f t="shared" si="285"/>
        <v/>
      </c>
      <c r="DJ197" s="161" t="str">
        <f t="shared" si="286"/>
        <v/>
      </c>
      <c r="DK197" s="161" t="str">
        <f t="shared" si="287"/>
        <v/>
      </c>
      <c r="DL197" s="161" t="str">
        <f t="shared" si="288"/>
        <v/>
      </c>
      <c r="DM197" s="161" t="str">
        <f t="shared" si="289"/>
        <v/>
      </c>
      <c r="DN197" s="161" t="str">
        <f t="shared" si="312"/>
        <v/>
      </c>
      <c r="DO197" s="161" t="str">
        <f t="shared" si="313"/>
        <v/>
      </c>
      <c r="DP197" s="161" t="str">
        <f t="shared" si="314"/>
        <v/>
      </c>
      <c r="DQ197" s="161" t="str">
        <f t="shared" si="315"/>
        <v/>
      </c>
      <c r="DR197" s="161" t="str">
        <f t="shared" si="316"/>
        <v/>
      </c>
      <c r="DS197" s="161" t="str">
        <f t="shared" si="317"/>
        <v/>
      </c>
      <c r="DT197" s="161" t="str">
        <f t="shared" si="318"/>
        <v/>
      </c>
      <c r="DU197" s="161" t="str">
        <f t="shared" si="319"/>
        <v/>
      </c>
      <c r="DV197" s="161" t="str">
        <f t="shared" si="320"/>
        <v/>
      </c>
      <c r="DW197" s="161" t="str">
        <f t="shared" si="321"/>
        <v/>
      </c>
      <c r="DX197" s="161" t="str">
        <f t="shared" si="322"/>
        <v/>
      </c>
      <c r="DY197" s="161" t="str">
        <f t="shared" si="323"/>
        <v/>
      </c>
      <c r="DZ197" s="161" t="str">
        <f t="shared" si="324"/>
        <v/>
      </c>
      <c r="EA197" s="161" t="str">
        <f t="shared" si="325"/>
        <v/>
      </c>
      <c r="EB197" s="161" t="str">
        <f t="shared" si="326"/>
        <v/>
      </c>
      <c r="EC197" s="161" t="str">
        <f t="shared" si="327"/>
        <v/>
      </c>
      <c r="ED197" s="161" t="str">
        <f t="shared" si="328"/>
        <v/>
      </c>
      <c r="EE197" s="161" t="str">
        <f t="shared" si="329"/>
        <v/>
      </c>
      <c r="EF197" s="161" t="str">
        <f t="shared" si="330"/>
        <v/>
      </c>
      <c r="EG197" s="161" t="str">
        <f t="shared" si="331"/>
        <v/>
      </c>
      <c r="EH197" s="161" t="str">
        <f t="shared" si="332"/>
        <v/>
      </c>
      <c r="EI197" s="161" t="str">
        <f t="shared" si="333"/>
        <v/>
      </c>
      <c r="EJ197" s="161" t="str">
        <f t="shared" si="334"/>
        <v/>
      </c>
      <c r="EK197" s="147" t="str">
        <f t="shared" si="248"/>
        <v/>
      </c>
      <c r="EL197" s="149"/>
      <c r="EN197" s="146"/>
      <c r="EO197" s="146"/>
      <c r="EP197" s="139" t="str">
        <f t="shared" si="249"/>
        <v/>
      </c>
      <c r="EQ197" s="139" t="str">
        <f t="shared" si="250"/>
        <v/>
      </c>
      <c r="ER197" s="139" t="str">
        <f t="shared" si="251"/>
        <v/>
      </c>
      <c r="ES197" s="139" t="str">
        <f t="shared" si="252"/>
        <v/>
      </c>
      <c r="ET197" s="139" t="str">
        <f t="shared" si="253"/>
        <v/>
      </c>
      <c r="EU197" s="139" t="str">
        <f t="shared" si="254"/>
        <v/>
      </c>
      <c r="EV197" s="139" t="str">
        <f t="shared" si="255"/>
        <v/>
      </c>
      <c r="EW197" s="139" t="str">
        <f t="shared" si="256"/>
        <v/>
      </c>
      <c r="EX197" s="139" t="str">
        <f t="shared" si="257"/>
        <v/>
      </c>
      <c r="EY197" s="139" t="str">
        <f t="shared" si="258"/>
        <v/>
      </c>
      <c r="EZ197" s="139" t="str">
        <f t="shared" si="259"/>
        <v/>
      </c>
      <c r="FA197" s="139" t="str">
        <f t="shared" si="260"/>
        <v/>
      </c>
      <c r="FB197" s="139" t="str">
        <f t="shared" si="261"/>
        <v/>
      </c>
      <c r="FC197" s="139" t="str">
        <f t="shared" si="262"/>
        <v/>
      </c>
      <c r="FD197" s="139" t="str">
        <f t="shared" si="263"/>
        <v/>
      </c>
      <c r="FE197" s="139" t="str">
        <f t="shared" si="264"/>
        <v/>
      </c>
      <c r="FF197" s="139" t="str">
        <f t="shared" si="265"/>
        <v/>
      </c>
      <c r="FG197" s="139" t="str">
        <f t="shared" si="266"/>
        <v/>
      </c>
      <c r="FH197" s="139" t="str">
        <f t="shared" si="267"/>
        <v/>
      </c>
      <c r="FI197" s="139" t="str">
        <f t="shared" si="268"/>
        <v/>
      </c>
      <c r="FJ197" s="139" t="str">
        <f t="shared" si="269"/>
        <v/>
      </c>
      <c r="FK197" s="139" t="str">
        <f t="shared" si="270"/>
        <v/>
      </c>
      <c r="FL197" s="139" t="str">
        <f t="shared" si="271"/>
        <v/>
      </c>
      <c r="FM197" s="139" t="str">
        <f t="shared" si="272"/>
        <v/>
      </c>
      <c r="FN197" s="139" t="str">
        <f t="shared" si="273"/>
        <v/>
      </c>
      <c r="FO197" s="139" t="str">
        <f t="shared" si="274"/>
        <v/>
      </c>
      <c r="FP197" s="139" t="str">
        <f t="shared" si="275"/>
        <v/>
      </c>
      <c r="FQ197" s="139" t="str">
        <f t="shared" si="276"/>
        <v/>
      </c>
      <c r="FR197" s="139" t="str">
        <f t="shared" si="277"/>
        <v/>
      </c>
      <c r="FS197" s="139" t="str">
        <f t="shared" si="278"/>
        <v/>
      </c>
      <c r="FT197" s="139" t="str">
        <f t="shared" si="279"/>
        <v/>
      </c>
      <c r="FU197" s="148" t="str">
        <f t="shared" si="280"/>
        <v/>
      </c>
      <c r="FV197" s="149"/>
      <c r="FY197" s="213">
        <v>192</v>
      </c>
      <c r="FZ197">
        <v>5.9631508494094883</v>
      </c>
      <c r="GA197">
        <v>17.226681269724434</v>
      </c>
      <c r="GB197">
        <v>5.7898296277628134</v>
      </c>
      <c r="GC197">
        <v>0.37267858551494082</v>
      </c>
      <c r="GD197">
        <v>1.4466511267193751</v>
      </c>
      <c r="GE197">
        <v>3.2271693222482307</v>
      </c>
      <c r="GF197">
        <v>1.432044374820181</v>
      </c>
      <c r="GG197">
        <v>5.8616658487995661</v>
      </c>
      <c r="GH197">
        <v>8.165780953568003</v>
      </c>
      <c r="GI197">
        <v>4.7891123925845438</v>
      </c>
      <c r="GJ197"/>
      <c r="GK197"/>
      <c r="GL197"/>
      <c r="GM197"/>
      <c r="GN197" s="208"/>
      <c r="GO197" s="208"/>
      <c r="GP197" s="208"/>
      <c r="GQ197" s="208"/>
      <c r="GR197" s="208"/>
      <c r="GS197" s="208"/>
      <c r="GT197" s="208"/>
      <c r="GU197" s="213">
        <v>192</v>
      </c>
    </row>
    <row r="198" spans="1:203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32.514966475095783</v>
      </c>
      <c r="AO198">
        <v>6.8232805040085349</v>
      </c>
      <c r="AP198">
        <v>178.51015087645482</v>
      </c>
      <c r="AQ198">
        <v>42.966654851231098</v>
      </c>
      <c r="AR198">
        <v>6.3115248180901817</v>
      </c>
      <c r="AS198">
        <v>79.776816980155061</v>
      </c>
      <c r="AT198" t="e">
        <v>#DIV/0!</v>
      </c>
      <c r="AU198" t="e">
        <v>#DIV/0!</v>
      </c>
      <c r="AV198"/>
      <c r="AW198"/>
      <c r="AX198" s="128"/>
      <c r="AY198" s="76" t="str">
        <f t="shared" ca="1" si="171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6"/>
        <v/>
      </c>
      <c r="CL198" s="179" t="str">
        <f t="shared" si="207"/>
        <v/>
      </c>
      <c r="CM198" s="180" t="str">
        <f t="shared" si="208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9"/>
        <v/>
      </c>
      <c r="DB198" s="128"/>
      <c r="DC198" s="76" t="str">
        <f t="shared" ca="1" si="172"/>
        <v/>
      </c>
      <c r="DD198" t="str">
        <f t="shared" si="210"/>
        <v/>
      </c>
      <c r="DE198" s="129" t="str">
        <f t="shared" ref="DE198:DE207" si="335">IF((DD198)="", "", $C$15)</f>
        <v/>
      </c>
      <c r="DF198" s="161" t="str">
        <f t="shared" si="282"/>
        <v/>
      </c>
      <c r="DG198" s="161" t="str">
        <f t="shared" si="283"/>
        <v/>
      </c>
      <c r="DH198" s="161" t="str">
        <f t="shared" si="284"/>
        <v/>
      </c>
      <c r="DI198" s="161" t="str">
        <f t="shared" si="285"/>
        <v/>
      </c>
      <c r="DJ198" s="161" t="str">
        <f t="shared" si="286"/>
        <v/>
      </c>
      <c r="DK198" s="161" t="str">
        <f t="shared" si="287"/>
        <v/>
      </c>
      <c r="DL198" s="161" t="str">
        <f t="shared" si="288"/>
        <v/>
      </c>
      <c r="DM198" s="161" t="str">
        <f t="shared" si="289"/>
        <v/>
      </c>
      <c r="DN198" s="161" t="str">
        <f t="shared" si="312"/>
        <v/>
      </c>
      <c r="DO198" s="161" t="str">
        <f t="shared" si="313"/>
        <v/>
      </c>
      <c r="DP198" s="161" t="str">
        <f t="shared" si="314"/>
        <v/>
      </c>
      <c r="DQ198" s="161" t="str">
        <f t="shared" si="315"/>
        <v/>
      </c>
      <c r="DR198" s="161" t="str">
        <f t="shared" si="316"/>
        <v/>
      </c>
      <c r="DS198" s="161" t="str">
        <f t="shared" si="317"/>
        <v/>
      </c>
      <c r="DT198" s="161" t="str">
        <f t="shared" si="318"/>
        <v/>
      </c>
      <c r="DU198" s="161" t="str">
        <f t="shared" si="319"/>
        <v/>
      </c>
      <c r="DV198" s="161" t="str">
        <f t="shared" si="320"/>
        <v/>
      </c>
      <c r="DW198" s="161" t="str">
        <f t="shared" si="321"/>
        <v/>
      </c>
      <c r="DX198" s="161" t="str">
        <f t="shared" si="322"/>
        <v/>
      </c>
      <c r="DY198" s="161" t="str">
        <f t="shared" si="323"/>
        <v/>
      </c>
      <c r="DZ198" s="161" t="str">
        <f t="shared" si="324"/>
        <v/>
      </c>
      <c r="EA198" s="161" t="str">
        <f t="shared" si="325"/>
        <v/>
      </c>
      <c r="EB198" s="161" t="str">
        <f t="shared" si="326"/>
        <v/>
      </c>
      <c r="EC198" s="161" t="str">
        <f t="shared" si="327"/>
        <v/>
      </c>
      <c r="ED198" s="161" t="str">
        <f t="shared" si="328"/>
        <v/>
      </c>
      <c r="EE198" s="161" t="str">
        <f t="shared" si="329"/>
        <v/>
      </c>
      <c r="EF198" s="161" t="str">
        <f t="shared" si="330"/>
        <v/>
      </c>
      <c r="EG198" s="161" t="str">
        <f t="shared" si="331"/>
        <v/>
      </c>
      <c r="EH198" s="161" t="str">
        <f t="shared" si="332"/>
        <v/>
      </c>
      <c r="EI198" s="161" t="str">
        <f t="shared" si="333"/>
        <v/>
      </c>
      <c r="EJ198" s="161" t="str">
        <f t="shared" si="334"/>
        <v/>
      </c>
      <c r="EK198" s="147" t="str">
        <f t="shared" si="248"/>
        <v/>
      </c>
      <c r="EL198" s="149"/>
      <c r="EN198" s="146"/>
      <c r="EO198" s="146"/>
      <c r="EP198" s="139" t="str">
        <f t="shared" si="249"/>
        <v/>
      </c>
      <c r="EQ198" s="139" t="str">
        <f t="shared" si="250"/>
        <v/>
      </c>
      <c r="ER198" s="139" t="str">
        <f t="shared" si="251"/>
        <v/>
      </c>
      <c r="ES198" s="139" t="str">
        <f t="shared" si="252"/>
        <v/>
      </c>
      <c r="ET198" s="139" t="str">
        <f t="shared" si="253"/>
        <v/>
      </c>
      <c r="EU198" s="139" t="str">
        <f t="shared" si="254"/>
        <v/>
      </c>
      <c r="EV198" s="139" t="str">
        <f t="shared" si="255"/>
        <v/>
      </c>
      <c r="EW198" s="139" t="str">
        <f t="shared" si="256"/>
        <v/>
      </c>
      <c r="EX198" s="139" t="str">
        <f t="shared" si="257"/>
        <v/>
      </c>
      <c r="EY198" s="139" t="str">
        <f t="shared" si="258"/>
        <v/>
      </c>
      <c r="EZ198" s="139" t="str">
        <f t="shared" si="259"/>
        <v/>
      </c>
      <c r="FA198" s="139" t="str">
        <f t="shared" si="260"/>
        <v/>
      </c>
      <c r="FB198" s="139" t="str">
        <f t="shared" si="261"/>
        <v/>
      </c>
      <c r="FC198" s="139" t="str">
        <f t="shared" si="262"/>
        <v/>
      </c>
      <c r="FD198" s="139" t="str">
        <f t="shared" si="263"/>
        <v/>
      </c>
      <c r="FE198" s="139" t="str">
        <f t="shared" si="264"/>
        <v/>
      </c>
      <c r="FF198" s="139" t="str">
        <f t="shared" si="265"/>
        <v/>
      </c>
      <c r="FG198" s="139" t="str">
        <f t="shared" si="266"/>
        <v/>
      </c>
      <c r="FH198" s="139" t="str">
        <f t="shared" si="267"/>
        <v/>
      </c>
      <c r="FI198" s="139" t="str">
        <f t="shared" si="268"/>
        <v/>
      </c>
      <c r="FJ198" s="139" t="str">
        <f t="shared" si="269"/>
        <v/>
      </c>
      <c r="FK198" s="139" t="str">
        <f t="shared" si="270"/>
        <v/>
      </c>
      <c r="FL198" s="139" t="str">
        <f t="shared" si="271"/>
        <v/>
      </c>
      <c r="FM198" s="139" t="str">
        <f t="shared" si="272"/>
        <v/>
      </c>
      <c r="FN198" s="139" t="str">
        <f t="shared" si="273"/>
        <v/>
      </c>
      <c r="FO198" s="139" t="str">
        <f t="shared" si="274"/>
        <v/>
      </c>
      <c r="FP198" s="139" t="str">
        <f t="shared" si="275"/>
        <v/>
      </c>
      <c r="FQ198" s="139" t="str">
        <f t="shared" si="276"/>
        <v/>
      </c>
      <c r="FR198" s="139" t="str">
        <f t="shared" si="277"/>
        <v/>
      </c>
      <c r="FS198" s="139" t="str">
        <f t="shared" si="278"/>
        <v/>
      </c>
      <c r="FT198" s="139" t="str">
        <f t="shared" si="279"/>
        <v/>
      </c>
      <c r="FU198" s="148" t="str">
        <f t="shared" si="280"/>
        <v/>
      </c>
      <c r="FV198" s="149"/>
      <c r="FY198" s="213">
        <v>193</v>
      </c>
      <c r="FZ198">
        <v>1.596276202757001</v>
      </c>
      <c r="GA198">
        <v>17.485807708427686</v>
      </c>
      <c r="GB198">
        <v>7.9075344565038215</v>
      </c>
      <c r="GC198">
        <v>0.6947393224419488</v>
      </c>
      <c r="GD198">
        <v>1.0684475590602793</v>
      </c>
      <c r="GE198">
        <v>1.9594248982660076</v>
      </c>
      <c r="GF198">
        <v>1.432044374820181</v>
      </c>
      <c r="GG198">
        <v>3.1153576328949253</v>
      </c>
      <c r="GH198">
        <v>4.2174915131466495</v>
      </c>
      <c r="GI198">
        <v>3.7750309591625926</v>
      </c>
      <c r="GJ198"/>
      <c r="GK198"/>
      <c r="GL198"/>
      <c r="GM198"/>
      <c r="GN198" s="208"/>
      <c r="GO198" s="208"/>
      <c r="GP198" s="208"/>
      <c r="GQ198" s="208"/>
      <c r="GR198" s="208"/>
      <c r="GS198" s="208"/>
      <c r="GT198" s="208"/>
      <c r="GU198" s="213">
        <v>193</v>
      </c>
    </row>
    <row r="199" spans="1:203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33.707769295573087</v>
      </c>
      <c r="AO199">
        <v>8.6075918596374343</v>
      </c>
      <c r="AP199">
        <v>199.32024827250575</v>
      </c>
      <c r="AQ199">
        <v>54.597077453335508</v>
      </c>
      <c r="AR199">
        <v>7.9336260504800897</v>
      </c>
      <c r="AS199">
        <v>100.85406491210551</v>
      </c>
      <c r="AT199" t="e">
        <v>#DIV/0!</v>
      </c>
      <c r="AU199" t="e">
        <v>#DIV/0!</v>
      </c>
      <c r="AV199"/>
      <c r="AW199"/>
      <c r="AX199" s="146"/>
      <c r="AY199" s="76" t="str">
        <f t="shared" ca="1" si="171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6"/>
        <v/>
      </c>
      <c r="CL199" s="179" t="str">
        <f t="shared" si="207"/>
        <v/>
      </c>
      <c r="CM199" s="180" t="str">
        <f t="shared" si="208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9"/>
        <v/>
      </c>
      <c r="DB199" s="146"/>
      <c r="DC199" s="76" t="str">
        <f t="shared" ca="1" si="172"/>
        <v/>
      </c>
      <c r="DD199" t="str">
        <f t="shared" si="210"/>
        <v/>
      </c>
      <c r="DE199" s="129" t="str">
        <f t="shared" si="335"/>
        <v/>
      </c>
      <c r="DF199" s="161" t="str">
        <f t="shared" si="282"/>
        <v/>
      </c>
      <c r="DG199" s="161" t="str">
        <f t="shared" si="283"/>
        <v/>
      </c>
      <c r="DH199" s="161" t="str">
        <f t="shared" si="284"/>
        <v/>
      </c>
      <c r="DI199" s="161" t="str">
        <f t="shared" si="285"/>
        <v/>
      </c>
      <c r="DJ199" s="161" t="str">
        <f t="shared" si="286"/>
        <v/>
      </c>
      <c r="DK199" s="161" t="str">
        <f t="shared" si="287"/>
        <v/>
      </c>
      <c r="DL199" s="161" t="str">
        <f t="shared" si="288"/>
        <v/>
      </c>
      <c r="DM199" s="161" t="str">
        <f t="shared" si="289"/>
        <v/>
      </c>
      <c r="DN199" s="161" t="str">
        <f t="shared" si="312"/>
        <v/>
      </c>
      <c r="DO199" s="161" t="str">
        <f t="shared" si="313"/>
        <v/>
      </c>
      <c r="DP199" s="161" t="str">
        <f t="shared" si="314"/>
        <v/>
      </c>
      <c r="DQ199" s="161" t="str">
        <f t="shared" si="315"/>
        <v/>
      </c>
      <c r="DR199" s="161" t="str">
        <f t="shared" si="316"/>
        <v/>
      </c>
      <c r="DS199" s="161" t="str">
        <f t="shared" si="317"/>
        <v/>
      </c>
      <c r="DT199" s="161" t="str">
        <f t="shared" si="318"/>
        <v/>
      </c>
      <c r="DU199" s="161" t="str">
        <f t="shared" si="319"/>
        <v/>
      </c>
      <c r="DV199" s="161" t="str">
        <f t="shared" si="320"/>
        <v/>
      </c>
      <c r="DW199" s="161" t="str">
        <f t="shared" si="321"/>
        <v/>
      </c>
      <c r="DX199" s="161" t="str">
        <f t="shared" si="322"/>
        <v/>
      </c>
      <c r="DY199" s="161" t="str">
        <f t="shared" si="323"/>
        <v/>
      </c>
      <c r="DZ199" s="161" t="str">
        <f t="shared" si="324"/>
        <v/>
      </c>
      <c r="EA199" s="161" t="str">
        <f t="shared" si="325"/>
        <v/>
      </c>
      <c r="EB199" s="161" t="str">
        <f t="shared" si="326"/>
        <v/>
      </c>
      <c r="EC199" s="161" t="str">
        <f t="shared" si="327"/>
        <v/>
      </c>
      <c r="ED199" s="161" t="str">
        <f t="shared" si="328"/>
        <v/>
      </c>
      <c r="EE199" s="161" t="str">
        <f t="shared" si="329"/>
        <v/>
      </c>
      <c r="EF199" s="161" t="str">
        <f t="shared" si="330"/>
        <v/>
      </c>
      <c r="EG199" s="161" t="str">
        <f t="shared" si="331"/>
        <v/>
      </c>
      <c r="EH199" s="161" t="str">
        <f t="shared" si="332"/>
        <v/>
      </c>
      <c r="EI199" s="161" t="str">
        <f t="shared" si="333"/>
        <v/>
      </c>
      <c r="EJ199" s="161" t="str">
        <f t="shared" si="334"/>
        <v/>
      </c>
      <c r="EK199" s="147" t="str">
        <f t="shared" si="248"/>
        <v/>
      </c>
      <c r="EL199" s="149"/>
      <c r="EN199" s="146"/>
      <c r="EO199" s="146"/>
      <c r="EP199" s="139" t="str">
        <f t="shared" si="249"/>
        <v/>
      </c>
      <c r="EQ199" s="139" t="str">
        <f t="shared" si="250"/>
        <v/>
      </c>
      <c r="ER199" s="139" t="str">
        <f t="shared" si="251"/>
        <v/>
      </c>
      <c r="ES199" s="139" t="str">
        <f t="shared" si="252"/>
        <v/>
      </c>
      <c r="ET199" s="139" t="str">
        <f t="shared" si="253"/>
        <v/>
      </c>
      <c r="EU199" s="139" t="str">
        <f t="shared" si="254"/>
        <v/>
      </c>
      <c r="EV199" s="139" t="str">
        <f t="shared" si="255"/>
        <v/>
      </c>
      <c r="EW199" s="139" t="str">
        <f t="shared" si="256"/>
        <v/>
      </c>
      <c r="EX199" s="139" t="str">
        <f t="shared" si="257"/>
        <v/>
      </c>
      <c r="EY199" s="139" t="str">
        <f t="shared" si="258"/>
        <v/>
      </c>
      <c r="EZ199" s="139" t="str">
        <f t="shared" si="259"/>
        <v/>
      </c>
      <c r="FA199" s="139" t="str">
        <f t="shared" si="260"/>
        <v/>
      </c>
      <c r="FB199" s="139" t="str">
        <f t="shared" si="261"/>
        <v/>
      </c>
      <c r="FC199" s="139" t="str">
        <f t="shared" si="262"/>
        <v/>
      </c>
      <c r="FD199" s="139" t="str">
        <f t="shared" si="263"/>
        <v/>
      </c>
      <c r="FE199" s="139" t="str">
        <f t="shared" si="264"/>
        <v/>
      </c>
      <c r="FF199" s="139" t="str">
        <f t="shared" si="265"/>
        <v/>
      </c>
      <c r="FG199" s="139" t="str">
        <f t="shared" si="266"/>
        <v/>
      </c>
      <c r="FH199" s="139" t="str">
        <f t="shared" si="267"/>
        <v/>
      </c>
      <c r="FI199" s="139" t="str">
        <f t="shared" si="268"/>
        <v/>
      </c>
      <c r="FJ199" s="139" t="str">
        <f t="shared" si="269"/>
        <v/>
      </c>
      <c r="FK199" s="139" t="str">
        <f t="shared" si="270"/>
        <v/>
      </c>
      <c r="FL199" s="139" t="str">
        <f t="shared" si="271"/>
        <v/>
      </c>
      <c r="FM199" s="139" t="str">
        <f t="shared" si="272"/>
        <v/>
      </c>
      <c r="FN199" s="139" t="str">
        <f t="shared" si="273"/>
        <v/>
      </c>
      <c r="FO199" s="139" t="str">
        <f t="shared" si="274"/>
        <v/>
      </c>
      <c r="FP199" s="139" t="str">
        <f t="shared" si="275"/>
        <v/>
      </c>
      <c r="FQ199" s="139" t="str">
        <f t="shared" si="276"/>
        <v/>
      </c>
      <c r="FR199" s="139" t="str">
        <f t="shared" si="277"/>
        <v/>
      </c>
      <c r="FS199" s="139" t="str">
        <f t="shared" si="278"/>
        <v/>
      </c>
      <c r="FT199" s="139" t="str">
        <f t="shared" si="279"/>
        <v/>
      </c>
      <c r="FU199" s="148" t="str">
        <f t="shared" si="280"/>
        <v/>
      </c>
      <c r="FV199" s="149"/>
      <c r="FY199" s="213">
        <v>194</v>
      </c>
      <c r="FZ199">
        <v>0.58716112056924263</v>
      </c>
      <c r="GA199">
        <v>10.976718362030644</v>
      </c>
      <c r="GB199">
        <v>5.4222971985039887</v>
      </c>
      <c r="GC199">
        <v>1.9327560202079057</v>
      </c>
      <c r="GD199">
        <v>2.7969032113698185</v>
      </c>
      <c r="GE199">
        <v>3.2430977805017589</v>
      </c>
      <c r="GF199">
        <v>0.95469624988012047</v>
      </c>
      <c r="GG199">
        <v>3.1153576328949253</v>
      </c>
      <c r="GH199">
        <v>4.2174915131466495</v>
      </c>
      <c r="GI199">
        <v>3.9996948857790899</v>
      </c>
      <c r="GJ199"/>
      <c r="GK199"/>
      <c r="GL199"/>
      <c r="GM199"/>
      <c r="GN199" s="208"/>
      <c r="GO199" s="208"/>
      <c r="GP199" s="208"/>
      <c r="GQ199" s="208"/>
      <c r="GR199" s="208"/>
      <c r="GS199" s="208"/>
      <c r="GT199" s="208"/>
      <c r="GU199" s="213">
        <v>194</v>
      </c>
    </row>
    <row r="200" spans="1:203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24.441485770668884</v>
      </c>
      <c r="AO200">
        <v>7.3418663663761468</v>
      </c>
      <c r="AP200">
        <v>350.45936704169782</v>
      </c>
      <c r="AQ200">
        <v>48.977273493042055</v>
      </c>
      <c r="AR200">
        <v>6.837237782011039</v>
      </c>
      <c r="AS200">
        <v>77.609317585170501</v>
      </c>
      <c r="AT200" t="e">
        <v>#DIV/0!</v>
      </c>
      <c r="AU200" t="e">
        <v>#DIV/0!</v>
      </c>
      <c r="AV200"/>
      <c r="AW200"/>
      <c r="AX200" s="146"/>
      <c r="AY200" s="76" t="str">
        <f t="shared" ca="1" si="171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6"/>
        <v/>
      </c>
      <c r="CL200" s="179" t="str">
        <f t="shared" si="207"/>
        <v/>
      </c>
      <c r="CM200" s="180" t="str">
        <f t="shared" si="208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9"/>
        <v/>
      </c>
      <c r="DB200" s="146"/>
      <c r="DC200" s="76" t="str">
        <f t="shared" ca="1" si="172"/>
        <v/>
      </c>
      <c r="DD200" t="str">
        <f t="shared" si="210"/>
        <v/>
      </c>
      <c r="DE200" s="129" t="str">
        <f t="shared" si="335"/>
        <v/>
      </c>
      <c r="DF200" s="161" t="str">
        <f t="shared" si="282"/>
        <v/>
      </c>
      <c r="DG200" s="161" t="str">
        <f t="shared" si="283"/>
        <v/>
      </c>
      <c r="DH200" s="161" t="str">
        <f t="shared" si="284"/>
        <v/>
      </c>
      <c r="DI200" s="161" t="str">
        <f t="shared" si="285"/>
        <v/>
      </c>
      <c r="DJ200" s="161" t="str">
        <f t="shared" si="286"/>
        <v/>
      </c>
      <c r="DK200" s="161" t="str">
        <f t="shared" si="287"/>
        <v/>
      </c>
      <c r="DL200" s="161" t="str">
        <f t="shared" si="288"/>
        <v/>
      </c>
      <c r="DM200" s="161" t="str">
        <f t="shared" si="289"/>
        <v/>
      </c>
      <c r="DN200" s="161" t="str">
        <f t="shared" si="312"/>
        <v/>
      </c>
      <c r="DO200" s="161" t="str">
        <f t="shared" si="313"/>
        <v/>
      </c>
      <c r="DP200" s="161" t="str">
        <f t="shared" si="314"/>
        <v/>
      </c>
      <c r="DQ200" s="161" t="str">
        <f t="shared" si="315"/>
        <v/>
      </c>
      <c r="DR200" s="161" t="str">
        <f t="shared" si="316"/>
        <v/>
      </c>
      <c r="DS200" s="161" t="str">
        <f t="shared" si="317"/>
        <v/>
      </c>
      <c r="DT200" s="161" t="str">
        <f t="shared" si="318"/>
        <v/>
      </c>
      <c r="DU200" s="161" t="str">
        <f t="shared" si="319"/>
        <v/>
      </c>
      <c r="DV200" s="161" t="str">
        <f t="shared" si="320"/>
        <v/>
      </c>
      <c r="DW200" s="161" t="str">
        <f t="shared" si="321"/>
        <v/>
      </c>
      <c r="DX200" s="161" t="str">
        <f t="shared" si="322"/>
        <v/>
      </c>
      <c r="DY200" s="161" t="str">
        <f t="shared" si="323"/>
        <v/>
      </c>
      <c r="DZ200" s="161" t="str">
        <f t="shared" si="324"/>
        <v/>
      </c>
      <c r="EA200" s="161" t="str">
        <f t="shared" si="325"/>
        <v/>
      </c>
      <c r="EB200" s="161" t="str">
        <f t="shared" si="326"/>
        <v/>
      </c>
      <c r="EC200" s="161" t="str">
        <f t="shared" si="327"/>
        <v/>
      </c>
      <c r="ED200" s="161" t="str">
        <f t="shared" si="328"/>
        <v/>
      </c>
      <c r="EE200" s="161" t="str">
        <f t="shared" si="329"/>
        <v/>
      </c>
      <c r="EF200" s="161" t="str">
        <f t="shared" si="330"/>
        <v/>
      </c>
      <c r="EG200" s="161" t="str">
        <f t="shared" si="331"/>
        <v/>
      </c>
      <c r="EH200" s="161" t="str">
        <f t="shared" si="332"/>
        <v/>
      </c>
      <c r="EI200" s="161" t="str">
        <f t="shared" si="333"/>
        <v/>
      </c>
      <c r="EJ200" s="161" t="str">
        <f t="shared" si="334"/>
        <v/>
      </c>
      <c r="EK200" s="147" t="str">
        <f t="shared" si="248"/>
        <v/>
      </c>
      <c r="EL200" s="149"/>
      <c r="EN200" s="146"/>
      <c r="EO200" s="146"/>
      <c r="EP200" s="139" t="str">
        <f t="shared" si="249"/>
        <v/>
      </c>
      <c r="EQ200" s="139" t="str">
        <f t="shared" si="250"/>
        <v/>
      </c>
      <c r="ER200" s="139" t="str">
        <f t="shared" si="251"/>
        <v/>
      </c>
      <c r="ES200" s="139" t="str">
        <f t="shared" si="252"/>
        <v/>
      </c>
      <c r="ET200" s="139" t="str">
        <f t="shared" si="253"/>
        <v/>
      </c>
      <c r="EU200" s="139" t="str">
        <f t="shared" si="254"/>
        <v/>
      </c>
      <c r="EV200" s="139" t="str">
        <f t="shared" si="255"/>
        <v/>
      </c>
      <c r="EW200" s="139" t="str">
        <f t="shared" si="256"/>
        <v/>
      </c>
      <c r="EX200" s="139" t="str">
        <f t="shared" si="257"/>
        <v/>
      </c>
      <c r="EY200" s="139" t="str">
        <f t="shared" si="258"/>
        <v/>
      </c>
      <c r="EZ200" s="139" t="str">
        <f t="shared" si="259"/>
        <v/>
      </c>
      <c r="FA200" s="139" t="str">
        <f t="shared" si="260"/>
        <v/>
      </c>
      <c r="FB200" s="139" t="str">
        <f t="shared" si="261"/>
        <v/>
      </c>
      <c r="FC200" s="139" t="str">
        <f t="shared" si="262"/>
        <v/>
      </c>
      <c r="FD200" s="139" t="str">
        <f t="shared" si="263"/>
        <v/>
      </c>
      <c r="FE200" s="139" t="str">
        <f t="shared" si="264"/>
        <v/>
      </c>
      <c r="FF200" s="139" t="str">
        <f t="shared" si="265"/>
        <v/>
      </c>
      <c r="FG200" s="139" t="str">
        <f t="shared" si="266"/>
        <v/>
      </c>
      <c r="FH200" s="139" t="str">
        <f t="shared" si="267"/>
        <v/>
      </c>
      <c r="FI200" s="139" t="str">
        <f t="shared" si="268"/>
        <v/>
      </c>
      <c r="FJ200" s="139" t="str">
        <f t="shared" si="269"/>
        <v/>
      </c>
      <c r="FK200" s="139" t="str">
        <f t="shared" si="270"/>
        <v/>
      </c>
      <c r="FL200" s="139" t="str">
        <f t="shared" si="271"/>
        <v/>
      </c>
      <c r="FM200" s="139" t="str">
        <f t="shared" si="272"/>
        <v/>
      </c>
      <c r="FN200" s="139" t="str">
        <f t="shared" si="273"/>
        <v/>
      </c>
      <c r="FO200" s="139" t="str">
        <f t="shared" si="274"/>
        <v/>
      </c>
      <c r="FP200" s="139" t="str">
        <f t="shared" si="275"/>
        <v/>
      </c>
      <c r="FQ200" s="139" t="str">
        <f t="shared" si="276"/>
        <v/>
      </c>
      <c r="FR200" s="139" t="str">
        <f t="shared" si="277"/>
        <v/>
      </c>
      <c r="FS200" s="139" t="str">
        <f t="shared" si="278"/>
        <v/>
      </c>
      <c r="FT200" s="139" t="str">
        <f t="shared" si="279"/>
        <v/>
      </c>
      <c r="FU200" s="148" t="str">
        <f t="shared" si="280"/>
        <v/>
      </c>
      <c r="FV200" s="149"/>
      <c r="FY200" s="213">
        <v>195</v>
      </c>
      <c r="FZ200">
        <v>0.58716112056924263</v>
      </c>
      <c r="GA200">
        <v>16.809209302342381</v>
      </c>
      <c r="GB200">
        <v>8.3277873307901089</v>
      </c>
      <c r="GC200">
        <v>1.0721483641484035</v>
      </c>
      <c r="GD200">
        <v>2.476682617237624</v>
      </c>
      <c r="GE200">
        <v>3.3494262881027748</v>
      </c>
      <c r="GF200">
        <v>0</v>
      </c>
      <c r="GG200">
        <v>6.9785759229795632</v>
      </c>
      <c r="GH200">
        <v>9.6414889925509009</v>
      </c>
      <c r="GI200">
        <v>5.2418622415027505</v>
      </c>
      <c r="GJ200"/>
      <c r="GK200"/>
      <c r="GL200"/>
      <c r="GM200"/>
      <c r="GN200" s="208"/>
      <c r="GO200" s="208"/>
      <c r="GP200" s="208"/>
      <c r="GQ200" s="208"/>
      <c r="GR200" s="208"/>
      <c r="GS200" s="208"/>
      <c r="GT200" s="208"/>
      <c r="GU200" s="213">
        <v>195</v>
      </c>
    </row>
    <row r="201" spans="1:203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29.052836345381529</v>
      </c>
      <c r="AO201">
        <v>8.5280809467350505</v>
      </c>
      <c r="AP201">
        <v>218.61510252953542</v>
      </c>
      <c r="AQ201">
        <v>60.257944794632095</v>
      </c>
      <c r="AR201">
        <v>7.8070721315276215</v>
      </c>
      <c r="AS201">
        <v>86.896619150415489</v>
      </c>
      <c r="AT201" t="e">
        <v>#DIV/0!</v>
      </c>
      <c r="AU201" t="e">
        <v>#DIV/0!</v>
      </c>
      <c r="AV201"/>
      <c r="AW201"/>
      <c r="AX201" s="146"/>
      <c r="AY201" s="76" t="str">
        <f t="shared" ca="1" si="171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6"/>
        <v/>
      </c>
      <c r="CL201" s="179" t="str">
        <f t="shared" si="207"/>
        <v/>
      </c>
      <c r="CM201" s="180" t="str">
        <f t="shared" si="208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9"/>
        <v/>
      </c>
      <c r="DB201" s="146"/>
      <c r="DC201" s="76" t="str">
        <f t="shared" ca="1" si="172"/>
        <v/>
      </c>
      <c r="DD201" t="str">
        <f t="shared" si="210"/>
        <v/>
      </c>
      <c r="DE201" s="129" t="str">
        <f t="shared" si="335"/>
        <v/>
      </c>
      <c r="DF201" s="161" t="str">
        <f t="shared" si="282"/>
        <v/>
      </c>
      <c r="DG201" s="161" t="str">
        <f t="shared" si="283"/>
        <v/>
      </c>
      <c r="DH201" s="161" t="str">
        <f t="shared" si="284"/>
        <v/>
      </c>
      <c r="DI201" s="161" t="str">
        <f t="shared" si="285"/>
        <v/>
      </c>
      <c r="DJ201" s="161" t="str">
        <f t="shared" si="286"/>
        <v/>
      </c>
      <c r="DK201" s="161" t="str">
        <f t="shared" si="287"/>
        <v/>
      </c>
      <c r="DL201" s="161" t="str">
        <f t="shared" si="288"/>
        <v/>
      </c>
      <c r="DM201" s="161" t="str">
        <f t="shared" si="289"/>
        <v/>
      </c>
      <c r="DN201" s="161" t="str">
        <f t="shared" si="312"/>
        <v/>
      </c>
      <c r="DO201" s="161" t="str">
        <f t="shared" si="313"/>
        <v/>
      </c>
      <c r="DP201" s="161" t="str">
        <f t="shared" si="314"/>
        <v/>
      </c>
      <c r="DQ201" s="161" t="str">
        <f t="shared" si="315"/>
        <v/>
      </c>
      <c r="DR201" s="161" t="str">
        <f t="shared" si="316"/>
        <v/>
      </c>
      <c r="DS201" s="161" t="str">
        <f t="shared" si="317"/>
        <v/>
      </c>
      <c r="DT201" s="161" t="str">
        <f t="shared" si="318"/>
        <v/>
      </c>
      <c r="DU201" s="161" t="str">
        <f t="shared" si="319"/>
        <v/>
      </c>
      <c r="DV201" s="161" t="str">
        <f t="shared" si="320"/>
        <v/>
      </c>
      <c r="DW201" s="161" t="str">
        <f t="shared" si="321"/>
        <v/>
      </c>
      <c r="DX201" s="161" t="str">
        <f t="shared" si="322"/>
        <v/>
      </c>
      <c r="DY201" s="161" t="str">
        <f t="shared" si="323"/>
        <v/>
      </c>
      <c r="DZ201" s="161" t="str">
        <f t="shared" si="324"/>
        <v/>
      </c>
      <c r="EA201" s="161" t="str">
        <f t="shared" si="325"/>
        <v/>
      </c>
      <c r="EB201" s="161" t="str">
        <f t="shared" si="326"/>
        <v/>
      </c>
      <c r="EC201" s="161" t="str">
        <f t="shared" si="327"/>
        <v/>
      </c>
      <c r="ED201" s="161" t="str">
        <f t="shared" si="328"/>
        <v/>
      </c>
      <c r="EE201" s="161" t="str">
        <f t="shared" si="329"/>
        <v/>
      </c>
      <c r="EF201" s="161" t="str">
        <f t="shared" si="330"/>
        <v/>
      </c>
      <c r="EG201" s="161" t="str">
        <f t="shared" si="331"/>
        <v/>
      </c>
      <c r="EH201" s="161" t="str">
        <f t="shared" si="332"/>
        <v/>
      </c>
      <c r="EI201" s="161" t="str">
        <f t="shared" si="333"/>
        <v/>
      </c>
      <c r="EJ201" s="161" t="str">
        <f t="shared" si="334"/>
        <v/>
      </c>
      <c r="EK201" s="147" t="str">
        <f t="shared" si="248"/>
        <v/>
      </c>
      <c r="EL201" s="149"/>
      <c r="EN201" s="146"/>
      <c r="EO201" s="146"/>
      <c r="EP201" s="139" t="str">
        <f t="shared" si="249"/>
        <v/>
      </c>
      <c r="EQ201" s="139" t="str">
        <f t="shared" si="250"/>
        <v/>
      </c>
      <c r="ER201" s="139" t="str">
        <f t="shared" si="251"/>
        <v/>
      </c>
      <c r="ES201" s="139" t="str">
        <f t="shared" si="252"/>
        <v/>
      </c>
      <c r="ET201" s="139" t="str">
        <f t="shared" si="253"/>
        <v/>
      </c>
      <c r="EU201" s="139" t="str">
        <f t="shared" si="254"/>
        <v/>
      </c>
      <c r="EV201" s="139" t="str">
        <f t="shared" si="255"/>
        <v/>
      </c>
      <c r="EW201" s="139" t="str">
        <f t="shared" si="256"/>
        <v/>
      </c>
      <c r="EX201" s="139" t="str">
        <f t="shared" si="257"/>
        <v/>
      </c>
      <c r="EY201" s="139" t="str">
        <f t="shared" si="258"/>
        <v/>
      </c>
      <c r="EZ201" s="139" t="str">
        <f t="shared" si="259"/>
        <v/>
      </c>
      <c r="FA201" s="139" t="str">
        <f t="shared" si="260"/>
        <v/>
      </c>
      <c r="FB201" s="139" t="str">
        <f t="shared" si="261"/>
        <v/>
      </c>
      <c r="FC201" s="139" t="str">
        <f t="shared" si="262"/>
        <v/>
      </c>
      <c r="FD201" s="139" t="str">
        <f t="shared" si="263"/>
        <v/>
      </c>
      <c r="FE201" s="139" t="str">
        <f t="shared" si="264"/>
        <v/>
      </c>
      <c r="FF201" s="139" t="str">
        <f t="shared" si="265"/>
        <v/>
      </c>
      <c r="FG201" s="139" t="str">
        <f t="shared" si="266"/>
        <v/>
      </c>
      <c r="FH201" s="139" t="str">
        <f t="shared" si="267"/>
        <v/>
      </c>
      <c r="FI201" s="139" t="str">
        <f t="shared" si="268"/>
        <v/>
      </c>
      <c r="FJ201" s="139" t="str">
        <f t="shared" si="269"/>
        <v/>
      </c>
      <c r="FK201" s="139" t="str">
        <f t="shared" si="270"/>
        <v/>
      </c>
      <c r="FL201" s="139" t="str">
        <f t="shared" si="271"/>
        <v/>
      </c>
      <c r="FM201" s="139" t="str">
        <f t="shared" si="272"/>
        <v/>
      </c>
      <c r="FN201" s="139" t="str">
        <f t="shared" si="273"/>
        <v/>
      </c>
      <c r="FO201" s="139" t="str">
        <f t="shared" si="274"/>
        <v/>
      </c>
      <c r="FP201" s="139" t="str">
        <f t="shared" si="275"/>
        <v/>
      </c>
      <c r="FQ201" s="139" t="str">
        <f t="shared" si="276"/>
        <v/>
      </c>
      <c r="FR201" s="139" t="str">
        <f t="shared" si="277"/>
        <v/>
      </c>
      <c r="FS201" s="139" t="str">
        <f t="shared" si="278"/>
        <v/>
      </c>
      <c r="FT201" s="139" t="str">
        <f t="shared" si="279"/>
        <v/>
      </c>
      <c r="FU201" s="148" t="str">
        <f t="shared" si="280"/>
        <v/>
      </c>
      <c r="FV201" s="149"/>
      <c r="FY201" s="213">
        <v>196</v>
      </c>
      <c r="FZ201">
        <v>1.596276202757001</v>
      </c>
      <c r="GA201">
        <v>18.478566757127112</v>
      </c>
      <c r="GB201">
        <v>8.3664880831710082</v>
      </c>
      <c r="GC201">
        <v>2.0358962750754199</v>
      </c>
      <c r="GD201">
        <v>3.2508599871397021</v>
      </c>
      <c r="GE201">
        <v>3.7098802851569346</v>
      </c>
      <c r="GF201">
        <v>0.47734812494006024</v>
      </c>
      <c r="GG201">
        <v>3.7581495871366699</v>
      </c>
      <c r="GH201">
        <v>5.3997773148724022</v>
      </c>
      <c r="GI201">
        <v>5.2335142672509427</v>
      </c>
      <c r="GJ201"/>
      <c r="GK201"/>
      <c r="GL201"/>
      <c r="GM201"/>
      <c r="GN201" s="208"/>
      <c r="GO201" s="208"/>
      <c r="GP201" s="208"/>
      <c r="GQ201" s="208"/>
      <c r="GR201" s="208"/>
      <c r="GS201" s="208"/>
      <c r="GT201" s="208"/>
      <c r="GU201" s="213">
        <v>196</v>
      </c>
    </row>
    <row r="202" spans="1:203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18.61904761904762</v>
      </c>
      <c r="AO202">
        <v>7.1456606776872604</v>
      </c>
      <c r="AP202">
        <v>197.13419603138576</v>
      </c>
      <c r="AQ202">
        <v>53.424432256515999</v>
      </c>
      <c r="AR202">
        <v>6.5503264323932644</v>
      </c>
      <c r="AS202">
        <v>62.471194789162418</v>
      </c>
      <c r="AT202" t="e">
        <v>#DIV/0!</v>
      </c>
      <c r="AU202" t="e">
        <v>#DIV/0!</v>
      </c>
      <c r="AV202"/>
      <c r="AW202"/>
      <c r="AX202" s="146"/>
      <c r="AY202" s="76" t="str">
        <f t="shared" ca="1" si="171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6"/>
        <v/>
      </c>
      <c r="CL202" s="179" t="str">
        <f t="shared" si="207"/>
        <v/>
      </c>
      <c r="CM202" s="180" t="str">
        <f t="shared" si="208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9"/>
        <v/>
      </c>
      <c r="DB202" s="146"/>
      <c r="DC202" s="76" t="str">
        <f t="shared" ca="1" si="172"/>
        <v/>
      </c>
      <c r="DD202" t="str">
        <f t="shared" si="210"/>
        <v/>
      </c>
      <c r="DE202" s="129" t="str">
        <f t="shared" si="335"/>
        <v/>
      </c>
      <c r="DF202" s="161" t="str">
        <f t="shared" si="282"/>
        <v/>
      </c>
      <c r="DG202" s="161" t="str">
        <f t="shared" si="283"/>
        <v/>
      </c>
      <c r="DH202" s="161" t="str">
        <f t="shared" si="284"/>
        <v/>
      </c>
      <c r="DI202" s="161" t="str">
        <f t="shared" si="285"/>
        <v/>
      </c>
      <c r="DJ202" s="161" t="str">
        <f t="shared" si="286"/>
        <v/>
      </c>
      <c r="DK202" s="161" t="str">
        <f t="shared" si="287"/>
        <v/>
      </c>
      <c r="DL202" s="161" t="str">
        <f t="shared" si="288"/>
        <v/>
      </c>
      <c r="DM202" s="161" t="str">
        <f t="shared" si="289"/>
        <v/>
      </c>
      <c r="DN202" s="161" t="str">
        <f t="shared" si="312"/>
        <v/>
      </c>
      <c r="DO202" s="161" t="str">
        <f t="shared" si="313"/>
        <v/>
      </c>
      <c r="DP202" s="161" t="str">
        <f t="shared" si="314"/>
        <v/>
      </c>
      <c r="DQ202" s="161" t="str">
        <f t="shared" si="315"/>
        <v/>
      </c>
      <c r="DR202" s="161" t="str">
        <f t="shared" si="316"/>
        <v/>
      </c>
      <c r="DS202" s="161" t="str">
        <f t="shared" si="317"/>
        <v/>
      </c>
      <c r="DT202" s="161" t="str">
        <f t="shared" si="318"/>
        <v/>
      </c>
      <c r="DU202" s="161" t="str">
        <f t="shared" si="319"/>
        <v/>
      </c>
      <c r="DV202" s="161" t="str">
        <f t="shared" si="320"/>
        <v/>
      </c>
      <c r="DW202" s="161" t="str">
        <f t="shared" si="321"/>
        <v/>
      </c>
      <c r="DX202" s="161" t="str">
        <f t="shared" si="322"/>
        <v/>
      </c>
      <c r="DY202" s="161" t="str">
        <f t="shared" si="323"/>
        <v/>
      </c>
      <c r="DZ202" s="161" t="str">
        <f t="shared" si="324"/>
        <v/>
      </c>
      <c r="EA202" s="161" t="str">
        <f t="shared" si="325"/>
        <v/>
      </c>
      <c r="EB202" s="161" t="str">
        <f t="shared" si="326"/>
        <v/>
      </c>
      <c r="EC202" s="161" t="str">
        <f t="shared" si="327"/>
        <v/>
      </c>
      <c r="ED202" s="161" t="str">
        <f t="shared" si="328"/>
        <v/>
      </c>
      <c r="EE202" s="161" t="str">
        <f t="shared" si="329"/>
        <v/>
      </c>
      <c r="EF202" s="161" t="str">
        <f t="shared" si="330"/>
        <v/>
      </c>
      <c r="EG202" s="161" t="str">
        <f t="shared" si="331"/>
        <v/>
      </c>
      <c r="EH202" s="161" t="str">
        <f t="shared" si="332"/>
        <v/>
      </c>
      <c r="EI202" s="161" t="str">
        <f t="shared" si="333"/>
        <v/>
      </c>
      <c r="EJ202" s="161" t="str">
        <f t="shared" si="334"/>
        <v/>
      </c>
      <c r="EK202" s="147" t="str">
        <f t="shared" si="248"/>
        <v/>
      </c>
      <c r="EL202" s="149"/>
      <c r="EN202" s="146"/>
      <c r="EO202" s="146"/>
      <c r="EP202" s="139" t="str">
        <f t="shared" si="249"/>
        <v/>
      </c>
      <c r="EQ202" s="139" t="str">
        <f t="shared" si="250"/>
        <v/>
      </c>
      <c r="ER202" s="139" t="str">
        <f t="shared" si="251"/>
        <v/>
      </c>
      <c r="ES202" s="139" t="str">
        <f t="shared" si="252"/>
        <v/>
      </c>
      <c r="ET202" s="139" t="str">
        <f t="shared" si="253"/>
        <v/>
      </c>
      <c r="EU202" s="139" t="str">
        <f t="shared" si="254"/>
        <v/>
      </c>
      <c r="EV202" s="139" t="str">
        <f t="shared" si="255"/>
        <v/>
      </c>
      <c r="EW202" s="139" t="str">
        <f t="shared" si="256"/>
        <v/>
      </c>
      <c r="EX202" s="139" t="str">
        <f t="shared" si="257"/>
        <v/>
      </c>
      <c r="EY202" s="139" t="str">
        <f t="shared" si="258"/>
        <v/>
      </c>
      <c r="EZ202" s="139" t="str">
        <f t="shared" si="259"/>
        <v/>
      </c>
      <c r="FA202" s="139" t="str">
        <f t="shared" si="260"/>
        <v/>
      </c>
      <c r="FB202" s="139" t="str">
        <f t="shared" si="261"/>
        <v/>
      </c>
      <c r="FC202" s="139" t="str">
        <f t="shared" si="262"/>
        <v/>
      </c>
      <c r="FD202" s="139" t="str">
        <f t="shared" si="263"/>
        <v/>
      </c>
      <c r="FE202" s="139" t="str">
        <f t="shared" si="264"/>
        <v/>
      </c>
      <c r="FF202" s="139" t="str">
        <f t="shared" si="265"/>
        <v/>
      </c>
      <c r="FG202" s="139" t="str">
        <f t="shared" si="266"/>
        <v/>
      </c>
      <c r="FH202" s="139" t="str">
        <f t="shared" si="267"/>
        <v/>
      </c>
      <c r="FI202" s="139" t="str">
        <f t="shared" si="268"/>
        <v/>
      </c>
      <c r="FJ202" s="139" t="str">
        <f t="shared" si="269"/>
        <v/>
      </c>
      <c r="FK202" s="139" t="str">
        <f t="shared" si="270"/>
        <v/>
      </c>
      <c r="FL202" s="139" t="str">
        <f t="shared" si="271"/>
        <v/>
      </c>
      <c r="FM202" s="139" t="str">
        <f t="shared" si="272"/>
        <v/>
      </c>
      <c r="FN202" s="139" t="str">
        <f t="shared" si="273"/>
        <v/>
      </c>
      <c r="FO202" s="139" t="str">
        <f t="shared" si="274"/>
        <v/>
      </c>
      <c r="FP202" s="139" t="str">
        <f t="shared" si="275"/>
        <v/>
      </c>
      <c r="FQ202" s="139" t="str">
        <f t="shared" si="276"/>
        <v/>
      </c>
      <c r="FR202" s="139" t="str">
        <f t="shared" si="277"/>
        <v/>
      </c>
      <c r="FS202" s="139" t="str">
        <f t="shared" si="278"/>
        <v/>
      </c>
      <c r="FT202" s="139" t="str">
        <f t="shared" si="279"/>
        <v/>
      </c>
      <c r="FU202" s="148" t="str">
        <f t="shared" si="280"/>
        <v/>
      </c>
      <c r="FV202" s="149"/>
      <c r="FY202" s="213">
        <v>197</v>
      </c>
      <c r="FZ202">
        <v>0.58716112056924263</v>
      </c>
      <c r="GA202">
        <v>7.837793141558854</v>
      </c>
      <c r="GB202">
        <v>3.9256701426204894</v>
      </c>
      <c r="GC202">
        <v>1.0155829094419531</v>
      </c>
      <c r="GD202">
        <v>2.8997977396279202</v>
      </c>
      <c r="GE202">
        <v>4.8806261670177209</v>
      </c>
      <c r="GF202">
        <v>0.95469624988012047</v>
      </c>
      <c r="GG202">
        <v>0.93204068530915563</v>
      </c>
      <c r="GH202">
        <v>1.2298924983259916</v>
      </c>
      <c r="GI202">
        <v>3.184755091300103</v>
      </c>
      <c r="GJ202"/>
      <c r="GK202"/>
      <c r="GL202"/>
      <c r="GM202"/>
      <c r="GN202" s="208"/>
      <c r="GO202" s="208"/>
      <c r="GP202" s="208"/>
      <c r="GQ202" s="208"/>
      <c r="GR202" s="208"/>
      <c r="GS202" s="208"/>
      <c r="GT202" s="208"/>
      <c r="GU202" s="213">
        <v>197</v>
      </c>
    </row>
    <row r="203" spans="1:203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22.453972499192169</v>
      </c>
      <c r="AO203">
        <v>6.2744816462172102</v>
      </c>
      <c r="AP203">
        <v>69.456421875748944</v>
      </c>
      <c r="AQ203">
        <v>45.188269148905107</v>
      </c>
      <c r="AR203">
        <v>5.7583454946932218</v>
      </c>
      <c r="AS203">
        <v>68.063974741071661</v>
      </c>
      <c r="AT203" t="e">
        <v>#DIV/0!</v>
      </c>
      <c r="AU203" t="e">
        <v>#DIV/0!</v>
      </c>
      <c r="AV203"/>
      <c r="AW203"/>
      <c r="AX203" s="146"/>
      <c r="AY203" s="76" t="str">
        <f t="shared" ca="1" si="171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6"/>
        <v/>
      </c>
      <c r="CL203" s="179" t="str">
        <f t="shared" si="207"/>
        <v/>
      </c>
      <c r="CM203" s="180" t="str">
        <f t="shared" si="208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9"/>
        <v/>
      </c>
      <c r="DB203" s="146"/>
      <c r="DC203" s="76" t="str">
        <f t="shared" ca="1" si="172"/>
        <v/>
      </c>
      <c r="DD203" t="str">
        <f t="shared" si="210"/>
        <v/>
      </c>
      <c r="DE203" s="129" t="str">
        <f t="shared" si="335"/>
        <v/>
      </c>
      <c r="DF203" s="161" t="str">
        <f t="shared" si="282"/>
        <v/>
      </c>
      <c r="DG203" s="161" t="str">
        <f t="shared" si="283"/>
        <v/>
      </c>
      <c r="DH203" s="161" t="str">
        <f t="shared" si="284"/>
        <v/>
      </c>
      <c r="DI203" s="161" t="str">
        <f t="shared" si="285"/>
        <v/>
      </c>
      <c r="DJ203" s="161" t="str">
        <f t="shared" si="286"/>
        <v/>
      </c>
      <c r="DK203" s="161" t="str">
        <f t="shared" si="287"/>
        <v/>
      </c>
      <c r="DL203" s="161" t="str">
        <f t="shared" si="288"/>
        <v/>
      </c>
      <c r="DM203" s="161" t="str">
        <f t="shared" si="289"/>
        <v/>
      </c>
      <c r="DN203" s="161" t="str">
        <f t="shared" si="312"/>
        <v/>
      </c>
      <c r="DO203" s="161" t="str">
        <f t="shared" si="313"/>
        <v/>
      </c>
      <c r="DP203" s="161" t="str">
        <f t="shared" si="314"/>
        <v/>
      </c>
      <c r="DQ203" s="161" t="str">
        <f t="shared" si="315"/>
        <v/>
      </c>
      <c r="DR203" s="161" t="str">
        <f t="shared" si="316"/>
        <v/>
      </c>
      <c r="DS203" s="161" t="str">
        <f t="shared" si="317"/>
        <v/>
      </c>
      <c r="DT203" s="161" t="str">
        <f t="shared" si="318"/>
        <v/>
      </c>
      <c r="DU203" s="161" t="str">
        <f t="shared" si="319"/>
        <v/>
      </c>
      <c r="DV203" s="161" t="str">
        <f t="shared" si="320"/>
        <v/>
      </c>
      <c r="DW203" s="161" t="str">
        <f t="shared" si="321"/>
        <v/>
      </c>
      <c r="DX203" s="161" t="str">
        <f t="shared" si="322"/>
        <v/>
      </c>
      <c r="DY203" s="161" t="str">
        <f t="shared" si="323"/>
        <v/>
      </c>
      <c r="DZ203" s="161" t="str">
        <f t="shared" si="324"/>
        <v/>
      </c>
      <c r="EA203" s="161" t="str">
        <f t="shared" si="325"/>
        <v/>
      </c>
      <c r="EB203" s="161" t="str">
        <f t="shared" si="326"/>
        <v/>
      </c>
      <c r="EC203" s="161" t="str">
        <f t="shared" si="327"/>
        <v/>
      </c>
      <c r="ED203" s="161" t="str">
        <f t="shared" si="328"/>
        <v/>
      </c>
      <c r="EE203" s="161" t="str">
        <f t="shared" si="329"/>
        <v/>
      </c>
      <c r="EF203" s="161" t="str">
        <f t="shared" si="330"/>
        <v/>
      </c>
      <c r="EG203" s="161" t="str">
        <f t="shared" si="331"/>
        <v/>
      </c>
      <c r="EH203" s="161" t="str">
        <f t="shared" si="332"/>
        <v/>
      </c>
      <c r="EI203" s="161" t="str">
        <f t="shared" si="333"/>
        <v/>
      </c>
      <c r="EJ203" s="161" t="str">
        <f t="shared" si="334"/>
        <v/>
      </c>
      <c r="EK203" s="147" t="str">
        <f t="shared" si="248"/>
        <v/>
      </c>
      <c r="EL203" s="149"/>
      <c r="EN203" s="146"/>
      <c r="EO203" s="146"/>
      <c r="EP203" s="139" t="str">
        <f t="shared" si="249"/>
        <v/>
      </c>
      <c r="EQ203" s="139" t="str">
        <f t="shared" si="250"/>
        <v/>
      </c>
      <c r="ER203" s="139" t="str">
        <f t="shared" si="251"/>
        <v/>
      </c>
      <c r="ES203" s="139" t="str">
        <f t="shared" si="252"/>
        <v/>
      </c>
      <c r="ET203" s="139" t="str">
        <f t="shared" si="253"/>
        <v/>
      </c>
      <c r="EU203" s="139" t="str">
        <f t="shared" si="254"/>
        <v/>
      </c>
      <c r="EV203" s="139" t="str">
        <f t="shared" si="255"/>
        <v/>
      </c>
      <c r="EW203" s="139" t="str">
        <f t="shared" si="256"/>
        <v/>
      </c>
      <c r="EX203" s="139" t="str">
        <f t="shared" si="257"/>
        <v/>
      </c>
      <c r="EY203" s="139" t="str">
        <f t="shared" si="258"/>
        <v/>
      </c>
      <c r="EZ203" s="139" t="str">
        <f t="shared" si="259"/>
        <v/>
      </c>
      <c r="FA203" s="139" t="str">
        <f t="shared" si="260"/>
        <v/>
      </c>
      <c r="FB203" s="139" t="str">
        <f t="shared" si="261"/>
        <v/>
      </c>
      <c r="FC203" s="139" t="str">
        <f t="shared" si="262"/>
        <v/>
      </c>
      <c r="FD203" s="139" t="str">
        <f t="shared" si="263"/>
        <v/>
      </c>
      <c r="FE203" s="139" t="str">
        <f t="shared" si="264"/>
        <v/>
      </c>
      <c r="FF203" s="139" t="str">
        <f t="shared" si="265"/>
        <v/>
      </c>
      <c r="FG203" s="139" t="str">
        <f t="shared" si="266"/>
        <v/>
      </c>
      <c r="FH203" s="139" t="str">
        <f t="shared" si="267"/>
        <v/>
      </c>
      <c r="FI203" s="139" t="str">
        <f t="shared" si="268"/>
        <v/>
      </c>
      <c r="FJ203" s="139" t="str">
        <f t="shared" si="269"/>
        <v/>
      </c>
      <c r="FK203" s="139" t="str">
        <f t="shared" si="270"/>
        <v/>
      </c>
      <c r="FL203" s="139" t="str">
        <f t="shared" si="271"/>
        <v/>
      </c>
      <c r="FM203" s="139" t="str">
        <f t="shared" si="272"/>
        <v/>
      </c>
      <c r="FN203" s="139" t="str">
        <f t="shared" si="273"/>
        <v/>
      </c>
      <c r="FO203" s="139" t="str">
        <f t="shared" si="274"/>
        <v/>
      </c>
      <c r="FP203" s="139" t="str">
        <f t="shared" si="275"/>
        <v/>
      </c>
      <c r="FQ203" s="139" t="str">
        <f t="shared" si="276"/>
        <v/>
      </c>
      <c r="FR203" s="139" t="str">
        <f t="shared" si="277"/>
        <v/>
      </c>
      <c r="FS203" s="139" t="str">
        <f t="shared" si="278"/>
        <v/>
      </c>
      <c r="FT203" s="139" t="str">
        <f t="shared" si="279"/>
        <v/>
      </c>
      <c r="FU203" s="148" t="str">
        <f t="shared" si="280"/>
        <v/>
      </c>
      <c r="FV203" s="149"/>
      <c r="FY203" s="213">
        <v>198</v>
      </c>
      <c r="FZ203">
        <v>1.596276202757001</v>
      </c>
      <c r="GA203">
        <v>12.677622752579307</v>
      </c>
      <c r="GB203">
        <v>5.3798758306943197</v>
      </c>
      <c r="GC203">
        <v>1.7212153121190044</v>
      </c>
      <c r="GD203">
        <v>1.9829182534778149</v>
      </c>
      <c r="GE203">
        <v>1.6281984210363838</v>
      </c>
      <c r="GF203">
        <v>0.47734812494006024</v>
      </c>
      <c r="GG203">
        <v>2.5035332174879037</v>
      </c>
      <c r="GH203">
        <v>3.4093462823931233</v>
      </c>
      <c r="GI203">
        <v>3.3748297635866962</v>
      </c>
      <c r="GJ203"/>
      <c r="GK203"/>
      <c r="GL203"/>
      <c r="GM203"/>
      <c r="GN203" s="208"/>
      <c r="GO203" s="208"/>
      <c r="GP203" s="208"/>
      <c r="GQ203" s="208"/>
      <c r="GR203" s="208"/>
      <c r="GS203" s="208"/>
      <c r="GT203" s="208"/>
      <c r="GU203" s="213">
        <v>198</v>
      </c>
    </row>
    <row r="204" spans="1:203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22.095256024096393</v>
      </c>
      <c r="AO204">
        <v>6.5655610173657433</v>
      </c>
      <c r="AP204">
        <v>368.93674674464381</v>
      </c>
      <c r="AQ204">
        <v>50.837935750159588</v>
      </c>
      <c r="AR204">
        <v>5.9686918339688564</v>
      </c>
      <c r="AS204">
        <v>82.9193607711683</v>
      </c>
      <c r="AT204" t="e">
        <v>#DIV/0!</v>
      </c>
      <c r="AU204" t="e">
        <v>#DIV/0!</v>
      </c>
      <c r="AV204"/>
      <c r="AW204"/>
      <c r="AX204" s="146"/>
      <c r="AY204" s="76" t="str">
        <f t="shared" ca="1" si="171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6"/>
        <v/>
      </c>
      <c r="CL204" s="179" t="str">
        <f t="shared" si="207"/>
        <v/>
      </c>
      <c r="CM204" s="180" t="str">
        <f t="shared" si="208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9"/>
        <v/>
      </c>
      <c r="DB204" s="146"/>
      <c r="DC204" s="76" t="str">
        <f t="shared" ca="1" si="172"/>
        <v/>
      </c>
      <c r="DD204" t="str">
        <f t="shared" si="210"/>
        <v/>
      </c>
      <c r="DE204" s="129" t="str">
        <f t="shared" si="335"/>
        <v/>
      </c>
      <c r="DF204" s="161" t="str">
        <f t="shared" si="282"/>
        <v/>
      </c>
      <c r="DG204" s="161" t="str">
        <f t="shared" si="283"/>
        <v/>
      </c>
      <c r="DH204" s="161" t="str">
        <f t="shared" si="284"/>
        <v/>
      </c>
      <c r="DI204" s="161" t="str">
        <f t="shared" si="285"/>
        <v/>
      </c>
      <c r="DJ204" s="161" t="str">
        <f t="shared" si="286"/>
        <v/>
      </c>
      <c r="DK204" s="161" t="str">
        <f t="shared" si="287"/>
        <v/>
      </c>
      <c r="DL204" s="161" t="str">
        <f t="shared" si="288"/>
        <v/>
      </c>
      <c r="DM204" s="161" t="str">
        <f t="shared" si="289"/>
        <v/>
      </c>
      <c r="DN204" s="161" t="str">
        <f t="shared" si="312"/>
        <v/>
      </c>
      <c r="DO204" s="161" t="str">
        <f t="shared" si="313"/>
        <v/>
      </c>
      <c r="DP204" s="161" t="str">
        <f t="shared" si="314"/>
        <v/>
      </c>
      <c r="DQ204" s="161" t="str">
        <f t="shared" si="315"/>
        <v/>
      </c>
      <c r="DR204" s="161" t="str">
        <f t="shared" si="316"/>
        <v/>
      </c>
      <c r="DS204" s="161" t="str">
        <f t="shared" si="317"/>
        <v/>
      </c>
      <c r="DT204" s="161" t="str">
        <f t="shared" si="318"/>
        <v/>
      </c>
      <c r="DU204" s="161" t="str">
        <f t="shared" si="319"/>
        <v/>
      </c>
      <c r="DV204" s="161" t="str">
        <f t="shared" si="320"/>
        <v/>
      </c>
      <c r="DW204" s="161" t="str">
        <f t="shared" si="321"/>
        <v/>
      </c>
      <c r="DX204" s="161" t="str">
        <f t="shared" si="322"/>
        <v/>
      </c>
      <c r="DY204" s="161" t="str">
        <f t="shared" si="323"/>
        <v/>
      </c>
      <c r="DZ204" s="161" t="str">
        <f t="shared" si="324"/>
        <v/>
      </c>
      <c r="EA204" s="161" t="str">
        <f t="shared" si="325"/>
        <v/>
      </c>
      <c r="EB204" s="161" t="str">
        <f t="shared" si="326"/>
        <v/>
      </c>
      <c r="EC204" s="161" t="str">
        <f t="shared" si="327"/>
        <v/>
      </c>
      <c r="ED204" s="161" t="str">
        <f t="shared" si="328"/>
        <v/>
      </c>
      <c r="EE204" s="161" t="str">
        <f t="shared" si="329"/>
        <v/>
      </c>
      <c r="EF204" s="161" t="str">
        <f t="shared" si="330"/>
        <v/>
      </c>
      <c r="EG204" s="161" t="str">
        <f t="shared" si="331"/>
        <v/>
      </c>
      <c r="EH204" s="161" t="str">
        <f t="shared" si="332"/>
        <v/>
      </c>
      <c r="EI204" s="161" t="str">
        <f t="shared" si="333"/>
        <v/>
      </c>
      <c r="EJ204" s="161" t="str">
        <f t="shared" si="334"/>
        <v/>
      </c>
      <c r="EK204" s="147" t="str">
        <f t="shared" si="248"/>
        <v/>
      </c>
      <c r="EL204" s="149"/>
      <c r="EN204" s="146"/>
      <c r="EO204" s="146"/>
      <c r="EP204" s="139" t="str">
        <f t="shared" si="249"/>
        <v/>
      </c>
      <c r="EQ204" s="139" t="str">
        <f t="shared" si="250"/>
        <v/>
      </c>
      <c r="ER204" s="139" t="str">
        <f t="shared" si="251"/>
        <v/>
      </c>
      <c r="ES204" s="139" t="str">
        <f t="shared" si="252"/>
        <v/>
      </c>
      <c r="ET204" s="139" t="str">
        <f t="shared" si="253"/>
        <v/>
      </c>
      <c r="EU204" s="139" t="str">
        <f t="shared" si="254"/>
        <v/>
      </c>
      <c r="EV204" s="139" t="str">
        <f t="shared" si="255"/>
        <v/>
      </c>
      <c r="EW204" s="139" t="str">
        <f t="shared" si="256"/>
        <v/>
      </c>
      <c r="EX204" s="139" t="str">
        <f t="shared" si="257"/>
        <v/>
      </c>
      <c r="EY204" s="139" t="str">
        <f t="shared" si="258"/>
        <v/>
      </c>
      <c r="EZ204" s="139" t="str">
        <f t="shared" si="259"/>
        <v/>
      </c>
      <c r="FA204" s="139" t="str">
        <f t="shared" si="260"/>
        <v/>
      </c>
      <c r="FB204" s="139" t="str">
        <f t="shared" si="261"/>
        <v/>
      </c>
      <c r="FC204" s="139" t="str">
        <f t="shared" si="262"/>
        <v/>
      </c>
      <c r="FD204" s="139" t="str">
        <f t="shared" si="263"/>
        <v/>
      </c>
      <c r="FE204" s="139" t="str">
        <f t="shared" si="264"/>
        <v/>
      </c>
      <c r="FF204" s="139" t="str">
        <f t="shared" si="265"/>
        <v/>
      </c>
      <c r="FG204" s="139" t="str">
        <f t="shared" si="266"/>
        <v/>
      </c>
      <c r="FH204" s="139" t="str">
        <f t="shared" si="267"/>
        <v/>
      </c>
      <c r="FI204" s="139" t="str">
        <f t="shared" si="268"/>
        <v/>
      </c>
      <c r="FJ204" s="139" t="str">
        <f t="shared" si="269"/>
        <v/>
      </c>
      <c r="FK204" s="139" t="str">
        <f t="shared" si="270"/>
        <v/>
      </c>
      <c r="FL204" s="139" t="str">
        <f t="shared" si="271"/>
        <v/>
      </c>
      <c r="FM204" s="139" t="str">
        <f t="shared" si="272"/>
        <v/>
      </c>
      <c r="FN204" s="139" t="str">
        <f t="shared" si="273"/>
        <v/>
      </c>
      <c r="FO204" s="139" t="str">
        <f t="shared" si="274"/>
        <v/>
      </c>
      <c r="FP204" s="139" t="str">
        <f t="shared" si="275"/>
        <v/>
      </c>
      <c r="FQ204" s="139" t="str">
        <f t="shared" si="276"/>
        <v/>
      </c>
      <c r="FR204" s="139" t="str">
        <f t="shared" si="277"/>
        <v/>
      </c>
      <c r="FS204" s="139" t="str">
        <f t="shared" si="278"/>
        <v/>
      </c>
      <c r="FT204" s="139" t="str">
        <f t="shared" si="279"/>
        <v/>
      </c>
      <c r="FU204" s="148" t="str">
        <f t="shared" si="280"/>
        <v/>
      </c>
      <c r="FV204" s="149"/>
      <c r="FY204" s="213">
        <v>199</v>
      </c>
      <c r="FZ204">
        <v>0.58716112056924263</v>
      </c>
      <c r="GA204">
        <v>22.225582523852751</v>
      </c>
      <c r="GB204">
        <v>11.170441432523074</v>
      </c>
      <c r="GC204">
        <v>0.93809528275072762</v>
      </c>
      <c r="GD204">
        <v>2.2476667490168922</v>
      </c>
      <c r="GE204">
        <v>3.0952868158178806</v>
      </c>
      <c r="GF204">
        <v>0</v>
      </c>
      <c r="GG204">
        <v>5.3003446341667706</v>
      </c>
      <c r="GH204">
        <v>7.3214527859596146</v>
      </c>
      <c r="GI204">
        <v>5.4143129791383595</v>
      </c>
      <c r="GJ204"/>
      <c r="GK204"/>
      <c r="GL204"/>
      <c r="GM204"/>
      <c r="GN204" s="208"/>
      <c r="GO204" s="208"/>
      <c r="GP204" s="208"/>
      <c r="GQ204" s="208"/>
      <c r="GR204" s="208"/>
      <c r="GS204" s="208"/>
      <c r="GT204" s="208"/>
      <c r="GU204" s="213">
        <v>199</v>
      </c>
    </row>
    <row r="205" spans="1:203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18.975626438430236</v>
      </c>
      <c r="AO205">
        <v>5.9453891549752989</v>
      </c>
      <c r="AP205">
        <v>336.62029651109594</v>
      </c>
      <c r="AQ205">
        <v>48.182790347608403</v>
      </c>
      <c r="AR205">
        <v>5.5134417735145123</v>
      </c>
      <c r="AS205">
        <v>61.749344090574496</v>
      </c>
      <c r="AT205" t="e">
        <v>#DIV/0!</v>
      </c>
      <c r="AU205" t="e">
        <v>#DIV/0!</v>
      </c>
      <c r="AV205"/>
      <c r="AW205"/>
      <c r="AX205" s="146"/>
      <c r="AY205" s="76" t="str">
        <f t="shared" ca="1" si="171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6"/>
        <v/>
      </c>
      <c r="CL205" s="179" t="str">
        <f t="shared" si="207"/>
        <v/>
      </c>
      <c r="CM205" s="180" t="str">
        <f t="shared" si="208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9"/>
        <v/>
      </c>
      <c r="DB205" s="146"/>
      <c r="DC205" s="76" t="str">
        <f t="shared" ca="1" si="172"/>
        <v/>
      </c>
      <c r="DD205" t="str">
        <f t="shared" si="210"/>
        <v/>
      </c>
      <c r="DE205" s="129" t="str">
        <f t="shared" si="335"/>
        <v/>
      </c>
      <c r="DF205" s="161" t="str">
        <f t="shared" si="282"/>
        <v/>
      </c>
      <c r="DG205" s="161" t="str">
        <f t="shared" si="283"/>
        <v/>
      </c>
      <c r="DH205" s="161" t="str">
        <f t="shared" si="284"/>
        <v/>
      </c>
      <c r="DI205" s="161" t="str">
        <f t="shared" si="285"/>
        <v/>
      </c>
      <c r="DJ205" s="161" t="str">
        <f t="shared" si="286"/>
        <v/>
      </c>
      <c r="DK205" s="161" t="str">
        <f t="shared" si="287"/>
        <v/>
      </c>
      <c r="DL205" s="161" t="str">
        <f t="shared" si="288"/>
        <v/>
      </c>
      <c r="DM205" s="161" t="str">
        <f t="shared" si="289"/>
        <v/>
      </c>
      <c r="DN205" s="161" t="str">
        <f t="shared" si="312"/>
        <v/>
      </c>
      <c r="DO205" s="161" t="str">
        <f t="shared" si="313"/>
        <v/>
      </c>
      <c r="DP205" s="161" t="str">
        <f t="shared" si="314"/>
        <v/>
      </c>
      <c r="DQ205" s="161" t="str">
        <f t="shared" si="315"/>
        <v/>
      </c>
      <c r="DR205" s="161" t="str">
        <f t="shared" si="316"/>
        <v/>
      </c>
      <c r="DS205" s="161" t="str">
        <f t="shared" si="317"/>
        <v/>
      </c>
      <c r="DT205" s="161" t="str">
        <f t="shared" si="318"/>
        <v/>
      </c>
      <c r="DU205" s="161" t="str">
        <f t="shared" si="319"/>
        <v/>
      </c>
      <c r="DV205" s="161" t="str">
        <f t="shared" si="320"/>
        <v/>
      </c>
      <c r="DW205" s="161" t="str">
        <f t="shared" si="321"/>
        <v/>
      </c>
      <c r="DX205" s="161" t="str">
        <f t="shared" si="322"/>
        <v/>
      </c>
      <c r="DY205" s="161" t="str">
        <f t="shared" si="323"/>
        <v/>
      </c>
      <c r="DZ205" s="161" t="str">
        <f t="shared" si="324"/>
        <v/>
      </c>
      <c r="EA205" s="161" t="str">
        <f t="shared" si="325"/>
        <v/>
      </c>
      <c r="EB205" s="161" t="str">
        <f t="shared" si="326"/>
        <v/>
      </c>
      <c r="EC205" s="161" t="str">
        <f t="shared" si="327"/>
        <v/>
      </c>
      <c r="ED205" s="161" t="str">
        <f t="shared" si="328"/>
        <v/>
      </c>
      <c r="EE205" s="161" t="str">
        <f t="shared" si="329"/>
        <v/>
      </c>
      <c r="EF205" s="161" t="str">
        <f t="shared" si="330"/>
        <v/>
      </c>
      <c r="EG205" s="161" t="str">
        <f t="shared" si="331"/>
        <v/>
      </c>
      <c r="EH205" s="161" t="str">
        <f t="shared" si="332"/>
        <v/>
      </c>
      <c r="EI205" s="161" t="str">
        <f t="shared" si="333"/>
        <v/>
      </c>
      <c r="EJ205" s="161" t="str">
        <f t="shared" si="334"/>
        <v/>
      </c>
      <c r="EK205" s="147" t="str">
        <f t="shared" si="248"/>
        <v/>
      </c>
      <c r="EL205" s="149"/>
      <c r="EN205" s="146"/>
      <c r="EO205" s="146"/>
      <c r="EP205" s="139" t="str">
        <f t="shared" si="249"/>
        <v/>
      </c>
      <c r="EQ205" s="139" t="str">
        <f t="shared" si="250"/>
        <v/>
      </c>
      <c r="ER205" s="139" t="str">
        <f t="shared" si="251"/>
        <v/>
      </c>
      <c r="ES205" s="139" t="str">
        <f t="shared" si="252"/>
        <v/>
      </c>
      <c r="ET205" s="139" t="str">
        <f t="shared" si="253"/>
        <v/>
      </c>
      <c r="EU205" s="139" t="str">
        <f t="shared" si="254"/>
        <v/>
      </c>
      <c r="EV205" s="139" t="str">
        <f t="shared" si="255"/>
        <v/>
      </c>
      <c r="EW205" s="139" t="str">
        <f t="shared" si="256"/>
        <v/>
      </c>
      <c r="EX205" s="139" t="str">
        <f t="shared" si="257"/>
        <v/>
      </c>
      <c r="EY205" s="139" t="str">
        <f t="shared" si="258"/>
        <v/>
      </c>
      <c r="EZ205" s="139" t="str">
        <f t="shared" si="259"/>
        <v/>
      </c>
      <c r="FA205" s="139" t="str">
        <f t="shared" si="260"/>
        <v/>
      </c>
      <c r="FB205" s="139" t="str">
        <f t="shared" si="261"/>
        <v/>
      </c>
      <c r="FC205" s="139" t="str">
        <f t="shared" si="262"/>
        <v/>
      </c>
      <c r="FD205" s="139" t="str">
        <f t="shared" si="263"/>
        <v/>
      </c>
      <c r="FE205" s="139" t="str">
        <f t="shared" si="264"/>
        <v/>
      </c>
      <c r="FF205" s="139" t="str">
        <f t="shared" si="265"/>
        <v/>
      </c>
      <c r="FG205" s="139" t="str">
        <f t="shared" si="266"/>
        <v/>
      </c>
      <c r="FH205" s="139" t="str">
        <f t="shared" si="267"/>
        <v/>
      </c>
      <c r="FI205" s="139" t="str">
        <f t="shared" si="268"/>
        <v/>
      </c>
      <c r="FJ205" s="139" t="str">
        <f t="shared" si="269"/>
        <v/>
      </c>
      <c r="FK205" s="139" t="str">
        <f t="shared" si="270"/>
        <v/>
      </c>
      <c r="FL205" s="139" t="str">
        <f t="shared" si="271"/>
        <v/>
      </c>
      <c r="FM205" s="139" t="str">
        <f t="shared" si="272"/>
        <v/>
      </c>
      <c r="FN205" s="139" t="str">
        <f t="shared" si="273"/>
        <v/>
      </c>
      <c r="FO205" s="139" t="str">
        <f t="shared" si="274"/>
        <v/>
      </c>
      <c r="FP205" s="139" t="str">
        <f t="shared" si="275"/>
        <v/>
      </c>
      <c r="FQ205" s="139" t="str">
        <f t="shared" si="276"/>
        <v/>
      </c>
      <c r="FR205" s="139" t="str">
        <f t="shared" si="277"/>
        <v/>
      </c>
      <c r="FS205" s="139" t="str">
        <f t="shared" si="278"/>
        <v/>
      </c>
      <c r="FT205" s="139" t="str">
        <f t="shared" si="279"/>
        <v/>
      </c>
      <c r="FU205" s="148" t="str">
        <f t="shared" si="280"/>
        <v/>
      </c>
      <c r="FV205" s="149"/>
      <c r="FY205" s="213">
        <v>200</v>
      </c>
      <c r="FZ205">
        <v>0.58716112056924263</v>
      </c>
      <c r="GA205">
        <v>14.528336547069912</v>
      </c>
      <c r="GB205">
        <v>7.3565437525531463</v>
      </c>
      <c r="GC205">
        <v>2.5756603441349175</v>
      </c>
      <c r="GD205">
        <v>4.1245472694481471</v>
      </c>
      <c r="GE205">
        <v>4.3497321782290959</v>
      </c>
      <c r="GF205">
        <v>0</v>
      </c>
      <c r="GG205">
        <v>4.3952420195687862</v>
      </c>
      <c r="GH205">
        <v>6.0105473340327205</v>
      </c>
      <c r="GI205">
        <v>5.3619028751977016</v>
      </c>
      <c r="GJ205"/>
      <c r="GK205"/>
      <c r="GL205"/>
      <c r="GM205"/>
      <c r="GN205" s="208"/>
      <c r="GO205" s="208"/>
      <c r="GP205" s="208"/>
      <c r="GQ205" s="208"/>
      <c r="GR205" s="208"/>
      <c r="GS205" s="208"/>
      <c r="GT205" s="208"/>
      <c r="GU205" s="213">
        <v>200</v>
      </c>
    </row>
    <row r="206" spans="1:203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18.912373426382047</v>
      </c>
      <c r="AO206">
        <v>6.3149970179439334</v>
      </c>
      <c r="AP206">
        <v>192.63464252460386</v>
      </c>
      <c r="AQ206">
        <v>40.364121379199531</v>
      </c>
      <c r="AR206">
        <v>5.7951776508084238</v>
      </c>
      <c r="AS206">
        <v>60.02458472221651</v>
      </c>
      <c r="AT206" t="e">
        <v>#DIV/0!</v>
      </c>
      <c r="AU206" t="e">
        <v>#DIV/0!</v>
      </c>
      <c r="AV206"/>
      <c r="AW206"/>
      <c r="AX206" s="146"/>
      <c r="AY206" s="76" t="str">
        <f t="shared" ca="1" si="171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6"/>
        <v/>
      </c>
      <c r="CL206" s="179" t="str">
        <f t="shared" si="207"/>
        <v/>
      </c>
      <c r="CM206" s="180" t="str">
        <f t="shared" si="208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9"/>
        <v/>
      </c>
      <c r="DB206" s="146"/>
      <c r="DC206" s="76" t="str">
        <f t="shared" ca="1" si="172"/>
        <v/>
      </c>
      <c r="DD206" t="str">
        <f t="shared" si="210"/>
        <v/>
      </c>
      <c r="DE206" s="129" t="str">
        <f t="shared" si="335"/>
        <v/>
      </c>
      <c r="DF206" s="161" t="str">
        <f t="shared" si="282"/>
        <v/>
      </c>
      <c r="DG206" s="161" t="str">
        <f t="shared" si="283"/>
        <v/>
      </c>
      <c r="DH206" s="161" t="str">
        <f t="shared" si="284"/>
        <v/>
      </c>
      <c r="DI206" s="161" t="str">
        <f t="shared" si="285"/>
        <v/>
      </c>
      <c r="DJ206" s="161" t="str">
        <f t="shared" si="286"/>
        <v/>
      </c>
      <c r="DK206" s="161" t="str">
        <f t="shared" si="287"/>
        <v/>
      </c>
      <c r="DL206" s="161" t="str">
        <f t="shared" si="288"/>
        <v/>
      </c>
      <c r="DM206" s="161" t="str">
        <f t="shared" si="289"/>
        <v/>
      </c>
      <c r="DN206" s="161" t="str">
        <f t="shared" si="312"/>
        <v/>
      </c>
      <c r="DO206" s="161" t="str">
        <f t="shared" si="313"/>
        <v/>
      </c>
      <c r="DP206" s="161" t="str">
        <f t="shared" si="314"/>
        <v/>
      </c>
      <c r="DQ206" s="161" t="str">
        <f t="shared" si="315"/>
        <v/>
      </c>
      <c r="DR206" s="161" t="str">
        <f t="shared" si="316"/>
        <v/>
      </c>
      <c r="DS206" s="161" t="str">
        <f t="shared" si="317"/>
        <v/>
      </c>
      <c r="DT206" s="161" t="str">
        <f t="shared" si="318"/>
        <v/>
      </c>
      <c r="DU206" s="161" t="str">
        <f t="shared" si="319"/>
        <v/>
      </c>
      <c r="DV206" s="161" t="str">
        <f t="shared" si="320"/>
        <v/>
      </c>
      <c r="DW206" s="161" t="str">
        <f t="shared" si="321"/>
        <v/>
      </c>
      <c r="DX206" s="161" t="str">
        <f t="shared" si="322"/>
        <v/>
      </c>
      <c r="DY206" s="161" t="str">
        <f t="shared" si="323"/>
        <v/>
      </c>
      <c r="DZ206" s="161" t="str">
        <f t="shared" si="324"/>
        <v/>
      </c>
      <c r="EA206" s="161" t="str">
        <f t="shared" si="325"/>
        <v/>
      </c>
      <c r="EB206" s="161" t="str">
        <f t="shared" si="326"/>
        <v/>
      </c>
      <c r="EC206" s="161" t="str">
        <f t="shared" si="327"/>
        <v/>
      </c>
      <c r="ED206" s="161" t="str">
        <f t="shared" si="328"/>
        <v/>
      </c>
      <c r="EE206" s="161" t="str">
        <f t="shared" si="329"/>
        <v/>
      </c>
      <c r="EF206" s="161" t="str">
        <f t="shared" si="330"/>
        <v/>
      </c>
      <c r="EG206" s="161" t="str">
        <f t="shared" si="331"/>
        <v/>
      </c>
      <c r="EH206" s="161" t="str">
        <f t="shared" si="332"/>
        <v/>
      </c>
      <c r="EI206" s="161" t="str">
        <f t="shared" si="333"/>
        <v/>
      </c>
      <c r="EJ206" s="161" t="str">
        <f t="shared" si="334"/>
        <v/>
      </c>
      <c r="EK206" s="147" t="str">
        <f t="shared" si="248"/>
        <v/>
      </c>
      <c r="EL206" s="149"/>
      <c r="EN206" s="146"/>
      <c r="EO206" s="146"/>
      <c r="EP206" s="139" t="str">
        <f t="shared" si="249"/>
        <v/>
      </c>
      <c r="EQ206" s="139" t="str">
        <f t="shared" si="250"/>
        <v/>
      </c>
      <c r="ER206" s="139" t="str">
        <f t="shared" si="251"/>
        <v/>
      </c>
      <c r="ES206" s="139" t="str">
        <f t="shared" si="252"/>
        <v/>
      </c>
      <c r="ET206" s="139" t="str">
        <f t="shared" si="253"/>
        <v/>
      </c>
      <c r="EU206" s="139" t="str">
        <f t="shared" si="254"/>
        <v/>
      </c>
      <c r="EV206" s="139" t="str">
        <f t="shared" si="255"/>
        <v/>
      </c>
      <c r="EW206" s="139" t="str">
        <f t="shared" si="256"/>
        <v/>
      </c>
      <c r="EX206" s="139" t="str">
        <f t="shared" si="257"/>
        <v/>
      </c>
      <c r="EY206" s="139" t="str">
        <f t="shared" si="258"/>
        <v/>
      </c>
      <c r="EZ206" s="139" t="str">
        <f t="shared" si="259"/>
        <v/>
      </c>
      <c r="FA206" s="139" t="str">
        <f t="shared" si="260"/>
        <v/>
      </c>
      <c r="FB206" s="139" t="str">
        <f t="shared" si="261"/>
        <v/>
      </c>
      <c r="FC206" s="139" t="str">
        <f t="shared" si="262"/>
        <v/>
      </c>
      <c r="FD206" s="139" t="str">
        <f t="shared" si="263"/>
        <v/>
      </c>
      <c r="FE206" s="139" t="str">
        <f t="shared" si="264"/>
        <v/>
      </c>
      <c r="FF206" s="139" t="str">
        <f t="shared" si="265"/>
        <v/>
      </c>
      <c r="FG206" s="139" t="str">
        <f t="shared" si="266"/>
        <v/>
      </c>
      <c r="FH206" s="139" t="str">
        <f t="shared" si="267"/>
        <v/>
      </c>
      <c r="FI206" s="139" t="str">
        <f t="shared" si="268"/>
        <v/>
      </c>
      <c r="FJ206" s="139" t="str">
        <f t="shared" si="269"/>
        <v/>
      </c>
      <c r="FK206" s="139" t="str">
        <f t="shared" si="270"/>
        <v/>
      </c>
      <c r="FL206" s="139" t="str">
        <f t="shared" si="271"/>
        <v/>
      </c>
      <c r="FM206" s="139" t="str">
        <f t="shared" si="272"/>
        <v/>
      </c>
      <c r="FN206" s="139" t="str">
        <f t="shared" si="273"/>
        <v/>
      </c>
      <c r="FO206" s="139" t="str">
        <f t="shared" si="274"/>
        <v/>
      </c>
      <c r="FP206" s="139" t="str">
        <f t="shared" si="275"/>
        <v/>
      </c>
      <c r="FQ206" s="139" t="str">
        <f t="shared" si="276"/>
        <v/>
      </c>
      <c r="FR206" s="139" t="str">
        <f t="shared" si="277"/>
        <v/>
      </c>
      <c r="FS206" s="139" t="str">
        <f t="shared" si="278"/>
        <v/>
      </c>
      <c r="FT206" s="139" t="str">
        <f t="shared" si="279"/>
        <v/>
      </c>
      <c r="FU206" s="148" t="str">
        <f t="shared" si="280"/>
        <v/>
      </c>
      <c r="FV206" s="149"/>
      <c r="FY206" s="213">
        <v>201</v>
      </c>
      <c r="FZ206">
        <v>3.7797135260832437</v>
      </c>
      <c r="GA206">
        <v>14.15989307360535</v>
      </c>
      <c r="GB206">
        <v>5.1402233847396257</v>
      </c>
      <c r="GC206">
        <v>7.7487626691225331E-2</v>
      </c>
      <c r="GD206">
        <v>0.52662843578081264</v>
      </c>
      <c r="GE206">
        <v>0.94583392940042799</v>
      </c>
      <c r="GF206">
        <v>0</v>
      </c>
      <c r="GG206">
        <v>3.1463251717296488</v>
      </c>
      <c r="GH206">
        <v>4.591632084118876</v>
      </c>
      <c r="GI206">
        <v>2.9354942646179083</v>
      </c>
      <c r="GJ206"/>
      <c r="GK206"/>
      <c r="GL206"/>
      <c r="GM206"/>
      <c r="GN206" s="208"/>
      <c r="GO206" s="208"/>
      <c r="GP206" s="208"/>
      <c r="GQ206" s="208"/>
      <c r="GR206" s="208"/>
      <c r="GS206" s="208"/>
      <c r="GT206" s="208"/>
      <c r="GU206" s="213">
        <v>201</v>
      </c>
    </row>
    <row r="207" spans="1:203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23.366156951286261</v>
      </c>
      <c r="AO207">
        <v>6.8332146610040896</v>
      </c>
      <c r="AP207">
        <v>181.59730902795224</v>
      </c>
      <c r="AQ207">
        <v>44.476262580217409</v>
      </c>
      <c r="AR207">
        <v>6.2120133281855354</v>
      </c>
      <c r="AS207">
        <v>69.402282745527728</v>
      </c>
      <c r="AT207" t="e">
        <v>#DIV/0!</v>
      </c>
      <c r="AU207" t="e">
        <v>#DIV/0!</v>
      </c>
      <c r="AV207"/>
      <c r="AW207"/>
      <c r="AX207" s="146"/>
      <c r="AY207" s="76" t="str">
        <f t="shared" ca="1" si="171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6"/>
        <v/>
      </c>
      <c r="CL207" s="179" t="str">
        <f t="shared" si="207"/>
        <v/>
      </c>
      <c r="CM207" s="180" t="str">
        <f t="shared" si="208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9"/>
        <v/>
      </c>
      <c r="DB207" s="146"/>
      <c r="DC207" s="76" t="str">
        <f t="shared" ca="1" si="172"/>
        <v/>
      </c>
      <c r="DD207" t="str">
        <f t="shared" si="210"/>
        <v/>
      </c>
      <c r="DE207" s="129" t="str">
        <f t="shared" si="335"/>
        <v/>
      </c>
      <c r="DF207" s="161" t="str">
        <f t="shared" si="282"/>
        <v/>
      </c>
      <c r="DG207" s="161" t="str">
        <f t="shared" si="283"/>
        <v/>
      </c>
      <c r="DH207" s="161" t="str">
        <f t="shared" si="284"/>
        <v/>
      </c>
      <c r="DI207" s="161" t="str">
        <f t="shared" si="285"/>
        <v/>
      </c>
      <c r="DJ207" s="161" t="str">
        <f t="shared" si="286"/>
        <v/>
      </c>
      <c r="DK207" s="161" t="str">
        <f t="shared" si="287"/>
        <v/>
      </c>
      <c r="DL207" s="161" t="str">
        <f t="shared" si="288"/>
        <v/>
      </c>
      <c r="DM207" s="161" t="str">
        <f t="shared" si="289"/>
        <v/>
      </c>
      <c r="DN207" s="161" t="str">
        <f t="shared" si="312"/>
        <v/>
      </c>
      <c r="DO207" s="161" t="str">
        <f t="shared" ref="DO207:EJ207" si="336">IF($AZ207="", "", (BK207*$CW207)/$CZ207)</f>
        <v/>
      </c>
      <c r="DP207" s="161" t="str">
        <f t="shared" si="336"/>
        <v/>
      </c>
      <c r="DQ207" s="161" t="str">
        <f t="shared" si="336"/>
        <v/>
      </c>
      <c r="DR207" s="161" t="str">
        <f t="shared" si="336"/>
        <v/>
      </c>
      <c r="DS207" s="161" t="str">
        <f t="shared" si="336"/>
        <v/>
      </c>
      <c r="DT207" s="161" t="str">
        <f t="shared" si="336"/>
        <v/>
      </c>
      <c r="DU207" s="161" t="str">
        <f t="shared" si="336"/>
        <v/>
      </c>
      <c r="DV207" s="161" t="str">
        <f t="shared" si="336"/>
        <v/>
      </c>
      <c r="DW207" s="161" t="str">
        <f t="shared" si="336"/>
        <v/>
      </c>
      <c r="DX207" s="161" t="str">
        <f t="shared" si="336"/>
        <v/>
      </c>
      <c r="DY207" s="161" t="str">
        <f t="shared" si="336"/>
        <v/>
      </c>
      <c r="DZ207" s="161" t="str">
        <f t="shared" si="336"/>
        <v/>
      </c>
      <c r="EA207" s="161" t="str">
        <f t="shared" si="336"/>
        <v/>
      </c>
      <c r="EB207" s="161" t="str">
        <f t="shared" si="336"/>
        <v/>
      </c>
      <c r="EC207" s="161" t="str">
        <f t="shared" si="336"/>
        <v/>
      </c>
      <c r="ED207" s="161" t="str">
        <f t="shared" si="336"/>
        <v/>
      </c>
      <c r="EE207" s="161" t="str">
        <f t="shared" si="336"/>
        <v/>
      </c>
      <c r="EF207" s="161" t="str">
        <f t="shared" si="336"/>
        <v/>
      </c>
      <c r="EG207" s="161" t="str">
        <f t="shared" si="336"/>
        <v/>
      </c>
      <c r="EH207" s="161" t="str">
        <f t="shared" si="336"/>
        <v/>
      </c>
      <c r="EI207" s="161" t="str">
        <f t="shared" si="336"/>
        <v/>
      </c>
      <c r="EJ207" s="161" t="str">
        <f t="shared" si="336"/>
        <v/>
      </c>
      <c r="EK207" s="147" t="str">
        <f t="shared" si="248"/>
        <v/>
      </c>
      <c r="EL207" s="149"/>
      <c r="EN207" s="146"/>
      <c r="EO207" s="146"/>
      <c r="EP207" s="139" t="str">
        <f t="shared" si="249"/>
        <v/>
      </c>
      <c r="EQ207" s="139" t="str">
        <f t="shared" si="250"/>
        <v/>
      </c>
      <c r="ER207" s="139" t="str">
        <f t="shared" si="251"/>
        <v/>
      </c>
      <c r="ES207" s="139" t="str">
        <f t="shared" si="252"/>
        <v/>
      </c>
      <c r="ET207" s="139" t="str">
        <f t="shared" si="253"/>
        <v/>
      </c>
      <c r="EU207" s="139" t="str">
        <f t="shared" si="254"/>
        <v/>
      </c>
      <c r="EV207" s="139" t="str">
        <f t="shared" si="255"/>
        <v/>
      </c>
      <c r="EW207" s="139" t="str">
        <f t="shared" si="256"/>
        <v/>
      </c>
      <c r="EX207" s="139" t="str">
        <f t="shared" si="257"/>
        <v/>
      </c>
      <c r="EY207" s="139" t="str">
        <f t="shared" si="258"/>
        <v/>
      </c>
      <c r="EZ207" s="139" t="str">
        <f t="shared" si="259"/>
        <v/>
      </c>
      <c r="FA207" s="139" t="str">
        <f t="shared" si="260"/>
        <v/>
      </c>
      <c r="FB207" s="139" t="str">
        <f t="shared" si="261"/>
        <v/>
      </c>
      <c r="FC207" s="139" t="str">
        <f t="shared" si="262"/>
        <v/>
      </c>
      <c r="FD207" s="139" t="str">
        <f t="shared" si="263"/>
        <v/>
      </c>
      <c r="FE207" s="139" t="str">
        <f t="shared" si="264"/>
        <v/>
      </c>
      <c r="FF207" s="139" t="str">
        <f t="shared" si="265"/>
        <v/>
      </c>
      <c r="FG207" s="139" t="str">
        <f t="shared" si="266"/>
        <v/>
      </c>
      <c r="FH207" s="139" t="str">
        <f t="shared" si="267"/>
        <v/>
      </c>
      <c r="FI207" s="139" t="str">
        <f t="shared" si="268"/>
        <v/>
      </c>
      <c r="FJ207" s="139" t="str">
        <f t="shared" si="269"/>
        <v/>
      </c>
      <c r="FK207" s="139" t="str">
        <f t="shared" si="270"/>
        <v/>
      </c>
      <c r="FL207" s="139" t="str">
        <f t="shared" si="271"/>
        <v/>
      </c>
      <c r="FM207" s="139" t="str">
        <f t="shared" si="272"/>
        <v/>
      </c>
      <c r="FN207" s="139" t="str">
        <f t="shared" si="273"/>
        <v/>
      </c>
      <c r="FO207" s="139" t="str">
        <f t="shared" si="274"/>
        <v/>
      </c>
      <c r="FP207" s="139" t="str">
        <f t="shared" si="275"/>
        <v/>
      </c>
      <c r="FQ207" s="139" t="str">
        <f t="shared" si="276"/>
        <v/>
      </c>
      <c r="FR207" s="139" t="str">
        <f t="shared" si="277"/>
        <v/>
      </c>
      <c r="FS207" s="139" t="str">
        <f t="shared" si="278"/>
        <v/>
      </c>
      <c r="FT207" s="139" t="str">
        <f t="shared" si="279"/>
        <v/>
      </c>
      <c r="FU207" s="148" t="str">
        <f t="shared" si="280"/>
        <v/>
      </c>
      <c r="FV207" s="149"/>
      <c r="FY207" s="213">
        <v>202</v>
      </c>
      <c r="FZ207">
        <v>0</v>
      </c>
      <c r="GA207">
        <v>17.519742841479516</v>
      </c>
      <c r="GB207">
        <v>8.7793631241010441</v>
      </c>
      <c r="GC207">
        <v>1.3302638723983682</v>
      </c>
      <c r="GD207">
        <v>1.8998293861004298</v>
      </c>
      <c r="GE207">
        <v>1.7796689238837144</v>
      </c>
      <c r="GF207">
        <v>0</v>
      </c>
      <c r="GG207">
        <v>2.3984645145399348</v>
      </c>
      <c r="GH207">
        <v>3.3851261178612746</v>
      </c>
      <c r="GI207">
        <v>3.9033910494129693</v>
      </c>
      <c r="GJ207"/>
      <c r="GK207"/>
      <c r="GL207"/>
      <c r="GM207"/>
      <c r="GN207" s="208"/>
      <c r="GO207" s="208"/>
      <c r="GP207" s="208"/>
      <c r="GQ207" s="208"/>
      <c r="GR207" s="208"/>
      <c r="GS207" s="208"/>
      <c r="GT207" s="208"/>
      <c r="GU207" s="213">
        <v>202</v>
      </c>
    </row>
    <row r="208" spans="1:203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25.728517106191596</v>
      </c>
      <c r="AO208">
        <v>7.3966698647240978</v>
      </c>
      <c r="AP208">
        <v>168.78349431174621</v>
      </c>
      <c r="AQ208">
        <v>54.274764351151575</v>
      </c>
      <c r="AR208">
        <v>6.832787873286148</v>
      </c>
      <c r="AS208">
        <v>75.956922955974463</v>
      </c>
      <c r="AT208" t="e">
        <v>#DIV/0!</v>
      </c>
      <c r="AU208" t="e">
        <v>#DIV/0!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3">
        <v>203</v>
      </c>
      <c r="FZ208">
        <v>1.596276202757001</v>
      </c>
      <c r="GA208">
        <v>16.929764856638911</v>
      </c>
      <c r="GB208">
        <v>7.4918015692135285</v>
      </c>
      <c r="GC208">
        <v>2.0432760490460127</v>
      </c>
      <c r="GD208">
        <v>4.0813404220361491</v>
      </c>
      <c r="GE208">
        <v>5.0958985960705219</v>
      </c>
      <c r="GF208">
        <v>0</v>
      </c>
      <c r="GG208">
        <v>6.7179353163094007</v>
      </c>
      <c r="GH208">
        <v>9.6292316003420666</v>
      </c>
      <c r="GI208">
        <v>6.2397678269253767</v>
      </c>
      <c r="GJ208"/>
      <c r="GK208"/>
      <c r="GL208"/>
      <c r="GM208"/>
      <c r="GN208" s="208"/>
      <c r="GO208" s="208"/>
      <c r="GP208" s="208"/>
      <c r="GQ208" s="208"/>
      <c r="GR208" s="208"/>
      <c r="GS208" s="208"/>
      <c r="GT208" s="208"/>
      <c r="GU208" s="213">
        <v>203</v>
      </c>
    </row>
    <row r="209" spans="1:203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25.311935962239762</v>
      </c>
      <c r="AO209">
        <v>5.7637021878722834</v>
      </c>
      <c r="AP209">
        <v>117.98388995044178</v>
      </c>
      <c r="AQ209">
        <v>43.25215462748109</v>
      </c>
      <c r="AR209">
        <v>5.2397292617020748</v>
      </c>
      <c r="AS209">
        <v>69.597528178059122</v>
      </c>
      <c r="AT209" t="e">
        <v>#DIV/0!</v>
      </c>
      <c r="AU209" t="e">
        <v>#DIV/0!</v>
      </c>
      <c r="AV209"/>
      <c r="AW209"/>
      <c r="FY209" s="213">
        <v>204</v>
      </c>
      <c r="FZ209">
        <v>3.944920685033972</v>
      </c>
      <c r="GA209">
        <v>15.823519734337268</v>
      </c>
      <c r="GB209">
        <v>6.8385381082628589</v>
      </c>
      <c r="GC209">
        <v>0.93809528275072762</v>
      </c>
      <c r="GD209">
        <v>1.4056722950123732</v>
      </c>
      <c r="GE209">
        <v>1.6826703817622763</v>
      </c>
      <c r="GF209">
        <v>0.47734812494006024</v>
      </c>
      <c r="GG209">
        <v>3.7271820483019464</v>
      </c>
      <c r="GH209">
        <v>5.0256367439001757</v>
      </c>
      <c r="GI209">
        <v>4.1065274344992737</v>
      </c>
      <c r="GJ209"/>
      <c r="GK209"/>
      <c r="GL209"/>
      <c r="GM209"/>
      <c r="GN209" s="208"/>
      <c r="GO209" s="208"/>
      <c r="GP209" s="208"/>
      <c r="GQ209" s="208"/>
      <c r="GR209" s="208"/>
      <c r="GS209" s="208"/>
      <c r="GT209" s="208"/>
      <c r="GU209" s="213">
        <v>204</v>
      </c>
    </row>
    <row r="210" spans="1:203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33.962233581287379</v>
      </c>
      <c r="AO210">
        <v>6.1302540366499638</v>
      </c>
      <c r="AP210">
        <v>277.90612679077037</v>
      </c>
      <c r="AQ210">
        <v>37.246173974884151</v>
      </c>
      <c r="AR210">
        <v>5.6272294859957244</v>
      </c>
      <c r="AS210">
        <v>91.230029489715193</v>
      </c>
      <c r="AT210" t="e">
        <v>#DIV/0!</v>
      </c>
      <c r="AU210" t="e">
        <v>#DIV/0!</v>
      </c>
      <c r="AV210"/>
      <c r="AW210"/>
      <c r="FY210" s="213">
        <v>205</v>
      </c>
      <c r="FZ210">
        <v>2.1834373233262436</v>
      </c>
      <c r="GA210">
        <v>16.610773861825386</v>
      </c>
      <c r="GB210">
        <v>7.1462191483313564</v>
      </c>
      <c r="GC210">
        <v>1.7150526880754156</v>
      </c>
      <c r="GD210">
        <v>1.7861195634486475</v>
      </c>
      <c r="GE210">
        <v>1.2385169041576869</v>
      </c>
      <c r="GF210">
        <v>0.47734812494006024</v>
      </c>
      <c r="GG210">
        <v>4.0204602474929096</v>
      </c>
      <c r="GH210">
        <v>5.5283969650735436</v>
      </c>
      <c r="GI210">
        <v>4.1933334351649183</v>
      </c>
      <c r="GJ210"/>
      <c r="GK210"/>
      <c r="GL210"/>
      <c r="GM210"/>
      <c r="GN210" s="208"/>
      <c r="GO210" s="208"/>
      <c r="GP210" s="208"/>
      <c r="GQ210" s="208"/>
      <c r="GR210" s="208"/>
      <c r="GS210" s="208"/>
      <c r="GT210" s="208"/>
      <c r="GU210" s="213">
        <v>205</v>
      </c>
    </row>
    <row r="211" spans="1:203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34.208589901477822</v>
      </c>
      <c r="AO211">
        <v>8.1752128022283586</v>
      </c>
      <c r="AP211">
        <v>389.8668813352989</v>
      </c>
      <c r="AQ211">
        <v>54.484342180223756</v>
      </c>
      <c r="AR211">
        <v>7.4862829092488097</v>
      </c>
      <c r="AS211">
        <v>89.572715141788265</v>
      </c>
      <c r="AT211" t="e">
        <v>#DIV/0!</v>
      </c>
      <c r="AU211" t="e">
        <v>#DIV/0!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3">
        <v>206</v>
      </c>
      <c r="FZ211">
        <v>4.3668746466524873</v>
      </c>
      <c r="GA211">
        <v>12.968284059231543</v>
      </c>
      <c r="GB211">
        <v>4.5863114369274092</v>
      </c>
      <c r="GC211">
        <v>1.1752886190159173</v>
      </c>
      <c r="GD211">
        <v>2.1221131525860693</v>
      </c>
      <c r="GE211">
        <v>2.4713633809992483</v>
      </c>
      <c r="GF211">
        <v>0</v>
      </c>
      <c r="GG211">
        <v>3.785087657847841</v>
      </c>
      <c r="GH211">
        <v>5.3187643612714997</v>
      </c>
      <c r="GI211">
        <v>3.9491221777403447</v>
      </c>
      <c r="GJ211"/>
      <c r="GK211"/>
      <c r="GL211"/>
      <c r="GM211"/>
      <c r="GN211" s="208"/>
      <c r="GO211" s="208"/>
      <c r="GP211" s="208"/>
      <c r="GQ211" s="208"/>
      <c r="GR211" s="208"/>
      <c r="GS211" s="208"/>
      <c r="GT211" s="208"/>
      <c r="GU211" s="213">
        <v>206</v>
      </c>
    </row>
    <row r="212" spans="1:203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40.095323617952928</v>
      </c>
      <c r="AO212">
        <v>8.1629055682173242</v>
      </c>
      <c r="AP212">
        <v>211.78282147329435</v>
      </c>
      <c r="AQ212">
        <v>52.306756884627248</v>
      </c>
      <c r="AR212">
        <v>7.4208232438339312</v>
      </c>
      <c r="AS212">
        <v>105.54615122453053</v>
      </c>
      <c r="AT212" t="e">
        <v>#DIV/0!</v>
      </c>
      <c r="AU212" t="e">
        <v>#DIV/0!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37">AVERAGE(DF88:DF97)</f>
        <v>0</v>
      </c>
      <c r="DG212" s="182">
        <f t="shared" si="337"/>
        <v>0</v>
      </c>
      <c r="DH212" s="182">
        <f t="shared" si="337"/>
        <v>0</v>
      </c>
      <c r="DI212" s="182">
        <f t="shared" si="337"/>
        <v>1.0416666666666665</v>
      </c>
      <c r="DJ212" s="182">
        <f t="shared" si="337"/>
        <v>2.083333333333333</v>
      </c>
      <c r="DK212" s="182">
        <f t="shared" ref="DK212:DQ212" si="338">AVERAGE(DK88:DK97)</f>
        <v>0</v>
      </c>
      <c r="DL212" s="182">
        <f t="shared" si="338"/>
        <v>0</v>
      </c>
      <c r="DM212" s="182">
        <f t="shared" si="338"/>
        <v>0</v>
      </c>
      <c r="DN212" s="182">
        <f t="shared" si="338"/>
        <v>0</v>
      </c>
      <c r="DO212" s="182">
        <f t="shared" si="338"/>
        <v>0</v>
      </c>
      <c r="DP212" s="182">
        <f t="shared" si="338"/>
        <v>0</v>
      </c>
      <c r="DQ212" s="182">
        <f t="shared" si="338"/>
        <v>0</v>
      </c>
      <c r="DR212" s="182">
        <f t="shared" si="337"/>
        <v>0</v>
      </c>
      <c r="DS212" s="182">
        <f t="shared" si="337"/>
        <v>0</v>
      </c>
      <c r="DT212" s="182">
        <f t="shared" si="337"/>
        <v>0</v>
      </c>
      <c r="DU212" s="182">
        <f t="shared" si="337"/>
        <v>0</v>
      </c>
      <c r="DV212" s="182">
        <f t="shared" si="337"/>
        <v>0</v>
      </c>
      <c r="DW212" s="182">
        <f t="shared" si="337"/>
        <v>0</v>
      </c>
      <c r="DX212" s="182">
        <f t="shared" si="337"/>
        <v>0</v>
      </c>
      <c r="DY212" s="182">
        <f t="shared" si="337"/>
        <v>0</v>
      </c>
      <c r="DZ212" s="182">
        <f t="shared" si="337"/>
        <v>0</v>
      </c>
      <c r="EA212" s="182">
        <f t="shared" si="337"/>
        <v>0</v>
      </c>
      <c r="EB212" s="182">
        <f t="shared" si="337"/>
        <v>0</v>
      </c>
      <c r="EC212" s="182">
        <f t="shared" si="337"/>
        <v>0</v>
      </c>
      <c r="ED212" s="182">
        <f t="shared" si="337"/>
        <v>0</v>
      </c>
      <c r="EE212" s="182">
        <f t="shared" si="337"/>
        <v>0</v>
      </c>
      <c r="EF212" s="182">
        <f t="shared" si="337"/>
        <v>0</v>
      </c>
      <c r="EG212" s="182">
        <f t="shared" si="337"/>
        <v>0</v>
      </c>
      <c r="EH212" s="182">
        <f t="shared" si="337"/>
        <v>0</v>
      </c>
      <c r="EI212" s="182">
        <f t="shared" si="337"/>
        <v>0</v>
      </c>
      <c r="EJ212" s="182">
        <f t="shared" si="337"/>
        <v>0</v>
      </c>
      <c r="FY212" s="213">
        <v>207</v>
      </c>
      <c r="FZ212">
        <v>2.1834373233262436</v>
      </c>
      <c r="GA212">
        <v>12.809526613634143</v>
      </c>
      <c r="GB212">
        <v>5.4471050532408984</v>
      </c>
      <c r="GC212">
        <v>0.15497525338245066</v>
      </c>
      <c r="GD212">
        <v>1.2122276399749208</v>
      </c>
      <c r="GE212">
        <v>2.7989443028971692</v>
      </c>
      <c r="GF212">
        <v>0.95469624988012047</v>
      </c>
      <c r="GG212">
        <v>5.4380509296355397</v>
      </c>
      <c r="GH212">
        <v>7.8361757794559974</v>
      </c>
      <c r="GI212">
        <v>3.8843688290616258</v>
      </c>
      <c r="GJ212"/>
      <c r="GK212"/>
      <c r="GL212"/>
      <c r="GM212"/>
      <c r="GN212" s="208"/>
      <c r="GO212" s="208"/>
      <c r="GP212" s="208"/>
      <c r="GQ212" s="208"/>
      <c r="GR212" s="208"/>
      <c r="GS212" s="208"/>
      <c r="GT212" s="208"/>
      <c r="GU212" s="213">
        <v>207</v>
      </c>
    </row>
    <row r="213" spans="1:203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29.368415987430836</v>
      </c>
      <c r="AO213">
        <v>4.7999073942521298</v>
      </c>
      <c r="AP213">
        <v>168.2561159300451</v>
      </c>
      <c r="AQ213">
        <v>27.448015745651553</v>
      </c>
      <c r="AR213">
        <v>4.4178234474522391</v>
      </c>
      <c r="AS213">
        <v>70.596367812496467</v>
      </c>
      <c r="AT213" t="e">
        <v>#DIV/0!</v>
      </c>
      <c r="AU213" t="e">
        <v>#DIV/0!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39">AVERAGE(DF98:DF107)</f>
        <v>0</v>
      </c>
      <c r="DG213" s="185">
        <f t="shared" si="339"/>
        <v>0</v>
      </c>
      <c r="DH213" s="185">
        <f t="shared" si="339"/>
        <v>1.0416666666666665</v>
      </c>
      <c r="DI213" s="185">
        <f t="shared" si="339"/>
        <v>0</v>
      </c>
      <c r="DJ213" s="185">
        <f t="shared" si="339"/>
        <v>3.125</v>
      </c>
      <c r="DK213" s="185">
        <f t="shared" ref="DK213:DQ213" si="340">AVERAGE(DK98:DK107)</f>
        <v>2.083333333333333</v>
      </c>
      <c r="DL213" s="185">
        <f t="shared" si="340"/>
        <v>0</v>
      </c>
      <c r="DM213" s="185">
        <f t="shared" si="340"/>
        <v>0</v>
      </c>
      <c r="DN213" s="185">
        <f t="shared" si="340"/>
        <v>0</v>
      </c>
      <c r="DO213" s="185">
        <f t="shared" si="340"/>
        <v>0</v>
      </c>
      <c r="DP213" s="185">
        <f t="shared" si="340"/>
        <v>0</v>
      </c>
      <c r="DQ213" s="185">
        <f t="shared" si="340"/>
        <v>0</v>
      </c>
      <c r="DR213" s="185">
        <f t="shared" si="339"/>
        <v>0</v>
      </c>
      <c r="DS213" s="185">
        <f t="shared" si="339"/>
        <v>0</v>
      </c>
      <c r="DT213" s="185">
        <f t="shared" si="339"/>
        <v>0</v>
      </c>
      <c r="DU213" s="185">
        <f t="shared" si="339"/>
        <v>0</v>
      </c>
      <c r="DV213" s="185">
        <f t="shared" si="339"/>
        <v>0</v>
      </c>
      <c r="DW213" s="185">
        <f t="shared" si="339"/>
        <v>0</v>
      </c>
      <c r="DX213" s="185">
        <f t="shared" si="339"/>
        <v>0</v>
      </c>
      <c r="DY213" s="185">
        <f t="shared" si="339"/>
        <v>0</v>
      </c>
      <c r="DZ213" s="185">
        <f t="shared" si="339"/>
        <v>0</v>
      </c>
      <c r="EA213" s="185">
        <f t="shared" si="339"/>
        <v>0</v>
      </c>
      <c r="EB213" s="185">
        <f t="shared" si="339"/>
        <v>0</v>
      </c>
      <c r="EC213" s="185">
        <f t="shared" si="339"/>
        <v>0</v>
      </c>
      <c r="ED213" s="185">
        <f t="shared" si="339"/>
        <v>0</v>
      </c>
      <c r="EE213" s="185">
        <f t="shared" si="339"/>
        <v>0</v>
      </c>
      <c r="EF213" s="185">
        <f t="shared" si="339"/>
        <v>0</v>
      </c>
      <c r="EG213" s="185">
        <f t="shared" si="339"/>
        <v>0</v>
      </c>
      <c r="EH213" s="185">
        <f t="shared" si="339"/>
        <v>0</v>
      </c>
      <c r="EI213" s="185">
        <f t="shared" si="339"/>
        <v>0</v>
      </c>
      <c r="EJ213" s="185">
        <f t="shared" si="339"/>
        <v>0</v>
      </c>
      <c r="FY213" s="213">
        <v>208</v>
      </c>
      <c r="FZ213">
        <v>3.192552405514002</v>
      </c>
      <c r="GA213">
        <v>21.955315285022426</v>
      </c>
      <c r="GB213">
        <v>8.995007086886055</v>
      </c>
      <c r="GC213">
        <v>0.79049980333886993</v>
      </c>
      <c r="GD213">
        <v>1.7675064432736665</v>
      </c>
      <c r="GE213">
        <v>2.3527659533081571</v>
      </c>
      <c r="GF213">
        <v>0</v>
      </c>
      <c r="GG213">
        <v>3.4648713879457071</v>
      </c>
      <c r="GH213">
        <v>4.8970170936990343</v>
      </c>
      <c r="GI213">
        <v>4.6395227011293416</v>
      </c>
      <c r="GJ213"/>
      <c r="GK213"/>
      <c r="GL213"/>
      <c r="GM213"/>
      <c r="GN213" s="208"/>
      <c r="GO213" s="208"/>
      <c r="GP213" s="208"/>
      <c r="GQ213" s="208"/>
      <c r="GR213" s="208"/>
      <c r="GS213" s="208"/>
      <c r="GT213" s="208"/>
      <c r="GU213" s="213">
        <v>208</v>
      </c>
    </row>
    <row r="214" spans="1:203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28.676433772858264</v>
      </c>
      <c r="AO214">
        <v>5.1843609844685625</v>
      </c>
      <c r="AP214">
        <v>140.09321353464361</v>
      </c>
      <c r="AQ214">
        <v>34.751164161071614</v>
      </c>
      <c r="AR214">
        <v>4.7130554404259657</v>
      </c>
      <c r="AS214">
        <v>71.762173076068862</v>
      </c>
      <c r="AT214" t="e">
        <v>#DIV/0!</v>
      </c>
      <c r="AU214" t="e">
        <v>#DIV/0!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41">AVERAGE(DF108:DF117)</f>
        <v>0</v>
      </c>
      <c r="DG214" s="182">
        <f t="shared" si="341"/>
        <v>0</v>
      </c>
      <c r="DH214" s="182">
        <f t="shared" si="341"/>
        <v>0</v>
      </c>
      <c r="DI214" s="182">
        <f t="shared" si="341"/>
        <v>29.166666666666664</v>
      </c>
      <c r="DJ214" s="182">
        <f t="shared" si="341"/>
        <v>32.291666666666671</v>
      </c>
      <c r="DK214" s="182">
        <f t="shared" si="341"/>
        <v>0</v>
      </c>
      <c r="DL214" s="182">
        <f t="shared" si="341"/>
        <v>0</v>
      </c>
      <c r="DM214" s="182">
        <f t="shared" si="341"/>
        <v>1.0416666666666665</v>
      </c>
      <c r="DN214" s="182">
        <f t="shared" si="341"/>
        <v>1.0416666666666665</v>
      </c>
      <c r="DO214" s="182">
        <f t="shared" si="341"/>
        <v>0</v>
      </c>
      <c r="DP214" s="182">
        <f t="shared" si="341"/>
        <v>0</v>
      </c>
      <c r="DQ214" s="182">
        <f t="shared" si="341"/>
        <v>0</v>
      </c>
      <c r="DR214" s="182">
        <f t="shared" si="341"/>
        <v>0</v>
      </c>
      <c r="DS214" s="182">
        <f t="shared" si="341"/>
        <v>0</v>
      </c>
      <c r="DT214" s="182">
        <f t="shared" si="341"/>
        <v>0</v>
      </c>
      <c r="DU214" s="182">
        <f t="shared" si="341"/>
        <v>0</v>
      </c>
      <c r="DV214" s="182">
        <f t="shared" si="341"/>
        <v>0</v>
      </c>
      <c r="DW214" s="182">
        <f t="shared" si="341"/>
        <v>0</v>
      </c>
      <c r="DX214" s="182">
        <f t="shared" si="341"/>
        <v>0</v>
      </c>
      <c r="DY214" s="182">
        <f t="shared" si="341"/>
        <v>0</v>
      </c>
      <c r="DZ214" s="182">
        <f t="shared" si="341"/>
        <v>0</v>
      </c>
      <c r="EA214" s="182">
        <f t="shared" si="341"/>
        <v>0</v>
      </c>
      <c r="EB214" s="182">
        <f t="shared" si="341"/>
        <v>0</v>
      </c>
      <c r="EC214" s="182">
        <f t="shared" si="341"/>
        <v>0</v>
      </c>
      <c r="ED214" s="182">
        <f t="shared" si="341"/>
        <v>0</v>
      </c>
      <c r="EE214" s="182">
        <f t="shared" si="341"/>
        <v>0</v>
      </c>
      <c r="EF214" s="182">
        <f t="shared" si="341"/>
        <v>0</v>
      </c>
      <c r="EG214" s="182">
        <f t="shared" si="341"/>
        <v>0</v>
      </c>
      <c r="EH214" s="182">
        <f t="shared" si="341"/>
        <v>0</v>
      </c>
      <c r="EI214" s="182">
        <f t="shared" si="341"/>
        <v>0</v>
      </c>
      <c r="EJ214" s="182">
        <f t="shared" si="341"/>
        <v>0</v>
      </c>
      <c r="FY214" s="213">
        <v>209</v>
      </c>
      <c r="FZ214">
        <v>1.596276202757001</v>
      </c>
      <c r="GA214">
        <v>18.854494236443369</v>
      </c>
      <c r="GB214">
        <v>8.4659029938107455</v>
      </c>
      <c r="GC214">
        <v>1.4003717251190004</v>
      </c>
      <c r="GD214">
        <v>2.6370150561769021</v>
      </c>
      <c r="GE214">
        <v>4.0374612070548563</v>
      </c>
      <c r="GF214">
        <v>1.432044374820181</v>
      </c>
      <c r="GG214">
        <v>3.5153745887199328</v>
      </c>
      <c r="GH214">
        <v>4.860834156844172</v>
      </c>
      <c r="GI214">
        <v>4.9620933115581156</v>
      </c>
      <c r="GJ214"/>
      <c r="GK214"/>
      <c r="GL214"/>
      <c r="GM214"/>
      <c r="GN214" s="208"/>
      <c r="GO214" s="208"/>
      <c r="GP214" s="208"/>
      <c r="GQ214" s="208"/>
      <c r="GR214" s="208"/>
      <c r="GS214" s="208"/>
      <c r="GT214" s="208"/>
      <c r="GU214" s="213">
        <v>209</v>
      </c>
    </row>
    <row r="215" spans="1:203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33.969759580192694</v>
      </c>
      <c r="AO215">
        <v>8.3337070368944026</v>
      </c>
      <c r="AP215">
        <v>399.50865430892406</v>
      </c>
      <c r="AQ215">
        <v>58.300344323795308</v>
      </c>
      <c r="AR215">
        <v>7.6303685771270322</v>
      </c>
      <c r="AS215">
        <v>95.189545267015987</v>
      </c>
      <c r="AT215" t="e">
        <v>#DIV/0!</v>
      </c>
      <c r="AU215" t="e">
        <v>#DIV/0!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2">AVERAGE(DF118:DF127)</f>
        <v>0</v>
      </c>
      <c r="DG215" s="182">
        <f t="shared" ref="DG215:DH215" si="343">AVERAGE(DG118:DG127)</f>
        <v>0</v>
      </c>
      <c r="DH215" s="182">
        <f t="shared" si="343"/>
        <v>0</v>
      </c>
      <c r="DI215" s="182">
        <f t="shared" si="342"/>
        <v>0</v>
      </c>
      <c r="DJ215" s="182">
        <f t="shared" si="342"/>
        <v>0</v>
      </c>
      <c r="DK215" s="182">
        <f t="shared" si="342"/>
        <v>0</v>
      </c>
      <c r="DL215" s="182">
        <f t="shared" si="342"/>
        <v>0</v>
      </c>
      <c r="DM215" s="182">
        <f t="shared" si="342"/>
        <v>0</v>
      </c>
      <c r="DN215" s="182">
        <f t="shared" si="342"/>
        <v>0</v>
      </c>
      <c r="DO215" s="182">
        <f t="shared" si="342"/>
        <v>0</v>
      </c>
      <c r="DP215" s="182">
        <f t="shared" si="342"/>
        <v>0</v>
      </c>
      <c r="DQ215" s="182">
        <f t="shared" si="342"/>
        <v>0</v>
      </c>
      <c r="DR215" s="182">
        <f t="shared" si="342"/>
        <v>0</v>
      </c>
      <c r="DS215" s="182">
        <f t="shared" si="342"/>
        <v>0</v>
      </c>
      <c r="DT215" s="182">
        <f t="shared" si="342"/>
        <v>0</v>
      </c>
      <c r="DU215" s="182">
        <f t="shared" si="342"/>
        <v>0</v>
      </c>
      <c r="DV215" s="182">
        <f t="shared" si="342"/>
        <v>0</v>
      </c>
      <c r="DW215" s="182">
        <f t="shared" si="342"/>
        <v>0</v>
      </c>
      <c r="DX215" s="182">
        <f t="shared" si="342"/>
        <v>0</v>
      </c>
      <c r="DY215" s="182">
        <f t="shared" si="342"/>
        <v>0</v>
      </c>
      <c r="DZ215" s="182">
        <f t="shared" si="342"/>
        <v>0</v>
      </c>
      <c r="EA215" s="182">
        <f t="shared" si="342"/>
        <v>0</v>
      </c>
      <c r="EB215" s="182">
        <f t="shared" si="342"/>
        <v>0</v>
      </c>
      <c r="EC215" s="182">
        <f t="shared" si="342"/>
        <v>0</v>
      </c>
      <c r="ED215" s="182">
        <f t="shared" si="342"/>
        <v>0</v>
      </c>
      <c r="EE215" s="182">
        <f t="shared" si="342"/>
        <v>0</v>
      </c>
      <c r="EF215" s="182">
        <f t="shared" si="342"/>
        <v>0</v>
      </c>
      <c r="EG215" s="182">
        <f t="shared" si="342"/>
        <v>0</v>
      </c>
      <c r="EH215" s="182">
        <f t="shared" si="342"/>
        <v>0</v>
      </c>
      <c r="EI215" s="182">
        <f t="shared" si="342"/>
        <v>0</v>
      </c>
      <c r="EJ215" s="182">
        <f t="shared" si="342"/>
        <v>0</v>
      </c>
      <c r="FY215" s="213">
        <v>210</v>
      </c>
      <c r="FZ215">
        <v>0.58716112056924263</v>
      </c>
      <c r="GA215">
        <v>13.274572498706087</v>
      </c>
      <c r="GB215">
        <v>6.6294726072668766</v>
      </c>
      <c r="GC215">
        <v>1.6119124332079018</v>
      </c>
      <c r="GD215">
        <v>2.4584050911531974</v>
      </c>
      <c r="GE215">
        <v>2.7640463557565069</v>
      </c>
      <c r="GF215">
        <v>0.47734812494006024</v>
      </c>
      <c r="GG215">
        <v>5.7565971458515968</v>
      </c>
      <c r="GH215">
        <v>8.1415607890361557</v>
      </c>
      <c r="GI215">
        <v>4.653670273100353</v>
      </c>
      <c r="GJ215"/>
      <c r="GK215"/>
      <c r="GL215"/>
      <c r="GM215"/>
      <c r="GN215" s="208"/>
      <c r="GO215" s="208"/>
      <c r="GP215" s="208"/>
      <c r="GQ215" s="208"/>
      <c r="GR215" s="208"/>
      <c r="GS215" s="208"/>
      <c r="GT215" s="208"/>
      <c r="GU215" s="213">
        <v>210</v>
      </c>
    </row>
    <row r="216" spans="1:203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44.159329642049308</v>
      </c>
      <c r="AO216">
        <v>8.1668577585314601</v>
      </c>
      <c r="AP216">
        <v>355.45327789787706</v>
      </c>
      <c r="AQ216">
        <v>49.289673440803668</v>
      </c>
      <c r="AR216">
        <v>7.4786874149789018</v>
      </c>
      <c r="AS216">
        <v>107.55733930363498</v>
      </c>
      <c r="AT216" t="e">
        <v>#DIV/0!</v>
      </c>
      <c r="AU216" t="e">
        <v>#DIV/0!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44">AVERAGE(DF128:DF137)</f>
        <v>0</v>
      </c>
      <c r="DG216" s="182">
        <f t="shared" ref="DG216:DH216" si="345">AVERAGE(DG128:DG137)</f>
        <v>10.416666666666668</v>
      </c>
      <c r="DH216" s="182">
        <f t="shared" si="345"/>
        <v>96.279761904761898</v>
      </c>
      <c r="DI216" s="182">
        <f t="shared" si="344"/>
        <v>5.2083333333333339</v>
      </c>
      <c r="DJ216" s="182">
        <f t="shared" si="344"/>
        <v>0</v>
      </c>
      <c r="DK216" s="182">
        <f t="shared" si="344"/>
        <v>0</v>
      </c>
      <c r="DL216" s="182">
        <f t="shared" si="344"/>
        <v>0</v>
      </c>
      <c r="DM216" s="182">
        <f t="shared" si="344"/>
        <v>0</v>
      </c>
      <c r="DN216" s="182">
        <f t="shared" si="344"/>
        <v>0</v>
      </c>
      <c r="DO216" s="182">
        <f t="shared" si="344"/>
        <v>0</v>
      </c>
      <c r="DP216" s="182">
        <f t="shared" si="344"/>
        <v>0</v>
      </c>
      <c r="DQ216" s="182">
        <f t="shared" si="344"/>
        <v>0</v>
      </c>
      <c r="DR216" s="182">
        <f t="shared" si="344"/>
        <v>0</v>
      </c>
      <c r="DS216" s="182">
        <f t="shared" si="344"/>
        <v>0</v>
      </c>
      <c r="DT216" s="182">
        <f t="shared" si="344"/>
        <v>0</v>
      </c>
      <c r="DU216" s="182">
        <f t="shared" si="344"/>
        <v>0</v>
      </c>
      <c r="DV216" s="182">
        <f t="shared" si="344"/>
        <v>0</v>
      </c>
      <c r="DW216" s="182">
        <f t="shared" si="344"/>
        <v>0</v>
      </c>
      <c r="DX216" s="182">
        <f t="shared" si="344"/>
        <v>0</v>
      </c>
      <c r="DY216" s="182">
        <f t="shared" si="344"/>
        <v>0</v>
      </c>
      <c r="DZ216" s="182">
        <f t="shared" si="344"/>
        <v>0</v>
      </c>
      <c r="EA216" s="182">
        <f t="shared" si="344"/>
        <v>0</v>
      </c>
      <c r="EB216" s="182">
        <f t="shared" si="344"/>
        <v>0</v>
      </c>
      <c r="EC216" s="182">
        <f t="shared" si="344"/>
        <v>0</v>
      </c>
      <c r="ED216" s="182">
        <f t="shared" si="344"/>
        <v>0</v>
      </c>
      <c r="EE216" s="182">
        <f t="shared" si="344"/>
        <v>0</v>
      </c>
      <c r="EF216" s="182">
        <f t="shared" si="344"/>
        <v>0</v>
      </c>
      <c r="EG216" s="182">
        <f t="shared" si="344"/>
        <v>0</v>
      </c>
      <c r="EH216" s="182">
        <f t="shared" si="344"/>
        <v>0</v>
      </c>
      <c r="EI216" s="182">
        <f t="shared" si="344"/>
        <v>0</v>
      </c>
      <c r="EJ216" s="182">
        <f t="shared" si="344"/>
        <v>0</v>
      </c>
      <c r="FY216" s="213">
        <v>211</v>
      </c>
      <c r="FZ216">
        <v>0</v>
      </c>
      <c r="GA216">
        <v>19.431659878721895</v>
      </c>
      <c r="GB216">
        <v>9.6132270133833053</v>
      </c>
      <c r="GC216">
        <v>1.3046112442220796</v>
      </c>
      <c r="GD216">
        <v>3.9224695964741447</v>
      </c>
      <c r="GE216">
        <v>5.9194895424481562</v>
      </c>
      <c r="GF216">
        <v>0</v>
      </c>
      <c r="GG216">
        <v>2.7968114166788669</v>
      </c>
      <c r="GH216">
        <v>3.9121065035664904</v>
      </c>
      <c r="GI216">
        <v>5.4534720857986319</v>
      </c>
      <c r="GJ216"/>
      <c r="GK216"/>
      <c r="GL216"/>
      <c r="GM216"/>
      <c r="GN216" s="208"/>
      <c r="GO216" s="208"/>
      <c r="GP216" s="208"/>
      <c r="GQ216" s="208"/>
      <c r="GR216" s="208"/>
      <c r="GS216" s="208"/>
      <c r="GT216" s="208"/>
      <c r="GU216" s="213">
        <v>211</v>
      </c>
    </row>
    <row r="217" spans="1:203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11.072916666666664</v>
      </c>
      <c r="AO217">
        <v>4.677320355077244</v>
      </c>
      <c r="AP217">
        <v>94.993754620781303</v>
      </c>
      <c r="AQ217">
        <v>35.303231496767125</v>
      </c>
      <c r="AR217">
        <v>4.3063806845659789</v>
      </c>
      <c r="AS217">
        <v>55.574429688250873</v>
      </c>
      <c r="AT217" t="e">
        <v>#DIV/0!</v>
      </c>
      <c r="AU217" t="e">
        <v>#DIV/0!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46">AVERAGE(DF138:DF147)</f>
        <v>2.083333333333333</v>
      </c>
      <c r="DG217" s="182">
        <f t="shared" ref="DG217:DH217" si="347">AVERAGE(DG138:DG147)</f>
        <v>2.083333333333333</v>
      </c>
      <c r="DH217" s="182">
        <f t="shared" si="347"/>
        <v>44.791666666666664</v>
      </c>
      <c r="DI217" s="182">
        <f t="shared" si="346"/>
        <v>8.3333333333333321</v>
      </c>
      <c r="DJ217" s="182">
        <f t="shared" si="346"/>
        <v>0</v>
      </c>
      <c r="DK217" s="182">
        <f t="shared" si="346"/>
        <v>2.083333333333333</v>
      </c>
      <c r="DL217" s="182">
        <f t="shared" si="346"/>
        <v>1.0416666666666665</v>
      </c>
      <c r="DM217" s="182">
        <f t="shared" si="346"/>
        <v>1.0416666666666665</v>
      </c>
      <c r="DN217" s="182">
        <f t="shared" si="346"/>
        <v>0</v>
      </c>
      <c r="DO217" s="182">
        <f t="shared" si="346"/>
        <v>0</v>
      </c>
      <c r="DP217" s="182">
        <f t="shared" si="346"/>
        <v>0</v>
      </c>
      <c r="DQ217" s="182">
        <f t="shared" si="346"/>
        <v>0</v>
      </c>
      <c r="DR217" s="182">
        <f t="shared" si="346"/>
        <v>0</v>
      </c>
      <c r="DS217" s="182">
        <f t="shared" si="346"/>
        <v>0</v>
      </c>
      <c r="DT217" s="182">
        <f t="shared" si="346"/>
        <v>0</v>
      </c>
      <c r="DU217" s="182">
        <f t="shared" si="346"/>
        <v>0</v>
      </c>
      <c r="DV217" s="182">
        <f t="shared" si="346"/>
        <v>0</v>
      </c>
      <c r="DW217" s="182">
        <f t="shared" si="346"/>
        <v>0</v>
      </c>
      <c r="DX217" s="182">
        <f t="shared" si="346"/>
        <v>0</v>
      </c>
      <c r="DY217" s="182">
        <f t="shared" si="346"/>
        <v>0</v>
      </c>
      <c r="DZ217" s="182">
        <f t="shared" si="346"/>
        <v>0</v>
      </c>
      <c r="EA217" s="182">
        <f t="shared" si="346"/>
        <v>0</v>
      </c>
      <c r="EB217" s="182">
        <f t="shared" si="346"/>
        <v>0</v>
      </c>
      <c r="EC217" s="182">
        <f t="shared" si="346"/>
        <v>0</v>
      </c>
      <c r="ED217" s="182">
        <f t="shared" si="346"/>
        <v>0</v>
      </c>
      <c r="EE217" s="182">
        <f t="shared" si="346"/>
        <v>0</v>
      </c>
      <c r="EF217" s="182">
        <f t="shared" si="346"/>
        <v>0</v>
      </c>
      <c r="EG217" s="182">
        <f t="shared" si="346"/>
        <v>0</v>
      </c>
      <c r="EH217" s="182">
        <f t="shared" si="346"/>
        <v>0</v>
      </c>
      <c r="EI217" s="182">
        <f t="shared" si="346"/>
        <v>0</v>
      </c>
      <c r="EJ217" s="182">
        <f t="shared" si="346"/>
        <v>0</v>
      </c>
      <c r="FY217" s="213">
        <v>212</v>
      </c>
      <c r="FZ217">
        <v>2.1834373233262436</v>
      </c>
      <c r="GA217">
        <v>20.348112864227719</v>
      </c>
      <c r="GB217">
        <v>9.1294655319792106</v>
      </c>
      <c r="GC217">
        <v>0.76484717516258116</v>
      </c>
      <c r="GD217">
        <v>1.8738717906412712</v>
      </c>
      <c r="GE217">
        <v>2.6032598702613483</v>
      </c>
      <c r="GF217">
        <v>0</v>
      </c>
      <c r="GG217">
        <v>5.6498583892175525</v>
      </c>
      <c r="GH217">
        <v>8.0009783665119993</v>
      </c>
      <c r="GI217">
        <v>5.0323421782847575</v>
      </c>
      <c r="GJ217"/>
      <c r="GK217"/>
      <c r="GL217"/>
      <c r="GM217"/>
      <c r="GN217" s="208"/>
      <c r="GO217" s="208"/>
      <c r="GP217" s="208"/>
      <c r="GQ217" s="208"/>
      <c r="GR217" s="208"/>
      <c r="GS217" s="208"/>
      <c r="GT217" s="208"/>
      <c r="GU217" s="213">
        <v>212</v>
      </c>
    </row>
    <row r="218" spans="1:203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28.224805832525504</v>
      </c>
      <c r="AO218">
        <v>6.0748669523154586</v>
      </c>
      <c r="AP218">
        <v>303.32700608649293</v>
      </c>
      <c r="AQ218">
        <v>40.995849829777249</v>
      </c>
      <c r="AR218">
        <v>5.5226063202867808</v>
      </c>
      <c r="AS218">
        <v>75.665466486553257</v>
      </c>
      <c r="AT218" t="e">
        <v>#DIV/0!</v>
      </c>
      <c r="AU218" t="e">
        <v>#DIV/0!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48">AVERAGE(DF148:DF157)</f>
        <v>0</v>
      </c>
      <c r="DG218" s="182">
        <f t="shared" ref="DG218:DH218" si="349">AVERAGE(DG148:DG157)</f>
        <v>0</v>
      </c>
      <c r="DH218" s="182">
        <f t="shared" si="349"/>
        <v>0</v>
      </c>
      <c r="DI218" s="182">
        <f t="shared" si="348"/>
        <v>0</v>
      </c>
      <c r="DJ218" s="182">
        <f t="shared" si="348"/>
        <v>0</v>
      </c>
      <c r="DK218" s="182">
        <f t="shared" si="348"/>
        <v>0</v>
      </c>
      <c r="DL218" s="182">
        <f t="shared" si="348"/>
        <v>1.0416666666666665</v>
      </c>
      <c r="DM218" s="182">
        <f t="shared" si="348"/>
        <v>0</v>
      </c>
      <c r="DN218" s="182">
        <f t="shared" si="348"/>
        <v>0</v>
      </c>
      <c r="DO218" s="182">
        <f t="shared" si="348"/>
        <v>0</v>
      </c>
      <c r="DP218" s="182">
        <f t="shared" si="348"/>
        <v>0</v>
      </c>
      <c r="DQ218" s="182">
        <f t="shared" si="348"/>
        <v>0</v>
      </c>
      <c r="DR218" s="182">
        <f t="shared" si="348"/>
        <v>0</v>
      </c>
      <c r="DS218" s="182">
        <f t="shared" si="348"/>
        <v>0</v>
      </c>
      <c r="DT218" s="182">
        <f t="shared" si="348"/>
        <v>0</v>
      </c>
      <c r="DU218" s="182">
        <f t="shared" si="348"/>
        <v>0</v>
      </c>
      <c r="DV218" s="182">
        <f t="shared" si="348"/>
        <v>0</v>
      </c>
      <c r="DW218" s="182">
        <f t="shared" si="348"/>
        <v>0</v>
      </c>
      <c r="DX218" s="182">
        <f t="shared" si="348"/>
        <v>0</v>
      </c>
      <c r="DY218" s="182">
        <f t="shared" si="348"/>
        <v>0</v>
      </c>
      <c r="DZ218" s="182">
        <f t="shared" si="348"/>
        <v>0</v>
      </c>
      <c r="EA218" s="182">
        <f t="shared" si="348"/>
        <v>0</v>
      </c>
      <c r="EB218" s="182">
        <f t="shared" si="348"/>
        <v>0</v>
      </c>
      <c r="EC218" s="182">
        <f t="shared" si="348"/>
        <v>0</v>
      </c>
      <c r="ED218" s="182">
        <f t="shared" si="348"/>
        <v>0</v>
      </c>
      <c r="EE218" s="182">
        <f t="shared" si="348"/>
        <v>0</v>
      </c>
      <c r="EF218" s="182">
        <f t="shared" si="348"/>
        <v>0</v>
      </c>
      <c r="EG218" s="182">
        <f t="shared" si="348"/>
        <v>0</v>
      </c>
      <c r="EH218" s="182">
        <f t="shared" si="348"/>
        <v>0</v>
      </c>
      <c r="EI218" s="182">
        <f t="shared" si="348"/>
        <v>0</v>
      </c>
      <c r="EJ218" s="182">
        <f t="shared" si="348"/>
        <v>0</v>
      </c>
      <c r="FY218" s="213">
        <v>213</v>
      </c>
      <c r="FZ218">
        <v>1.1743222411384853</v>
      </c>
      <c r="GA218">
        <v>17.484026866874689</v>
      </c>
      <c r="GB218">
        <v>8.7647909490806448</v>
      </c>
      <c r="GC218">
        <v>0.68735954847135594</v>
      </c>
      <c r="GD218">
        <v>1.5795293098575314</v>
      </c>
      <c r="GE218">
        <v>3.0142027491182208</v>
      </c>
      <c r="GF218">
        <v>1.432044374820181</v>
      </c>
      <c r="GG218">
        <v>3.4648713879457071</v>
      </c>
      <c r="GH218">
        <v>4.8970170936990343</v>
      </c>
      <c r="GI218">
        <v>4.4923261702606476</v>
      </c>
      <c r="GJ218"/>
      <c r="GK218"/>
      <c r="GL218"/>
      <c r="GM218"/>
      <c r="GN218" s="208"/>
      <c r="GO218" s="208"/>
      <c r="GP218" s="208"/>
      <c r="GQ218" s="208"/>
      <c r="GR218" s="208"/>
      <c r="GS218" s="208"/>
      <c r="GT218" s="208"/>
      <c r="GU218" s="213">
        <v>213</v>
      </c>
    </row>
    <row r="219" spans="1:203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36.418172690763058</v>
      </c>
      <c r="AO219">
        <v>9.9671313758079894</v>
      </c>
      <c r="AP219">
        <v>289.42798384373828</v>
      </c>
      <c r="AQ219">
        <v>59.825292439338966</v>
      </c>
      <c r="AR219">
        <v>9.0610285234618075</v>
      </c>
      <c r="AS219">
        <v>101.4728066426549</v>
      </c>
      <c r="AT219" t="e">
        <v>#DIV/0!</v>
      </c>
      <c r="AU219" t="e">
        <v>#DIV/0!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50">AVERAGE(DF158:DF167)</f>
        <v>0</v>
      </c>
      <c r="DG219" s="182">
        <f t="shared" si="350"/>
        <v>0</v>
      </c>
      <c r="DH219" s="182">
        <f t="shared" si="350"/>
        <v>0</v>
      </c>
      <c r="DI219" s="182">
        <f t="shared" ref="DI219" si="351">AVERAGE(DI158:DI167)</f>
        <v>0</v>
      </c>
      <c r="DJ219" s="182">
        <f t="shared" si="350"/>
        <v>0</v>
      </c>
      <c r="DK219" s="182">
        <f t="shared" si="350"/>
        <v>0</v>
      </c>
      <c r="DL219" s="182">
        <f t="shared" si="350"/>
        <v>0</v>
      </c>
      <c r="DM219" s="182">
        <f t="shared" si="350"/>
        <v>0</v>
      </c>
      <c r="DN219" s="182">
        <f t="shared" si="350"/>
        <v>0</v>
      </c>
      <c r="DO219" s="182">
        <f t="shared" si="350"/>
        <v>0</v>
      </c>
      <c r="DP219" s="182">
        <f t="shared" si="350"/>
        <v>0</v>
      </c>
      <c r="DQ219" s="182">
        <f t="shared" si="350"/>
        <v>0</v>
      </c>
      <c r="DR219" s="182">
        <f t="shared" si="350"/>
        <v>0</v>
      </c>
      <c r="DS219" s="182">
        <f t="shared" si="350"/>
        <v>0</v>
      </c>
      <c r="DT219" s="182">
        <f t="shared" si="350"/>
        <v>0</v>
      </c>
      <c r="DU219" s="182">
        <f t="shared" si="350"/>
        <v>0</v>
      </c>
      <c r="DV219" s="182">
        <f t="shared" si="350"/>
        <v>0</v>
      </c>
      <c r="DW219" s="182">
        <f t="shared" si="350"/>
        <v>0</v>
      </c>
      <c r="DX219" s="182">
        <f t="shared" si="350"/>
        <v>0</v>
      </c>
      <c r="DY219" s="182">
        <f t="shared" si="350"/>
        <v>0</v>
      </c>
      <c r="DZ219" s="182">
        <f t="shared" si="350"/>
        <v>0</v>
      </c>
      <c r="EA219" s="182">
        <f t="shared" si="350"/>
        <v>0</v>
      </c>
      <c r="EB219" s="182">
        <f t="shared" si="350"/>
        <v>0</v>
      </c>
      <c r="EC219" s="182">
        <f t="shared" si="350"/>
        <v>0</v>
      </c>
      <c r="ED219" s="182">
        <f t="shared" si="350"/>
        <v>0</v>
      </c>
      <c r="EE219" s="182">
        <f t="shared" si="350"/>
        <v>0</v>
      </c>
      <c r="EF219" s="182">
        <f t="shared" si="350"/>
        <v>0</v>
      </c>
      <c r="EG219" s="182">
        <f t="shared" si="350"/>
        <v>0</v>
      </c>
      <c r="EH219" s="182">
        <f t="shared" si="350"/>
        <v>0</v>
      </c>
      <c r="EI219" s="182">
        <f t="shared" si="350"/>
        <v>0</v>
      </c>
      <c r="EJ219" s="182">
        <f t="shared" si="350"/>
        <v>0</v>
      </c>
      <c r="FY219" s="213">
        <v>214</v>
      </c>
      <c r="FZ219">
        <v>1.7614833617077283</v>
      </c>
      <c r="GA219">
        <v>9.3668109381988103</v>
      </c>
      <c r="GB219">
        <v>4.6980838995779735</v>
      </c>
      <c r="GC219">
        <v>3.4362680001944192</v>
      </c>
      <c r="GD219">
        <v>4.6123344052693405</v>
      </c>
      <c r="GE219">
        <v>4.5786132267808837</v>
      </c>
      <c r="GF219">
        <v>0.95469624988012047</v>
      </c>
      <c r="GG219">
        <v>5.5936228333577338</v>
      </c>
      <c r="GH219">
        <v>7.8242130071329807</v>
      </c>
      <c r="GI219">
        <v>5.6071397205109621</v>
      </c>
      <c r="GJ219"/>
      <c r="GK219"/>
      <c r="GL219"/>
      <c r="GM219"/>
      <c r="GN219" s="208"/>
      <c r="GO219" s="208"/>
      <c r="GP219" s="208"/>
      <c r="GQ219" s="208"/>
      <c r="GR219" s="208"/>
      <c r="GS219" s="208"/>
      <c r="GT219" s="208"/>
      <c r="GU219" s="213">
        <v>214</v>
      </c>
    </row>
    <row r="220" spans="1:203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22.157259580192694</v>
      </c>
      <c r="AO220">
        <v>6.1823009764549166</v>
      </c>
      <c r="AP220">
        <v>117.84407406548708</v>
      </c>
      <c r="AQ220">
        <v>43.97011083880092</v>
      </c>
      <c r="AR220">
        <v>5.8373586983965877</v>
      </c>
      <c r="AS220">
        <v>73.938646098245101</v>
      </c>
      <c r="AT220" t="e">
        <v>#DIV/0!</v>
      </c>
      <c r="AU220" t="e">
        <v>#DIV/0!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52">AVERAGE(DF168:DF177)</f>
        <v>0</v>
      </c>
      <c r="DG220" s="182">
        <f t="shared" si="352"/>
        <v>0</v>
      </c>
      <c r="DH220" s="182">
        <f t="shared" si="352"/>
        <v>11.107071966025018</v>
      </c>
      <c r="DI220" s="182">
        <f t="shared" ref="DI220" si="353">AVERAGE(DI168:DI177)</f>
        <v>5.9865900383141755</v>
      </c>
      <c r="DJ220" s="182">
        <f t="shared" si="352"/>
        <v>0</v>
      </c>
      <c r="DK220" s="182">
        <f t="shared" si="352"/>
        <v>1.0416666666666665</v>
      </c>
      <c r="DL220" s="182">
        <f t="shared" si="352"/>
        <v>2.083333333333333</v>
      </c>
      <c r="DM220" s="182">
        <f t="shared" si="352"/>
        <v>1.0416666666666665</v>
      </c>
      <c r="DN220" s="182">
        <f t="shared" si="352"/>
        <v>2.083333333333333</v>
      </c>
      <c r="DO220" s="182">
        <f t="shared" si="352"/>
        <v>0</v>
      </c>
      <c r="DP220" s="182">
        <f t="shared" si="352"/>
        <v>0</v>
      </c>
      <c r="DQ220" s="182">
        <f t="shared" si="352"/>
        <v>0</v>
      </c>
      <c r="DR220" s="182">
        <f t="shared" si="352"/>
        <v>0</v>
      </c>
      <c r="DS220" s="182">
        <f t="shared" si="352"/>
        <v>0</v>
      </c>
      <c r="DT220" s="182">
        <f t="shared" si="352"/>
        <v>0</v>
      </c>
      <c r="DU220" s="182">
        <f t="shared" si="352"/>
        <v>0</v>
      </c>
      <c r="DV220" s="182">
        <f t="shared" si="352"/>
        <v>0</v>
      </c>
      <c r="DW220" s="182">
        <f t="shared" si="352"/>
        <v>0</v>
      </c>
      <c r="DX220" s="182">
        <f t="shared" si="352"/>
        <v>0</v>
      </c>
      <c r="DY220" s="182">
        <f t="shared" si="352"/>
        <v>0</v>
      </c>
      <c r="DZ220" s="182">
        <f t="shared" si="352"/>
        <v>0</v>
      </c>
      <c r="EA220" s="182">
        <f t="shared" si="352"/>
        <v>0</v>
      </c>
      <c r="EB220" s="182">
        <f t="shared" si="352"/>
        <v>0</v>
      </c>
      <c r="EC220" s="182">
        <f t="shared" si="352"/>
        <v>0</v>
      </c>
      <c r="ED220" s="182">
        <f t="shared" si="352"/>
        <v>0</v>
      </c>
      <c r="EE220" s="182">
        <f t="shared" si="352"/>
        <v>0</v>
      </c>
      <c r="EF220" s="182">
        <f t="shared" si="352"/>
        <v>0</v>
      </c>
      <c r="EG220" s="182">
        <f t="shared" si="352"/>
        <v>0</v>
      </c>
      <c r="EH220" s="182">
        <f t="shared" si="352"/>
        <v>0</v>
      </c>
      <c r="EI220" s="182">
        <f t="shared" si="352"/>
        <v>0</v>
      </c>
      <c r="EJ220" s="182">
        <f t="shared" si="352"/>
        <v>0</v>
      </c>
      <c r="FY220" s="213">
        <v>215</v>
      </c>
      <c r="FZ220">
        <v>2.1834373233262436</v>
      </c>
      <c r="GA220">
        <v>14.850544789486086</v>
      </c>
      <c r="GB220">
        <v>6.4818572385956674</v>
      </c>
      <c r="GC220">
        <v>2.0432760490460127</v>
      </c>
      <c r="GD220">
        <v>3.1559074000601979</v>
      </c>
      <c r="GE220">
        <v>4.0955787231124514</v>
      </c>
      <c r="GF220">
        <v>1.432044374820181</v>
      </c>
      <c r="GG220">
        <v>5.9431365884085166</v>
      </c>
      <c r="GH220">
        <v>8.5037385876853691</v>
      </c>
      <c r="GI220">
        <v>5.5777041131864511</v>
      </c>
      <c r="GJ220"/>
      <c r="GK220"/>
      <c r="GL220"/>
      <c r="GM220"/>
      <c r="GN220" s="208"/>
      <c r="GO220" s="208"/>
      <c r="GP220" s="208"/>
      <c r="GQ220" s="208"/>
      <c r="GR220" s="208"/>
      <c r="GS220" s="208"/>
      <c r="GT220" s="208"/>
      <c r="GU220" s="213">
        <v>215</v>
      </c>
    </row>
    <row r="221" spans="1:203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31.351532567049805</v>
      </c>
      <c r="AO221">
        <v>6.5517708713837974</v>
      </c>
      <c r="AP221">
        <v>149.27743368514371</v>
      </c>
      <c r="AQ221">
        <v>44.899658261836166</v>
      </c>
      <c r="AR221">
        <v>6.0104266084810263</v>
      </c>
      <c r="AS221">
        <v>80.220755079192003</v>
      </c>
      <c r="AT221" t="e">
        <v>#DIV/0!</v>
      </c>
      <c r="AU221" t="e">
        <v>#DIV/0!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54">AVERAGE(DF178:DF187)</f>
        <v>0</v>
      </c>
      <c r="DG221" s="182">
        <f t="shared" si="354"/>
        <v>0</v>
      </c>
      <c r="DH221" s="182">
        <f t="shared" si="354"/>
        <v>0</v>
      </c>
      <c r="DI221" s="182">
        <f t="shared" si="354"/>
        <v>0</v>
      </c>
      <c r="DJ221" s="182">
        <f t="shared" si="354"/>
        <v>0</v>
      </c>
      <c r="DK221" s="182">
        <f t="shared" si="354"/>
        <v>0</v>
      </c>
      <c r="DL221" s="182">
        <f t="shared" si="354"/>
        <v>0</v>
      </c>
      <c r="DM221" s="182">
        <f t="shared" si="354"/>
        <v>0</v>
      </c>
      <c r="DN221" s="182">
        <f t="shared" si="354"/>
        <v>0</v>
      </c>
      <c r="DO221" s="182">
        <f t="shared" si="354"/>
        <v>0</v>
      </c>
      <c r="DP221" s="182">
        <f t="shared" si="354"/>
        <v>0</v>
      </c>
      <c r="DQ221" s="182">
        <f t="shared" si="354"/>
        <v>0</v>
      </c>
      <c r="DR221" s="182">
        <f t="shared" si="354"/>
        <v>0</v>
      </c>
      <c r="DS221" s="182">
        <f t="shared" si="354"/>
        <v>0</v>
      </c>
      <c r="DT221" s="182">
        <f t="shared" si="354"/>
        <v>0</v>
      </c>
      <c r="DU221" s="182">
        <f t="shared" si="354"/>
        <v>0</v>
      </c>
      <c r="DV221" s="182">
        <f t="shared" si="354"/>
        <v>0</v>
      </c>
      <c r="DW221" s="182">
        <f t="shared" si="354"/>
        <v>0</v>
      </c>
      <c r="DX221" s="182">
        <f t="shared" si="354"/>
        <v>0</v>
      </c>
      <c r="DY221" s="182">
        <f t="shared" si="354"/>
        <v>0</v>
      </c>
      <c r="DZ221" s="182">
        <f t="shared" si="354"/>
        <v>0</v>
      </c>
      <c r="EA221" s="182">
        <f t="shared" si="354"/>
        <v>0</v>
      </c>
      <c r="EB221" s="182">
        <f t="shared" si="354"/>
        <v>0</v>
      </c>
      <c r="EC221" s="182">
        <f t="shared" si="354"/>
        <v>0</v>
      </c>
      <c r="ED221" s="182">
        <f t="shared" si="354"/>
        <v>0</v>
      </c>
      <c r="EE221" s="182">
        <f t="shared" si="354"/>
        <v>0</v>
      </c>
      <c r="EF221" s="182">
        <f t="shared" si="354"/>
        <v>0</v>
      </c>
      <c r="EG221" s="182">
        <f t="shared" si="354"/>
        <v>0</v>
      </c>
      <c r="EH221" s="182">
        <f t="shared" si="354"/>
        <v>0</v>
      </c>
      <c r="EI221" s="182">
        <f t="shared" si="354"/>
        <v>0</v>
      </c>
      <c r="EJ221" s="182">
        <f t="shared" si="354"/>
        <v>0</v>
      </c>
      <c r="FY221" s="213">
        <v>216</v>
      </c>
      <c r="FZ221">
        <v>3.7797135260832437</v>
      </c>
      <c r="GA221">
        <v>16.310228284218606</v>
      </c>
      <c r="GB221">
        <v>6.273591109166909</v>
      </c>
      <c r="GC221">
        <v>2.7562882256936567</v>
      </c>
      <c r="GD221">
        <v>2.470838110706477</v>
      </c>
      <c r="GE221">
        <v>1.5896409357322692</v>
      </c>
      <c r="GF221">
        <v>1.432044374820181</v>
      </c>
      <c r="GG221">
        <v>3.3598026849977378</v>
      </c>
      <c r="GH221">
        <v>4.872796929167186</v>
      </c>
      <c r="GI221">
        <v>4.651125939932701</v>
      </c>
      <c r="GJ221"/>
      <c r="GK221"/>
      <c r="GL221"/>
      <c r="GM221"/>
      <c r="GN221" s="208"/>
      <c r="GO221" s="208"/>
      <c r="GP221" s="208"/>
      <c r="GQ221" s="208"/>
      <c r="GR221" s="208"/>
      <c r="GS221" s="208"/>
      <c r="GT221" s="208"/>
      <c r="GU221" s="213">
        <v>216</v>
      </c>
    </row>
    <row r="222" spans="1:203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26.232178714859437</v>
      </c>
      <c r="AO222">
        <v>6.0797482121924062</v>
      </c>
      <c r="AP222">
        <v>135.21151385700233</v>
      </c>
      <c r="AQ222">
        <v>40.743209492272356</v>
      </c>
      <c r="AR222">
        <v>5.6355863709846101</v>
      </c>
      <c r="AS222">
        <v>68.547226378488034</v>
      </c>
      <c r="AT222" t="e">
        <v>#DIV/0!</v>
      </c>
      <c r="AU222" t="e">
        <v>#DIV/0!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>
        <v>40011</v>
      </c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3">
        <v>217</v>
      </c>
      <c r="FZ222">
        <v>1.7614833617077283</v>
      </c>
      <c r="GA222">
        <v>19.869742392028183</v>
      </c>
      <c r="GB222">
        <v>9.8858011214971029</v>
      </c>
      <c r="GC222">
        <v>0.61725169575072358</v>
      </c>
      <c r="GD222">
        <v>1.500720358838499</v>
      </c>
      <c r="GE222">
        <v>2.0816818641205512</v>
      </c>
      <c r="GF222">
        <v>0</v>
      </c>
      <c r="GG222">
        <v>5.2498414333925441</v>
      </c>
      <c r="GH222">
        <v>7.3576357228144769</v>
      </c>
      <c r="GI222">
        <v>4.8803351861050501</v>
      </c>
      <c r="GJ222"/>
      <c r="GK222"/>
      <c r="GL222"/>
      <c r="GM222"/>
      <c r="GN222" s="208"/>
      <c r="GO222" s="208"/>
      <c r="GP222" s="208"/>
      <c r="GQ222" s="208"/>
      <c r="GR222" s="208"/>
      <c r="GS222" s="208"/>
      <c r="GT222" s="208"/>
      <c r="GU222" s="213">
        <v>217</v>
      </c>
    </row>
    <row r="223" spans="1:203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19.828219487143976</v>
      </c>
      <c r="AO223">
        <v>6.1939936909620625</v>
      </c>
      <c r="AP223">
        <v>163.15549329839882</v>
      </c>
      <c r="AQ223">
        <v>42.719507974489112</v>
      </c>
      <c r="AR223">
        <v>5.6851746262794505</v>
      </c>
      <c r="AS223">
        <v>59.292641042545434</v>
      </c>
      <c r="AT223" t="e">
        <v>#DIV/0!</v>
      </c>
      <c r="AU223" t="e">
        <v>#DIV/0!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3">
        <v>218</v>
      </c>
      <c r="FZ223">
        <v>4.7888286082710039</v>
      </c>
      <c r="GA223">
        <v>22.165403770232015</v>
      </c>
      <c r="GB223">
        <v>8.1553641073819918</v>
      </c>
      <c r="GC223">
        <v>1.2527762457071427</v>
      </c>
      <c r="GD223">
        <v>2.0899183232675163</v>
      </c>
      <c r="GE223">
        <v>2.2813493756795529</v>
      </c>
      <c r="GF223">
        <v>0</v>
      </c>
      <c r="GG223">
        <v>1.5731625858648244</v>
      </c>
      <c r="GH223">
        <v>2.295816042059438</v>
      </c>
      <c r="GI223">
        <v>4.3690959989451548</v>
      </c>
      <c r="GJ223"/>
      <c r="GK223"/>
      <c r="GL223"/>
      <c r="GM223"/>
      <c r="GN223" s="208"/>
      <c r="GO223" s="208"/>
      <c r="GP223" s="208"/>
      <c r="GQ223" s="208"/>
      <c r="GR223" s="208"/>
      <c r="GS223" s="208"/>
      <c r="GT223" s="208"/>
      <c r="GU223" s="213">
        <v>218</v>
      </c>
    </row>
    <row r="224" spans="1:203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25.198669678714857</v>
      </c>
      <c r="AO224">
        <v>7.3335095667348709</v>
      </c>
      <c r="AP224">
        <v>160.22126876303741</v>
      </c>
      <c r="AQ224">
        <v>52.055058160117262</v>
      </c>
      <c r="AR224">
        <v>6.666826878849883</v>
      </c>
      <c r="AS224">
        <v>63.218137445498392</v>
      </c>
      <c r="AT224" t="e">
        <v>#DIV/0!</v>
      </c>
      <c r="AU224" t="e">
        <v>#DIV/0!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3">
        <v>219</v>
      </c>
      <c r="FZ224">
        <v>3.7797135260832437</v>
      </c>
      <c r="GA224">
        <v>19.786562286956546</v>
      </c>
      <c r="GB224">
        <v>7.9887199741956767</v>
      </c>
      <c r="GC224">
        <v>1.7285950860895976</v>
      </c>
      <c r="GD224">
        <v>4.3744893102298006</v>
      </c>
      <c r="GE224">
        <v>6.4765560375959605</v>
      </c>
      <c r="GF224">
        <v>0.47734812494006024</v>
      </c>
      <c r="GG224">
        <v>4.5817814621257051</v>
      </c>
      <c r="GH224">
        <v>6.3727251326819321</v>
      </c>
      <c r="GI224">
        <v>6.4580143011647557</v>
      </c>
      <c r="GJ224"/>
      <c r="GK224"/>
      <c r="GL224"/>
      <c r="GM224"/>
      <c r="GN224" s="208"/>
      <c r="GO224" s="208"/>
      <c r="GP224" s="208"/>
      <c r="GQ224" s="208"/>
      <c r="GR224" s="208"/>
      <c r="GS224" s="208"/>
      <c r="GT224" s="208"/>
      <c r="GU224" s="213">
        <v>219</v>
      </c>
    </row>
    <row r="225" spans="1:203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39.167676246859358</v>
      </c>
      <c r="AO225">
        <v>7.6744385500349734</v>
      </c>
      <c r="AP225">
        <v>166.10725049971609</v>
      </c>
      <c r="AQ225">
        <v>51.761867853304267</v>
      </c>
      <c r="AR225">
        <v>6.9767623182136118</v>
      </c>
      <c r="AS225">
        <v>96.477854305755287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0.38206974685012912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3">
        <v>220</v>
      </c>
      <c r="FZ225">
        <v>2.1834373233262436</v>
      </c>
      <c r="GA225">
        <v>14.924145849642571</v>
      </c>
      <c r="GB225">
        <v>6.5659006026477797</v>
      </c>
      <c r="GC225">
        <v>1.8626481674872735</v>
      </c>
      <c r="GD225">
        <v>1.6250946966858368</v>
      </c>
      <c r="GE225">
        <v>0.97504746639321449</v>
      </c>
      <c r="GF225">
        <v>0.95469624988012047</v>
      </c>
      <c r="GG225">
        <v>4.2885032629347419</v>
      </c>
      <c r="GH225">
        <v>5.8699649115085659</v>
      </c>
      <c r="GI225">
        <v>4.0303030080570696</v>
      </c>
      <c r="GJ225"/>
      <c r="GK225"/>
      <c r="GL225"/>
      <c r="GM225"/>
      <c r="GN225" s="208"/>
      <c r="GO225" s="208"/>
      <c r="GP225" s="208"/>
      <c r="GQ225" s="208"/>
      <c r="GR225" s="208"/>
      <c r="GS225" s="208"/>
      <c r="GT225" s="208"/>
      <c r="GU225" s="213">
        <v>220</v>
      </c>
    </row>
    <row r="226" spans="1:203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33.617662975382636</v>
      </c>
      <c r="AO226">
        <v>7.3054039403839841</v>
      </c>
      <c r="AP226">
        <v>364.21620682388743</v>
      </c>
      <c r="AQ226">
        <v>46.354746439587977</v>
      </c>
      <c r="AR226">
        <v>6.6955475802993787</v>
      </c>
      <c r="AS226">
        <v>87.28971672635214</v>
      </c>
      <c r="AT226" t="e">
        <v>#DIV/0!</v>
      </c>
      <c r="AU226" t="e">
        <v>#DIV/0!</v>
      </c>
      <c r="AV226"/>
      <c r="AW226"/>
      <c r="DE226" s="187">
        <f>DE101</f>
        <v>39673</v>
      </c>
      <c r="DF226" s="205"/>
      <c r="DG226" s="205">
        <f t="shared" ref="DG226:DG235" si="355">((DG213*$H$372)+(DH213*$I$372)+(DI213*$J$372)+(DJ213*$K$372)+(DK213*$L$372)+(DL213*$M$372)+(DM213*$N$372)+(DN213*$O$372)+(DO213*$P$372)+(DP213*$Q$372)+(DQ213*$R$372)+(DR213*$S$372)+(DS213*$T$372)+(DT213*$U$372))/SUM(DG213:DT213)</f>
        <v>0.5259017313444162</v>
      </c>
      <c r="DH226" s="205">
        <f>(LN(DG226/DG225))/(DE213-DE212)</f>
        <v>1.1833748052870831E-2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3">
        <v>221</v>
      </c>
      <c r="FZ226">
        <v>1.596276202757001</v>
      </c>
      <c r="GA226">
        <v>17.34109150481077</v>
      </c>
      <c r="GB226">
        <v>7.7000676986422896</v>
      </c>
      <c r="GC226">
        <v>0.86060765605950218</v>
      </c>
      <c r="GD226">
        <v>1.9471709825891312</v>
      </c>
      <c r="GE226">
        <v>2.8959428450186073</v>
      </c>
      <c r="GF226">
        <v>0.47734812494006024</v>
      </c>
      <c r="GG226">
        <v>7.5904003383865852</v>
      </c>
      <c r="GH226">
        <v>10.449634223304427</v>
      </c>
      <c r="GI226">
        <v>5.0827044533945553</v>
      </c>
      <c r="GJ226"/>
      <c r="GK226"/>
      <c r="GL226"/>
      <c r="GM226"/>
      <c r="GN226" s="208"/>
      <c r="GO226" s="208"/>
      <c r="GP226" s="208"/>
      <c r="GQ226" s="208"/>
      <c r="GR226" s="208"/>
      <c r="GS226" s="208"/>
      <c r="GT226" s="208"/>
      <c r="GU226" s="213">
        <v>221</v>
      </c>
    </row>
    <row r="227" spans="1:203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39.922790093048711</v>
      </c>
      <c r="AO227">
        <v>8.5163511109880563</v>
      </c>
      <c r="AP227">
        <v>346.74348169272002</v>
      </c>
      <c r="AQ227">
        <v>52.353847281293568</v>
      </c>
      <c r="AR227">
        <v>7.7421373736255061</v>
      </c>
      <c r="AS227">
        <v>109.31961326322268</v>
      </c>
      <c r="AT227" t="e">
        <v>#DIV/0!</v>
      </c>
      <c r="AU227" t="e">
        <v>#DIV/0!</v>
      </c>
      <c r="AV227"/>
      <c r="AW227"/>
      <c r="DE227" s="187">
        <f>DE111</f>
        <v>39714</v>
      </c>
      <c r="DF227" s="205"/>
      <c r="DG227" s="205">
        <f t="shared" si="355"/>
        <v>0.41784748914450481</v>
      </c>
      <c r="DH227" s="205">
        <f t="shared" ref="DH227:DH234" si="356">(LN(DG227/DG226))/(DE214-DE213)</f>
        <v>-5.6097040317889049E-3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3">
        <v>222</v>
      </c>
      <c r="FZ227">
        <v>2.1834373233262436</v>
      </c>
      <c r="GA227">
        <v>13.285811018241301</v>
      </c>
      <c r="GB227">
        <v>5.6948713066177827</v>
      </c>
      <c r="GC227">
        <v>0.86060765605950218</v>
      </c>
      <c r="GD227">
        <v>0.72866886409396692</v>
      </c>
      <c r="GE227">
        <v>0.42822501935106161</v>
      </c>
      <c r="GF227">
        <v>0.47734812494006024</v>
      </c>
      <c r="GG227">
        <v>1.7849700454468378</v>
      </c>
      <c r="GH227">
        <v>2.4606186291154417</v>
      </c>
      <c r="GI227">
        <v>2.6696859161876825</v>
      </c>
      <c r="GJ227"/>
      <c r="GK227"/>
      <c r="GL227"/>
      <c r="GM227"/>
      <c r="GN227" s="208"/>
      <c r="GO227" s="208"/>
      <c r="GP227" s="208"/>
      <c r="GQ227" s="208"/>
      <c r="GR227" s="208"/>
      <c r="GS227" s="208"/>
      <c r="GT227" s="208"/>
      <c r="GU227" s="213">
        <v>222</v>
      </c>
    </row>
    <row r="228" spans="1:203" s="7" customFormat="1">
      <c r="A228" s="9" t="s">
        <v>60</v>
      </c>
      <c r="B228">
        <v>0.99581797120830129</v>
      </c>
      <c r="C228">
        <v>4</v>
      </c>
      <c r="D228">
        <v>39646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31.106493296667782</v>
      </c>
      <c r="AO228">
        <v>7.9169062074360594</v>
      </c>
      <c r="AP228">
        <v>166.20675139058022</v>
      </c>
      <c r="AQ228">
        <v>55.586173489612683</v>
      </c>
      <c r="AR228">
        <v>7.2514587321649007</v>
      </c>
      <c r="AS228">
        <v>81.363384644407702</v>
      </c>
      <c r="AT228" t="e">
        <v>#DIV/0!</v>
      </c>
      <c r="AU228" t="e">
        <v>#DIV/0!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 t="e">
        <f t="shared" si="355"/>
        <v>#DIV/0!</v>
      </c>
      <c r="DH228" s="205" t="e">
        <f t="shared" si="356"/>
        <v>#DIV/0!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3">
        <v>223</v>
      </c>
      <c r="FZ228">
        <v>3.192552405514002</v>
      </c>
      <c r="GA228">
        <v>9.5162084252221426</v>
      </c>
      <c r="GB228">
        <v>2.9223042737916538</v>
      </c>
      <c r="GC228">
        <v>1.0229626834125458</v>
      </c>
      <c r="GD228">
        <v>1.8459439169893832</v>
      </c>
      <c r="GE228">
        <v>2.4421358611747115</v>
      </c>
      <c r="GF228">
        <v>0.47734812494006024</v>
      </c>
      <c r="GG228">
        <v>2.3967944608538589</v>
      </c>
      <c r="GH228">
        <v>3.2687638598689679</v>
      </c>
      <c r="GI228">
        <v>2.9369952936753232</v>
      </c>
      <c r="GJ228"/>
      <c r="GK228"/>
      <c r="GL228"/>
      <c r="GM228"/>
      <c r="GN228" s="208"/>
      <c r="GO228" s="208"/>
      <c r="GP228" s="208"/>
      <c r="GQ228" s="208"/>
      <c r="GR228" s="208"/>
      <c r="GS228" s="208"/>
      <c r="GT228" s="208"/>
      <c r="GU228" s="213">
        <v>223</v>
      </c>
    </row>
    <row r="229" spans="1:203" s="7" customFormat="1">
      <c r="A229" s="90"/>
      <c r="B229">
        <v>0.84424371926706021</v>
      </c>
      <c r="C229">
        <v>4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17.831110154905335</v>
      </c>
      <c r="AO229">
        <v>6.9756193510539415</v>
      </c>
      <c r="AP229">
        <v>328.990025323346</v>
      </c>
      <c r="AQ229">
        <v>46.990490691266494</v>
      </c>
      <c r="AR229">
        <v>6.4500146790405504</v>
      </c>
      <c r="AS229">
        <v>64.040852778487135</v>
      </c>
      <c r="AT229" t="e">
        <v>#DIV/0!</v>
      </c>
      <c r="AU229" t="e">
        <v>#DIV/0!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5"/>
        <v>7.4134752561250516E-2</v>
      </c>
      <c r="DH229" s="205" t="e">
        <f t="shared" si="356"/>
        <v>#DIV/0!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3">
        <v>224</v>
      </c>
      <c r="FZ229">
        <v>2.7705984438954863</v>
      </c>
      <c r="GA229">
        <v>15.447592255021014</v>
      </c>
      <c r="GB229">
        <v>6.7391231976231216</v>
      </c>
      <c r="GC229">
        <v>1.4003717251190004</v>
      </c>
      <c r="GD229">
        <v>2.4542485080209908</v>
      </c>
      <c r="GE229">
        <v>3.0859568503383024</v>
      </c>
      <c r="GF229">
        <v>0.47734812494006024</v>
      </c>
      <c r="GG229">
        <v>2.7170107307559936</v>
      </c>
      <c r="GH229">
        <v>3.6905111274414333</v>
      </c>
      <c r="GI229">
        <v>4.2719100360170987</v>
      </c>
      <c r="GJ229"/>
      <c r="GK229"/>
      <c r="GL229"/>
      <c r="GM229"/>
      <c r="GN229" s="208"/>
      <c r="GO229" s="208"/>
      <c r="GP229" s="208"/>
      <c r="GQ229" s="208"/>
      <c r="GR229" s="208"/>
      <c r="GS229" s="208"/>
      <c r="GT229" s="208"/>
      <c r="GU229" s="213">
        <v>224</v>
      </c>
    </row>
    <row r="230" spans="1:203" s="7" customFormat="1">
      <c r="A230" s="77"/>
      <c r="B230">
        <v>0.35358570126952826</v>
      </c>
      <c r="C230">
        <v>5</v>
      </c>
      <c r="D230">
        <v>39646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54.970580186097422</v>
      </c>
      <c r="AO230">
        <v>8.5252232475798007</v>
      </c>
      <c r="AP230">
        <v>377.07872346992531</v>
      </c>
      <c r="AQ230">
        <v>48.433265642610962</v>
      </c>
      <c r="AR230">
        <v>7.9130167649234515</v>
      </c>
      <c r="AS230">
        <v>129.10980453451626</v>
      </c>
      <c r="AT230" t="e">
        <v>#DIV/0!</v>
      </c>
      <c r="AU230" t="e">
        <v>#DIV/0!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5"/>
        <v>0.17591484152258718</v>
      </c>
      <c r="DH230" s="205">
        <f t="shared" si="356"/>
        <v>3.6004816882113079E-2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3">
        <v>225</v>
      </c>
      <c r="FZ230">
        <v>3.7797135260832437</v>
      </c>
      <c r="GA230">
        <v>8.8254589899332583</v>
      </c>
      <c r="GB230">
        <v>2.5730012374807134</v>
      </c>
      <c r="GC230">
        <v>1.792540314766641</v>
      </c>
      <c r="GD230">
        <v>1.9040742554940924</v>
      </c>
      <c r="GE230">
        <v>1.0680769124232219</v>
      </c>
      <c r="GF230">
        <v>0</v>
      </c>
      <c r="GG230">
        <v>5.1447727304445756</v>
      </c>
      <c r="GH230">
        <v>7.3334155582826277</v>
      </c>
      <c r="GI230">
        <v>3.5510646337235201</v>
      </c>
      <c r="GJ230"/>
      <c r="GK230"/>
      <c r="GL230"/>
      <c r="GM230"/>
      <c r="GN230" s="208"/>
      <c r="GO230" s="208"/>
      <c r="GP230" s="208"/>
      <c r="GQ230" s="208"/>
      <c r="GR230" s="208"/>
      <c r="GS230" s="208"/>
      <c r="GT230" s="208"/>
      <c r="GU230" s="213">
        <v>225</v>
      </c>
    </row>
    <row r="231" spans="1:203" s="7" customFormat="1">
      <c r="A231" s="77"/>
      <c r="B231">
        <v>0.57127932743471099</v>
      </c>
      <c r="C231">
        <v>9</v>
      </c>
      <c r="D231">
        <v>39646</v>
      </c>
      <c r="E231">
        <v>0</v>
      </c>
      <c r="F231">
        <v>0</v>
      </c>
      <c r="G231">
        <v>0</v>
      </c>
      <c r="H231">
        <v>10.416666666666666</v>
      </c>
      <c r="I231">
        <v>20.833333333333332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35.134099616858236</v>
      </c>
      <c r="AO231">
        <v>8.8252806071954346</v>
      </c>
      <c r="AP231">
        <v>249.78855404172518</v>
      </c>
      <c r="AQ231">
        <v>54.267225187727171</v>
      </c>
      <c r="AR231">
        <v>8.0772536410370623</v>
      </c>
      <c r="AS231">
        <v>92.20456029480701</v>
      </c>
      <c r="AT231" t="e">
        <v>#DIV/0!</v>
      </c>
      <c r="AU231" t="e">
        <v>#DIV/0!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DE151</f>
        <v>39847</v>
      </c>
      <c r="DF231" s="205"/>
      <c r="DG231" s="205">
        <f t="shared" si="355"/>
        <v>1.3715374031368122</v>
      </c>
      <c r="DH231" s="205">
        <f t="shared" si="356"/>
        <v>4.2785157473931829E-2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3">
        <v>226</v>
      </c>
      <c r="FZ231">
        <v>2.3486444822769705</v>
      </c>
      <c r="GA231">
        <v>17.258737841815122</v>
      </c>
      <c r="GB231">
        <v>8.5112456054819603</v>
      </c>
      <c r="GC231">
        <v>0.93809528275072762</v>
      </c>
      <c r="GD231">
        <v>1.188360872708619</v>
      </c>
      <c r="GE231">
        <v>1.2385169041576869</v>
      </c>
      <c r="GF231">
        <v>0.47734812494006024</v>
      </c>
      <c r="GG231">
        <v>3.4648713879457071</v>
      </c>
      <c r="GH231">
        <v>4.8970170936990343</v>
      </c>
      <c r="GI231">
        <v>4.1009023460181302</v>
      </c>
      <c r="GJ231"/>
      <c r="GK231"/>
      <c r="GL231"/>
      <c r="GM231"/>
      <c r="GN231" s="208"/>
      <c r="GO231" s="208"/>
      <c r="GP231" s="208"/>
      <c r="GQ231" s="208"/>
      <c r="GR231" s="208"/>
      <c r="GS231" s="208"/>
      <c r="GT231" s="208"/>
      <c r="GU231" s="213">
        <v>226</v>
      </c>
    </row>
    <row r="232" spans="1:203" s="7" customFormat="1">
      <c r="A232" s="77"/>
      <c r="B232">
        <v>0.93278135235039805</v>
      </c>
      <c r="C232">
        <v>4</v>
      </c>
      <c r="D232">
        <v>39646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37.522339357429715</v>
      </c>
      <c r="AO232">
        <v>7.2402049948446976</v>
      </c>
      <c r="AP232">
        <v>193.46138842958334</v>
      </c>
      <c r="AQ232">
        <v>47.496070120518965</v>
      </c>
      <c r="AR232">
        <v>6.6362758116273008</v>
      </c>
      <c r="AS232">
        <v>89.427342189188778</v>
      </c>
      <c r="AT232" t="e">
        <v>#DIV/0!</v>
      </c>
      <c r="AU232" t="e">
        <v>#DIV/0!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 t="e">
        <f t="shared" si="355"/>
        <v>#DIV/0!</v>
      </c>
      <c r="DH232" s="205" t="e">
        <f t="shared" si="356"/>
        <v>#DIV/0!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3">
        <v>227</v>
      </c>
      <c r="FZ232">
        <v>2.1834373233262436</v>
      </c>
      <c r="GA232">
        <v>17.105711190270529</v>
      </c>
      <c r="GB232">
        <v>7.7124252506531139</v>
      </c>
      <c r="GC232">
        <v>1.0082031354713601</v>
      </c>
      <c r="GD232">
        <v>1.9935596305160144</v>
      </c>
      <c r="GE232">
        <v>2.7640463557565069</v>
      </c>
      <c r="GF232">
        <v>0.47734812494006024</v>
      </c>
      <c r="GG232">
        <v>5.3549101363405134</v>
      </c>
      <c r="GH232">
        <v>7.381855887346326</v>
      </c>
      <c r="GI232">
        <v>4.7285701377698652</v>
      </c>
      <c r="GJ232"/>
      <c r="GK232"/>
      <c r="GL232"/>
      <c r="GM232"/>
      <c r="GN232" s="208"/>
      <c r="GO232" s="208"/>
      <c r="GP232" s="208"/>
      <c r="GQ232" s="208"/>
      <c r="GR232" s="208"/>
      <c r="GS232" s="208"/>
      <c r="GT232" s="208"/>
      <c r="GU232" s="213">
        <v>227</v>
      </c>
    </row>
    <row r="233" spans="1:203" s="7" customFormat="1">
      <c r="A233" s="77"/>
      <c r="B233">
        <v>4.2707321855138147E-2</v>
      </c>
      <c r="C233">
        <v>10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22.552836345381529</v>
      </c>
      <c r="AO233">
        <v>7.5262359294142982</v>
      </c>
      <c r="AP233">
        <v>383.57825522314607</v>
      </c>
      <c r="AQ233">
        <v>53.204493136254868</v>
      </c>
      <c r="AR233">
        <v>7.0048464756820881</v>
      </c>
      <c r="AS233">
        <v>75.160150008785465</v>
      </c>
      <c r="AT233" t="e">
        <v>#DIV/0!</v>
      </c>
      <c r="AU233" t="e">
        <v>#DIV/0!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5"/>
        <v>0.60623060868858603</v>
      </c>
      <c r="DH233" s="205" t="e">
        <f t="shared" si="356"/>
        <v>#DIV/0!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3">
        <v>228</v>
      </c>
      <c r="FZ233">
        <v>0.58716112056924263</v>
      </c>
      <c r="GA233">
        <v>14.383620343453002</v>
      </c>
      <c r="GB233">
        <v>7.1490769946916144</v>
      </c>
      <c r="GC233">
        <v>1.0795281381189963</v>
      </c>
      <c r="GD233">
        <v>2.4400706840485782</v>
      </c>
      <c r="GE233">
        <v>3.5646847343238264</v>
      </c>
      <c r="GF233">
        <v>0.47734812494006024</v>
      </c>
      <c r="GG233">
        <v>11.647560479799811</v>
      </c>
      <c r="GH233">
        <v>16.565120055584082</v>
      </c>
      <c r="GI233">
        <v>6.2952475383226423</v>
      </c>
      <c r="GJ233"/>
      <c r="GK233"/>
      <c r="GL233"/>
      <c r="GM233"/>
      <c r="GN233" s="208"/>
      <c r="GO233" s="208"/>
      <c r="GP233" s="208"/>
      <c r="GQ233" s="208"/>
      <c r="GR233" s="208"/>
      <c r="GS233" s="208"/>
      <c r="GT233" s="208"/>
      <c r="GU233" s="213">
        <v>228</v>
      </c>
    </row>
    <row r="234" spans="1:203" s="7" customFormat="1">
      <c r="A234" s="77"/>
      <c r="B234">
        <v>0.80033761310834617</v>
      </c>
      <c r="C234">
        <v>1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30.59375</v>
      </c>
      <c r="AO234">
        <v>6.8317191095146228</v>
      </c>
      <c r="AP234">
        <v>153.87946068910182</v>
      </c>
      <c r="AQ234">
        <v>48.971715057408638</v>
      </c>
      <c r="AR234">
        <v>6.2106537359223841</v>
      </c>
      <c r="AS234">
        <v>106.51934753498055</v>
      </c>
      <c r="AT234" t="e">
        <v>#DIV/0!</v>
      </c>
      <c r="AU234" t="e">
        <v>#DIV/0!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 t="e">
        <f t="shared" si="355"/>
        <v>#DIV/0!</v>
      </c>
      <c r="DH234" s="205" t="e">
        <f t="shared" si="356"/>
        <v>#DIV/0!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3">
        <v>229</v>
      </c>
      <c r="FZ234">
        <v>5.9631508494094883</v>
      </c>
      <c r="GA234">
        <v>21.536809368933159</v>
      </c>
      <c r="GB234">
        <v>7.9792202685451086</v>
      </c>
      <c r="GC234">
        <v>1.1496359908396288</v>
      </c>
      <c r="GD234">
        <v>3.8615821740546319</v>
      </c>
      <c r="GE234">
        <v>6.334415500228209</v>
      </c>
      <c r="GF234">
        <v>0.47734812494006024</v>
      </c>
      <c r="GG234">
        <v>0.10673875663404474</v>
      </c>
      <c r="GH234">
        <v>0.14058242252415507</v>
      </c>
      <c r="GI234">
        <v>5.3967080558540417</v>
      </c>
      <c r="GJ234"/>
      <c r="GK234"/>
      <c r="GL234"/>
      <c r="GM234"/>
      <c r="GN234" s="208"/>
      <c r="GO234" s="208"/>
      <c r="GP234" s="208"/>
      <c r="GQ234" s="208"/>
      <c r="GR234" s="208"/>
      <c r="GS234" s="208"/>
      <c r="GT234" s="208"/>
      <c r="GU234" s="213">
        <v>229</v>
      </c>
    </row>
    <row r="235" spans="1:203" s="7" customFormat="1">
      <c r="A235" s="77"/>
      <c r="B235">
        <v>0.12069430401320069</v>
      </c>
      <c r="C235">
        <v>9</v>
      </c>
      <c r="D235">
        <v>39646</v>
      </c>
      <c r="E235">
        <v>0</v>
      </c>
      <c r="F235">
        <v>0</v>
      </c>
      <c r="G235">
        <v>0</v>
      </c>
      <c r="H235">
        <v>10.416666666666666</v>
      </c>
      <c r="I235">
        <v>20.833333333333332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37.81862342638204</v>
      </c>
      <c r="AO235">
        <v>10.076889151832788</v>
      </c>
      <c r="AP235">
        <v>209.80583944256574</v>
      </c>
      <c r="AQ235">
        <v>62.02450524206327</v>
      </c>
      <c r="AR235">
        <v>9.215079590707381</v>
      </c>
      <c r="AS235">
        <v>109.54150538986714</v>
      </c>
      <c r="AT235" t="e">
        <v>#DIV/0!</v>
      </c>
      <c r="AU235" t="e">
        <v>#DIV/0!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 t="e">
        <f t="shared" si="355"/>
        <v>#DIV/0!</v>
      </c>
      <c r="DH235" s="205" t="e">
        <f>(LN(DG225/DG234))/(DE222-DE221)</f>
        <v>#DIV/0!</v>
      </c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3">
        <v>230</v>
      </c>
      <c r="FZ235">
        <v>3.7797135260832437</v>
      </c>
      <c r="GA235">
        <v>17.354001566780994</v>
      </c>
      <c r="GB235">
        <v>6.8479744164121428</v>
      </c>
      <c r="GC235">
        <v>1.0747976819274825</v>
      </c>
      <c r="GD235">
        <v>1.5198109908051725</v>
      </c>
      <c r="GE235">
        <v>1.988652418090544</v>
      </c>
      <c r="GF235">
        <v>0.95469624988012047</v>
      </c>
      <c r="GG235">
        <v>4.3699740025436906</v>
      </c>
      <c r="GH235">
        <v>6.2079225456259284</v>
      </c>
      <c r="GI235">
        <v>4.3504678197647761</v>
      </c>
      <c r="GJ235"/>
      <c r="GK235"/>
      <c r="GL235"/>
      <c r="GM235"/>
      <c r="GN235" s="208"/>
      <c r="GO235" s="208"/>
      <c r="GP235" s="208"/>
      <c r="GQ235" s="208"/>
      <c r="GR235" s="208"/>
      <c r="GS235" s="208"/>
      <c r="GT235" s="208"/>
      <c r="GU235" s="213">
        <v>230</v>
      </c>
    </row>
    <row r="236" spans="1:203" s="7" customFormat="1">
      <c r="A236" s="77"/>
      <c r="B236">
        <v>0.65518262869017319</v>
      </c>
      <c r="C236">
        <v>8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29.96065996333445</v>
      </c>
      <c r="AO236">
        <v>6.146273027856985</v>
      </c>
      <c r="AP236">
        <v>160.56941712121085</v>
      </c>
      <c r="AQ236">
        <v>43.279741538563414</v>
      </c>
      <c r="AR236">
        <v>5.641792205274835</v>
      </c>
      <c r="AS236">
        <v>73.93605856857576</v>
      </c>
      <c r="AT236" t="e">
        <v>#DIV/0!</v>
      </c>
      <c r="AU236" t="e">
        <v>#DIV/0!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3">
        <v>231</v>
      </c>
      <c r="FZ236">
        <v>4.3668746466524873</v>
      </c>
      <c r="GA236">
        <v>21.007729888910042</v>
      </c>
      <c r="GB236">
        <v>8.473280827166997</v>
      </c>
      <c r="GC236">
        <v>3.67346133645961</v>
      </c>
      <c r="GD236">
        <v>4.8097989707443665</v>
      </c>
      <c r="GE236">
        <v>4.320504658404559</v>
      </c>
      <c r="GF236">
        <v>0.47734812494006024</v>
      </c>
      <c r="GG236">
        <v>5.4633189466606336</v>
      </c>
      <c r="GH236">
        <v>7.6388005678627859</v>
      </c>
      <c r="GI236">
        <v>7.0364466096015006</v>
      </c>
      <c r="GJ236"/>
      <c r="GK236"/>
      <c r="GL236"/>
      <c r="GM236"/>
      <c r="GN236" s="208"/>
      <c r="GO236" s="208"/>
      <c r="GP236" s="208"/>
      <c r="GQ236" s="208"/>
      <c r="GR236" s="208"/>
      <c r="GS236" s="208"/>
      <c r="GT236" s="208"/>
      <c r="GU236" s="213">
        <v>231</v>
      </c>
    </row>
    <row r="237" spans="1:203" s="7" customFormat="1">
      <c r="A237" s="77"/>
      <c r="B237">
        <v>0.63875457817721815</v>
      </c>
      <c r="C237">
        <v>2</v>
      </c>
      <c r="D237">
        <v>39646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33.619389709906955</v>
      </c>
      <c r="AO237">
        <v>7.9388084312471152</v>
      </c>
      <c r="AP237">
        <v>228.40045590234743</v>
      </c>
      <c r="AQ237">
        <v>55.941244029902933</v>
      </c>
      <c r="AR237">
        <v>7.2170985738610156</v>
      </c>
      <c r="AS237">
        <v>91.707857690181569</v>
      </c>
      <c r="AT237" t="e">
        <v>#DIV/0!</v>
      </c>
      <c r="AU237" t="e">
        <v>#DIV/0!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3">
        <v>232</v>
      </c>
      <c r="FZ237">
        <v>3.192552405514002</v>
      </c>
      <c r="GA237">
        <v>22.688435650453087</v>
      </c>
      <c r="GB237">
        <v>9.4151965636710546</v>
      </c>
      <c r="GC237">
        <v>1.5479672045308583</v>
      </c>
      <c r="GD237">
        <v>3.5018278521392845</v>
      </c>
      <c r="GE237">
        <v>5.5629906586536766</v>
      </c>
      <c r="GF237">
        <v>1.432044374820181</v>
      </c>
      <c r="GG237">
        <v>4.0766958033527283</v>
      </c>
      <c r="GH237">
        <v>5.7051623244525622</v>
      </c>
      <c r="GI237">
        <v>6.1433573758771711</v>
      </c>
      <c r="GJ237"/>
      <c r="GK237"/>
      <c r="GL237"/>
      <c r="GM237"/>
      <c r="GN237" s="208"/>
      <c r="GO237" s="208"/>
      <c r="GP237" s="208"/>
      <c r="GQ237" s="208"/>
      <c r="GR237" s="208"/>
      <c r="GS237" s="208"/>
      <c r="GT237" s="208"/>
      <c r="GU237" s="213">
        <v>232</v>
      </c>
    </row>
    <row r="238" spans="1:203" s="7" customFormat="1">
      <c r="A238" s="77"/>
      <c r="B238">
        <v>0.25261255508937364</v>
      </c>
      <c r="C238">
        <v>2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15.361607142857148</v>
      </c>
      <c r="AO238">
        <v>4.0763210390729148</v>
      </c>
      <c r="AP238">
        <v>74.816290562041388</v>
      </c>
      <c r="AQ238">
        <v>30.574243903379877</v>
      </c>
      <c r="AR238">
        <v>3.7600176700165884</v>
      </c>
      <c r="AS238">
        <v>50.558349285387095</v>
      </c>
      <c r="AT238" t="e">
        <v>#DIV/0!</v>
      </c>
      <c r="AU238" t="e">
        <v>#DIV/0!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3">
        <v>233</v>
      </c>
      <c r="FZ238">
        <v>2.1834373233262436</v>
      </c>
      <c r="GA238">
        <v>19.860065627704884</v>
      </c>
      <c r="GB238">
        <v>9.0650941557928917</v>
      </c>
      <c r="GC238">
        <v>1.9475155681490914</v>
      </c>
      <c r="GD238">
        <v>2.2157413138004403</v>
      </c>
      <c r="GE238">
        <v>2.0431243788164366</v>
      </c>
      <c r="GF238">
        <v>0.95469624988012047</v>
      </c>
      <c r="GG238">
        <v>3.3598026849977378</v>
      </c>
      <c r="GH238">
        <v>4.872796929167186</v>
      </c>
      <c r="GI238">
        <v>4.9125522356383096</v>
      </c>
      <c r="GJ238"/>
      <c r="GK238"/>
      <c r="GL238"/>
      <c r="GM238"/>
      <c r="GN238" s="208"/>
      <c r="GO238" s="208"/>
      <c r="GP238" s="208"/>
      <c r="GQ238" s="208"/>
      <c r="GR238" s="208"/>
      <c r="GS238" s="208"/>
      <c r="GT238" s="208"/>
      <c r="GU238" s="213">
        <v>233</v>
      </c>
    </row>
    <row r="239" spans="1:203" s="7" customFormat="1">
      <c r="A239" s="77" t="s">
        <v>61</v>
      </c>
      <c r="B239">
        <v>9.5286155243570203E-3</v>
      </c>
      <c r="C239">
        <v>2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20.567049808429122</v>
      </c>
      <c r="AO239">
        <v>4.5258251365533031</v>
      </c>
      <c r="AP239">
        <v>144.83175351545117</v>
      </c>
      <c r="AQ239">
        <v>30.022009305442651</v>
      </c>
      <c r="AR239">
        <v>4.1143864877757288</v>
      </c>
      <c r="AS239">
        <v>48.209196722113262</v>
      </c>
      <c r="AT239" t="e">
        <v>#DIV/0!</v>
      </c>
      <c r="AU239" t="e">
        <v>#DIV/0!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3">
        <v>234</v>
      </c>
      <c r="FZ239">
        <v>1.1743222411384853</v>
      </c>
      <c r="GA239">
        <v>23.337433091044932</v>
      </c>
      <c r="GB239">
        <v>11.556386746421882</v>
      </c>
      <c r="GC239">
        <v>1.792540314766641</v>
      </c>
      <c r="GD239">
        <v>1.5711581859741828</v>
      </c>
      <c r="GE239">
        <v>0.68236449163595569</v>
      </c>
      <c r="GF239">
        <v>0.47734812494006024</v>
      </c>
      <c r="GG239">
        <v>3.358132631311662</v>
      </c>
      <c r="GH239">
        <v>4.7564346711748797</v>
      </c>
      <c r="GI239">
        <v>4.8853554711714242</v>
      </c>
      <c r="GJ239"/>
      <c r="GK239"/>
      <c r="GL239"/>
      <c r="GM239"/>
      <c r="GN239" s="208"/>
      <c r="GO239" s="208"/>
      <c r="GP239" s="208"/>
      <c r="GQ239" s="208"/>
      <c r="GR239" s="208"/>
      <c r="GS239" s="208"/>
      <c r="GT239" s="208"/>
      <c r="GU239" s="213">
        <v>234</v>
      </c>
    </row>
    <row r="240" spans="1:203" s="7" customFormat="1">
      <c r="A240" s="77" t="s">
        <v>62</v>
      </c>
      <c r="B240">
        <v>5.6350569049080868E-2</v>
      </c>
      <c r="C240">
        <v>8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32.191332654097508</v>
      </c>
      <c r="AO240">
        <v>6.485160164955694</v>
      </c>
      <c r="AP240">
        <v>122.7962732969294</v>
      </c>
      <c r="AQ240">
        <v>43.054670999172501</v>
      </c>
      <c r="AR240">
        <v>6.004142691678509</v>
      </c>
      <c r="AS240">
        <v>85.299267639319694</v>
      </c>
      <c r="AT240" t="e">
        <v>#DIV/0!</v>
      </c>
      <c r="AU240" t="e">
        <v>#DIV/0!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4.1666666666666661</v>
      </c>
      <c r="DH240" s="182">
        <v>44.791666666666671</v>
      </c>
      <c r="DI240" s="182">
        <v>46.875</v>
      </c>
      <c r="DJ240" s="182">
        <v>11.458333333333334</v>
      </c>
      <c r="DK240" s="182">
        <v>8.3333333333333339</v>
      </c>
      <c r="DL240" s="182">
        <v>2.083333333333333</v>
      </c>
      <c r="DM240" s="182">
        <v>4.1666666666666661</v>
      </c>
      <c r="DN240" s="182">
        <v>0</v>
      </c>
      <c r="DO240" s="182">
        <v>0</v>
      </c>
      <c r="DP240" s="182">
        <v>1.0416666666666665</v>
      </c>
      <c r="DQ240" s="182">
        <v>1.0416666666666665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3">
        <v>235</v>
      </c>
      <c r="FZ240">
        <v>3.7797135260832437</v>
      </c>
      <c r="GA240">
        <v>22.396200520773981</v>
      </c>
      <c r="GB240">
        <v>9.133922121473919</v>
      </c>
      <c r="GC240">
        <v>3.5467880290325269</v>
      </c>
      <c r="GD240">
        <v>3.2525793380292427</v>
      </c>
      <c r="GE240">
        <v>1.3607598871804809</v>
      </c>
      <c r="GF240">
        <v>0.47734812494006024</v>
      </c>
      <c r="GG240">
        <v>1.6799013424988689</v>
      </c>
      <c r="GH240">
        <v>2.436398464583593</v>
      </c>
      <c r="GI240">
        <v>5.3319371407761436</v>
      </c>
      <c r="GJ240"/>
      <c r="GK240"/>
      <c r="GL240"/>
      <c r="GM240"/>
      <c r="GN240" s="208"/>
      <c r="GO240" s="208"/>
      <c r="GP240" s="208"/>
      <c r="GQ240" s="208"/>
      <c r="GR240" s="208"/>
      <c r="GS240" s="208"/>
      <c r="GT240" s="208"/>
      <c r="GU240" s="213">
        <v>235</v>
      </c>
    </row>
    <row r="241" spans="1:203" s="7" customFormat="1">
      <c r="A241" s="77"/>
      <c r="B241">
        <v>0.95459335175064552</v>
      </c>
      <c r="C241">
        <v>6</v>
      </c>
      <c r="D241">
        <v>39673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23.084839357429718</v>
      </c>
      <c r="AO241">
        <v>5.5990815488154082</v>
      </c>
      <c r="AP241">
        <v>214.65173421304709</v>
      </c>
      <c r="AQ241">
        <v>35.972118158631893</v>
      </c>
      <c r="AR241">
        <v>5.1443454061461278</v>
      </c>
      <c r="AS241">
        <v>60.740898255554278</v>
      </c>
      <c r="AT241" t="e">
        <v>#DIV/0!</v>
      </c>
      <c r="AU241" t="e">
        <v>#DIV/0!</v>
      </c>
      <c r="AV241"/>
      <c r="AW241"/>
      <c r="DE241" s="187">
        <v>39673</v>
      </c>
      <c r="DF241" s="185">
        <v>0</v>
      </c>
      <c r="DG241" s="185">
        <v>1.0416666666666665</v>
      </c>
      <c r="DH241" s="185">
        <v>28.706709672619048</v>
      </c>
      <c r="DI241" s="185">
        <v>16.761363541666665</v>
      </c>
      <c r="DJ241" s="185">
        <v>30.113635416666664</v>
      </c>
      <c r="DK241" s="185">
        <v>11.363635416666666</v>
      </c>
      <c r="DL241" s="185">
        <v>6.6287874999999996</v>
      </c>
      <c r="DM241" s="185">
        <v>3.125</v>
      </c>
      <c r="DN241" s="185">
        <v>3.5984843749999995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3">
        <v>236</v>
      </c>
      <c r="FZ241">
        <v>1.1743222411384853</v>
      </c>
      <c r="GA241">
        <v>11.198155153998538</v>
      </c>
      <c r="GB241">
        <v>5.4858692031230838</v>
      </c>
      <c r="GC241">
        <v>0.22508310610308313</v>
      </c>
      <c r="GD241">
        <v>2.4670237750831445</v>
      </c>
      <c r="GE241">
        <v>4.6619891665715851</v>
      </c>
      <c r="GF241">
        <v>0</v>
      </c>
      <c r="GG241">
        <v>1.7866400991329137</v>
      </c>
      <c r="GH241">
        <v>2.5769808871077484</v>
      </c>
      <c r="GI241">
        <v>3.6689333639359338</v>
      </c>
      <c r="GJ241"/>
      <c r="GK241"/>
      <c r="GL241"/>
      <c r="GM241"/>
      <c r="GN241" s="208"/>
      <c r="GO241" s="208"/>
      <c r="GP241" s="208"/>
      <c r="GQ241" s="208"/>
      <c r="GR241" s="208"/>
      <c r="GS241" s="208"/>
      <c r="GT241" s="208"/>
      <c r="GU241" s="213">
        <v>236</v>
      </c>
    </row>
    <row r="242" spans="1:203" s="7" customFormat="1">
      <c r="A242" s="1"/>
      <c r="B242">
        <v>0.30207849134661013</v>
      </c>
      <c r="C242">
        <v>1</v>
      </c>
      <c r="D242">
        <v>39673</v>
      </c>
      <c r="E242">
        <v>0</v>
      </c>
      <c r="F242">
        <v>0</v>
      </c>
      <c r="G242">
        <v>10.416666666666666</v>
      </c>
      <c r="H242">
        <v>0</v>
      </c>
      <c r="I242">
        <v>31.25</v>
      </c>
      <c r="J242">
        <v>20.833333333333332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20.956110154905339</v>
      </c>
      <c r="AO242">
        <v>6.2405097080116914</v>
      </c>
      <c r="AP242">
        <v>328.21083221880474</v>
      </c>
      <c r="AQ242">
        <v>44.423739941794018</v>
      </c>
      <c r="AR242">
        <v>5.890275727084564</v>
      </c>
      <c r="AS242">
        <v>67.646516511341545</v>
      </c>
      <c r="AT242" t="e">
        <v>#DIV/0!</v>
      </c>
      <c r="AU242" t="e">
        <v>#DIV/0!</v>
      </c>
      <c r="AV242"/>
      <c r="AW242"/>
      <c r="BI242" s="162"/>
      <c r="DE242" s="187">
        <v>39714</v>
      </c>
      <c r="DF242" s="182">
        <v>58.815764208909364</v>
      </c>
      <c r="DG242" s="182">
        <v>102.80517953149001</v>
      </c>
      <c r="DH242" s="182">
        <v>0</v>
      </c>
      <c r="DI242" s="182">
        <v>1.0416666666666665</v>
      </c>
      <c r="DJ242" s="182">
        <v>1.0416666666666665</v>
      </c>
      <c r="DK242" s="182">
        <v>1.0416666666666665</v>
      </c>
      <c r="DL242" s="182">
        <v>2.083333333333333</v>
      </c>
      <c r="DM242" s="182">
        <v>0</v>
      </c>
      <c r="DN242" s="182">
        <v>3.125</v>
      </c>
      <c r="DO242" s="182">
        <v>7.2916666666666661</v>
      </c>
      <c r="DP242" s="182">
        <v>1.0416666666666665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3">
        <v>237</v>
      </c>
      <c r="FZ242">
        <v>1.596276202757001</v>
      </c>
      <c r="GA242">
        <v>15.293101567672656</v>
      </c>
      <c r="GB242">
        <v>6.7032802916024785</v>
      </c>
      <c r="GC242">
        <v>2.1207636757372379</v>
      </c>
      <c r="GD242">
        <v>3.3075557794623189</v>
      </c>
      <c r="GE242">
        <v>3.9892641983431849</v>
      </c>
      <c r="GF242">
        <v>0.95469624988012047</v>
      </c>
      <c r="GG242">
        <v>3.358132631311662</v>
      </c>
      <c r="GH242">
        <v>4.7564346711748797</v>
      </c>
      <c r="GI242">
        <v>4.9138835988117844</v>
      </c>
      <c r="GJ242"/>
      <c r="GK242"/>
      <c r="GL242"/>
      <c r="GM242"/>
      <c r="GN242" s="208"/>
      <c r="GO242" s="208"/>
      <c r="GP242" s="208"/>
      <c r="GQ242" s="208"/>
      <c r="GR242" s="208"/>
      <c r="GS242" s="208"/>
      <c r="GT242" s="208"/>
      <c r="GU242" s="213">
        <v>237</v>
      </c>
    </row>
    <row r="243" spans="1:203" s="7" customFormat="1">
      <c r="A243" s="1"/>
      <c r="B243">
        <v>0.42328551234652689</v>
      </c>
      <c r="C243">
        <v>6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26.639880952380953</v>
      </c>
      <c r="AO243">
        <v>7.2611153025882142</v>
      </c>
      <c r="AP243">
        <v>178.45265174264733</v>
      </c>
      <c r="AQ243">
        <v>50.710067172390524</v>
      </c>
      <c r="AR243">
        <v>6.6552851823032242</v>
      </c>
      <c r="AS243">
        <v>84.991305703330724</v>
      </c>
      <c r="AT243" t="e">
        <v>#DIV/0!</v>
      </c>
      <c r="AU243" t="e">
        <v>#DIV/0!</v>
      </c>
      <c r="AV243"/>
      <c r="AW243"/>
      <c r="DE243" s="187">
        <v>39747</v>
      </c>
      <c r="DF243" s="182">
        <v>22.202190170940174</v>
      </c>
      <c r="DG243" s="182">
        <v>432.1127410547353</v>
      </c>
      <c r="DH243" s="182">
        <v>39.970117286927632</v>
      </c>
      <c r="DI243" s="182">
        <v>0</v>
      </c>
      <c r="DJ243" s="182">
        <v>1.0416666666666665</v>
      </c>
      <c r="DK243" s="182">
        <v>0</v>
      </c>
      <c r="DL243" s="182">
        <v>0</v>
      </c>
      <c r="DM243" s="182">
        <v>0</v>
      </c>
      <c r="DN243" s="182">
        <v>0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3">
        <v>238</v>
      </c>
      <c r="FZ243">
        <v>1.1743222411384853</v>
      </c>
      <c r="GA243">
        <v>23.873691838985458</v>
      </c>
      <c r="GB243">
        <v>11.869846876712179</v>
      </c>
      <c r="GC243">
        <v>0.83495502788321374</v>
      </c>
      <c r="GD243">
        <v>1.519134557617557</v>
      </c>
      <c r="GE243">
        <v>2.072351898640973</v>
      </c>
      <c r="GF243">
        <v>0.47734812494006024</v>
      </c>
      <c r="GG243">
        <v>5.5138221474348601</v>
      </c>
      <c r="GH243">
        <v>7.6026176310079236</v>
      </c>
      <c r="GI243">
        <v>5.4330127824621943</v>
      </c>
      <c r="GJ243"/>
      <c r="GK243"/>
      <c r="GL243"/>
      <c r="GM243"/>
      <c r="GN243" s="208"/>
      <c r="GO243" s="208"/>
      <c r="GP243" s="208"/>
      <c r="GQ243" s="208"/>
      <c r="GR243" s="208"/>
      <c r="GS243" s="208"/>
      <c r="GT243" s="208"/>
      <c r="GU243" s="213">
        <v>238</v>
      </c>
    </row>
    <row r="244" spans="1:203" s="7" customFormat="1">
      <c r="A244" s="1"/>
      <c r="B244">
        <v>0.51207735480291872</v>
      </c>
      <c r="C244">
        <v>10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22.53125</v>
      </c>
      <c r="AO244">
        <v>10.220365109969027</v>
      </c>
      <c r="AP244">
        <v>539.50560218661963</v>
      </c>
      <c r="AQ244">
        <v>64.189418213851866</v>
      </c>
      <c r="AR244">
        <v>9.3455122799221435</v>
      </c>
      <c r="AS244">
        <v>95.285618945085105</v>
      </c>
      <c r="AT244" t="e">
        <v>#DIV/0!</v>
      </c>
      <c r="AU244" t="e">
        <v>#DIV/0!</v>
      </c>
      <c r="AV244"/>
      <c r="AW244"/>
      <c r="DE244" s="187">
        <v>39775</v>
      </c>
      <c r="DF244" s="182">
        <v>18.460630787037037</v>
      </c>
      <c r="DG244" s="182">
        <v>345.73773448773454</v>
      </c>
      <c r="DH244" s="182">
        <v>257.82195233585855</v>
      </c>
      <c r="DI244" s="182">
        <v>9.6527760416666659</v>
      </c>
      <c r="DJ244" s="182">
        <v>2.083333333333333</v>
      </c>
      <c r="DK244" s="182">
        <v>1.0416666666666665</v>
      </c>
      <c r="DL244" s="182">
        <v>1.0416666666666665</v>
      </c>
      <c r="DM244" s="182">
        <v>0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3">
        <v>239</v>
      </c>
      <c r="FZ244">
        <v>2.1834373233262436</v>
      </c>
      <c r="GA244">
        <v>12.937261435848082</v>
      </c>
      <c r="GB244">
        <v>5.418639980576506</v>
      </c>
      <c r="GC244">
        <v>1.2527762457071427</v>
      </c>
      <c r="GD244">
        <v>1.6477763659490678</v>
      </c>
      <c r="GE244">
        <v>1.3899874070050173</v>
      </c>
      <c r="GF244">
        <v>0</v>
      </c>
      <c r="GG244">
        <v>1.7866400991329137</v>
      </c>
      <c r="GH244">
        <v>2.5769808871077484</v>
      </c>
      <c r="GI244">
        <v>3.1464022593323246</v>
      </c>
      <c r="GJ244"/>
      <c r="GK244"/>
      <c r="GL244"/>
      <c r="GM244"/>
      <c r="GN244" s="208"/>
      <c r="GO244" s="208"/>
      <c r="GP244" s="208"/>
      <c r="GQ244" s="208"/>
      <c r="GR244" s="208"/>
      <c r="GS244" s="208"/>
      <c r="GT244" s="208"/>
      <c r="GU244" s="213">
        <v>239</v>
      </c>
    </row>
    <row r="245" spans="1:203" s="7" customFormat="1">
      <c r="A245" s="1"/>
      <c r="B245">
        <v>0.59530515070262724</v>
      </c>
      <c r="C245">
        <v>9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34.445693488238661</v>
      </c>
      <c r="AO245">
        <v>8.1996483467849242</v>
      </c>
      <c r="AP245">
        <v>87.570714846321295</v>
      </c>
      <c r="AQ245">
        <v>52.946191511962525</v>
      </c>
      <c r="AR245">
        <v>7.5627683115232633</v>
      </c>
      <c r="AS245">
        <v>103.26969147377029</v>
      </c>
      <c r="AT245" t="e">
        <v>#DIV/0!</v>
      </c>
      <c r="AU245" t="e">
        <v>#DIV/0!</v>
      </c>
      <c r="AV245"/>
      <c r="AW245"/>
      <c r="DE245" s="187">
        <v>39799</v>
      </c>
      <c r="DF245" s="182">
        <v>26.455085612062355</v>
      </c>
      <c r="DG245" s="182">
        <v>162.71811792288878</v>
      </c>
      <c r="DH245" s="182">
        <v>118.82584327437269</v>
      </c>
      <c r="DI245" s="182">
        <v>5.208333333333333</v>
      </c>
      <c r="DJ245" s="182">
        <v>1.0416666666666665</v>
      </c>
      <c r="DK245" s="182">
        <v>0</v>
      </c>
      <c r="DL245" s="182">
        <v>0</v>
      </c>
      <c r="DM245" s="182">
        <v>0</v>
      </c>
      <c r="DN245" s="182">
        <v>0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3">
        <v>240</v>
      </c>
      <c r="FZ245">
        <v>1.1743222411384853</v>
      </c>
      <c r="GA245">
        <v>23.307874503465239</v>
      </c>
      <c r="GB245">
        <v>11.625737841262778</v>
      </c>
      <c r="GC245">
        <v>1.4704795778396331</v>
      </c>
      <c r="GD245">
        <v>2.1816477086303516</v>
      </c>
      <c r="GE245">
        <v>2.7215197743609618</v>
      </c>
      <c r="GF245">
        <v>0.95469624988012047</v>
      </c>
      <c r="GG245">
        <v>2.3984645145399348</v>
      </c>
      <c r="GH245">
        <v>3.3851261178612746</v>
      </c>
      <c r="GI245">
        <v>5.224905720609641</v>
      </c>
      <c r="GJ245"/>
      <c r="GK245"/>
      <c r="GL245"/>
      <c r="GM245"/>
      <c r="GN245" s="208"/>
      <c r="GO245" s="208"/>
      <c r="GP245" s="208"/>
      <c r="GQ245" s="208"/>
      <c r="GR245" s="208"/>
      <c r="GS245" s="208"/>
      <c r="GT245" s="208"/>
      <c r="GU245" s="213">
        <v>240</v>
      </c>
    </row>
    <row r="246" spans="1:203" s="7" customFormat="1">
      <c r="A246" s="1"/>
      <c r="B246">
        <v>0.8761310067961976</v>
      </c>
      <c r="C246">
        <v>8</v>
      </c>
      <c r="D246">
        <v>39673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29.110290093048707</v>
      </c>
      <c r="AO246">
        <v>6.7597207548981162</v>
      </c>
      <c r="AP246">
        <v>154.09539700706887</v>
      </c>
      <c r="AQ246">
        <v>48.448011217914093</v>
      </c>
      <c r="AR246">
        <v>6.1994719571304069</v>
      </c>
      <c r="AS246">
        <v>75.114347406793385</v>
      </c>
      <c r="AT246" t="e">
        <v>#DIV/0!</v>
      </c>
      <c r="AU246" t="e">
        <v>#DIV/0!</v>
      </c>
      <c r="AV246"/>
      <c r="AW246"/>
      <c r="DE246" s="187">
        <v>39847</v>
      </c>
      <c r="DF246" s="182">
        <v>11.393229166666666</v>
      </c>
      <c r="DG246" s="182">
        <v>223.76302083333334</v>
      </c>
      <c r="DH246" s="182">
        <v>63.194444444444443</v>
      </c>
      <c r="DI246" s="182">
        <v>0</v>
      </c>
      <c r="DJ246" s="182">
        <v>0</v>
      </c>
      <c r="DK246" s="182">
        <v>1.0416666666666665</v>
      </c>
      <c r="DL246" s="182">
        <v>0</v>
      </c>
      <c r="DM246" s="182">
        <v>0</v>
      </c>
      <c r="DN246" s="182">
        <v>0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3">
        <v>241</v>
      </c>
      <c r="FZ246">
        <v>4.3668746466524873</v>
      </c>
      <c r="GA246">
        <v>23.906800529961313</v>
      </c>
      <c r="GB246">
        <v>10.033416490168307</v>
      </c>
      <c r="GC246">
        <v>0.83495502788321374</v>
      </c>
      <c r="GD246">
        <v>3.0941230516016516</v>
      </c>
      <c r="GE246">
        <v>5.2663385878049871</v>
      </c>
      <c r="GF246">
        <v>0.47734812494006024</v>
      </c>
      <c r="GG246">
        <v>3.358132631311662</v>
      </c>
      <c r="GH246">
        <v>4.7564346711748797</v>
      </c>
      <c r="GI246">
        <v>5.9540713959200477</v>
      </c>
      <c r="GJ246"/>
      <c r="GK246"/>
      <c r="GL246"/>
      <c r="GM246"/>
      <c r="GN246" s="208"/>
      <c r="GO246" s="208"/>
      <c r="GP246" s="208"/>
      <c r="GQ246" s="208"/>
      <c r="GR246" s="208"/>
      <c r="GS246" s="208"/>
      <c r="GT246" s="208"/>
      <c r="GU246" s="213">
        <v>241</v>
      </c>
    </row>
    <row r="247" spans="1:203" s="7" customFormat="1">
      <c r="A247" s="77" t="s">
        <v>61</v>
      </c>
      <c r="B247">
        <v>0.94843520481198862</v>
      </c>
      <c r="C247">
        <v>9</v>
      </c>
      <c r="D247">
        <v>39673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51.957616179001718</v>
      </c>
      <c r="AO247">
        <v>10.918724097458867</v>
      </c>
      <c r="AP247">
        <v>292.14571583981945</v>
      </c>
      <c r="AQ247">
        <v>67.26756457740305</v>
      </c>
      <c r="AR247">
        <v>10.034655357590484</v>
      </c>
      <c r="AS247">
        <v>130.59294269378123</v>
      </c>
      <c r="AT247" t="e">
        <v>#DIV/0!</v>
      </c>
      <c r="AU247" t="e">
        <v>#DIV/0!</v>
      </c>
      <c r="AV247"/>
      <c r="AW247"/>
      <c r="DE247" s="187">
        <v>39910</v>
      </c>
      <c r="DF247" s="182">
        <v>78.125</v>
      </c>
      <c r="DG247" s="182">
        <v>251.19766505636071</v>
      </c>
      <c r="DH247" s="182">
        <v>194.90740740740739</v>
      </c>
      <c r="DI247" s="182">
        <v>78.009259259259252</v>
      </c>
      <c r="DJ247" s="182">
        <v>1.0416666666666665</v>
      </c>
      <c r="DK247" s="182">
        <v>0</v>
      </c>
      <c r="DL247" s="182">
        <v>0</v>
      </c>
      <c r="DM247" s="182">
        <v>0</v>
      </c>
      <c r="DN247" s="182">
        <v>0</v>
      </c>
      <c r="DO247" s="182">
        <v>0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3">
        <v>242</v>
      </c>
      <c r="FZ247">
        <v>6.9722659315972457</v>
      </c>
      <c r="GA247">
        <v>18.778700417815283</v>
      </c>
      <c r="GB247">
        <v>5.4442472068806413</v>
      </c>
      <c r="GC247">
        <v>1.7150526880754156</v>
      </c>
      <c r="GD247">
        <v>2.3213725225789936</v>
      </c>
      <c r="GE247">
        <v>2.9118573204403853</v>
      </c>
      <c r="GF247">
        <v>1.432044374820181</v>
      </c>
      <c r="GG247">
        <v>3.1463251717296488</v>
      </c>
      <c r="GH247">
        <v>4.591632084118876</v>
      </c>
      <c r="GI247">
        <v>4.8977253571055375</v>
      </c>
      <c r="GJ247"/>
      <c r="GK247"/>
      <c r="GL247"/>
      <c r="GM247"/>
      <c r="GN247" s="208"/>
      <c r="GO247" s="208"/>
      <c r="GP247" s="208"/>
      <c r="GQ247" s="208"/>
      <c r="GR247" s="208"/>
      <c r="GS247" s="208"/>
      <c r="GT247" s="208"/>
      <c r="GU247" s="213">
        <v>242</v>
      </c>
    </row>
    <row r="248" spans="1:203" s="7" customFormat="1">
      <c r="A248" s="77" t="s">
        <v>62</v>
      </c>
      <c r="B248">
        <v>0.8526539767082455</v>
      </c>
      <c r="C248">
        <v>10</v>
      </c>
      <c r="D248">
        <v>39714</v>
      </c>
      <c r="E248">
        <v>0</v>
      </c>
      <c r="F248">
        <v>0</v>
      </c>
      <c r="G248">
        <v>0</v>
      </c>
      <c r="H248">
        <v>52.083333333333336</v>
      </c>
      <c r="I248">
        <v>41.666666666666664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43.228517106191596</v>
      </c>
      <c r="AO248">
        <v>9.5780430985527722</v>
      </c>
      <c r="AP248">
        <v>224.46898774656091</v>
      </c>
      <c r="AQ248">
        <v>63.266230213464596</v>
      </c>
      <c r="AR248">
        <v>8.7073119077752477</v>
      </c>
      <c r="AS248">
        <v>120.61261398175594</v>
      </c>
      <c r="AT248" t="e">
        <v>#DIV/0!</v>
      </c>
      <c r="AU248" t="e">
        <v>#DIV/0!</v>
      </c>
      <c r="AV248"/>
      <c r="AW248"/>
      <c r="DE248" s="187">
        <v>39949</v>
      </c>
      <c r="DF248" s="182">
        <v>0</v>
      </c>
      <c r="DG248" s="182">
        <v>59.16391119508738</v>
      </c>
      <c r="DH248" s="182">
        <v>29.334728564180615</v>
      </c>
      <c r="DI248" s="182">
        <v>24.648738632691686</v>
      </c>
      <c r="DJ248" s="182">
        <v>3.125</v>
      </c>
      <c r="DK248" s="182">
        <v>0</v>
      </c>
      <c r="DL248" s="182">
        <v>0</v>
      </c>
      <c r="DM248" s="182">
        <v>0</v>
      </c>
      <c r="DN248" s="182">
        <v>0</v>
      </c>
      <c r="DO248" s="182">
        <v>0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3">
        <v>243</v>
      </c>
      <c r="FZ248">
        <v>4.3668746466524873</v>
      </c>
      <c r="GA248">
        <v>12.147302305322842</v>
      </c>
      <c r="GB248">
        <v>4.2522871964888385</v>
      </c>
      <c r="GC248">
        <v>1.5553469785014511</v>
      </c>
      <c r="GD248">
        <v>1.7215842227123836</v>
      </c>
      <c r="GE248">
        <v>1.6534428619377395</v>
      </c>
      <c r="GF248">
        <v>0.95469624988012047</v>
      </c>
      <c r="GG248">
        <v>1.8917088020808825</v>
      </c>
      <c r="GH248">
        <v>2.6012010516395971</v>
      </c>
      <c r="GI248">
        <v>3.3600449587539538</v>
      </c>
      <c r="GJ248"/>
      <c r="GK248"/>
      <c r="GL248"/>
      <c r="GM248"/>
      <c r="GN248" s="208"/>
      <c r="GO248" s="208"/>
      <c r="GP248" s="208"/>
      <c r="GQ248" s="208"/>
      <c r="GR248" s="208"/>
      <c r="GS248" s="208"/>
      <c r="GT248" s="208"/>
      <c r="GU248" s="213">
        <v>243</v>
      </c>
    </row>
    <row r="249" spans="1:203" s="7" customFormat="1">
      <c r="A249" s="1"/>
      <c r="B249">
        <v>0.99259554447220832</v>
      </c>
      <c r="C249">
        <v>5</v>
      </c>
      <c r="D249">
        <v>39714</v>
      </c>
      <c r="E249">
        <v>0</v>
      </c>
      <c r="F249">
        <v>0</v>
      </c>
      <c r="G249">
        <v>0</v>
      </c>
      <c r="H249">
        <v>62.5</v>
      </c>
      <c r="I249">
        <v>72.916666666666671</v>
      </c>
      <c r="J249">
        <v>0</v>
      </c>
      <c r="K249">
        <v>0</v>
      </c>
      <c r="L249">
        <v>10.416666666666666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32.824422690763051</v>
      </c>
      <c r="AO249">
        <v>7.6425167642032648</v>
      </c>
      <c r="AP249">
        <v>174.27015163219846</v>
      </c>
      <c r="AQ249">
        <v>51.41482646727335</v>
      </c>
      <c r="AR249">
        <v>7.0020137837714529</v>
      </c>
      <c r="AS249">
        <v>81.061978343751576</v>
      </c>
      <c r="AT249" t="e">
        <v>#DIV/0!</v>
      </c>
      <c r="AU249" t="e">
        <v>#DIV/0!</v>
      </c>
      <c r="AV249"/>
      <c r="AW249"/>
      <c r="DE249" s="187">
        <v>39987</v>
      </c>
      <c r="DF249" s="182">
        <v>0</v>
      </c>
      <c r="DG249" s="182">
        <v>28.197621641249089</v>
      </c>
      <c r="DH249" s="182">
        <v>13.900236020334058</v>
      </c>
      <c r="DI249" s="182">
        <v>8.1903594771241828</v>
      </c>
      <c r="DJ249" s="182">
        <v>3.125</v>
      </c>
      <c r="DK249" s="182">
        <v>2.083333333333333</v>
      </c>
      <c r="DL249" s="182">
        <v>4.1666666666666661</v>
      </c>
      <c r="DM249" s="182">
        <v>2.083333333333333</v>
      </c>
      <c r="DN249" s="182">
        <v>2.083333333333333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3">
        <v>244</v>
      </c>
      <c r="FZ249">
        <v>2.1834373233262436</v>
      </c>
      <c r="GA249">
        <v>18.528531480343673</v>
      </c>
      <c r="GB249">
        <v>8.1582853512435349</v>
      </c>
      <c r="GC249">
        <v>0.59776169161802395</v>
      </c>
      <c r="GD249">
        <v>2.1202983249499079</v>
      </c>
      <c r="GE249">
        <v>3.3627253496737834</v>
      </c>
      <c r="GF249">
        <v>0</v>
      </c>
      <c r="GG249">
        <v>1.9984475587149273</v>
      </c>
      <c r="GH249">
        <v>2.7417834741637517</v>
      </c>
      <c r="GI249">
        <v>4.0783145298791279</v>
      </c>
      <c r="GJ249"/>
      <c r="GK249"/>
      <c r="GL249"/>
      <c r="GM249"/>
      <c r="GN249" s="208"/>
      <c r="GO249" s="208"/>
      <c r="GP249" s="208"/>
      <c r="GQ249" s="208"/>
      <c r="GR249" s="208"/>
      <c r="GS249" s="208"/>
      <c r="GT249" s="208"/>
      <c r="GU249" s="213">
        <v>244</v>
      </c>
    </row>
    <row r="250" spans="1:203" s="7" customFormat="1">
      <c r="A250" s="1"/>
      <c r="B250">
        <v>0.16223479981520139</v>
      </c>
      <c r="C250">
        <v>5</v>
      </c>
      <c r="D250">
        <v>39714</v>
      </c>
      <c r="E250">
        <v>0</v>
      </c>
      <c r="F250">
        <v>0</v>
      </c>
      <c r="G250">
        <v>0</v>
      </c>
      <c r="H250">
        <v>62.5</v>
      </c>
      <c r="I250">
        <v>72.916666666666671</v>
      </c>
      <c r="J250">
        <v>0</v>
      </c>
      <c r="K250">
        <v>0</v>
      </c>
      <c r="L250">
        <v>10.416666666666666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30.395833333333332</v>
      </c>
      <c r="AO250">
        <v>7.556658015261732</v>
      </c>
      <c r="AP250">
        <v>422.42567936940168</v>
      </c>
      <c r="AQ250">
        <v>53.59147596958011</v>
      </c>
      <c r="AR250">
        <v>6.978231646502179</v>
      </c>
      <c r="AS250">
        <v>102.39877568331497</v>
      </c>
      <c r="AT250" t="e">
        <v>#DIV/0!</v>
      </c>
      <c r="AU250" t="e">
        <v>#DIV/0!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3">
        <v>245</v>
      </c>
      <c r="FZ250">
        <v>0</v>
      </c>
      <c r="GA250">
        <v>8.7923502989574072</v>
      </c>
      <c r="GB250">
        <v>4.4094316240245854</v>
      </c>
      <c r="GC250">
        <v>1.0856907621625855</v>
      </c>
      <c r="GD250">
        <v>3.2877269804242468</v>
      </c>
      <c r="GE250">
        <v>4.9838996611533801</v>
      </c>
      <c r="GF250">
        <v>0</v>
      </c>
      <c r="GG250">
        <v>2.5035332174879037</v>
      </c>
      <c r="GH250">
        <v>3.4093462823931233</v>
      </c>
      <c r="GI250">
        <v>3.7796109494294789</v>
      </c>
      <c r="GJ250"/>
      <c r="GK250"/>
      <c r="GL250"/>
      <c r="GM250"/>
      <c r="GN250" s="208"/>
      <c r="GO250" s="208"/>
      <c r="GP250" s="208"/>
      <c r="GQ250" s="208"/>
      <c r="GR250" s="208"/>
      <c r="GS250" s="208"/>
      <c r="GT250" s="208"/>
      <c r="GU250" s="213">
        <v>245</v>
      </c>
    </row>
    <row r="251" spans="1:203" s="7" customFormat="1">
      <c r="A251" s="1"/>
      <c r="B251">
        <v>0.17639797131860835</v>
      </c>
      <c r="C251">
        <v>3</v>
      </c>
      <c r="D251">
        <v>39714</v>
      </c>
      <c r="E251">
        <v>0</v>
      </c>
      <c r="F251">
        <v>0</v>
      </c>
      <c r="G251">
        <v>0</v>
      </c>
      <c r="H251">
        <v>52.083333333333336</v>
      </c>
      <c r="I251">
        <v>41.666666666666664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39.709086345381522</v>
      </c>
      <c r="AO251">
        <v>8.3099909959544291</v>
      </c>
      <c r="AP251">
        <v>201.72786266042678</v>
      </c>
      <c r="AQ251">
        <v>53.395548495372047</v>
      </c>
      <c r="AR251">
        <v>7.6088085399088721</v>
      </c>
      <c r="AS251">
        <v>94.665192800562494</v>
      </c>
      <c r="AT251" t="e">
        <v>#DIV/0!</v>
      </c>
      <c r="AU251" t="e">
        <v>#DIV/0!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3">
        <v>246</v>
      </c>
      <c r="FZ251">
        <v>2.7705984438954863</v>
      </c>
      <c r="GA251">
        <v>8.1530296226888535</v>
      </c>
      <c r="GB251">
        <v>3.0889484069779698</v>
      </c>
      <c r="GC251">
        <v>2.2609793811785028</v>
      </c>
      <c r="GD251">
        <v>2.1570797093897647</v>
      </c>
      <c r="GE251">
        <v>1.4325000055688129</v>
      </c>
      <c r="GF251">
        <v>0.95469624988012047</v>
      </c>
      <c r="GG251">
        <v>3.4648713879457071</v>
      </c>
      <c r="GH251">
        <v>4.8970170936990343</v>
      </c>
      <c r="GI251">
        <v>3.429226700642412</v>
      </c>
      <c r="GJ251"/>
      <c r="GK251"/>
      <c r="GL251"/>
      <c r="GM251"/>
      <c r="GN251" s="208"/>
      <c r="GO251" s="208"/>
      <c r="GP251" s="208"/>
      <c r="GQ251" s="208"/>
      <c r="GR251" s="208"/>
      <c r="GS251" s="208"/>
      <c r="GT251" s="208"/>
      <c r="GU251" s="213">
        <v>246</v>
      </c>
    </row>
    <row r="252" spans="1:203" s="7" customFormat="1">
      <c r="A252" s="1"/>
      <c r="B252">
        <v>0.84740775461598528</v>
      </c>
      <c r="C252">
        <v>4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20.833333333333332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12.779779833620196</v>
      </c>
      <c r="AO252">
        <v>5.7947146705480188</v>
      </c>
      <c r="AP252">
        <v>210.75867373145906</v>
      </c>
      <c r="AQ252">
        <v>33.244996996194516</v>
      </c>
      <c r="AR252">
        <v>5.376464969489712</v>
      </c>
      <c r="AS252">
        <v>46.07197906253294</v>
      </c>
      <c r="AT252" t="e">
        <v>#DIV/0!</v>
      </c>
      <c r="AU252" t="e">
        <v>#DIV/0!</v>
      </c>
      <c r="AV252"/>
      <c r="AW252"/>
      <c r="FY252" s="213">
        <v>247</v>
      </c>
      <c r="FZ252">
        <v>0.58716112056924263</v>
      </c>
      <c r="GA252">
        <v>16.855749271325053</v>
      </c>
      <c r="GB252">
        <v>8.494368066475138</v>
      </c>
      <c r="GC252">
        <v>2.6531479708261436</v>
      </c>
      <c r="GD252">
        <v>3.4760397079309362</v>
      </c>
      <c r="GE252">
        <v>4.0862487576328732</v>
      </c>
      <c r="GF252">
        <v>1.9093924997602409</v>
      </c>
      <c r="GG252">
        <v>5.0397040274966081</v>
      </c>
      <c r="GH252">
        <v>7.3091953937507812</v>
      </c>
      <c r="GI252">
        <v>5.9168482009458572</v>
      </c>
      <c r="GJ252"/>
      <c r="GK252"/>
      <c r="GL252"/>
      <c r="GM252"/>
      <c r="GN252" s="208"/>
      <c r="GO252" s="208"/>
      <c r="GP252" s="208"/>
      <c r="GQ252" s="208"/>
      <c r="GR252" s="208"/>
      <c r="GS252" s="208"/>
      <c r="GT252" s="208"/>
      <c r="GU252" s="213">
        <v>247</v>
      </c>
    </row>
    <row r="253" spans="1:203" s="7" customFormat="1">
      <c r="A253" s="1"/>
      <c r="B253">
        <v>0.30200346335804462</v>
      </c>
      <c r="C253">
        <v>4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20.833333333333332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32.885416666666664</v>
      </c>
      <c r="AO253">
        <v>7.706704450442186</v>
      </c>
      <c r="AP253">
        <v>211.78218799115683</v>
      </c>
      <c r="AQ253">
        <v>46.993388866753328</v>
      </c>
      <c r="AR253">
        <v>7.0060949549474429</v>
      </c>
      <c r="AS253">
        <v>86.095605724227468</v>
      </c>
      <c r="AT253" t="e">
        <v>#DIV/0!</v>
      </c>
      <c r="AU253" t="e">
        <v>#DIV/0!</v>
      </c>
      <c r="AV253"/>
      <c r="AW253"/>
      <c r="FY253" s="213">
        <v>248</v>
      </c>
      <c r="FZ253">
        <v>0.58716112056924263</v>
      </c>
      <c r="GA253">
        <v>16.565185684080959</v>
      </c>
      <c r="GB253">
        <v>8.2956016426969459</v>
      </c>
      <c r="GC253">
        <v>1.3302638723983682</v>
      </c>
      <c r="GD253">
        <v>1.8080205186268903</v>
      </c>
      <c r="GE253">
        <v>2.7603868175930546</v>
      </c>
      <c r="GF253">
        <v>1.9093924997602409</v>
      </c>
      <c r="GG253">
        <v>4.5817814621257051</v>
      </c>
      <c r="GH253">
        <v>6.3727251326819321</v>
      </c>
      <c r="GI253">
        <v>4.6288221980623323</v>
      </c>
      <c r="GJ253"/>
      <c r="GK253"/>
      <c r="GL253"/>
      <c r="GM253"/>
      <c r="GN253" s="208"/>
      <c r="GO253" s="208"/>
      <c r="GP253" s="208"/>
      <c r="GQ253" s="208"/>
      <c r="GR253" s="208"/>
      <c r="GS253" s="208"/>
      <c r="GT253" s="208"/>
      <c r="GU253" s="213">
        <v>248</v>
      </c>
    </row>
    <row r="254" spans="1:203" s="7" customFormat="1">
      <c r="A254" s="1"/>
      <c r="B254">
        <v>0.74218266211179662</v>
      </c>
      <c r="C254">
        <v>10</v>
      </c>
      <c r="D254">
        <v>39714</v>
      </c>
      <c r="E254">
        <v>0</v>
      </c>
      <c r="F254">
        <v>0</v>
      </c>
      <c r="G254">
        <v>0</v>
      </c>
      <c r="H254">
        <v>52.083333333333336</v>
      </c>
      <c r="I254">
        <v>41.666666666666664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30.405789413812887</v>
      </c>
      <c r="AO254">
        <v>8.3985623567423282</v>
      </c>
      <c r="AP254">
        <v>433.9366109025047</v>
      </c>
      <c r="AQ254">
        <v>60.371103126822895</v>
      </c>
      <c r="AR254">
        <v>7.7435992296663576</v>
      </c>
      <c r="AS254">
        <v>109.69856055952393</v>
      </c>
      <c r="AT254" t="e">
        <v>#DIV/0!</v>
      </c>
      <c r="AU254" t="e">
        <v>#DIV/0!</v>
      </c>
      <c r="AV254"/>
      <c r="AW254"/>
      <c r="FY254" s="213">
        <v>249</v>
      </c>
      <c r="FZ254">
        <v>1.1743222411384853</v>
      </c>
      <c r="GA254">
        <v>8.7343643038082792</v>
      </c>
      <c r="GB254">
        <v>4.331966721761499</v>
      </c>
      <c r="GC254">
        <v>1.7150526880754156</v>
      </c>
      <c r="GD254">
        <v>2.8119572261738406</v>
      </c>
      <c r="GE254">
        <v>3.6128817430354969</v>
      </c>
      <c r="GF254">
        <v>0.95469624988012047</v>
      </c>
      <c r="GG254">
        <v>3.4648713879457071</v>
      </c>
      <c r="GH254">
        <v>4.8970170936990343</v>
      </c>
      <c r="GI254">
        <v>3.941039103185688</v>
      </c>
      <c r="GJ254"/>
      <c r="GK254"/>
      <c r="GL254"/>
      <c r="GM254"/>
      <c r="GN254" s="208"/>
      <c r="GO254" s="208"/>
      <c r="GP254" s="208"/>
      <c r="GQ254" s="208"/>
      <c r="GR254" s="208"/>
      <c r="GS254" s="208"/>
      <c r="GT254" s="208"/>
      <c r="GU254" s="213">
        <v>249</v>
      </c>
    </row>
    <row r="255" spans="1:203" s="7" customFormat="1">
      <c r="A255" s="1"/>
      <c r="B255">
        <v>0.9195900684997913</v>
      </c>
      <c r="C255">
        <v>9</v>
      </c>
      <c r="D255">
        <v>39714</v>
      </c>
      <c r="E255">
        <v>0</v>
      </c>
      <c r="F255">
        <v>0</v>
      </c>
      <c r="G255">
        <v>0</v>
      </c>
      <c r="H255">
        <v>83.333333333333329</v>
      </c>
      <c r="I255">
        <v>83.333333333333329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19.991089357429722</v>
      </c>
      <c r="AO255">
        <v>4.9395508481531154</v>
      </c>
      <c r="AP255">
        <v>97.904189296078698</v>
      </c>
      <c r="AQ255">
        <v>32.339902003985046</v>
      </c>
      <c r="AR255">
        <v>4.54477204190768</v>
      </c>
      <c r="AS255">
        <v>58.257351986989704</v>
      </c>
      <c r="AT255" t="e">
        <v>#DIV/0!</v>
      </c>
      <c r="AU255" t="e">
        <v>#DIV/0!</v>
      </c>
      <c r="AV255"/>
      <c r="AW255"/>
      <c r="FY255" s="213">
        <v>250</v>
      </c>
      <c r="FZ255">
        <v>0</v>
      </c>
      <c r="GA255">
        <v>6.1855147875852463</v>
      </c>
      <c r="GB255">
        <v>3.130570403220414</v>
      </c>
      <c r="GC255">
        <v>1.4003717251190004</v>
      </c>
      <c r="GD255">
        <v>1.9537658968120839</v>
      </c>
      <c r="GE255">
        <v>2.072351898640973</v>
      </c>
      <c r="GF255">
        <v>0.47734812494006024</v>
      </c>
      <c r="GG255">
        <v>5.0380339738105313</v>
      </c>
      <c r="GH255">
        <v>7.1928331357584732</v>
      </c>
      <c r="GI255">
        <v>3.2360423601114507</v>
      </c>
      <c r="GJ255"/>
      <c r="GK255"/>
      <c r="GL255"/>
      <c r="GM255"/>
      <c r="GN255" s="208"/>
      <c r="GO255" s="208"/>
      <c r="GP255" s="208"/>
      <c r="GQ255" s="208"/>
      <c r="GR255" s="208"/>
      <c r="GS255" s="208"/>
      <c r="GT255" s="208"/>
      <c r="GU255" s="213">
        <v>250</v>
      </c>
    </row>
    <row r="256" spans="1:203" s="7" customFormat="1">
      <c r="A256" s="1"/>
      <c r="B256">
        <v>0.27708428657201734</v>
      </c>
      <c r="C256">
        <v>6</v>
      </c>
      <c r="D256">
        <v>39714</v>
      </c>
      <c r="E256">
        <v>0</v>
      </c>
      <c r="F256">
        <v>0</v>
      </c>
      <c r="G256">
        <v>0</v>
      </c>
      <c r="H256">
        <v>10.416666666666666</v>
      </c>
      <c r="I256">
        <v>10.416666666666666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28.239686784906457</v>
      </c>
      <c r="AO256">
        <v>8.0660603500032604</v>
      </c>
      <c r="AP256">
        <v>397.80395950307422</v>
      </c>
      <c r="AQ256">
        <v>54.44477424958842</v>
      </c>
      <c r="AR256">
        <v>7.4413246780853868</v>
      </c>
      <c r="AS256">
        <v>88.208859970229469</v>
      </c>
      <c r="AT256" t="e">
        <v>#DIV/0!</v>
      </c>
      <c r="AU256" t="e">
        <v>#DIV/0!</v>
      </c>
      <c r="AV256"/>
      <c r="AW256"/>
      <c r="FY256" s="213">
        <v>251</v>
      </c>
      <c r="FZ256">
        <v>1.596276202757001</v>
      </c>
      <c r="GA256">
        <v>15.187953571752242</v>
      </c>
      <c r="GB256">
        <v>6.7003590477409372</v>
      </c>
      <c r="GC256">
        <v>1.8883007956635618</v>
      </c>
      <c r="GD256">
        <v>2.5450179595906159</v>
      </c>
      <c r="GE256">
        <v>2.2135783533826516</v>
      </c>
      <c r="GF256">
        <v>0</v>
      </c>
      <c r="GG256">
        <v>2.6102719741219484</v>
      </c>
      <c r="GH256">
        <v>3.5499287049172779</v>
      </c>
      <c r="GI256">
        <v>3.9356381706987742</v>
      </c>
      <c r="GJ256"/>
      <c r="GK256"/>
      <c r="GL256"/>
      <c r="GM256"/>
      <c r="GN256" s="208"/>
      <c r="GO256" s="208"/>
      <c r="GP256" s="208"/>
      <c r="GQ256" s="208"/>
      <c r="GR256" s="208"/>
      <c r="GS256" s="208"/>
      <c r="GT256" s="208"/>
      <c r="GU256" s="213">
        <v>251</v>
      </c>
    </row>
    <row r="257" spans="1:203" s="7" customFormat="1">
      <c r="A257" s="1"/>
      <c r="B257">
        <v>0.74789093454386846</v>
      </c>
      <c r="C257">
        <v>2</v>
      </c>
      <c r="D257">
        <v>39714</v>
      </c>
      <c r="E257">
        <v>0</v>
      </c>
      <c r="F257">
        <v>0</v>
      </c>
      <c r="G257">
        <v>0</v>
      </c>
      <c r="H257">
        <v>20.833333333333332</v>
      </c>
      <c r="I257">
        <v>31.25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31.869047619047613</v>
      </c>
      <c r="AO257">
        <v>9.2105345424306968</v>
      </c>
      <c r="AP257">
        <v>151.99708015096445</v>
      </c>
      <c r="AQ257">
        <v>62.0484951574186</v>
      </c>
      <c r="AR257">
        <v>8.4817557621103301</v>
      </c>
      <c r="AS257">
        <v>94.558408352967049</v>
      </c>
      <c r="AT257" t="e">
        <v>#DIV/0!</v>
      </c>
      <c r="AU257" t="e">
        <v>#DIV/0!</v>
      </c>
      <c r="AV257"/>
      <c r="AW257"/>
      <c r="FY257" s="213">
        <v>252</v>
      </c>
      <c r="FZ257">
        <v>2.7705984438954863</v>
      </c>
      <c r="GA257">
        <v>20.705305750342124</v>
      </c>
      <c r="GB257">
        <v>9.4502400981244747</v>
      </c>
      <c r="GC257">
        <v>1.3228840984277752</v>
      </c>
      <c r="GD257">
        <v>1.2767624658936771</v>
      </c>
      <c r="GE257">
        <v>0.81790653622975862</v>
      </c>
      <c r="GF257">
        <v>0.47734812494006024</v>
      </c>
      <c r="GG257">
        <v>0.71856317204106601</v>
      </c>
      <c r="GH257">
        <v>0.94872765327768138</v>
      </c>
      <c r="GI257">
        <v>3.7523880790873307</v>
      </c>
      <c r="GJ257"/>
      <c r="GK257"/>
      <c r="GL257"/>
      <c r="GM257"/>
      <c r="GN257" s="208"/>
      <c r="GO257" s="208"/>
      <c r="GP257" s="208"/>
      <c r="GQ257" s="208"/>
      <c r="GR257" s="208"/>
      <c r="GS257" s="208"/>
      <c r="GT257" s="208"/>
      <c r="GU257" s="213">
        <v>252</v>
      </c>
    </row>
    <row r="258" spans="1:203" s="7" customFormat="1">
      <c r="A258" s="1"/>
      <c r="B258">
        <v>0.1696810372969193</v>
      </c>
      <c r="C258">
        <v>10</v>
      </c>
      <c r="D258">
        <v>39747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29.635416666666664</v>
      </c>
      <c r="AO258">
        <v>7.7847391020512662</v>
      </c>
      <c r="AP258">
        <v>172.63947491088118</v>
      </c>
      <c r="AQ258">
        <v>52.211223075162209</v>
      </c>
      <c r="AR258">
        <v>7.1313068181787269</v>
      </c>
      <c r="AS258">
        <v>85.78088419344347</v>
      </c>
      <c r="AT258" t="e">
        <v>#DIV/0!</v>
      </c>
      <c r="AU258" t="e">
        <v>#DIV/0!</v>
      </c>
      <c r="AV258"/>
      <c r="AW258"/>
      <c r="FY258" s="213">
        <v>253</v>
      </c>
      <c r="FZ258">
        <v>4.7888286082710039</v>
      </c>
      <c r="GA258">
        <v>19.961251603310533</v>
      </c>
      <c r="GB258">
        <v>7.0402257759025932</v>
      </c>
      <c r="GC258">
        <v>2.4981727174436923</v>
      </c>
      <c r="GD258">
        <v>3.2650027641474253</v>
      </c>
      <c r="GE258">
        <v>2.7255028532841425</v>
      </c>
      <c r="GF258">
        <v>0</v>
      </c>
      <c r="GG258">
        <v>4.1817645063006967</v>
      </c>
      <c r="GH258">
        <v>5.7293824889844096</v>
      </c>
      <c r="GI258">
        <v>5.3653326736726648</v>
      </c>
      <c r="GJ258"/>
      <c r="GK258"/>
      <c r="GL258"/>
      <c r="GM258"/>
      <c r="GN258" s="208"/>
      <c r="GO258" s="208"/>
      <c r="GP258" s="208"/>
      <c r="GQ258" s="208"/>
      <c r="GR258" s="208"/>
      <c r="GS258" s="208"/>
      <c r="GT258" s="208"/>
      <c r="GU258" s="213">
        <v>253</v>
      </c>
    </row>
    <row r="259" spans="1:203" s="7" customFormat="1">
      <c r="A259" s="90"/>
      <c r="B259">
        <v>0.95988156666456614</v>
      </c>
      <c r="C259">
        <v>1</v>
      </c>
      <c r="D259">
        <v>39747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21.383193488238668</v>
      </c>
      <c r="AO259">
        <v>5.0593223070586841</v>
      </c>
      <c r="AP259">
        <v>115.96783958385203</v>
      </c>
      <c r="AQ259">
        <v>34.504489273970293</v>
      </c>
      <c r="AR259">
        <v>4.7079264572266828</v>
      </c>
      <c r="AS259">
        <v>60.095251619666421</v>
      </c>
      <c r="AT259" t="e">
        <v>#DIV/0!</v>
      </c>
      <c r="AU259" t="e">
        <v>#DIV/0!</v>
      </c>
      <c r="AV259"/>
      <c r="AW259"/>
      <c r="FY259" s="213">
        <v>254</v>
      </c>
      <c r="FZ259">
        <v>0</v>
      </c>
      <c r="GA259">
        <v>11.253338426702394</v>
      </c>
      <c r="GB259">
        <v>5.6969931789121011</v>
      </c>
      <c r="GC259">
        <v>0.90506288060384632</v>
      </c>
      <c r="GD259">
        <v>2.2474989806447323</v>
      </c>
      <c r="GE259">
        <v>3.1497587765437736</v>
      </c>
      <c r="GF259">
        <v>0</v>
      </c>
      <c r="GG259">
        <v>1.5731625858648244</v>
      </c>
      <c r="GH259">
        <v>2.295816042059438</v>
      </c>
      <c r="GI259">
        <v>3.2039042908670741</v>
      </c>
      <c r="GJ259"/>
      <c r="GK259"/>
      <c r="GL259"/>
      <c r="GM259"/>
      <c r="GN259" s="208"/>
      <c r="GO259" s="208"/>
      <c r="GP259" s="208"/>
      <c r="GQ259" s="208"/>
      <c r="GR259" s="208"/>
      <c r="GS259" s="208"/>
      <c r="GT259" s="208"/>
      <c r="GU259" s="213">
        <v>254</v>
      </c>
    </row>
    <row r="260" spans="1:203" s="7" customFormat="1">
      <c r="A260" s="77" t="s">
        <v>61</v>
      </c>
      <c r="B260">
        <v>0.17962296608248307</v>
      </c>
      <c r="C260">
        <v>4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29.763410786001153</v>
      </c>
      <c r="AO260">
        <v>6.2881205483154021</v>
      </c>
      <c r="AP260">
        <v>65.191161587560259</v>
      </c>
      <c r="AQ260">
        <v>43.769585083912979</v>
      </c>
      <c r="AR260">
        <v>5.7707444966006678</v>
      </c>
      <c r="AS260">
        <v>69.323180581379532</v>
      </c>
      <c r="AT260" t="e">
        <v>#DIV/0!</v>
      </c>
      <c r="AU260" t="e">
        <v>#DIV/0!</v>
      </c>
      <c r="AV260"/>
      <c r="AW260"/>
      <c r="FY260" s="213">
        <v>255</v>
      </c>
      <c r="FZ260">
        <v>0.58716112056924263</v>
      </c>
      <c r="GA260">
        <v>18.628790686226431</v>
      </c>
      <c r="GB260">
        <v>9.2989675115257846</v>
      </c>
      <c r="GC260">
        <v>2.1133839017666447</v>
      </c>
      <c r="GD260">
        <v>2.3764452300430348</v>
      </c>
      <c r="GE260">
        <v>1.5255294515988203</v>
      </c>
      <c r="GF260">
        <v>0</v>
      </c>
      <c r="GG260">
        <v>6.9297427758914143</v>
      </c>
      <c r="GH260">
        <v>9.7940341873980685</v>
      </c>
      <c r="GI260">
        <v>5.4535477082815813</v>
      </c>
      <c r="GJ260"/>
      <c r="GK260"/>
      <c r="GL260"/>
      <c r="GM260"/>
      <c r="GN260" s="208"/>
      <c r="GO260" s="208"/>
      <c r="GP260" s="208"/>
      <c r="GQ260" s="208"/>
      <c r="GR260" s="208"/>
      <c r="GS260" s="208"/>
      <c r="GT260" s="208"/>
      <c r="GU260" s="213">
        <v>255</v>
      </c>
    </row>
    <row r="261" spans="1:203" s="7" customFormat="1">
      <c r="A261" s="77" t="s">
        <v>62</v>
      </c>
      <c r="B261">
        <v>0.20004206266262869</v>
      </c>
      <c r="C261">
        <v>8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21.916017106191596</v>
      </c>
      <c r="AO261">
        <v>5.9213463135332365</v>
      </c>
      <c r="AP261">
        <v>212.0595035849413</v>
      </c>
      <c r="AQ261">
        <v>32.251589776032709</v>
      </c>
      <c r="AR261">
        <v>5.3830421032120332</v>
      </c>
      <c r="AS261">
        <v>64.468358186984773</v>
      </c>
      <c r="AT261" t="e">
        <v>#DIV/0!</v>
      </c>
      <c r="AU261" t="e">
        <v>#DIV/0!</v>
      </c>
      <c r="AV261"/>
      <c r="AW261"/>
      <c r="FY261" s="213">
        <v>256</v>
      </c>
      <c r="FZ261">
        <v>4.9540357672217299</v>
      </c>
      <c r="GA261">
        <v>13.442387773182045</v>
      </c>
      <c r="GB261">
        <v>4.7266123697436511</v>
      </c>
      <c r="GC261">
        <v>1.6254548312220838</v>
      </c>
      <c r="GD261">
        <v>3.0274910655022822</v>
      </c>
      <c r="GE261">
        <v>3.603565760387669</v>
      </c>
      <c r="GF261">
        <v>0</v>
      </c>
      <c r="GG261">
        <v>3.5716101445797515</v>
      </c>
      <c r="GH261">
        <v>5.0375995162231906</v>
      </c>
      <c r="GI261">
        <v>4.5720212961960049</v>
      </c>
      <c r="GJ261"/>
      <c r="GK261"/>
      <c r="GL261"/>
      <c r="GM261"/>
      <c r="GN261" s="208"/>
      <c r="GO261" s="208"/>
      <c r="GP261" s="208"/>
      <c r="GQ261" s="208"/>
      <c r="GR261" s="208"/>
      <c r="GS261" s="208"/>
      <c r="GT261" s="208"/>
      <c r="GU261" s="213">
        <v>256</v>
      </c>
    </row>
    <row r="262" spans="1:203" s="7" customFormat="1" ht="12.75" customHeight="1">
      <c r="A262" s="77"/>
      <c r="B262">
        <v>0.82759435212376875</v>
      </c>
      <c r="C262">
        <v>7</v>
      </c>
      <c r="D262">
        <v>39747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30.713550631095814</v>
      </c>
      <c r="AO262">
        <v>5.2633111127675605</v>
      </c>
      <c r="AP262">
        <v>172.18132600749431</v>
      </c>
      <c r="AQ262">
        <v>32.608947001866667</v>
      </c>
      <c r="AR262">
        <v>4.8933708260529336</v>
      </c>
      <c r="AS262">
        <v>68.356364428925744</v>
      </c>
      <c r="AT262" t="e">
        <v>#DIV/0!</v>
      </c>
      <c r="AU262" t="e">
        <v>#DIV/0!</v>
      </c>
      <c r="AV262"/>
      <c r="AW262"/>
      <c r="FY262" s="213">
        <v>257</v>
      </c>
      <c r="FZ262">
        <v>0</v>
      </c>
      <c r="GA262">
        <v>11.108622223085478</v>
      </c>
      <c r="GB262">
        <v>5.4895264210505665</v>
      </c>
      <c r="GC262">
        <v>0.6947393224419488</v>
      </c>
      <c r="GD262">
        <v>2.4707928862761181</v>
      </c>
      <c r="GE262">
        <v>4.5108422044839829</v>
      </c>
      <c r="GF262">
        <v>0.95469624988012047</v>
      </c>
      <c r="GG262">
        <v>3.1153576328949253</v>
      </c>
      <c r="GH262">
        <v>4.2174915131466495</v>
      </c>
      <c r="GI262">
        <v>3.7445295498649904</v>
      </c>
      <c r="GJ262"/>
      <c r="GK262"/>
      <c r="GL262"/>
      <c r="GM262"/>
      <c r="GN262" s="208"/>
      <c r="GO262" s="208"/>
      <c r="GP262" s="208"/>
      <c r="GQ262" s="208"/>
      <c r="GR262" s="208"/>
      <c r="GS262" s="208"/>
      <c r="GT262" s="208"/>
      <c r="GU262" s="213">
        <v>257</v>
      </c>
    </row>
    <row r="263" spans="1:203" s="7" customFormat="1">
      <c r="A263" s="77"/>
      <c r="B263">
        <v>0.13597730713269573</v>
      </c>
      <c r="C263">
        <v>8</v>
      </c>
      <c r="D263">
        <v>39747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41.572199512335054</v>
      </c>
      <c r="AO263">
        <v>9.3077056533792835</v>
      </c>
      <c r="AP263">
        <v>443.94279906335657</v>
      </c>
      <c r="AQ263">
        <v>56.327855016712881</v>
      </c>
      <c r="AR263">
        <v>8.515821864840559</v>
      </c>
      <c r="AS263">
        <v>105.31045428064319</v>
      </c>
      <c r="AT263" t="e">
        <v>#DIV/0!</v>
      </c>
      <c r="AU263" t="e">
        <v>#DIV/0!</v>
      </c>
      <c r="AV263"/>
      <c r="AW263"/>
      <c r="FY263" s="213">
        <v>258</v>
      </c>
      <c r="FZ263">
        <v>1.1743222411384853</v>
      </c>
      <c r="GA263">
        <v>14.94246591768705</v>
      </c>
      <c r="GB263">
        <v>7.4311508084559774</v>
      </c>
      <c r="GC263">
        <v>0.53976406905949814</v>
      </c>
      <c r="GD263">
        <v>0.98268769633338815</v>
      </c>
      <c r="GE263">
        <v>1.7345129458056499</v>
      </c>
      <c r="GF263">
        <v>0.95469624988012047</v>
      </c>
      <c r="GG263">
        <v>2.3984645145399348</v>
      </c>
      <c r="GH263">
        <v>3.3851261178612746</v>
      </c>
      <c r="GI263">
        <v>3.3649440325577711</v>
      </c>
      <c r="GJ263"/>
      <c r="GK263"/>
      <c r="GL263"/>
      <c r="GM263"/>
      <c r="GN263" s="208"/>
      <c r="GO263" s="208"/>
      <c r="GP263" s="208"/>
      <c r="GQ263" s="208"/>
      <c r="GR263" s="208"/>
      <c r="GS263" s="208"/>
      <c r="GT263" s="208"/>
      <c r="GU263" s="213">
        <v>258</v>
      </c>
    </row>
    <row r="264" spans="1:203" s="7" customFormat="1">
      <c r="A264" s="77"/>
      <c r="B264">
        <v>0.94254274131701554</v>
      </c>
      <c r="C264">
        <v>1</v>
      </c>
      <c r="D264">
        <v>39747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31.582016283524901</v>
      </c>
      <c r="AO264">
        <v>7.150661062399533</v>
      </c>
      <c r="AP264">
        <v>350.69910938872499</v>
      </c>
      <c r="AQ264">
        <v>48.83934094859567</v>
      </c>
      <c r="AR264">
        <v>6.5548722366771504</v>
      </c>
      <c r="AS264">
        <v>86.012689909373393</v>
      </c>
      <c r="AT264" t="e">
        <v>#DIV/0!</v>
      </c>
      <c r="AU264" t="e">
        <v>#DIV/0!</v>
      </c>
      <c r="AV264"/>
      <c r="AW264"/>
      <c r="FY264" s="213">
        <v>259</v>
      </c>
      <c r="FZ264">
        <v>0.58716112056924263</v>
      </c>
      <c r="GA264">
        <v>20.428587966262224</v>
      </c>
      <c r="GB264">
        <v>10.167874935261462</v>
      </c>
      <c r="GC264">
        <v>1.4003717251190004</v>
      </c>
      <c r="GD264">
        <v>2.0779663173039404</v>
      </c>
      <c r="GE264">
        <v>2.0272099033946587</v>
      </c>
      <c r="GF264">
        <v>0</v>
      </c>
      <c r="GG264">
        <v>3.8648883437707147</v>
      </c>
      <c r="GH264">
        <v>5.5403597373965576</v>
      </c>
      <c r="GI264">
        <v>4.7604909802218049</v>
      </c>
      <c r="GJ264"/>
      <c r="GK264"/>
      <c r="GL264"/>
      <c r="GM264"/>
      <c r="GN264" s="208"/>
      <c r="GO264" s="208"/>
      <c r="GP264" s="208"/>
      <c r="GQ264" s="208"/>
      <c r="GR264" s="208"/>
      <c r="GS264" s="208"/>
      <c r="GT264" s="208"/>
      <c r="GU264" s="213">
        <v>259</v>
      </c>
    </row>
    <row r="265" spans="1:203" s="7" customFormat="1">
      <c r="A265" s="77"/>
      <c r="B265">
        <v>0.35549060790522824</v>
      </c>
      <c r="C265">
        <v>8</v>
      </c>
      <c r="D265">
        <v>39747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30.271586345381525</v>
      </c>
      <c r="AO265">
        <v>6.0699175496722075</v>
      </c>
      <c r="AP265">
        <v>269.95525554601386</v>
      </c>
      <c r="AQ265">
        <v>35.638168758703571</v>
      </c>
      <c r="AR265">
        <v>5.6266494050571572</v>
      </c>
      <c r="AS265">
        <v>81.637112787006231</v>
      </c>
      <c r="AT265" t="e">
        <v>#DIV/0!</v>
      </c>
      <c r="AU265" t="e">
        <v>#DIV/0!</v>
      </c>
      <c r="AV265"/>
      <c r="AW265"/>
      <c r="FY265" s="213">
        <v>260</v>
      </c>
      <c r="FZ265">
        <v>1.1743222411384853</v>
      </c>
      <c r="GA265">
        <v>10.93434743188887</v>
      </c>
      <c r="GB265">
        <v>5.3514107580299282</v>
      </c>
      <c r="GC265">
        <v>1.4522067236339373</v>
      </c>
      <c r="GD265">
        <v>2.7356070669861405</v>
      </c>
      <c r="GE265">
        <v>3.2816552658058735</v>
      </c>
      <c r="GF265">
        <v>0</v>
      </c>
      <c r="GG265">
        <v>0.93204068530915563</v>
      </c>
      <c r="GH265">
        <v>1.2298924983259916</v>
      </c>
      <c r="GI265">
        <v>3.3720361658731002</v>
      </c>
      <c r="GJ265"/>
      <c r="GK265"/>
      <c r="GL265"/>
      <c r="GM265"/>
      <c r="GN265" s="208"/>
      <c r="GO265" s="208"/>
      <c r="GP265" s="208"/>
      <c r="GQ265" s="208"/>
      <c r="GR265" s="208"/>
      <c r="GS265" s="208"/>
      <c r="GT265" s="208"/>
      <c r="GU265" s="213">
        <v>260</v>
      </c>
    </row>
    <row r="266" spans="1:203" s="7" customFormat="1">
      <c r="A266" s="1"/>
      <c r="B266">
        <v>0.79692864789177342</v>
      </c>
      <c r="C266">
        <v>4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22.268610154905335</v>
      </c>
      <c r="AO266">
        <v>5.1800089624494188</v>
      </c>
      <c r="AP266">
        <v>262.74766789118917</v>
      </c>
      <c r="AQ266">
        <v>30.686832305998237</v>
      </c>
      <c r="AR266">
        <v>4.7090990567721986</v>
      </c>
      <c r="AS266">
        <v>54.445875983865378</v>
      </c>
      <c r="AT266" t="e">
        <v>#DIV/0!</v>
      </c>
      <c r="AU266" t="e">
        <v>#DIV/0!</v>
      </c>
      <c r="AV266"/>
      <c r="AW266"/>
      <c r="FY266" s="213">
        <v>261</v>
      </c>
      <c r="FZ266">
        <v>3.192552405514002</v>
      </c>
      <c r="GA266">
        <v>28.380062620239578</v>
      </c>
      <c r="GB266">
        <v>12.303193277075231</v>
      </c>
      <c r="GC266">
        <v>1.792540314766641</v>
      </c>
      <c r="GD266">
        <v>2.3127479992294599</v>
      </c>
      <c r="GE266">
        <v>2.4770338083153738</v>
      </c>
      <c r="GF266">
        <v>0.95469624988012047</v>
      </c>
      <c r="GG266">
        <v>3.4648713879457071</v>
      </c>
      <c r="GH266">
        <v>4.8970170936990343</v>
      </c>
      <c r="GI266">
        <v>5.8898419828206583</v>
      </c>
      <c r="GJ266"/>
      <c r="GK266"/>
      <c r="GL266"/>
      <c r="GM266"/>
      <c r="GN266" s="208"/>
      <c r="GO266" s="208"/>
      <c r="GP266" s="208"/>
      <c r="GQ266" s="208"/>
      <c r="GR266" s="208"/>
      <c r="GS266" s="208"/>
      <c r="GT266" s="208"/>
      <c r="GU266" s="213">
        <v>261</v>
      </c>
    </row>
    <row r="267" spans="1:203" s="7" customFormat="1">
      <c r="A267" s="1"/>
      <c r="B267">
        <v>0.21511677967957543</v>
      </c>
      <c r="C267">
        <v>8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35.443555832525497</v>
      </c>
      <c r="AO267">
        <v>5.9845605578069723</v>
      </c>
      <c r="AP267">
        <v>139.75499560256947</v>
      </c>
      <c r="AQ267">
        <v>40.227324780625011</v>
      </c>
      <c r="AR267">
        <v>5.4405095980063383</v>
      </c>
      <c r="AS267">
        <v>81.694722763768709</v>
      </c>
      <c r="AT267" t="e">
        <v>#DIV/0!</v>
      </c>
      <c r="AU267" t="e">
        <v>#DIV/0!</v>
      </c>
      <c r="AV267"/>
      <c r="AW267"/>
      <c r="FY267" s="213">
        <v>262</v>
      </c>
      <c r="FZ267">
        <v>0</v>
      </c>
      <c r="GA267">
        <v>17.025855023680769</v>
      </c>
      <c r="GB267">
        <v>8.5367894342848079</v>
      </c>
      <c r="GC267">
        <v>1.1752886190159173</v>
      </c>
      <c r="GD267">
        <v>2.8971711794244275</v>
      </c>
      <c r="GE267">
        <v>4.0411207452183087</v>
      </c>
      <c r="GF267">
        <v>0</v>
      </c>
      <c r="GG267">
        <v>5.7565971458515968</v>
      </c>
      <c r="GH267">
        <v>8.1415607890361557</v>
      </c>
      <c r="GI267">
        <v>5.1958268323269294</v>
      </c>
      <c r="GJ267"/>
      <c r="GK267"/>
      <c r="GL267"/>
      <c r="GM267"/>
      <c r="GN267" s="208"/>
      <c r="GO267" s="208"/>
      <c r="GP267" s="208"/>
      <c r="GQ267" s="208"/>
      <c r="GR267" s="208"/>
      <c r="GS267" s="208"/>
      <c r="GT267" s="208"/>
      <c r="GU267" s="213">
        <v>262</v>
      </c>
    </row>
    <row r="268" spans="1:203" s="7" customFormat="1">
      <c r="A268" s="1"/>
      <c r="B268">
        <v>0.19922071285658682</v>
      </c>
      <c r="C268">
        <v>2</v>
      </c>
      <c r="D268">
        <v>39775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28.08565996333445</v>
      </c>
      <c r="AO268">
        <v>5.5945877497951813</v>
      </c>
      <c r="AP268">
        <v>62.387477218102511</v>
      </c>
      <c r="AQ268">
        <v>42.240724422259426</v>
      </c>
      <c r="AR268">
        <v>5.1945314051689504</v>
      </c>
      <c r="AS268">
        <v>73.604903595873267</v>
      </c>
      <c r="AT268" t="e">
        <v>#DIV/0!</v>
      </c>
      <c r="AU268" t="e">
        <v>#DIV/0!</v>
      </c>
      <c r="AV268"/>
      <c r="AW268"/>
      <c r="FY268" s="213">
        <v>263</v>
      </c>
      <c r="FZ268">
        <v>0</v>
      </c>
      <c r="GA268">
        <v>9.6080318340149553</v>
      </c>
      <c r="GB268">
        <v>4.8639286611970647</v>
      </c>
      <c r="GC268">
        <v>2.3249246098555463</v>
      </c>
      <c r="GD268">
        <v>2.5061043680054564</v>
      </c>
      <c r="GE268">
        <v>2.0431243788164366</v>
      </c>
      <c r="GF268">
        <v>0.95469624988012047</v>
      </c>
      <c r="GG268">
        <v>3.8648883437707147</v>
      </c>
      <c r="GH268">
        <v>5.5403597373965576</v>
      </c>
      <c r="GI268">
        <v>3.8079193159728644</v>
      </c>
      <c r="GJ268"/>
      <c r="GK268"/>
      <c r="GL268"/>
      <c r="GM268"/>
      <c r="GN268" s="208"/>
      <c r="GO268" s="208"/>
      <c r="GP268" s="208"/>
      <c r="GQ268" s="208"/>
      <c r="GR268" s="208"/>
      <c r="GS268" s="208"/>
      <c r="GT268" s="208"/>
      <c r="GU268" s="213">
        <v>263</v>
      </c>
    </row>
    <row r="269" spans="1:203" s="7" customFormat="1">
      <c r="A269" s="1"/>
      <c r="B269">
        <v>0.61657294022181475</v>
      </c>
      <c r="C269">
        <v>8</v>
      </c>
      <c r="D269">
        <v>39775</v>
      </c>
      <c r="E269">
        <v>0</v>
      </c>
      <c r="F269">
        <v>52.083333333333336</v>
      </c>
      <c r="G269">
        <v>364.58333333333331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40.897406951286257</v>
      </c>
      <c r="AO269">
        <v>8.3483554605857311</v>
      </c>
      <c r="AP269">
        <v>247.81415816462496</v>
      </c>
      <c r="AQ269">
        <v>55.555463991317168</v>
      </c>
      <c r="AR269">
        <v>7.5894140550779365</v>
      </c>
      <c r="AS269">
        <v>106.6902120661653</v>
      </c>
      <c r="AT269" t="e">
        <v>#DIV/0!</v>
      </c>
      <c r="AU269" t="e">
        <v>#DIV/0!</v>
      </c>
      <c r="AV269"/>
      <c r="AW269"/>
      <c r="FY269" s="213">
        <v>264</v>
      </c>
      <c r="FZ269">
        <v>5.9631508494094883</v>
      </c>
      <c r="GA269">
        <v>14.414024031391726</v>
      </c>
      <c r="GB269">
        <v>4.453974864128571</v>
      </c>
      <c r="GC269">
        <v>1.2527762457071427</v>
      </c>
      <c r="GD269">
        <v>1.5222738111188525</v>
      </c>
      <c r="GE269">
        <v>1.1358479347201231</v>
      </c>
      <c r="GF269">
        <v>0</v>
      </c>
      <c r="GG269">
        <v>4.6885202187597494</v>
      </c>
      <c r="GH269">
        <v>6.5133075552060884</v>
      </c>
      <c r="GI269">
        <v>3.9734260607971965</v>
      </c>
      <c r="GJ269"/>
      <c r="GK269"/>
      <c r="GL269"/>
      <c r="GM269"/>
      <c r="GN269" s="208"/>
      <c r="GO269" s="208"/>
      <c r="GP269" s="208"/>
      <c r="GQ269" s="208"/>
      <c r="GR269" s="208"/>
      <c r="GS269" s="208"/>
      <c r="GT269" s="208"/>
      <c r="GU269" s="213">
        <v>264</v>
      </c>
    </row>
    <row r="270" spans="1:203" s="7" customFormat="1">
      <c r="A270" s="1"/>
      <c r="B270">
        <v>0.42016624934728242</v>
      </c>
      <c r="C270">
        <v>3</v>
      </c>
      <c r="D270">
        <v>39775</v>
      </c>
      <c r="E270">
        <v>0</v>
      </c>
      <c r="F270">
        <v>52.083333333333336</v>
      </c>
      <c r="G270">
        <v>416.66666666666669</v>
      </c>
      <c r="H270">
        <v>52.083333333333336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20.428571428571427</v>
      </c>
      <c r="AO270">
        <v>5.0116346617016614</v>
      </c>
      <c r="AP270">
        <v>213.30168863049352</v>
      </c>
      <c r="AQ270">
        <v>30.325535162198186</v>
      </c>
      <c r="AR270">
        <v>4.5560315106378741</v>
      </c>
      <c r="AS270">
        <v>58.61301334762031</v>
      </c>
      <c r="AT270" t="e">
        <v>#DIV/0!</v>
      </c>
      <c r="AU270" t="e">
        <v>#DIV/0!</v>
      </c>
      <c r="AV270"/>
      <c r="AW270"/>
      <c r="FY270" s="213">
        <v>265</v>
      </c>
      <c r="FZ270">
        <v>5.9631508494094883</v>
      </c>
      <c r="GA270">
        <v>18.548827828757446</v>
      </c>
      <c r="GB270">
        <v>6.1816174293847066</v>
      </c>
      <c r="GC270">
        <v>0.61725169575072358</v>
      </c>
      <c r="GD270">
        <v>0.98526321493627345</v>
      </c>
      <c r="GE270">
        <v>1.0335025060422882</v>
      </c>
      <c r="GF270">
        <v>0</v>
      </c>
      <c r="GG270">
        <v>7.6483059479324798</v>
      </c>
      <c r="GH270">
        <v>10.742761840675751</v>
      </c>
      <c r="GI270">
        <v>4.8292774920007053</v>
      </c>
      <c r="GJ270"/>
      <c r="GK270"/>
      <c r="GL270"/>
      <c r="GM270"/>
      <c r="GN270" s="208"/>
      <c r="GO270" s="208"/>
      <c r="GP270" s="208"/>
      <c r="GQ270" s="208"/>
      <c r="GR270" s="208"/>
      <c r="GS270" s="208"/>
      <c r="GT270" s="208"/>
      <c r="GU270" s="213">
        <v>265</v>
      </c>
    </row>
    <row r="271" spans="1:203" s="7" customFormat="1">
      <c r="A271" s="77"/>
      <c r="B271">
        <v>2.7875261483544911E-2</v>
      </c>
      <c r="C271">
        <v>4</v>
      </c>
      <c r="D271">
        <v>39775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33.790196500286861</v>
      </c>
      <c r="AO271">
        <v>8.5800562109704774</v>
      </c>
      <c r="AP271">
        <v>464.5533900199697</v>
      </c>
      <c r="AQ271">
        <v>56.707602573301024</v>
      </c>
      <c r="AR271">
        <v>7.8543223717416453</v>
      </c>
      <c r="AS271">
        <v>107.79396236008913</v>
      </c>
      <c r="AT271" t="e">
        <v>#DIV/0!</v>
      </c>
      <c r="AU271" t="e">
        <v>#DIV/0!</v>
      </c>
      <c r="AV271"/>
      <c r="AW271"/>
      <c r="FY271" s="213">
        <v>266</v>
      </c>
      <c r="FZ271">
        <v>1.596276202757001</v>
      </c>
      <c r="GA271">
        <v>15.711399977130684</v>
      </c>
      <c r="GB271">
        <v>6.8735816427162781</v>
      </c>
      <c r="GC271">
        <v>7.7487626691225331E-2</v>
      </c>
      <c r="GD271">
        <v>2.2951325723260458</v>
      </c>
      <c r="GE271">
        <v>4.5397461835487913</v>
      </c>
      <c r="GF271">
        <v>0</v>
      </c>
      <c r="GG271">
        <v>3.358132631311662</v>
      </c>
      <c r="GH271">
        <v>4.7564346711748797</v>
      </c>
      <c r="GI271">
        <v>4.2557516670943372</v>
      </c>
      <c r="GJ271"/>
      <c r="GK271"/>
      <c r="GL271"/>
      <c r="GM271"/>
      <c r="GN271" s="208"/>
      <c r="GO271" s="208"/>
      <c r="GP271" s="208"/>
      <c r="GQ271" s="208"/>
      <c r="GR271" s="208"/>
      <c r="GS271" s="208"/>
      <c r="GT271" s="208"/>
      <c r="GU271" s="213">
        <v>266</v>
      </c>
    </row>
    <row r="272" spans="1:203" s="7" customFormat="1">
      <c r="A272" s="77"/>
      <c r="B272">
        <v>0.88122266021042694</v>
      </c>
      <c r="C272">
        <v>6</v>
      </c>
      <c r="D272">
        <v>39775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33.183053643144007</v>
      </c>
      <c r="AO272">
        <v>7.0086761104152187</v>
      </c>
      <c r="AP272">
        <v>150.45261921946266</v>
      </c>
      <c r="AQ272">
        <v>44.560778524258403</v>
      </c>
      <c r="AR272">
        <v>6.5343375493192886</v>
      </c>
      <c r="AS272">
        <v>95.150869559410538</v>
      </c>
      <c r="AT272" t="e">
        <v>#DIV/0!</v>
      </c>
      <c r="AU272" t="e">
        <v>#DIV/0!</v>
      </c>
      <c r="AV272"/>
      <c r="AW272"/>
      <c r="FY272" s="213">
        <v>267</v>
      </c>
      <c r="FZ272">
        <v>1.1743222411384853</v>
      </c>
      <c r="GA272">
        <v>16.002171071006018</v>
      </c>
      <c r="GB272">
        <v>7.9178335337216161</v>
      </c>
      <c r="GC272">
        <v>2.0998415037524634</v>
      </c>
      <c r="GD272">
        <v>2.0920580527110566</v>
      </c>
      <c r="GE272">
        <v>1.5510974332599043</v>
      </c>
      <c r="GF272">
        <v>0.95469624988012047</v>
      </c>
      <c r="GG272">
        <v>3.358132631311662</v>
      </c>
      <c r="GH272">
        <v>4.7564346711748797</v>
      </c>
      <c r="GI272">
        <v>4.3565978266722887</v>
      </c>
      <c r="GJ272"/>
      <c r="GK272"/>
      <c r="GL272"/>
      <c r="GM272"/>
      <c r="GN272" s="208"/>
      <c r="GO272" s="208"/>
      <c r="GP272" s="208"/>
      <c r="GQ272" s="208"/>
      <c r="GR272" s="208"/>
      <c r="GS272" s="208"/>
      <c r="GT272" s="208"/>
      <c r="GU272" s="213">
        <v>267</v>
      </c>
    </row>
    <row r="273" spans="1:203" s="7" customFormat="1">
      <c r="A273" s="1"/>
      <c r="B273">
        <v>5.8117057058905353E-2</v>
      </c>
      <c r="C273">
        <v>6</v>
      </c>
      <c r="D273">
        <v>39775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28.520269295573094</v>
      </c>
      <c r="AO273">
        <v>5.8099150925506642</v>
      </c>
      <c r="AP273">
        <v>242.7600028121081</v>
      </c>
      <c r="AQ273">
        <v>36.306598003124783</v>
      </c>
      <c r="AR273">
        <v>5.281740993227876</v>
      </c>
      <c r="AS273">
        <v>80.210438448795728</v>
      </c>
      <c r="AT273" t="e">
        <v>#DIV/0!</v>
      </c>
      <c r="AU273" t="e">
        <v>#DIV/0!</v>
      </c>
      <c r="AV273"/>
      <c r="AW273"/>
      <c r="FY273" s="213">
        <v>268</v>
      </c>
      <c r="FZ273">
        <v>1.1743222411384853</v>
      </c>
      <c r="GA273">
        <v>13.868817241795737</v>
      </c>
      <c r="GB273">
        <v>7.0203976398202581</v>
      </c>
      <c r="GC273">
        <v>0.68735954847135594</v>
      </c>
      <c r="GD273">
        <v>2.705997087105561</v>
      </c>
      <c r="GE273">
        <v>4.7101861752832557</v>
      </c>
      <c r="GF273">
        <v>0.47734812494006024</v>
      </c>
      <c r="GG273">
        <v>4.6885202187597494</v>
      </c>
      <c r="GH273">
        <v>6.5133075552060884</v>
      </c>
      <c r="GI273">
        <v>4.7422153490684114</v>
      </c>
      <c r="GJ273"/>
      <c r="GK273"/>
      <c r="GL273"/>
      <c r="GM273"/>
      <c r="GN273" s="208"/>
      <c r="GO273" s="208"/>
      <c r="GP273" s="208"/>
      <c r="GQ273" s="208"/>
      <c r="GR273" s="208"/>
      <c r="GS273" s="208"/>
      <c r="GT273" s="208"/>
      <c r="GU273" s="213">
        <v>268</v>
      </c>
    </row>
    <row r="274" spans="1:203" s="7" customFormat="1">
      <c r="A274" s="1"/>
      <c r="B274">
        <v>0.27542285079254447</v>
      </c>
      <c r="C274">
        <v>5</v>
      </c>
      <c r="D274">
        <v>39775</v>
      </c>
      <c r="E274">
        <v>0</v>
      </c>
      <c r="F274">
        <v>0</v>
      </c>
      <c r="G274">
        <v>119.04761904761905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21.495639165858837</v>
      </c>
      <c r="AO274">
        <v>5.1544078900823243</v>
      </c>
      <c r="AP274">
        <v>255.38141824961139</v>
      </c>
      <c r="AQ274">
        <v>36.908134593319154</v>
      </c>
      <c r="AR274">
        <v>4.7943678963390814</v>
      </c>
      <c r="AS274">
        <v>65.577148114810583</v>
      </c>
      <c r="AT274" t="e">
        <v>#DIV/0!</v>
      </c>
      <c r="AU274" t="e">
        <v>#DIV/0!</v>
      </c>
      <c r="AV274"/>
      <c r="AW274"/>
      <c r="FY274" s="213">
        <v>269</v>
      </c>
      <c r="FZ274">
        <v>1.596276202757001</v>
      </c>
      <c r="GA274">
        <v>19.485269328398882</v>
      </c>
      <c r="GB274">
        <v>8.7495121532082738</v>
      </c>
      <c r="GC274">
        <v>1.0082031354713601</v>
      </c>
      <c r="GD274">
        <v>1.892929515993178</v>
      </c>
      <c r="GE274">
        <v>2.2716958694402463</v>
      </c>
      <c r="GF274">
        <v>0</v>
      </c>
      <c r="GG274">
        <v>3.22209638952897</v>
      </c>
      <c r="GH274">
        <v>4.3580739356708049</v>
      </c>
      <c r="GI274">
        <v>4.3552088664798134</v>
      </c>
      <c r="GJ274"/>
      <c r="GK274"/>
      <c r="GL274"/>
      <c r="GM274"/>
      <c r="GN274" s="208"/>
      <c r="GO274" s="208"/>
      <c r="GP274" s="208"/>
      <c r="GQ274" s="208"/>
      <c r="GR274" s="208"/>
      <c r="GS274" s="208"/>
      <c r="GT274" s="208"/>
      <c r="GU274" s="213">
        <v>269</v>
      </c>
    </row>
    <row r="275" spans="1:203" s="7" customFormat="1">
      <c r="A275" s="1"/>
      <c r="B275">
        <v>0.74082350856080126</v>
      </c>
      <c r="C275">
        <v>10</v>
      </c>
      <c r="D275">
        <v>39775</v>
      </c>
      <c r="E275">
        <v>0</v>
      </c>
      <c r="F275">
        <v>0</v>
      </c>
      <c r="G275">
        <v>62.5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33.512743296667793</v>
      </c>
      <c r="AO275">
        <v>7.4209521709188264</v>
      </c>
      <c r="AP275">
        <v>379.97931646441157</v>
      </c>
      <c r="AQ275">
        <v>50.854911029299601</v>
      </c>
      <c r="AR275">
        <v>6.8005914262401443</v>
      </c>
      <c r="AS275">
        <v>99.987722212634964</v>
      </c>
      <c r="AT275" t="e">
        <v>#DIV/0!</v>
      </c>
      <c r="AU275" t="e">
        <v>#DIV/0!</v>
      </c>
      <c r="AV275"/>
      <c r="AW275"/>
      <c r="FY275" s="213">
        <v>270</v>
      </c>
      <c r="FZ275">
        <v>2.1834373233262436</v>
      </c>
      <c r="GA275">
        <v>17.504225495880309</v>
      </c>
      <c r="GB275">
        <v>7.7804538447669174</v>
      </c>
      <c r="GC275">
        <v>1.0082031354713601</v>
      </c>
      <c r="GD275">
        <v>1.8594613024100979</v>
      </c>
      <c r="GE275">
        <v>2.7892907966578626</v>
      </c>
      <c r="GF275">
        <v>0.95469624988012047</v>
      </c>
      <c r="GG275">
        <v>4.4767127591777358</v>
      </c>
      <c r="GH275">
        <v>6.3485049681500838</v>
      </c>
      <c r="GI275">
        <v>4.7124903345882387</v>
      </c>
      <c r="GJ275"/>
      <c r="GK275"/>
      <c r="GL275"/>
      <c r="GM275"/>
      <c r="GN275" s="208"/>
      <c r="GO275" s="208"/>
      <c r="GP275" s="208"/>
      <c r="GQ275" s="208"/>
      <c r="GR275" s="208"/>
      <c r="GS275" s="208"/>
      <c r="GT275" s="208"/>
      <c r="GU275" s="213">
        <v>270</v>
      </c>
    </row>
    <row r="276" spans="1:203" s="7" customFormat="1">
      <c r="A276" s="1"/>
      <c r="B276">
        <v>0.48747919346320767</v>
      </c>
      <c r="C276">
        <v>1</v>
      </c>
      <c r="D276">
        <v>39775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30.980023130287982</v>
      </c>
      <c r="AO276">
        <v>5.0883612342761193</v>
      </c>
      <c r="AP276">
        <v>202.94155596789841</v>
      </c>
      <c r="AQ276">
        <v>30.463518836991486</v>
      </c>
      <c r="AR276">
        <v>4.7343254819698046</v>
      </c>
      <c r="AS276">
        <v>76.827882791797037</v>
      </c>
      <c r="AT276" t="e">
        <v>#DIV/0!</v>
      </c>
      <c r="AU276" t="e">
        <v>#DIV/0!</v>
      </c>
      <c r="AV276"/>
      <c r="AW276"/>
      <c r="FY276" s="213">
        <v>271</v>
      </c>
      <c r="FZ276">
        <v>5.3759897288402456</v>
      </c>
      <c r="GA276">
        <v>23.135575992637918</v>
      </c>
      <c r="GB276">
        <v>8.6457040505751142</v>
      </c>
      <c r="GC276">
        <v>2.1834917544872772</v>
      </c>
      <c r="GD276">
        <v>1.7460559208251074</v>
      </c>
      <c r="GE276">
        <v>1.0135909688655795</v>
      </c>
      <c r="GF276">
        <v>1.432044374820181</v>
      </c>
      <c r="GG276">
        <v>6.7162652626233239</v>
      </c>
      <c r="GH276">
        <v>9.5128693423497594</v>
      </c>
      <c r="GI276">
        <v>5.8493087402122299</v>
      </c>
      <c r="GJ276"/>
      <c r="GK276"/>
      <c r="GL276"/>
      <c r="GM276"/>
      <c r="GN276" s="208"/>
      <c r="GO276" s="208"/>
      <c r="GP276" s="208"/>
      <c r="GQ276" s="208"/>
      <c r="GR276" s="208"/>
      <c r="GS276" s="208"/>
      <c r="GT276" s="208"/>
      <c r="GU276" s="213">
        <v>271</v>
      </c>
    </row>
    <row r="277" spans="1:203" s="7" customFormat="1">
      <c r="A277" s="1"/>
      <c r="B277">
        <v>0.7657106558925415</v>
      </c>
      <c r="C277">
        <v>1</v>
      </c>
      <c r="D277">
        <v>39775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37.802836345381529</v>
      </c>
      <c r="AO277">
        <v>9.1533912256348966</v>
      </c>
      <c r="AP277">
        <v>205.51521889226228</v>
      </c>
      <c r="AQ277">
        <v>65.664557139485808</v>
      </c>
      <c r="AR277">
        <v>8.3212647505771784</v>
      </c>
      <c r="AS277">
        <v>107.27110647197691</v>
      </c>
      <c r="AT277" t="e">
        <v>#DIV/0!</v>
      </c>
      <c r="AU277" t="e">
        <v>#DIV/0!</v>
      </c>
      <c r="AV277"/>
      <c r="AW277"/>
      <c r="FY277" s="213">
        <v>272</v>
      </c>
      <c r="FZ277">
        <v>2.1834373233262436</v>
      </c>
      <c r="GA277">
        <v>10.379768615903863</v>
      </c>
      <c r="GB277">
        <v>4.1727004219314336</v>
      </c>
      <c r="GC277">
        <v>3.0771318126936613</v>
      </c>
      <c r="GD277">
        <v>3.9842467544475255</v>
      </c>
      <c r="GE277">
        <v>3.8670212153203911</v>
      </c>
      <c r="GF277">
        <v>0.95469624988012047</v>
      </c>
      <c r="GG277">
        <v>4.2885032629347419</v>
      </c>
      <c r="GH277">
        <v>5.8699649115085659</v>
      </c>
      <c r="GI277">
        <v>4.8779967388649723</v>
      </c>
      <c r="GJ277"/>
      <c r="GK277"/>
      <c r="GL277"/>
      <c r="GM277"/>
      <c r="GN277" s="208"/>
      <c r="GO277" s="208"/>
      <c r="GP277" s="208"/>
      <c r="GQ277" s="208"/>
      <c r="GR277" s="208"/>
      <c r="GS277" s="208"/>
      <c r="GT277" s="208"/>
      <c r="GU277" s="213">
        <v>272</v>
      </c>
    </row>
    <row r="278" spans="1:203" s="7" customFormat="1">
      <c r="A278" s="1"/>
      <c r="B278">
        <v>0.31468022315168476</v>
      </c>
      <c r="C278">
        <v>9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35.214389165858833</v>
      </c>
      <c r="AO278">
        <v>8.1668540268983865</v>
      </c>
      <c r="AP278">
        <v>377.53228592757273</v>
      </c>
      <c r="AQ278">
        <v>52.770209768838903</v>
      </c>
      <c r="AR278">
        <v>7.4244127517258063</v>
      </c>
      <c r="AS278">
        <v>92.441340506154674</v>
      </c>
      <c r="AT278" t="e">
        <v>#DIV/0!</v>
      </c>
      <c r="AU278" t="e">
        <v>#DIV/0!</v>
      </c>
      <c r="AV278"/>
      <c r="AW278"/>
      <c r="FY278" s="213">
        <v>273</v>
      </c>
      <c r="FZ278">
        <v>0.58716112056924263</v>
      </c>
      <c r="GA278">
        <v>14.675855473132106</v>
      </c>
      <c r="GB278">
        <v>7.4303514368887527</v>
      </c>
      <c r="GC278">
        <v>0.2951909588237156</v>
      </c>
      <c r="GD278">
        <v>0.94489513124594127</v>
      </c>
      <c r="GE278">
        <v>1.4577584293019186</v>
      </c>
      <c r="GF278">
        <v>0</v>
      </c>
      <c r="GG278">
        <v>0.21347751326808947</v>
      </c>
      <c r="GH278">
        <v>0.28116484504831013</v>
      </c>
      <c r="GI278">
        <v>2.5753018538901271</v>
      </c>
      <c r="GJ278"/>
      <c r="GK278"/>
      <c r="GL278"/>
      <c r="GM278"/>
      <c r="GN278" s="208"/>
      <c r="GO278" s="208"/>
      <c r="GP278" s="208"/>
      <c r="GQ278" s="208"/>
      <c r="GR278" s="208"/>
      <c r="GS278" s="208"/>
      <c r="GT278" s="208"/>
      <c r="GU278" s="213">
        <v>273</v>
      </c>
    </row>
    <row r="279" spans="1:203" s="7" customFormat="1">
      <c r="A279" s="1"/>
      <c r="B279">
        <v>0.28644163439691273</v>
      </c>
      <c r="C279">
        <v>10</v>
      </c>
      <c r="D279">
        <v>39799</v>
      </c>
      <c r="E279">
        <v>20.833333333333332</v>
      </c>
      <c r="F279">
        <v>20.833333333333332</v>
      </c>
      <c r="G279">
        <v>31.25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32.523159963334457</v>
      </c>
      <c r="AO279">
        <v>5.9950142417912158</v>
      </c>
      <c r="AP279">
        <v>300.56497976717264</v>
      </c>
      <c r="AQ279">
        <v>35.513977498909718</v>
      </c>
      <c r="AR279">
        <v>5.4500129470829242</v>
      </c>
      <c r="AS279">
        <v>83.409107080086031</v>
      </c>
      <c r="AT279" t="e">
        <v>#DIV/0!</v>
      </c>
      <c r="AU279" t="e">
        <v>#DIV/0!</v>
      </c>
      <c r="AV279"/>
      <c r="AW279"/>
      <c r="FY279" s="213">
        <v>274</v>
      </c>
      <c r="FZ279">
        <v>2.1834373233262436</v>
      </c>
      <c r="GA279">
        <v>10.907384060123203</v>
      </c>
      <c r="GB279">
        <v>4.4416173121177449</v>
      </c>
      <c r="GC279">
        <v>0.84233480185380671</v>
      </c>
      <c r="GD279">
        <v>1.3993095302306737</v>
      </c>
      <c r="GE279">
        <v>1.5255294515988203</v>
      </c>
      <c r="GF279">
        <v>0</v>
      </c>
      <c r="GG279">
        <v>4.9003276783417631</v>
      </c>
      <c r="GH279">
        <v>6.6781101422620921</v>
      </c>
      <c r="GI279">
        <v>3.3939174855765861</v>
      </c>
      <c r="GJ279"/>
      <c r="GK279"/>
      <c r="GL279"/>
      <c r="GM279"/>
      <c r="GN279" s="208"/>
      <c r="GO279" s="208"/>
      <c r="GP279" s="208"/>
      <c r="GQ279" s="208"/>
      <c r="GR279" s="208"/>
      <c r="GS279" s="208"/>
      <c r="GT279" s="208"/>
      <c r="GU279" s="213">
        <v>274</v>
      </c>
    </row>
    <row r="280" spans="1:203" s="7" customFormat="1">
      <c r="A280" s="1"/>
      <c r="B280">
        <v>0.57809565441474842</v>
      </c>
      <c r="C280">
        <v>5</v>
      </c>
      <c r="D280">
        <v>39799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23.280685962239762</v>
      </c>
      <c r="AO280">
        <v>6.0786737237112138</v>
      </c>
      <c r="AP280">
        <v>159.22404803782246</v>
      </c>
      <c r="AQ280">
        <v>43.917301571238937</v>
      </c>
      <c r="AR280">
        <v>5.6346095632744353</v>
      </c>
      <c r="AS280">
        <v>77.119809584477252</v>
      </c>
      <c r="AT280" t="e">
        <v>#DIV/0!</v>
      </c>
      <c r="AU280" t="e">
        <v>#DIV/0!</v>
      </c>
      <c r="AV280"/>
      <c r="AW280"/>
      <c r="FY280" s="213">
        <v>275</v>
      </c>
      <c r="FZ280">
        <v>0</v>
      </c>
      <c r="GA280">
        <v>14.620672200428249</v>
      </c>
      <c r="GB280">
        <v>7.2192274610997362</v>
      </c>
      <c r="GC280">
        <v>0.76484717516258138</v>
      </c>
      <c r="GD280">
        <v>2.4575674960480161</v>
      </c>
      <c r="GE280">
        <v>4.3789457152218816</v>
      </c>
      <c r="GF280">
        <v>0.95469624988012047</v>
      </c>
      <c r="GG280">
        <v>5.2498414333925441</v>
      </c>
      <c r="GH280">
        <v>7.3576357228144769</v>
      </c>
      <c r="GI280">
        <v>4.7647278387709244</v>
      </c>
      <c r="GJ280"/>
      <c r="GK280"/>
      <c r="GL280"/>
      <c r="GM280"/>
      <c r="GN280" s="208"/>
      <c r="GO280" s="208"/>
      <c r="GP280" s="208"/>
      <c r="GQ280" s="208"/>
      <c r="GR280" s="208"/>
      <c r="GS280" s="208"/>
      <c r="GT280" s="208"/>
      <c r="GU280" s="213">
        <v>275</v>
      </c>
    </row>
    <row r="281" spans="1:203" s="7" customFormat="1">
      <c r="A281" s="1"/>
      <c r="B281">
        <v>0.43675080742881756</v>
      </c>
      <c r="C281">
        <v>2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20.833333333333332</v>
      </c>
      <c r="K281">
        <v>10.416666666666666</v>
      </c>
      <c r="L281">
        <v>10.416666666666666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23.09014217790703</v>
      </c>
      <c r="AO281">
        <v>7.7040225478520554</v>
      </c>
      <c r="AP281">
        <v>206.64253374736012</v>
      </c>
      <c r="AQ281">
        <v>56.549958804889862</v>
      </c>
      <c r="AR281">
        <v>7.1121994034024745</v>
      </c>
      <c r="AS281">
        <v>74.712430152866148</v>
      </c>
      <c r="AT281" t="e">
        <v>#DIV/0!</v>
      </c>
      <c r="AU281" t="e">
        <v>#DIV/0!</v>
      </c>
      <c r="AV281"/>
      <c r="AW281"/>
      <c r="FY281" s="213">
        <v>276</v>
      </c>
      <c r="FZ281">
        <v>5.3759897288402456</v>
      </c>
      <c r="GA281">
        <v>20.683231168614121</v>
      </c>
      <c r="GB281">
        <v>7.4026857357915858</v>
      </c>
      <c r="GC281">
        <v>1.0930705361331785</v>
      </c>
      <c r="GD281">
        <v>2.5172698204644575</v>
      </c>
      <c r="GE281">
        <v>3.9892641983431849</v>
      </c>
      <c r="GF281">
        <v>0.95469624988012047</v>
      </c>
      <c r="GG281">
        <v>6.8230040192573682</v>
      </c>
      <c r="GH281">
        <v>9.653451764873914</v>
      </c>
      <c r="GI281">
        <v>6.0322818851244344</v>
      </c>
      <c r="GJ281"/>
      <c r="GK281"/>
      <c r="GL281"/>
      <c r="GM281"/>
      <c r="GN281" s="208"/>
      <c r="GO281" s="208"/>
      <c r="GP281" s="208"/>
      <c r="GQ281" s="208"/>
      <c r="GR281" s="208"/>
      <c r="GS281" s="208"/>
      <c r="GT281" s="208"/>
      <c r="GU281" s="213">
        <v>276</v>
      </c>
    </row>
    <row r="282" spans="1:203" s="7" customFormat="1">
      <c r="A282" s="1"/>
      <c r="B282">
        <v>0.48163754640154299</v>
      </c>
      <c r="C282">
        <v>2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20.833333333333332</v>
      </c>
      <c r="K282">
        <v>10.416666666666666</v>
      </c>
      <c r="L282">
        <v>10.416666666666666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16.270833333333336</v>
      </c>
      <c r="AO282">
        <v>6.7808595742666471</v>
      </c>
      <c r="AP282">
        <v>126.34632291810796</v>
      </c>
      <c r="AQ282">
        <v>43.463943174750909</v>
      </c>
      <c r="AR282">
        <v>6.1644177947878598</v>
      </c>
      <c r="AS282">
        <v>59.480759416685743</v>
      </c>
      <c r="AT282" t="e">
        <v>#DIV/0!</v>
      </c>
      <c r="AU282" t="e">
        <v>#DIV/0!</v>
      </c>
      <c r="AV282"/>
      <c r="AW282"/>
      <c r="FY282" s="213">
        <v>277</v>
      </c>
      <c r="FZ282">
        <v>3.192552405514002</v>
      </c>
      <c r="GA282">
        <v>17.190867575711447</v>
      </c>
      <c r="GB282">
        <v>6.7675882702875123</v>
      </c>
      <c r="GC282">
        <v>1.0856907621625855</v>
      </c>
      <c r="GD282">
        <v>2.3860897381909103</v>
      </c>
      <c r="GE282">
        <v>3.1497587765437736</v>
      </c>
      <c r="GF282">
        <v>0</v>
      </c>
      <c r="GG282">
        <v>1.6799013424988689</v>
      </c>
      <c r="GH282">
        <v>2.436398464583593</v>
      </c>
      <c r="GI282">
        <v>4.0537061806178007</v>
      </c>
      <c r="GJ282"/>
      <c r="GK282"/>
      <c r="GL282"/>
      <c r="GM282"/>
      <c r="GN282" s="208"/>
      <c r="GO282" s="208"/>
      <c r="GP282" s="208"/>
      <c r="GQ282" s="208"/>
      <c r="GR282" s="208"/>
      <c r="GS282" s="208"/>
      <c r="GT282" s="208"/>
      <c r="GU282" s="213">
        <v>277</v>
      </c>
    </row>
    <row r="283" spans="1:203" s="7" customFormat="1">
      <c r="A283" s="1"/>
      <c r="B283">
        <v>0.57262121853770886</v>
      </c>
      <c r="C283">
        <v>7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33.71875</v>
      </c>
      <c r="AO283">
        <v>6.7140379417682396</v>
      </c>
      <c r="AP283">
        <v>351.96661349884033</v>
      </c>
      <c r="AQ283">
        <v>44.263185214628493</v>
      </c>
      <c r="AR283">
        <v>6.2122133978717295</v>
      </c>
      <c r="AS283">
        <v>94.930445860593409</v>
      </c>
      <c r="AT283" t="e">
        <v>#DIV/0!</v>
      </c>
      <c r="AU283" t="e">
        <v>#DIV/0!</v>
      </c>
      <c r="AV283"/>
      <c r="AW283"/>
      <c r="FY283" s="213">
        <v>278</v>
      </c>
      <c r="FZ283">
        <v>0.58716112056924263</v>
      </c>
      <c r="GA283">
        <v>17.285493706949538</v>
      </c>
      <c r="GB283">
        <v>8.5755535841669932</v>
      </c>
      <c r="GC283">
        <v>0.93809528275072762</v>
      </c>
      <c r="GD283">
        <v>2.0899981149419546</v>
      </c>
      <c r="GE283">
        <v>3.3653407635245527</v>
      </c>
      <c r="GF283">
        <v>0.95469624988012047</v>
      </c>
      <c r="GG283">
        <v>6.6111965596753564</v>
      </c>
      <c r="GH283">
        <v>9.4886491778179121</v>
      </c>
      <c r="GI283">
        <v>5.3418605288235508</v>
      </c>
      <c r="GJ283"/>
      <c r="GK283"/>
      <c r="GL283"/>
      <c r="GM283"/>
      <c r="GN283" s="208"/>
      <c r="GO283" s="208"/>
      <c r="GP283" s="208"/>
      <c r="GQ283" s="208"/>
      <c r="GR283" s="208"/>
      <c r="GS283" s="208"/>
      <c r="GT283" s="208"/>
      <c r="GU283" s="213">
        <v>278</v>
      </c>
    </row>
    <row r="284" spans="1:203" s="7" customFormat="1">
      <c r="A284" s="1"/>
      <c r="B284">
        <v>0.84247657052167835</v>
      </c>
      <c r="C284">
        <v>4</v>
      </c>
      <c r="D284">
        <v>39799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29.402709771763568</v>
      </c>
      <c r="AO284">
        <v>7.2627805958562517</v>
      </c>
      <c r="AP284">
        <v>311.37064998349331</v>
      </c>
      <c r="AQ284">
        <v>46.588471181588964</v>
      </c>
      <c r="AR284">
        <v>6.7110703561335603</v>
      </c>
      <c r="AS284">
        <v>85.311895345635236</v>
      </c>
      <c r="AT284" t="e">
        <v>#DIV/0!</v>
      </c>
      <c r="AU284" t="e">
        <v>#DIV/0!</v>
      </c>
      <c r="AV284"/>
      <c r="AW284"/>
      <c r="FY284" s="213">
        <v>279</v>
      </c>
      <c r="FZ284">
        <v>5.9631508494094883</v>
      </c>
      <c r="GA284">
        <v>26.430358216853694</v>
      </c>
      <c r="GB284">
        <v>10.407527381216157</v>
      </c>
      <c r="GC284">
        <v>1.1496359908396288</v>
      </c>
      <c r="GD284">
        <v>2.81087207102206</v>
      </c>
      <c r="GE284">
        <v>4.4909446501390242</v>
      </c>
      <c r="GF284">
        <v>0.95469624988012047</v>
      </c>
      <c r="GG284">
        <v>1.8933788557669584</v>
      </c>
      <c r="GH284">
        <v>2.7175633096319034</v>
      </c>
      <c r="GI284">
        <v>5.8118812218107596</v>
      </c>
      <c r="GJ284"/>
      <c r="GK284"/>
      <c r="GL284"/>
      <c r="GM284"/>
      <c r="GN284" s="208"/>
      <c r="GO284" s="208"/>
      <c r="GP284" s="208"/>
      <c r="GQ284" s="208"/>
      <c r="GR284" s="208"/>
      <c r="GS284" s="208"/>
      <c r="GT284" s="208"/>
      <c r="GU284" s="213">
        <v>279</v>
      </c>
    </row>
    <row r="285" spans="1:203" s="7" customFormat="1">
      <c r="A285" s="1"/>
      <c r="B285">
        <v>0.68482910459979873</v>
      </c>
      <c r="C285">
        <v>9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23.22340326000224</v>
      </c>
      <c r="AO285">
        <v>6.7948342934184849</v>
      </c>
      <c r="AP285">
        <v>133.3328132248343</v>
      </c>
      <c r="AQ285">
        <v>46.939265396948521</v>
      </c>
      <c r="AR285">
        <v>6.1771220849258954</v>
      </c>
      <c r="AS285">
        <v>70.66689051739047</v>
      </c>
      <c r="AT285" t="e">
        <v>#DIV/0!</v>
      </c>
      <c r="AU285" t="e">
        <v>#DIV/0!</v>
      </c>
      <c r="AV285"/>
      <c r="AW285"/>
      <c r="FY285" s="213">
        <v>280</v>
      </c>
      <c r="FZ285">
        <v>1.596276202757001</v>
      </c>
      <c r="GA285">
        <v>21.586261847584193</v>
      </c>
      <c r="GB285">
        <v>9.8499582154764589</v>
      </c>
      <c r="GC285">
        <v>1.5809996066777399</v>
      </c>
      <c r="GD285">
        <v>1.9085134456375874</v>
      </c>
      <c r="GE285">
        <v>1.695969443333285</v>
      </c>
      <c r="GF285">
        <v>0.47734812494006024</v>
      </c>
      <c r="GG285">
        <v>3.0086188762608805</v>
      </c>
      <c r="GH285">
        <v>4.0769090906224941</v>
      </c>
      <c r="GI285">
        <v>4.5576766645889446</v>
      </c>
      <c r="GJ285"/>
      <c r="GK285"/>
      <c r="GL285"/>
      <c r="GM285"/>
      <c r="GN285" s="208"/>
      <c r="GO285" s="208"/>
      <c r="GP285" s="208"/>
      <c r="GQ285" s="208"/>
      <c r="GR285" s="208"/>
      <c r="GS285" s="208"/>
      <c r="GT285" s="208"/>
      <c r="GU285" s="213">
        <v>280</v>
      </c>
    </row>
    <row r="286" spans="1:203" s="7" customFormat="1">
      <c r="A286" s="1"/>
      <c r="B286">
        <v>0.87152821737190589</v>
      </c>
      <c r="C286">
        <v>7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22.274733581287382</v>
      </c>
      <c r="AO286">
        <v>7.4449303865823335</v>
      </c>
      <c r="AP286">
        <v>163.53681842883691</v>
      </c>
      <c r="AQ286">
        <v>49.617476210308965</v>
      </c>
      <c r="AR286">
        <v>6.8223898041160593</v>
      </c>
      <c r="AS286">
        <v>72.355783433279655</v>
      </c>
      <c r="AT286" t="e">
        <v>#DIV/0!</v>
      </c>
      <c r="AU286" t="e">
        <v>#DIV/0!</v>
      </c>
      <c r="AV286"/>
      <c r="AW286"/>
      <c r="FY286" s="213">
        <v>281</v>
      </c>
      <c r="FZ286">
        <v>0</v>
      </c>
      <c r="GA286">
        <v>19.400112942957964</v>
      </c>
      <c r="GB286">
        <v>9.6943491335738763</v>
      </c>
      <c r="GC286">
        <v>1.9327560202079057</v>
      </c>
      <c r="GD286">
        <v>3.071253153225673</v>
      </c>
      <c r="GE286">
        <v>3.5102127735979334</v>
      </c>
      <c r="GF286">
        <v>0.47734812494006024</v>
      </c>
      <c r="GG286">
        <v>5.7549270921655209</v>
      </c>
      <c r="GH286">
        <v>8.0251985310438485</v>
      </c>
      <c r="GI286">
        <v>5.7221397330182278</v>
      </c>
      <c r="GJ286"/>
      <c r="GK286"/>
      <c r="GL286"/>
      <c r="GM286"/>
      <c r="GN286" s="208"/>
      <c r="GO286" s="208"/>
      <c r="GP286" s="208"/>
      <c r="GQ286" s="208"/>
      <c r="GR286" s="208"/>
      <c r="GS286" s="208"/>
      <c r="GT286" s="208"/>
      <c r="GU286" s="213">
        <v>281</v>
      </c>
    </row>
    <row r="287" spans="1:203" s="7" customFormat="1">
      <c r="A287" s="1"/>
      <c r="B287">
        <v>0.69951869212672424</v>
      </c>
      <c r="C287">
        <v>4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32.139880952380956</v>
      </c>
      <c r="AO287">
        <v>9.2435663313200571</v>
      </c>
      <c r="AP287">
        <v>256.95956196125724</v>
      </c>
      <c r="AQ287">
        <v>65.610896136236732</v>
      </c>
      <c r="AR287">
        <v>8.4575133902412638</v>
      </c>
      <c r="AS287">
        <v>97.412734162431832</v>
      </c>
      <c r="AT287" t="e">
        <v>#DIV/0!</v>
      </c>
      <c r="AU287" t="e">
        <v>#DIV/0!</v>
      </c>
      <c r="AV287"/>
      <c r="AW287"/>
      <c r="FY287" s="213">
        <v>282</v>
      </c>
      <c r="FZ287">
        <v>0.58716112056924263</v>
      </c>
      <c r="GA287">
        <v>8.8009936026785915</v>
      </c>
      <c r="GB287">
        <v>4.453974864128571</v>
      </c>
      <c r="GC287">
        <v>0.71301217664764449</v>
      </c>
      <c r="GD287">
        <v>2.7837004222322261</v>
      </c>
      <c r="GE287">
        <v>5.1251121330633094</v>
      </c>
      <c r="GF287">
        <v>0.95469624988012047</v>
      </c>
      <c r="GG287">
        <v>4.0783658570388042</v>
      </c>
      <c r="GH287">
        <v>5.8215245824448676</v>
      </c>
      <c r="GI287">
        <v>4.1240826642047352</v>
      </c>
      <c r="GJ287"/>
      <c r="GK287"/>
      <c r="GL287"/>
      <c r="GM287"/>
      <c r="GN287" s="208"/>
      <c r="GO287" s="208"/>
      <c r="GP287" s="208"/>
      <c r="GQ287" s="208"/>
      <c r="GR287" s="208"/>
      <c r="GS287" s="208"/>
      <c r="GT287" s="208"/>
      <c r="GU287" s="213">
        <v>282</v>
      </c>
    </row>
    <row r="288" spans="1:203" s="7" customFormat="1">
      <c r="A288" s="1"/>
      <c r="B288">
        <v>0.32147101812992807</v>
      </c>
      <c r="C288">
        <v>7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41.648159963334457</v>
      </c>
      <c r="AO288">
        <v>7.4980436132678463</v>
      </c>
      <c r="AP288">
        <v>224.24599041519434</v>
      </c>
      <c r="AQ288">
        <v>43.655467306811524</v>
      </c>
      <c r="AR288">
        <v>6.8706745556483435</v>
      </c>
      <c r="AS288">
        <v>97.382524243730458</v>
      </c>
      <c r="AT288" t="e">
        <v>#DIV/0!</v>
      </c>
      <c r="AU288" t="e">
        <v>#DIV/0!</v>
      </c>
      <c r="AV288"/>
      <c r="AW288"/>
      <c r="FY288" s="213">
        <v>283</v>
      </c>
      <c r="FZ288">
        <v>0.58716112056924263</v>
      </c>
      <c r="GA288">
        <v>15.769288252871663</v>
      </c>
      <c r="GB288">
        <v>7.9433773625244637</v>
      </c>
      <c r="GC288">
        <v>2.4280648647230603</v>
      </c>
      <c r="GD288">
        <v>3.9526560666910489</v>
      </c>
      <c r="GE288">
        <v>5.1055381194780782</v>
      </c>
      <c r="GF288">
        <v>1.432044374820181</v>
      </c>
      <c r="GG288">
        <v>1.6799013424988689</v>
      </c>
      <c r="GH288">
        <v>2.436398464583593</v>
      </c>
      <c r="GI288">
        <v>5.0895452004224033</v>
      </c>
      <c r="GJ288"/>
      <c r="GK288"/>
      <c r="GL288"/>
      <c r="GM288"/>
      <c r="GN288" s="208"/>
      <c r="GO288" s="208"/>
      <c r="GP288" s="208"/>
      <c r="GQ288" s="208"/>
      <c r="GR288" s="208"/>
      <c r="GS288" s="208"/>
      <c r="GT288" s="208"/>
      <c r="GU288" s="213">
        <v>283</v>
      </c>
    </row>
    <row r="289" spans="1:203" s="7" customFormat="1">
      <c r="A289" s="1"/>
      <c r="B289">
        <v>0.11548464915393541</v>
      </c>
      <c r="C289">
        <v>1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14.933053643144007</v>
      </c>
      <c r="AO289">
        <v>3.8638839887480798</v>
      </c>
      <c r="AP289">
        <v>179.54026877078965</v>
      </c>
      <c r="AQ289">
        <v>28.461156762168205</v>
      </c>
      <c r="AR289">
        <v>3.5668930788121935</v>
      </c>
      <c r="AS289">
        <v>43.839829001755255</v>
      </c>
      <c r="AT289" t="e">
        <v>#DIV/0!</v>
      </c>
      <c r="AU289" t="e">
        <v>#DIV/0!</v>
      </c>
      <c r="AV289"/>
      <c r="AW289"/>
      <c r="FY289" s="213">
        <v>284</v>
      </c>
      <c r="FZ289">
        <v>1.1743222411384853</v>
      </c>
      <c r="GA289">
        <v>15.47008136190639</v>
      </c>
      <c r="GB289">
        <v>7.7000676986422887</v>
      </c>
      <c r="GC289">
        <v>0.61725169575072358</v>
      </c>
      <c r="GD289">
        <v>0.63385346452660174</v>
      </c>
      <c r="GE289">
        <v>0.90727644409631325</v>
      </c>
      <c r="GF289">
        <v>0.95469624988012047</v>
      </c>
      <c r="GG289">
        <v>3.1153576328949253</v>
      </c>
      <c r="GH289">
        <v>4.2174915131466495</v>
      </c>
      <c r="GI289">
        <v>3.3515343678948395</v>
      </c>
      <c r="GJ289"/>
      <c r="GK289"/>
      <c r="GL289"/>
      <c r="GM289"/>
      <c r="GN289" s="208"/>
      <c r="GO289" s="208"/>
      <c r="GP289" s="208"/>
      <c r="GQ289" s="208"/>
      <c r="GR289" s="208"/>
      <c r="GS289" s="208"/>
      <c r="GT289" s="208"/>
      <c r="GU289" s="213">
        <v>284</v>
      </c>
    </row>
    <row r="290" spans="1:203" s="7" customFormat="1">
      <c r="A290" s="1"/>
      <c r="B290">
        <v>0.88517890278830946</v>
      </c>
      <c r="C290">
        <v>4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20.506876438430243</v>
      </c>
      <c r="AO290">
        <v>5.2679355018919836</v>
      </c>
      <c r="AP290">
        <v>135.61322681939396</v>
      </c>
      <c r="AQ290">
        <v>36.271967785430938</v>
      </c>
      <c r="AR290">
        <v>4.8433035453066511</v>
      </c>
      <c r="AS290">
        <v>52.300778309435643</v>
      </c>
      <c r="AT290" t="e">
        <v>#DIV/0!</v>
      </c>
      <c r="AU290" t="e">
        <v>#DIV/0!</v>
      </c>
      <c r="AV290"/>
      <c r="AW290"/>
      <c r="FY290" s="213">
        <v>285</v>
      </c>
      <c r="FZ290">
        <v>0.58716112056924263</v>
      </c>
      <c r="GA290">
        <v>13.949706868987617</v>
      </c>
      <c r="GB290">
        <v>6.9721971817887898</v>
      </c>
      <c r="GC290">
        <v>1.1557986148832178</v>
      </c>
      <c r="GD290">
        <v>1.4562525730361533</v>
      </c>
      <c r="GE290">
        <v>1.7345129458056499</v>
      </c>
      <c r="GF290">
        <v>0.95469624988012047</v>
      </c>
      <c r="GG290">
        <v>4.0766958033527283</v>
      </c>
      <c r="GH290">
        <v>5.7051623244525622</v>
      </c>
      <c r="GI290">
        <v>3.799175669884935</v>
      </c>
      <c r="GJ290"/>
      <c r="GK290"/>
      <c r="GL290"/>
      <c r="GM290"/>
      <c r="GN290" s="208"/>
      <c r="GO290" s="208"/>
      <c r="GP290" s="208"/>
      <c r="GQ290" s="208"/>
      <c r="GR290" s="208"/>
      <c r="GS290" s="208"/>
      <c r="GT290" s="208"/>
      <c r="GU290" s="213">
        <v>285</v>
      </c>
    </row>
    <row r="291" spans="1:203" s="7" customFormat="1">
      <c r="A291" s="1"/>
      <c r="B291">
        <v>0.61161912295775833</v>
      </c>
      <c r="C291">
        <v>7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24.904026821572003</v>
      </c>
      <c r="AO291">
        <v>7.5872789325848276</v>
      </c>
      <c r="AP291">
        <v>354.43651806079032</v>
      </c>
      <c r="AQ291">
        <v>47.76816129281854</v>
      </c>
      <c r="AR291">
        <v>6.8975263023498421</v>
      </c>
      <c r="AS291">
        <v>78.38376060178588</v>
      </c>
      <c r="AT291" t="e">
        <v>#DIV/0!</v>
      </c>
      <c r="AU291" t="e">
        <v>#DIV/0!</v>
      </c>
      <c r="AV291"/>
      <c r="AW291"/>
      <c r="FY291" s="213">
        <v>286</v>
      </c>
      <c r="FZ291">
        <v>2.7705984438954863</v>
      </c>
      <c r="GA291">
        <v>20.410267898217747</v>
      </c>
      <c r="GB291">
        <v>9.3026247294532673</v>
      </c>
      <c r="GC291">
        <v>1.0930705361331785</v>
      </c>
      <c r="GD291">
        <v>1.8080715602274977</v>
      </c>
      <c r="GE291">
        <v>1.9594388810977574</v>
      </c>
      <c r="GF291">
        <v>0</v>
      </c>
      <c r="GG291">
        <v>7.3280896780303451</v>
      </c>
      <c r="GH291">
        <v>10.321014573103287</v>
      </c>
      <c r="GI291">
        <v>5.4623785668725926</v>
      </c>
      <c r="GJ291"/>
      <c r="GK291"/>
      <c r="GL291"/>
      <c r="GM291"/>
      <c r="GN291" s="208"/>
      <c r="GO291" s="208"/>
      <c r="GP291" s="208"/>
      <c r="GQ291" s="208"/>
      <c r="GR291" s="208"/>
      <c r="GS291" s="208"/>
      <c r="GT291" s="208"/>
      <c r="GU291" s="213">
        <v>286</v>
      </c>
    </row>
    <row r="292" spans="1:203" s="7" customFormat="1">
      <c r="A292" s="1"/>
      <c r="B292">
        <v>0.38293527840210828</v>
      </c>
      <c r="C292">
        <v>8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10.416666666666666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26.237360154905339</v>
      </c>
      <c r="AO292">
        <v>9.5958309839269926</v>
      </c>
      <c r="AP292">
        <v>239.71578167897852</v>
      </c>
      <c r="AQ292">
        <v>64.524945107322608</v>
      </c>
      <c r="AR292">
        <v>8.7777539835202951</v>
      </c>
      <c r="AS292">
        <v>93.814563142836249</v>
      </c>
      <c r="AT292" t="e">
        <v>#DIV/0!</v>
      </c>
      <c r="AU292" t="e">
        <v>#DIV/0!</v>
      </c>
      <c r="AV292"/>
      <c r="AW292"/>
      <c r="FY292" s="213">
        <v>287</v>
      </c>
      <c r="FZ292">
        <v>0</v>
      </c>
      <c r="GA292">
        <v>16.860223536205343</v>
      </c>
      <c r="GB292">
        <v>8.4432170113681568</v>
      </c>
      <c r="GC292">
        <v>2.2165241566341582</v>
      </c>
      <c r="GD292">
        <v>3.2304799762725844</v>
      </c>
      <c r="GE292">
        <v>3.0952868158178806</v>
      </c>
      <c r="GF292">
        <v>0</v>
      </c>
      <c r="GG292">
        <v>1.5731625858648244</v>
      </c>
      <c r="GH292">
        <v>2.295816042059438</v>
      </c>
      <c r="GI292">
        <v>4.4138859981305263</v>
      </c>
      <c r="GJ292"/>
      <c r="GK292"/>
      <c r="GL292"/>
      <c r="GM292"/>
      <c r="GN292" s="208"/>
      <c r="GO292" s="208"/>
      <c r="GP292" s="208"/>
      <c r="GQ292" s="208"/>
      <c r="GR292" s="208"/>
      <c r="GS292" s="208"/>
      <c r="GT292" s="208"/>
      <c r="GU292" s="213">
        <v>287</v>
      </c>
    </row>
    <row r="293" spans="1:203" s="7" customFormat="1">
      <c r="A293" s="1"/>
      <c r="B293">
        <v>4.1260941992826261E-2</v>
      </c>
      <c r="C293">
        <v>10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23.578133964429142</v>
      </c>
      <c r="AO293">
        <v>6.3303757651516772</v>
      </c>
      <c r="AP293">
        <v>138.36762341633539</v>
      </c>
      <c r="AQ293">
        <v>41.942553516110486</v>
      </c>
      <c r="AR293">
        <v>5.7548870592287971</v>
      </c>
      <c r="AS293">
        <v>75.964517337861295</v>
      </c>
      <c r="AT293" t="e">
        <v>#DIV/0!</v>
      </c>
      <c r="AU293" t="e">
        <v>#DIV/0!</v>
      </c>
      <c r="AV293"/>
      <c r="AW293"/>
      <c r="FY293" s="213">
        <v>288</v>
      </c>
      <c r="FZ293">
        <v>1.596276202757001</v>
      </c>
      <c r="GA293">
        <v>8.3203326525992942</v>
      </c>
      <c r="GB293">
        <v>3.2650288483135688</v>
      </c>
      <c r="GC293">
        <v>1.3820988709133046</v>
      </c>
      <c r="GD293">
        <v>2.3064650261221993</v>
      </c>
      <c r="GE293">
        <v>2.5258353417251405</v>
      </c>
      <c r="GF293">
        <v>0</v>
      </c>
      <c r="GG293">
        <v>3.6783489012137967</v>
      </c>
      <c r="GH293">
        <v>5.1781819387473451</v>
      </c>
      <c r="GI293">
        <v>3.3316655261507657</v>
      </c>
      <c r="GJ293"/>
      <c r="GK293"/>
      <c r="GL293"/>
      <c r="GM293"/>
      <c r="GN293" s="208"/>
      <c r="GO293" s="208"/>
      <c r="GP293" s="208"/>
      <c r="GQ293" s="208"/>
      <c r="GR293" s="208"/>
      <c r="GS293" s="208"/>
      <c r="GT293" s="208"/>
      <c r="GU293" s="213">
        <v>288</v>
      </c>
    </row>
    <row r="294" spans="1:203" s="7" customFormat="1">
      <c r="A294" s="1"/>
      <c r="B294">
        <v>0.15409525725072259</v>
      </c>
      <c r="C294">
        <v>1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22.456110154905335</v>
      </c>
      <c r="AO294">
        <v>8.5704779789330878</v>
      </c>
      <c r="AP294">
        <v>432.38435096131059</v>
      </c>
      <c r="AQ294">
        <v>55.238045089099948</v>
      </c>
      <c r="AR294">
        <v>7.8456148880712924</v>
      </c>
      <c r="AS294">
        <v>80.219369251892431</v>
      </c>
      <c r="AT294" t="e">
        <v>#DIV/0!</v>
      </c>
      <c r="AU294" t="e">
        <v>#DIV/0!</v>
      </c>
      <c r="AV294"/>
      <c r="AW294"/>
      <c r="FY294" s="213">
        <v>289</v>
      </c>
      <c r="FZ294">
        <v>1.7614833617077283</v>
      </c>
      <c r="GA294">
        <v>17.940843973382819</v>
      </c>
      <c r="GB294">
        <v>8.8160054016889138</v>
      </c>
      <c r="GC294">
        <v>1.8761905655014552</v>
      </c>
      <c r="GD294">
        <v>2.1690827569539475</v>
      </c>
      <c r="GE294">
        <v>1.4710574908729277</v>
      </c>
      <c r="GF294">
        <v>0</v>
      </c>
      <c r="GG294">
        <v>4.3952420195687862</v>
      </c>
      <c r="GH294">
        <v>6.0105473340327205</v>
      </c>
      <c r="GI294">
        <v>4.7291101795473613</v>
      </c>
      <c r="GJ294"/>
      <c r="GK294"/>
      <c r="GL294"/>
      <c r="GM294"/>
      <c r="GN294" s="208"/>
      <c r="GO294" s="208"/>
      <c r="GP294" s="208"/>
      <c r="GQ294" s="208"/>
      <c r="GR294" s="208"/>
      <c r="GS294" s="208"/>
      <c r="GT294" s="208"/>
      <c r="GU294" s="213">
        <v>289</v>
      </c>
    </row>
    <row r="295" spans="1:203" s="7" customFormat="1">
      <c r="A295" s="1"/>
      <c r="B295">
        <v>0.45286382351609689</v>
      </c>
      <c r="C295">
        <v>2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37.40553284566839</v>
      </c>
      <c r="AO295">
        <v>8.8927411547903326</v>
      </c>
      <c r="AP295">
        <v>116.66317409530623</v>
      </c>
      <c r="AQ295">
        <v>62.630008796569797</v>
      </c>
      <c r="AR295">
        <v>8.1928526824372714</v>
      </c>
      <c r="AS295">
        <v>98.785156049534777</v>
      </c>
      <c r="AT295" t="e">
        <v>#DIV/0!</v>
      </c>
      <c r="AU295" t="e">
        <v>#DIV/0!</v>
      </c>
      <c r="AV295"/>
      <c r="AW295"/>
      <c r="FY295" s="213">
        <v>290</v>
      </c>
      <c r="FZ295">
        <v>3.192552405514002</v>
      </c>
      <c r="GA295">
        <v>18.369664247523176</v>
      </c>
      <c r="GB295">
        <v>7.1812626827847748</v>
      </c>
      <c r="GC295">
        <v>2.0432760490460127</v>
      </c>
      <c r="GD295">
        <v>2.6977142494836688</v>
      </c>
      <c r="GE295">
        <v>2.8667153251940705</v>
      </c>
      <c r="GF295">
        <v>0.95469624988012047</v>
      </c>
      <c r="GG295">
        <v>4.931295217176487</v>
      </c>
      <c r="GH295">
        <v>7.0522507132343177</v>
      </c>
      <c r="GI295">
        <v>5.2149682094571084</v>
      </c>
      <c r="GJ295"/>
      <c r="GK295"/>
      <c r="GL295"/>
      <c r="GM295"/>
      <c r="GN295" s="208"/>
      <c r="GO295" s="208"/>
      <c r="GP295" s="208"/>
      <c r="GQ295" s="208"/>
      <c r="GR295" s="208"/>
      <c r="GS295" s="208"/>
      <c r="GT295" s="208"/>
      <c r="GU295" s="213">
        <v>290</v>
      </c>
    </row>
    <row r="296" spans="1:203" s="7" customFormat="1">
      <c r="A296" s="1"/>
      <c r="B296">
        <v>0.13246094197449132</v>
      </c>
      <c r="C296">
        <v>4</v>
      </c>
      <c r="D296">
        <v>39847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33.686182950191565</v>
      </c>
      <c r="AO296">
        <v>6.9950996384522641</v>
      </c>
      <c r="AP296">
        <v>143.89510430448294</v>
      </c>
      <c r="AQ296">
        <v>50.33853151787865</v>
      </c>
      <c r="AR296">
        <v>6.3591814895020571</v>
      </c>
      <c r="AS296">
        <v>79.188830087453439</v>
      </c>
      <c r="AT296" t="e">
        <v>#DIV/0!</v>
      </c>
      <c r="AU296" t="e">
        <v>#DIV/0!</v>
      </c>
      <c r="AV296"/>
      <c r="AW296"/>
      <c r="FY296" s="213">
        <v>291</v>
      </c>
      <c r="FZ296">
        <v>1.1743222411384853</v>
      </c>
      <c r="GA296">
        <v>17.3750266378626</v>
      </c>
      <c r="GB296">
        <v>8.5718963662395105</v>
      </c>
      <c r="GC296">
        <v>0.86798743003009515</v>
      </c>
      <c r="GD296">
        <v>1.3852039978837998</v>
      </c>
      <c r="GE296">
        <v>1.4577584293019186</v>
      </c>
      <c r="GF296">
        <v>0</v>
      </c>
      <c r="GG296">
        <v>4.5817814621257051</v>
      </c>
      <c r="GH296">
        <v>6.3727251326819321</v>
      </c>
      <c r="GI296">
        <v>4.2504480574623145</v>
      </c>
      <c r="GJ296"/>
      <c r="GK296"/>
      <c r="GL296"/>
      <c r="GM296"/>
      <c r="GN296" s="208"/>
      <c r="GO296" s="208"/>
      <c r="GP296" s="208"/>
      <c r="GQ296" s="208"/>
      <c r="GR296" s="208"/>
      <c r="GS296" s="208"/>
      <c r="GT296" s="208"/>
      <c r="GU296" s="213">
        <v>291</v>
      </c>
    </row>
    <row r="297" spans="1:203" s="7" customFormat="1">
      <c r="A297" s="1"/>
      <c r="B297">
        <v>0.22899985712494209</v>
      </c>
      <c r="C297">
        <v>8</v>
      </c>
      <c r="D297">
        <v>39847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10.416666666666666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35.446514094143403</v>
      </c>
      <c r="AO297">
        <v>8.9806642563030152</v>
      </c>
      <c r="AP297">
        <v>450.39161699299302</v>
      </c>
      <c r="AQ297">
        <v>57.588297504731017</v>
      </c>
      <c r="AR297">
        <v>8.1642402330027402</v>
      </c>
      <c r="AS297">
        <v>95.395650158925804</v>
      </c>
      <c r="AT297" t="e">
        <v>#DIV/0!</v>
      </c>
      <c r="AU297" t="e">
        <v>#DIV/0!</v>
      </c>
      <c r="AV297"/>
      <c r="AW297"/>
      <c r="FY297" s="213">
        <v>292</v>
      </c>
      <c r="FZ297">
        <v>0</v>
      </c>
      <c r="GA297">
        <v>16.308349723257464</v>
      </c>
      <c r="GB297">
        <v>8.1231784192888341</v>
      </c>
      <c r="GC297">
        <v>0.53976406905949814</v>
      </c>
      <c r="GD297">
        <v>1.3492974532099737</v>
      </c>
      <c r="GE297">
        <v>2.4770338083153738</v>
      </c>
      <c r="GF297">
        <v>0.95469624988012047</v>
      </c>
      <c r="GG297">
        <v>4.3952420195687862</v>
      </c>
      <c r="GH297">
        <v>6.0105473340327205</v>
      </c>
      <c r="GI297">
        <v>3.9876991631641774</v>
      </c>
      <c r="GJ297"/>
      <c r="GK297"/>
      <c r="GL297"/>
      <c r="GM297"/>
      <c r="GN297" s="208"/>
      <c r="GO297" s="208"/>
      <c r="GP297" s="208"/>
      <c r="GQ297" s="208"/>
      <c r="GR297" s="208"/>
      <c r="GS297" s="208"/>
      <c r="GT297" s="208"/>
      <c r="GU297" s="213">
        <v>292</v>
      </c>
    </row>
    <row r="298" spans="1:203" s="7" customFormat="1">
      <c r="A298" s="1"/>
      <c r="B298">
        <v>0.40558852384396094</v>
      </c>
      <c r="C298">
        <v>1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21.87139217790703</v>
      </c>
      <c r="AO298">
        <v>6.5072630075442373</v>
      </c>
      <c r="AP298">
        <v>254.76428603938371</v>
      </c>
      <c r="AQ298">
        <v>37.442623672888111</v>
      </c>
      <c r="AR298">
        <v>5.9699649140814275</v>
      </c>
      <c r="AS298">
        <v>70.877807847265203</v>
      </c>
      <c r="AT298" t="e">
        <v>#DIV/0!</v>
      </c>
      <c r="AU298" t="e">
        <v>#DIV/0!</v>
      </c>
      <c r="AV298"/>
      <c r="AW298"/>
      <c r="FY298" s="213">
        <v>293</v>
      </c>
      <c r="FZ298">
        <v>0</v>
      </c>
      <c r="GA298">
        <v>18.503858586457763</v>
      </c>
      <c r="GB298">
        <v>9.1937735106642453</v>
      </c>
      <c r="GC298">
        <v>0.93809528275072762</v>
      </c>
      <c r="GD298">
        <v>2.0402532343271975</v>
      </c>
      <c r="GE298">
        <v>2.963713867315509</v>
      </c>
      <c r="GF298">
        <v>0.47734812494006024</v>
      </c>
      <c r="GG298">
        <v>5.0380339738105313</v>
      </c>
      <c r="GH298">
        <v>7.1928331357584732</v>
      </c>
      <c r="GI298">
        <v>4.7783963058541454</v>
      </c>
      <c r="GJ298"/>
      <c r="GK298"/>
      <c r="GL298"/>
      <c r="GM298"/>
      <c r="GN298" s="208"/>
      <c r="GO298" s="208"/>
      <c r="GP298" s="208"/>
      <c r="GQ298" s="208"/>
      <c r="GR298" s="208"/>
      <c r="GS298" s="208"/>
      <c r="GT298" s="208"/>
      <c r="GU298" s="213">
        <v>293</v>
      </c>
    </row>
    <row r="299" spans="1:203" s="7" customFormat="1">
      <c r="A299" s="1"/>
      <c r="B299">
        <v>0.91135110260977781</v>
      </c>
      <c r="C299">
        <v>7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44.292419678714865</v>
      </c>
      <c r="AO299">
        <v>7.7821145431051253</v>
      </c>
      <c r="AP299">
        <v>336.07399546121434</v>
      </c>
      <c r="AQ299">
        <v>46.423975169182597</v>
      </c>
      <c r="AR299">
        <v>7.1289208555004144</v>
      </c>
      <c r="AS299">
        <v>110.60630830105073</v>
      </c>
      <c r="AT299" t="e">
        <v>#DIV/0!</v>
      </c>
      <c r="AU299" t="e">
        <v>#DIV/0!</v>
      </c>
      <c r="AV299"/>
      <c r="AW299"/>
      <c r="FY299" s="213">
        <v>294</v>
      </c>
      <c r="FZ299">
        <v>1.596276202757001</v>
      </c>
      <c r="GA299">
        <v>10.713325165078345</v>
      </c>
      <c r="GB299">
        <v>4.2012288920971113</v>
      </c>
      <c r="GC299">
        <v>2.5756603441349175</v>
      </c>
      <c r="GD299">
        <v>2.6651634226802083</v>
      </c>
      <c r="GE299">
        <v>1.9753533565195354</v>
      </c>
      <c r="GF299">
        <v>0.95469624988012047</v>
      </c>
      <c r="GG299">
        <v>2.9035501733129117</v>
      </c>
      <c r="GH299">
        <v>4.0526889260906458</v>
      </c>
      <c r="GI299">
        <v>3.7924469579357765</v>
      </c>
      <c r="GJ299"/>
      <c r="GK299"/>
      <c r="GL299"/>
      <c r="GM299"/>
      <c r="GN299" s="208"/>
      <c r="GO299" s="208"/>
      <c r="GP299" s="208"/>
      <c r="GQ299" s="208"/>
      <c r="GR299" s="208"/>
      <c r="GS299" s="208"/>
      <c r="GT299" s="208"/>
      <c r="GU299" s="213">
        <v>294</v>
      </c>
    </row>
    <row r="300" spans="1:203" s="7" customFormat="1">
      <c r="A300" s="1"/>
      <c r="B300">
        <v>0.94583861860511931</v>
      </c>
      <c r="C300">
        <v>7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19.38485262890643</v>
      </c>
      <c r="AO300">
        <v>5.0741807931578391</v>
      </c>
      <c r="AP300">
        <v>264.53643223982607</v>
      </c>
      <c r="AQ300">
        <v>38.141932669877342</v>
      </c>
      <c r="AR300">
        <v>4.7214341718622768</v>
      </c>
      <c r="AS300">
        <v>55.984714123586187</v>
      </c>
      <c r="AT300" t="e">
        <v>#DIV/0!</v>
      </c>
      <c r="AU300" t="e">
        <v>#DIV/0!</v>
      </c>
      <c r="AV300"/>
      <c r="AW300"/>
      <c r="FY300" s="213">
        <v>295</v>
      </c>
      <c r="FZ300">
        <v>3.192552405514002</v>
      </c>
      <c r="GA300">
        <v>25.265712574245551</v>
      </c>
      <c r="GB300">
        <v>10.763408879316124</v>
      </c>
      <c r="GC300">
        <v>3.1080446392238232</v>
      </c>
      <c r="GD300">
        <v>3.675641805153345</v>
      </c>
      <c r="GE300">
        <v>2.6069054255930508</v>
      </c>
      <c r="GF300">
        <v>0</v>
      </c>
      <c r="GG300">
        <v>6.6852977237886009</v>
      </c>
      <c r="GH300">
        <v>9.1387287713775347</v>
      </c>
      <c r="GI300">
        <v>6.810131500405868</v>
      </c>
      <c r="GJ300"/>
      <c r="GK300"/>
      <c r="GL300"/>
      <c r="GM300"/>
      <c r="GN300" s="208"/>
      <c r="GO300" s="208"/>
      <c r="GP300" s="208"/>
      <c r="GQ300" s="208"/>
      <c r="GR300" s="208"/>
      <c r="GS300" s="208"/>
      <c r="GT300" s="208"/>
      <c r="GU300" s="213">
        <v>295</v>
      </c>
    </row>
    <row r="301" spans="1:203" s="7" customFormat="1">
      <c r="A301" s="1"/>
      <c r="B301">
        <v>3.8619305188180242E-2</v>
      </c>
      <c r="C301">
        <v>9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25.819290915715406</v>
      </c>
      <c r="AO301">
        <v>5.8848440357818514</v>
      </c>
      <c r="AP301">
        <v>301.21334028190847</v>
      </c>
      <c r="AQ301">
        <v>40.391359352641018</v>
      </c>
      <c r="AR301">
        <v>5.4041294852065329</v>
      </c>
      <c r="AS301">
        <v>64.416869865926941</v>
      </c>
      <c r="AT301" t="e">
        <v>#DIV/0!</v>
      </c>
      <c r="AU301" t="e">
        <v>#DIV/0!</v>
      </c>
      <c r="AV301"/>
      <c r="AW301"/>
      <c r="FY301" s="213">
        <v>296</v>
      </c>
      <c r="FZ301">
        <v>0</v>
      </c>
      <c r="GA301">
        <v>15.214916943517901</v>
      </c>
      <c r="GB301">
        <v>7.6101524936531177</v>
      </c>
      <c r="GC301">
        <v>0.86798743003009515</v>
      </c>
      <c r="GD301">
        <v>2.2186026786126165</v>
      </c>
      <c r="GE301">
        <v>3.4424417513010317</v>
      </c>
      <c r="GF301">
        <v>0.47734812494006024</v>
      </c>
      <c r="GG301">
        <v>3.9699570467186831</v>
      </c>
      <c r="GH301">
        <v>5.5645799019284059</v>
      </c>
      <c r="GI301">
        <v>4.3119761839318151</v>
      </c>
      <c r="GJ301"/>
      <c r="GK301"/>
      <c r="GL301"/>
      <c r="GM301"/>
      <c r="GN301" s="208"/>
      <c r="GO301" s="208"/>
      <c r="GP301" s="208"/>
      <c r="GQ301" s="208"/>
      <c r="GR301" s="208"/>
      <c r="GS301" s="208"/>
      <c r="GT301" s="208"/>
      <c r="GU301" s="213">
        <v>296</v>
      </c>
    </row>
    <row r="302" spans="1:203" s="7" customFormat="1">
      <c r="A302" s="1"/>
      <c r="B302">
        <v>0.40699489583035042</v>
      </c>
      <c r="C302">
        <v>10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30.501573617952925</v>
      </c>
      <c r="AO302">
        <v>8.4729535490703398</v>
      </c>
      <c r="AP302">
        <v>218.38682596304679</v>
      </c>
      <c r="AQ302">
        <v>60.455554867031161</v>
      </c>
      <c r="AR302">
        <v>7.8112275863281866</v>
      </c>
      <c r="AS302">
        <v>97.575401126916319</v>
      </c>
      <c r="AT302" t="e">
        <v>#DIV/0!</v>
      </c>
      <c r="AU302" t="e">
        <v>#DIV/0!</v>
      </c>
      <c r="AV302"/>
      <c r="AW302"/>
      <c r="FY302" s="213">
        <v>297</v>
      </c>
      <c r="FZ302">
        <v>2.1834373233262436</v>
      </c>
      <c r="GA302">
        <v>13.20106915795775</v>
      </c>
      <c r="GB302">
        <v>5.5530984256696616</v>
      </c>
      <c r="GC302">
        <v>1.1752886190159173</v>
      </c>
      <c r="GD302">
        <v>1.7806013097904581</v>
      </c>
      <c r="GE302">
        <v>1.7796689238837144</v>
      </c>
      <c r="GF302">
        <v>0</v>
      </c>
      <c r="GG302">
        <v>5.2498414333925441</v>
      </c>
      <c r="GH302">
        <v>7.3576357228144769</v>
      </c>
      <c r="GI302">
        <v>4.0286823398984151</v>
      </c>
      <c r="GJ302"/>
      <c r="GK302"/>
      <c r="GL302"/>
      <c r="GM302"/>
      <c r="GN302" s="208"/>
      <c r="GO302" s="208"/>
      <c r="GP302" s="208"/>
      <c r="GQ302" s="208"/>
      <c r="GR302" s="208"/>
      <c r="GS302" s="208"/>
      <c r="GT302" s="208"/>
      <c r="GU302" s="213">
        <v>297</v>
      </c>
    </row>
    <row r="303" spans="1:203" s="7" customFormat="1">
      <c r="A303" s="1"/>
      <c r="B303">
        <v>0.24525213457951311</v>
      </c>
      <c r="C303">
        <v>7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36.093749999999993</v>
      </c>
      <c r="AO303">
        <v>6.8347293451708797</v>
      </c>
      <c r="AP303">
        <v>318.44950465982106</v>
      </c>
      <c r="AQ303">
        <v>42.128596122352903</v>
      </c>
      <c r="AR303">
        <v>6.2133903137917095</v>
      </c>
      <c r="AS303">
        <v>93.224084160145139</v>
      </c>
      <c r="AT303" t="e">
        <v>#DIV/0!</v>
      </c>
      <c r="AU303" t="e">
        <v>#DIV/0!</v>
      </c>
      <c r="AV303"/>
      <c r="AW303"/>
      <c r="FY303" s="213">
        <v>298</v>
      </c>
      <c r="FZ303">
        <v>2.7705984438954863</v>
      </c>
      <c r="GA303">
        <v>18.892696127744248</v>
      </c>
      <c r="GB303">
        <v>8.4410951390738376</v>
      </c>
      <c r="GC303">
        <v>1.2527762457071427</v>
      </c>
      <c r="GD303">
        <v>2.4228343927874261</v>
      </c>
      <c r="GE303">
        <v>2.9597447712240781</v>
      </c>
      <c r="GF303">
        <v>0</v>
      </c>
      <c r="GG303">
        <v>6.1239765091558054</v>
      </c>
      <c r="GH303">
        <v>8.2944006037691445</v>
      </c>
      <c r="GI303">
        <v>5.328821840554042</v>
      </c>
      <c r="GJ303"/>
      <c r="GK303"/>
      <c r="GL303"/>
      <c r="GM303"/>
      <c r="GN303" s="208"/>
      <c r="GO303" s="208"/>
      <c r="GP303" s="208"/>
      <c r="GQ303" s="208"/>
      <c r="GR303" s="208"/>
      <c r="GS303" s="208"/>
      <c r="GT303" s="208"/>
      <c r="GU303" s="213">
        <v>298</v>
      </c>
    </row>
    <row r="304" spans="1:203" s="7" customFormat="1">
      <c r="A304" s="1"/>
      <c r="B304">
        <v>0.39246069334769285</v>
      </c>
      <c r="C304">
        <v>1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23.165949512335054</v>
      </c>
      <c r="AO304">
        <v>5.2528593104180077</v>
      </c>
      <c r="AP304">
        <v>171.74982985017527</v>
      </c>
      <c r="AQ304">
        <v>31.584233308542416</v>
      </c>
      <c r="AR304">
        <v>4.7753266458345527</v>
      </c>
      <c r="AS304">
        <v>61.719648706289838</v>
      </c>
      <c r="AT304" t="e">
        <v>#DIV/0!</v>
      </c>
      <c r="AU304" t="e">
        <v>#DIV/0!</v>
      </c>
      <c r="AV304"/>
      <c r="AW304"/>
      <c r="FY304" s="213">
        <v>299</v>
      </c>
      <c r="FZ304">
        <v>1.596276202757001</v>
      </c>
      <c r="GA304">
        <v>11.854969456235589</v>
      </c>
      <c r="GB304">
        <v>4.963343571836802</v>
      </c>
      <c r="GC304">
        <v>1.5479672045308583</v>
      </c>
      <c r="GD304">
        <v>2.2412617467853377</v>
      </c>
      <c r="GE304">
        <v>2.4288367996037028</v>
      </c>
      <c r="GF304">
        <v>0.47734812494006024</v>
      </c>
      <c r="GG304">
        <v>4.1834345599867726</v>
      </c>
      <c r="GH304">
        <v>5.8457447469767168</v>
      </c>
      <c r="GI304">
        <v>3.9454081147254478</v>
      </c>
      <c r="GJ304"/>
      <c r="GK304"/>
      <c r="GL304"/>
      <c r="GM304"/>
      <c r="GN304" s="208"/>
      <c r="GO304" s="208"/>
      <c r="GP304" s="208"/>
      <c r="GQ304" s="208"/>
      <c r="GR304" s="208"/>
      <c r="GS304" s="208"/>
      <c r="GT304" s="208"/>
      <c r="GU304" s="213">
        <v>299</v>
      </c>
    </row>
    <row r="305" spans="1:203" s="7" customFormat="1">
      <c r="A305" s="1"/>
      <c r="B305">
        <v>0.38008792699093163</v>
      </c>
      <c r="C305">
        <v>9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34.500103451573111</v>
      </c>
      <c r="AO305">
        <v>7.1841090423943452</v>
      </c>
      <c r="AP305">
        <v>367.83091760142668</v>
      </c>
      <c r="AQ305">
        <v>49.169563083256662</v>
      </c>
      <c r="AR305">
        <v>6.6938220329366764</v>
      </c>
      <c r="AS305">
        <v>90.268980566456321</v>
      </c>
      <c r="AT305" t="e">
        <v>#DIV/0!</v>
      </c>
      <c r="AU305" t="e">
        <v>#DIV/0!</v>
      </c>
      <c r="AV305"/>
      <c r="AW305"/>
      <c r="FY305" s="213">
        <v>300</v>
      </c>
      <c r="FZ305">
        <v>2.1834373233262436</v>
      </c>
      <c r="GA305">
        <v>15.043237368135321</v>
      </c>
      <c r="GB305">
        <v>6.4928922898794017</v>
      </c>
      <c r="GC305">
        <v>3.1410770413707043</v>
      </c>
      <c r="GD305">
        <v>2.915951553154061</v>
      </c>
      <c r="GE305">
        <v>2.184336850726365</v>
      </c>
      <c r="GF305">
        <v>1.9093924997602409</v>
      </c>
      <c r="GG305">
        <v>6.6111965596753564</v>
      </c>
      <c r="GH305">
        <v>9.4886491778179121</v>
      </c>
      <c r="GI305">
        <v>5.6053032224312531</v>
      </c>
      <c r="GJ305"/>
      <c r="GK305"/>
      <c r="GL305"/>
      <c r="GM305"/>
      <c r="GN305" s="208"/>
      <c r="GO305" s="208"/>
      <c r="GP305" s="208"/>
      <c r="GQ305" s="208"/>
      <c r="GR305" s="208"/>
      <c r="GS305" s="208"/>
      <c r="GT305" s="208"/>
      <c r="GU305" s="213">
        <v>300</v>
      </c>
    </row>
    <row r="306" spans="1:203" s="7" customFormat="1">
      <c r="A306" s="1"/>
      <c r="B306">
        <v>0.22473070031914322</v>
      </c>
      <c r="C306">
        <v>10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36.322916666666671</v>
      </c>
      <c r="AO306">
        <v>8.2687425236389487</v>
      </c>
      <c r="AP306">
        <v>261.20686386606428</v>
      </c>
      <c r="AQ306">
        <v>54.504395349293745</v>
      </c>
      <c r="AR306">
        <v>7.5170386578535897</v>
      </c>
      <c r="AS306">
        <v>97.513680134857481</v>
      </c>
      <c r="AT306" t="e">
        <v>#DIV/0!</v>
      </c>
      <c r="AU306" t="e">
        <v>#DIV/0!</v>
      </c>
      <c r="AV306"/>
      <c r="AW306"/>
      <c r="FY306" s="213">
        <v>301</v>
      </c>
      <c r="FZ306">
        <v>4.3668746466524873</v>
      </c>
      <c r="GA306">
        <v>17.260616402776261</v>
      </c>
      <c r="GB306">
        <v>6.6616582953600352</v>
      </c>
      <c r="GC306">
        <v>0.46227644236827292</v>
      </c>
      <c r="GD306">
        <v>2.3165977383449441</v>
      </c>
      <c r="GE306">
        <v>4.568959720541578</v>
      </c>
      <c r="GF306">
        <v>0.95469624988012047</v>
      </c>
      <c r="GG306">
        <v>4.7935889217077179</v>
      </c>
      <c r="GH306">
        <v>6.5375277197379358</v>
      </c>
      <c r="GI306">
        <v>5.1018573371519755</v>
      </c>
      <c r="GJ306"/>
      <c r="GK306"/>
      <c r="GL306"/>
      <c r="GM306"/>
      <c r="GN306" s="208"/>
      <c r="GO306" s="208"/>
      <c r="GP306" s="208"/>
      <c r="GQ306" s="208"/>
      <c r="GR306" s="208"/>
      <c r="GS306" s="208"/>
      <c r="GT306" s="208"/>
      <c r="GU306" s="213">
        <v>301</v>
      </c>
    </row>
    <row r="307" spans="1:203" s="7" customFormat="1">
      <c r="A307" s="1"/>
      <c r="B307">
        <v>0.42616401117263103</v>
      </c>
      <c r="C307">
        <v>10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21.686182950191572</v>
      </c>
      <c r="AO307">
        <v>6.6141265485594287</v>
      </c>
      <c r="AP307">
        <v>341.4247629718709</v>
      </c>
      <c r="AQ307">
        <v>46.037149754726364</v>
      </c>
      <c r="AR307">
        <v>6.1213848585909929</v>
      </c>
      <c r="AS307">
        <v>71.888305796302802</v>
      </c>
      <c r="AT307" t="e">
        <v>#DIV/0!</v>
      </c>
      <c r="AU307" t="e">
        <v>#DIV/0!</v>
      </c>
      <c r="AV307"/>
      <c r="AW307"/>
      <c r="FY307" s="213">
        <v>302</v>
      </c>
      <c r="FZ307">
        <v>4.9540357672217299</v>
      </c>
      <c r="GA307">
        <v>22.794949962769124</v>
      </c>
      <c r="GB307">
        <v>9.647471176269498</v>
      </c>
      <c r="GC307">
        <v>1.3673393229721194</v>
      </c>
      <c r="GD307">
        <v>1.5773159377228736</v>
      </c>
      <c r="GE307">
        <v>1.3607598871804809</v>
      </c>
      <c r="GF307">
        <v>0.47734812494006024</v>
      </c>
      <c r="GG307">
        <v>5.2498414333925441</v>
      </c>
      <c r="GH307">
        <v>7.3576357228144769</v>
      </c>
      <c r="GI307">
        <v>5.3823483804936236</v>
      </c>
      <c r="GJ307"/>
      <c r="GK307"/>
      <c r="GL307"/>
      <c r="GM307"/>
      <c r="GN307" s="208"/>
      <c r="GO307" s="208"/>
      <c r="GP307" s="208"/>
      <c r="GQ307" s="208"/>
      <c r="GR307" s="208"/>
      <c r="GS307" s="208"/>
      <c r="GT307" s="208"/>
      <c r="GU307" s="213">
        <v>302</v>
      </c>
    </row>
    <row r="308" spans="1:203" s="7" customFormat="1">
      <c r="A308" s="1"/>
      <c r="B308">
        <v>0.76721775287227612</v>
      </c>
      <c r="C308">
        <v>6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23.756055832525501</v>
      </c>
      <c r="AO308">
        <v>6.1953296385388779</v>
      </c>
      <c r="AP308">
        <v>312.32374228384236</v>
      </c>
      <c r="AQ308">
        <v>44.145808239776954</v>
      </c>
      <c r="AR308">
        <v>5.6321178532171627</v>
      </c>
      <c r="AS308">
        <v>71.178830800680615</v>
      </c>
      <c r="AT308" t="e">
        <v>#DIV/0!</v>
      </c>
      <c r="AU308" t="e">
        <v>#DIV/0!</v>
      </c>
      <c r="AV308"/>
      <c r="AW308"/>
      <c r="FY308" s="213">
        <v>303</v>
      </c>
      <c r="FZ308">
        <v>1.596276202757001</v>
      </c>
      <c r="GA308">
        <v>14.088680210736767</v>
      </c>
      <c r="GB308">
        <v>6.0091308084753052</v>
      </c>
      <c r="GC308">
        <v>1.4778593518102259</v>
      </c>
      <c r="GD308">
        <v>3.3472612269047932</v>
      </c>
      <c r="GE308">
        <v>4.4852742228228983</v>
      </c>
      <c r="GF308">
        <v>0</v>
      </c>
      <c r="GG308">
        <v>3.1153576328949253</v>
      </c>
      <c r="GH308">
        <v>4.2174915131466495</v>
      </c>
      <c r="GI308">
        <v>4.4886812425134135</v>
      </c>
      <c r="GJ308"/>
      <c r="GK308"/>
      <c r="GL308"/>
      <c r="GM308"/>
      <c r="GN308" s="208"/>
      <c r="GO308" s="208"/>
      <c r="GP308" s="208"/>
      <c r="GQ308" s="208"/>
      <c r="GR308" s="208"/>
      <c r="GS308" s="208"/>
      <c r="GT308" s="208"/>
      <c r="GU308" s="213">
        <v>303</v>
      </c>
    </row>
    <row r="309" spans="1:203" s="7" customFormat="1">
      <c r="A309" s="1"/>
      <c r="B309">
        <v>0.13260666585741498</v>
      </c>
      <c r="C309">
        <v>6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30.633193488238668</v>
      </c>
      <c r="AO309">
        <v>7.5668106083377085</v>
      </c>
      <c r="AP309">
        <v>392.65726789411633</v>
      </c>
      <c r="AQ309">
        <v>51.126306021878662</v>
      </c>
      <c r="AR309">
        <v>6.8789187348524639</v>
      </c>
      <c r="AS309">
        <v>82.917228010963555</v>
      </c>
      <c r="AT309" t="e">
        <v>#DIV/0!</v>
      </c>
      <c r="AU309" t="e">
        <v>#DIV/0!</v>
      </c>
      <c r="AV309"/>
      <c r="AW309"/>
      <c r="FY309" s="213">
        <v>304</v>
      </c>
      <c r="FZ309">
        <v>2.1834373233262436</v>
      </c>
      <c r="GA309">
        <v>14.110135857020033</v>
      </c>
      <c r="GB309">
        <v>6.1939115838942485</v>
      </c>
      <c r="GC309">
        <v>0.38005835948553379</v>
      </c>
      <c r="GD309">
        <v>2.0608967998768311</v>
      </c>
      <c r="GE309">
        <v>3.5939122541483632</v>
      </c>
      <c r="GF309">
        <v>0</v>
      </c>
      <c r="GG309">
        <v>4.0766958033527283</v>
      </c>
      <c r="GH309">
        <v>5.7051623244525604</v>
      </c>
      <c r="GI309">
        <v>4.1518951648123608</v>
      </c>
      <c r="GJ309"/>
      <c r="GK309"/>
      <c r="GL309"/>
      <c r="GM309"/>
      <c r="GN309" s="208"/>
      <c r="GO309" s="208"/>
      <c r="GP309" s="208"/>
      <c r="GQ309" s="208"/>
      <c r="GR309" s="208"/>
      <c r="GS309" s="208"/>
      <c r="GT309" s="208"/>
      <c r="GU309" s="213">
        <v>304</v>
      </c>
    </row>
    <row r="310" spans="1:203" s="7" customFormat="1">
      <c r="A310" s="1"/>
      <c r="B310">
        <v>0.3294980966893668</v>
      </c>
      <c r="C310">
        <v>6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31.892293105096901</v>
      </c>
      <c r="AO310">
        <v>6.0285764065323777</v>
      </c>
      <c r="AP310">
        <v>196.19629752977676</v>
      </c>
      <c r="AQ310">
        <v>35.430389690486571</v>
      </c>
      <c r="AR310">
        <v>5.4805240059385252</v>
      </c>
      <c r="AS310">
        <v>74.200474791660596</v>
      </c>
      <c r="AT310" t="e">
        <v>#DIV/0!</v>
      </c>
      <c r="AU310" t="e">
        <v>#DIV/0!</v>
      </c>
      <c r="AV310"/>
      <c r="AW310"/>
      <c r="FY310" s="213">
        <v>305</v>
      </c>
      <c r="FZ310">
        <v>0.58716112056924263</v>
      </c>
      <c r="GA310">
        <v>18.895401130781373</v>
      </c>
      <c r="GB310">
        <v>9.2997668830930103</v>
      </c>
      <c r="GC310">
        <v>1.3228840984277752</v>
      </c>
      <c r="GD310">
        <v>1.551337881523128</v>
      </c>
      <c r="GE310">
        <v>1.6667419235087486</v>
      </c>
      <c r="GF310">
        <v>0.95469624988012047</v>
      </c>
      <c r="GG310">
        <v>3.8648883437707147</v>
      </c>
      <c r="GH310">
        <v>5.5403597373965576</v>
      </c>
      <c r="GI310">
        <v>4.4635764093145216</v>
      </c>
      <c r="GJ310"/>
      <c r="GK310"/>
      <c r="GL310"/>
      <c r="GM310"/>
      <c r="GN310" s="208"/>
      <c r="GO310" s="208"/>
      <c r="GP310" s="208"/>
      <c r="GQ310" s="208"/>
      <c r="GR310" s="208"/>
      <c r="GS310" s="208"/>
      <c r="GT310" s="208"/>
      <c r="GU310" s="213">
        <v>305</v>
      </c>
    </row>
    <row r="311" spans="1:203" s="7" customFormat="1">
      <c r="A311" s="1"/>
      <c r="B311">
        <v>0.85531253409139651</v>
      </c>
      <c r="C311">
        <v>5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53.483066914620714</v>
      </c>
      <c r="AO311">
        <v>10.508940606873676</v>
      </c>
      <c r="AP311">
        <v>296.6815178946274</v>
      </c>
      <c r="AQ311">
        <v>71.246423724617898</v>
      </c>
      <c r="AR311">
        <v>9.5535823698851594</v>
      </c>
      <c r="AS311">
        <v>141.11524322872523</v>
      </c>
      <c r="AT311" t="e">
        <v>#DIV/0!</v>
      </c>
      <c r="AU311" t="e">
        <v>#DIV/0!</v>
      </c>
      <c r="AV311"/>
      <c r="AW311"/>
      <c r="FY311" s="213">
        <v>306</v>
      </c>
      <c r="FZ311">
        <v>3.7797135260832437</v>
      </c>
      <c r="GA311">
        <v>18.215173560174815</v>
      </c>
      <c r="GB311">
        <v>7.1454197767641316</v>
      </c>
      <c r="GC311">
        <v>2.4085748605903605</v>
      </c>
      <c r="GD311">
        <v>3.2209357205397353</v>
      </c>
      <c r="GE311">
        <v>3.3653407635245527</v>
      </c>
      <c r="GF311">
        <v>0.95469624988012047</v>
      </c>
      <c r="GG311">
        <v>3.9699570467186831</v>
      </c>
      <c r="GH311">
        <v>5.5645799019284059</v>
      </c>
      <c r="GI311">
        <v>5.4465393411095073</v>
      </c>
      <c r="GJ311"/>
      <c r="GK311"/>
      <c r="GL311"/>
      <c r="GM311"/>
      <c r="GN311" s="208"/>
      <c r="GO311" s="208"/>
      <c r="GP311" s="208"/>
      <c r="GQ311" s="208"/>
      <c r="GR311" s="208"/>
      <c r="GS311" s="208"/>
      <c r="GT311" s="208"/>
      <c r="GU311" s="213">
        <v>306</v>
      </c>
    </row>
    <row r="312" spans="1:203" s="7" customFormat="1">
      <c r="A312" s="1"/>
      <c r="B312">
        <v>0.53658691433165107</v>
      </c>
      <c r="C312">
        <v>10</v>
      </c>
      <c r="D312">
        <v>39949</v>
      </c>
      <c r="E312">
        <v>0</v>
      </c>
      <c r="F312">
        <v>0</v>
      </c>
      <c r="G312">
        <v>59.865900383141756</v>
      </c>
      <c r="H312">
        <v>59.865900383141756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22.285799808429122</v>
      </c>
      <c r="AO312">
        <v>6.7964522279990547</v>
      </c>
      <c r="AP312">
        <v>320.07558617673624</v>
      </c>
      <c r="AQ312">
        <v>43.677962554633723</v>
      </c>
      <c r="AR312">
        <v>6.1785929345445938</v>
      </c>
      <c r="AS312">
        <v>74.841580850598049</v>
      </c>
      <c r="AT312" t="e">
        <v>#DIV/0!</v>
      </c>
      <c r="AU312" t="e">
        <v>#DIV/0!</v>
      </c>
      <c r="AV312"/>
      <c r="AW312"/>
      <c r="FY312" s="213">
        <v>307</v>
      </c>
      <c r="FZ312">
        <v>4.3668746466524873</v>
      </c>
      <c r="GA312">
        <v>21.119849646116634</v>
      </c>
      <c r="GB312">
        <v>8.4382372927135805</v>
      </c>
      <c r="GC312">
        <v>2.5756603441349184</v>
      </c>
      <c r="GD312">
        <v>3.0984841329493595</v>
      </c>
      <c r="GE312">
        <v>2.8570618189547643</v>
      </c>
      <c r="GF312">
        <v>0.95469624988012047</v>
      </c>
      <c r="GG312">
        <v>3.8648883437707147</v>
      </c>
      <c r="GH312">
        <v>5.5403597373965576</v>
      </c>
      <c r="GI312">
        <v>5.8396028373732065</v>
      </c>
      <c r="GJ312"/>
      <c r="GK312"/>
      <c r="GL312"/>
      <c r="GM312"/>
      <c r="GN312" s="208"/>
      <c r="GO312" s="208"/>
      <c r="GP312" s="208"/>
      <c r="GQ312" s="208"/>
      <c r="GR312" s="208"/>
      <c r="GS312" s="208"/>
      <c r="GT312" s="208"/>
      <c r="GU312" s="213">
        <v>307</v>
      </c>
    </row>
    <row r="313" spans="1:203" s="7" customFormat="1">
      <c r="A313" s="1"/>
      <c r="B313">
        <v>0.73922780336006522</v>
      </c>
      <c r="C313">
        <v>7</v>
      </c>
      <c r="D313">
        <v>39949</v>
      </c>
      <c r="E313">
        <v>0</v>
      </c>
      <c r="F313">
        <v>0</v>
      </c>
      <c r="G313">
        <v>10.416666666666666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20.833333333333332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22.636169678714857</v>
      </c>
      <c r="AO313">
        <v>6.3643703820815656</v>
      </c>
      <c r="AP313">
        <v>174.39470268799209</v>
      </c>
      <c r="AQ313">
        <v>42.309323255749185</v>
      </c>
      <c r="AR313">
        <v>5.8400625272971798</v>
      </c>
      <c r="AS313">
        <v>71.848247036319989</v>
      </c>
      <c r="AT313" t="e">
        <v>#DIV/0!</v>
      </c>
      <c r="AU313" t="e">
        <v>#DIV/0!</v>
      </c>
      <c r="AV313"/>
      <c r="AW313"/>
      <c r="FY313" s="213">
        <v>308</v>
      </c>
      <c r="FZ313">
        <v>1.596276202757001</v>
      </c>
      <c r="GA313">
        <v>20.448469789518626</v>
      </c>
      <c r="GB313">
        <v>9.2778168747163594</v>
      </c>
      <c r="GC313">
        <v>2.7489084517230635</v>
      </c>
      <c r="GD313">
        <v>3.9818084233567799</v>
      </c>
      <c r="GE313">
        <v>4.0760186923589705</v>
      </c>
      <c r="GF313">
        <v>0.47734812494006024</v>
      </c>
      <c r="GG313">
        <v>1.8917088020808825</v>
      </c>
      <c r="GH313">
        <v>2.6012010516395971</v>
      </c>
      <c r="GI313">
        <v>5.3708227569332196</v>
      </c>
      <c r="GJ313"/>
      <c r="GK313"/>
      <c r="GL313"/>
      <c r="GM313"/>
      <c r="GN313" s="208"/>
      <c r="GO313" s="208"/>
      <c r="GP313" s="208"/>
      <c r="GQ313" s="208"/>
      <c r="GR313" s="208"/>
      <c r="GS313" s="208"/>
      <c r="GT313" s="208"/>
      <c r="GU313" s="213">
        <v>308</v>
      </c>
    </row>
    <row r="314" spans="1:203" s="7" customFormat="1">
      <c r="A314" s="1"/>
      <c r="B314">
        <v>0.8334525792171128</v>
      </c>
      <c r="C314">
        <v>6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34.050202245764666</v>
      </c>
      <c r="AO314">
        <v>8.1406442291951358</v>
      </c>
      <c r="AP314">
        <v>171.6045113206265</v>
      </c>
      <c r="AQ314">
        <v>56.486944073911218</v>
      </c>
      <c r="AR314">
        <v>7.5091282046234564</v>
      </c>
      <c r="AS314">
        <v>91.751311540841513</v>
      </c>
      <c r="AT314" t="e">
        <v>#DIV/0!</v>
      </c>
      <c r="AU314" t="e">
        <v>#DIV/0!</v>
      </c>
      <c r="AV314"/>
      <c r="AW314"/>
      <c r="FY314" s="213">
        <v>309</v>
      </c>
      <c r="FZ314">
        <v>5.9631508494094883</v>
      </c>
      <c r="GA314">
        <v>18.588396036453947</v>
      </c>
      <c r="GB314">
        <v>6.386162943384698</v>
      </c>
      <c r="GC314">
        <v>0.38005835948553379</v>
      </c>
      <c r="GD314">
        <v>0.97671848326117883</v>
      </c>
      <c r="GE314">
        <v>1.3899874070050173</v>
      </c>
      <c r="GF314">
        <v>0</v>
      </c>
      <c r="GG314">
        <v>3.1463251717296488</v>
      </c>
      <c r="GH314">
        <v>4.591632084118876</v>
      </c>
      <c r="GI314">
        <v>3.8973021531603944</v>
      </c>
      <c r="GJ314"/>
      <c r="GK314"/>
      <c r="GL314"/>
      <c r="GM314"/>
      <c r="GN314" s="208"/>
      <c r="GO314" s="208"/>
      <c r="GP314" s="208"/>
      <c r="GQ314" s="208"/>
      <c r="GR314" s="208"/>
      <c r="GS314" s="208"/>
      <c r="GT314" s="208"/>
      <c r="GU314" s="213">
        <v>309</v>
      </c>
    </row>
    <row r="315" spans="1:203" s="7" customFormat="1">
      <c r="A315" s="1"/>
      <c r="B315">
        <v>0.4144360197126844</v>
      </c>
      <c r="C315">
        <v>5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23.166770118239789</v>
      </c>
      <c r="AO315">
        <v>6.2443202702955771</v>
      </c>
      <c r="AP315">
        <v>196.94566367892327</v>
      </c>
      <c r="AQ315">
        <v>39.084590528378286</v>
      </c>
      <c r="AR315">
        <v>5.676654791177798</v>
      </c>
      <c r="AS315">
        <v>71.952526478721794</v>
      </c>
      <c r="AT315" t="e">
        <v>#DIV/0!</v>
      </c>
      <c r="AU315" t="e">
        <v>#DIV/0!</v>
      </c>
      <c r="AV315"/>
      <c r="AW315"/>
      <c r="FY315" s="213">
        <v>310</v>
      </c>
      <c r="FZ315">
        <v>1.1743222411384853</v>
      </c>
      <c r="GA315">
        <v>19.2751808431893</v>
      </c>
      <c r="GB315">
        <v>9.5891551327123388</v>
      </c>
      <c r="GC315">
        <v>1.965788422354787</v>
      </c>
      <c r="GD315">
        <v>3.1883277031523467</v>
      </c>
      <c r="GE315">
        <v>3.6965812235859268</v>
      </c>
      <c r="GF315">
        <v>0.47734812494006024</v>
      </c>
      <c r="GG315">
        <v>7.9651821104624627</v>
      </c>
      <c r="GH315">
        <v>10.931784592263604</v>
      </c>
      <c r="GI315">
        <v>6.4072112493221702</v>
      </c>
      <c r="GJ315"/>
      <c r="GK315"/>
      <c r="GL315"/>
      <c r="GM315"/>
      <c r="GN315" s="208"/>
      <c r="GO315" s="208"/>
      <c r="GP315" s="208"/>
      <c r="GQ315" s="208"/>
      <c r="GR315" s="208"/>
      <c r="GS315" s="208"/>
      <c r="GT315" s="208"/>
      <c r="GU315" s="213">
        <v>310</v>
      </c>
    </row>
    <row r="316" spans="1:203" s="7" customFormat="1">
      <c r="A316" s="1"/>
      <c r="B316">
        <v>0.58137675351760776</v>
      </c>
      <c r="C316">
        <v>3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40.2820030120482</v>
      </c>
      <c r="AO316">
        <v>8.8867058530149095</v>
      </c>
      <c r="AP316">
        <v>296.93546567770903</v>
      </c>
      <c r="AQ316">
        <v>55.57547388627686</v>
      </c>
      <c r="AR316">
        <v>8.1330947736002202</v>
      </c>
      <c r="AS316">
        <v>94.156569132858408</v>
      </c>
      <c r="AT316" t="e">
        <v>#DIV/0!</v>
      </c>
      <c r="AU316" t="e">
        <v>#DIV/0!</v>
      </c>
      <c r="AV316"/>
      <c r="AW316"/>
      <c r="FY316" s="213">
        <v>311</v>
      </c>
      <c r="FZ316">
        <v>0.58716112056924263</v>
      </c>
      <c r="GA316">
        <v>19.223035429316084</v>
      </c>
      <c r="GB316">
        <v>9.6898925440791679</v>
      </c>
      <c r="GC316">
        <v>1.0082031354713601</v>
      </c>
      <c r="GD316">
        <v>1.3761702377525942</v>
      </c>
      <c r="GE316">
        <v>1.8022839681025511</v>
      </c>
      <c r="GF316">
        <v>0.95469624988012047</v>
      </c>
      <c r="GG316">
        <v>0.71856317204106601</v>
      </c>
      <c r="GH316">
        <v>0.94872765327768138</v>
      </c>
      <c r="GI316">
        <v>3.6344490599418102</v>
      </c>
      <c r="GJ316"/>
      <c r="GK316"/>
      <c r="GL316"/>
      <c r="GM316"/>
      <c r="GN316" s="208"/>
      <c r="GO316" s="208"/>
      <c r="GP316" s="208"/>
      <c r="GQ316" s="208"/>
      <c r="GR316" s="208"/>
      <c r="GS316" s="208"/>
      <c r="GT316" s="208"/>
      <c r="GU316" s="213">
        <v>311</v>
      </c>
    </row>
    <row r="317" spans="1:203" s="7" customFormat="1">
      <c r="A317" s="1"/>
      <c r="B317">
        <v>0.53221815761875768</v>
      </c>
      <c r="C317">
        <v>6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22.832016283524901</v>
      </c>
      <c r="AO317">
        <v>7.9267237059925817</v>
      </c>
      <c r="AP317">
        <v>149.2618335328562</v>
      </c>
      <c r="AQ317">
        <v>53.02465347452133</v>
      </c>
      <c r="AR317">
        <v>7.3146550017120431</v>
      </c>
      <c r="AS317">
        <v>78.561517317893987</v>
      </c>
      <c r="AT317" t="e">
        <v>#DIV/0!</v>
      </c>
      <c r="AU317" t="e">
        <v>#DIV/0!</v>
      </c>
      <c r="AV317"/>
      <c r="AW317"/>
      <c r="FY317" s="213">
        <v>312</v>
      </c>
      <c r="FZ317">
        <v>3.3577595644647293</v>
      </c>
      <c r="GA317">
        <v>14.795044711033004</v>
      </c>
      <c r="GB317">
        <v>6.3650123065752719</v>
      </c>
      <c r="GC317">
        <v>1.5736198327071467</v>
      </c>
      <c r="GD317">
        <v>2.1774113338237067</v>
      </c>
      <c r="GE317">
        <v>2.544804830612275</v>
      </c>
      <c r="GF317">
        <v>0.95469624988012047</v>
      </c>
      <c r="GG317">
        <v>5.2498414333925441</v>
      </c>
      <c r="GH317">
        <v>7.3576357228144769</v>
      </c>
      <c r="GI317">
        <v>4.7662497387086518</v>
      </c>
      <c r="GJ317"/>
      <c r="GK317"/>
      <c r="GL317"/>
      <c r="GM317"/>
      <c r="GN317" s="208"/>
      <c r="GO317" s="208"/>
      <c r="GP317" s="208"/>
      <c r="GQ317" s="208"/>
      <c r="GR317" s="208"/>
      <c r="GS317" s="208"/>
      <c r="GT317" s="208"/>
      <c r="GU317" s="213">
        <v>312</v>
      </c>
    </row>
    <row r="318" spans="1:203" s="7" customFormat="1">
      <c r="A318" s="1"/>
      <c r="B318">
        <v>8.5528671234742504E-2</v>
      </c>
      <c r="C318">
        <v>6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27.970991107286288</v>
      </c>
      <c r="AO318">
        <v>8.1999016462533039</v>
      </c>
      <c r="AP318">
        <v>194.48348310743683</v>
      </c>
      <c r="AQ318">
        <v>60.169045715776534</v>
      </c>
      <c r="AR318">
        <v>7.61726985462664</v>
      </c>
      <c r="AS318">
        <v>93.610352885886243</v>
      </c>
      <c r="AT318" t="e">
        <v>#DIV/0!</v>
      </c>
      <c r="AU318" t="e">
        <v>#DIV/0!</v>
      </c>
      <c r="AV318"/>
      <c r="AW318"/>
      <c r="FY318" s="213">
        <v>313</v>
      </c>
      <c r="FZ318">
        <v>3.192552405514002</v>
      </c>
      <c r="GA318">
        <v>20.17947114767578</v>
      </c>
      <c r="GB318">
        <v>8.3240667153613401</v>
      </c>
      <c r="GC318">
        <v>2.6531479708261436</v>
      </c>
      <c r="GD318">
        <v>3.7171469099773065</v>
      </c>
      <c r="GE318">
        <v>3.6965812235859268</v>
      </c>
      <c r="GF318">
        <v>0.47734812494006024</v>
      </c>
      <c r="GG318">
        <v>2.3984645145399348</v>
      </c>
      <c r="GH318">
        <v>3.3851261178612746</v>
      </c>
      <c r="GI318">
        <v>5.4349790929445065</v>
      </c>
      <c r="GJ318"/>
      <c r="GK318"/>
      <c r="GL318"/>
      <c r="GM318"/>
      <c r="GN318" s="208"/>
      <c r="GO318" s="208"/>
      <c r="GP318" s="208"/>
      <c r="GQ318" s="208"/>
      <c r="GR318" s="208"/>
      <c r="GS318" s="208"/>
      <c r="GT318" s="208"/>
      <c r="GU318" s="213">
        <v>313</v>
      </c>
    </row>
    <row r="319" spans="1:203" s="7" customFormat="1">
      <c r="A319" s="1"/>
      <c r="B319">
        <v>0.87693191578402097</v>
      </c>
      <c r="C319">
        <v>1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33.840209771763568</v>
      </c>
      <c r="AO319">
        <v>6.981219728373345</v>
      </c>
      <c r="AP319">
        <v>144.6130059882878</v>
      </c>
      <c r="AQ319">
        <v>42.826012412061978</v>
      </c>
      <c r="AR319">
        <v>6.3465633894303144</v>
      </c>
      <c r="AS319">
        <v>92.883385272918545</v>
      </c>
      <c r="AT319" t="e">
        <v>#DIV/0!</v>
      </c>
      <c r="AU319" t="e">
        <v>#DIV/0!</v>
      </c>
      <c r="AV319"/>
      <c r="AW319"/>
      <c r="FY319" s="213">
        <v>314</v>
      </c>
      <c r="FZ319">
        <v>2.1834373233262436</v>
      </c>
      <c r="GA319">
        <v>12.844925782489749</v>
      </c>
      <c r="GB319">
        <v>5.5559562720299205</v>
      </c>
      <c r="GC319">
        <v>2.3384670078697281</v>
      </c>
      <c r="GD319">
        <v>3.7582140279457645</v>
      </c>
      <c r="GE319">
        <v>4.266032697678666</v>
      </c>
      <c r="GF319">
        <v>0.47734812494006024</v>
      </c>
      <c r="GG319">
        <v>3.3598026849977378</v>
      </c>
      <c r="GH319">
        <v>4.872796929167186</v>
      </c>
      <c r="GI319">
        <v>4.8196505567514949</v>
      </c>
      <c r="GJ319"/>
      <c r="GK319"/>
      <c r="GL319"/>
      <c r="GM319"/>
      <c r="GN319" s="208"/>
      <c r="GO319" s="208"/>
      <c r="GP319" s="208"/>
      <c r="GQ319" s="208"/>
      <c r="GR319" s="208"/>
      <c r="GS319" s="208"/>
      <c r="GT319" s="208"/>
      <c r="GU319" s="213">
        <v>314</v>
      </c>
    </row>
    <row r="320" spans="1:203" s="7" customFormat="1">
      <c r="A320" s="1"/>
      <c r="B320">
        <v>0.84208968908486082</v>
      </c>
      <c r="C320">
        <v>7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17.356493296667786</v>
      </c>
      <c r="AO320">
        <v>6.4859254647410109</v>
      </c>
      <c r="AP320">
        <v>126.06575790748464</v>
      </c>
      <c r="AQ320">
        <v>42.456105470368904</v>
      </c>
      <c r="AR320">
        <v>5.9505671478966766</v>
      </c>
      <c r="AS320">
        <v>60.227861135844336</v>
      </c>
      <c r="AT320" t="e">
        <v>#DIV/0!</v>
      </c>
      <c r="AU320" t="e">
        <v>#DIV/0!</v>
      </c>
      <c r="AV320"/>
      <c r="AW320"/>
      <c r="FY320" s="213">
        <v>315</v>
      </c>
      <c r="FZ320">
        <v>3.7797135260832437</v>
      </c>
      <c r="GA320">
        <v>15.79822790500662</v>
      </c>
      <c r="GB320">
        <v>6.0112526807696236</v>
      </c>
      <c r="GC320">
        <v>1.233286241574443</v>
      </c>
      <c r="GD320">
        <v>1.6079009524382744</v>
      </c>
      <c r="GE320">
        <v>1.335515446279125</v>
      </c>
      <c r="GF320">
        <v>0</v>
      </c>
      <c r="GG320">
        <v>6.504457803041312</v>
      </c>
      <c r="GH320">
        <v>9.3480667552937575</v>
      </c>
      <c r="GI320">
        <v>4.5373804014924222</v>
      </c>
      <c r="GJ320"/>
      <c r="GK320"/>
      <c r="GL320"/>
      <c r="GM320"/>
      <c r="GN320" s="208"/>
      <c r="GO320" s="208"/>
      <c r="GP320" s="208"/>
      <c r="GQ320" s="208"/>
      <c r="GR320" s="208"/>
      <c r="GS320" s="208"/>
      <c r="GT320" s="208"/>
      <c r="GU320" s="213">
        <v>315</v>
      </c>
    </row>
    <row r="321" spans="1:203" s="7" customFormat="1">
      <c r="A321" s="1"/>
      <c r="B321">
        <v>0.80192820979555623</v>
      </c>
      <c r="C321">
        <v>6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27.783576630001114</v>
      </c>
      <c r="AO321">
        <v>7.0530133483122173</v>
      </c>
      <c r="AP321">
        <v>374.37337804701031</v>
      </c>
      <c r="AQ321">
        <v>48.146813778265191</v>
      </c>
      <c r="AR321">
        <v>6.4661015875068628</v>
      </c>
      <c r="AS321">
        <v>76.437826529875281</v>
      </c>
      <c r="AT321" t="e">
        <v>#DIV/0!</v>
      </c>
      <c r="AU321" t="e">
        <v>#DIV/0!</v>
      </c>
      <c r="AV321"/>
      <c r="AW321"/>
      <c r="FY321" s="213">
        <v>316</v>
      </c>
      <c r="FZ321">
        <v>0</v>
      </c>
      <c r="GA321">
        <v>11.352645841346899</v>
      </c>
      <c r="GB321">
        <v>5.5217121091437269</v>
      </c>
      <c r="GC321">
        <v>2.0102436468991312</v>
      </c>
      <c r="GD321">
        <v>3.1980290923204153</v>
      </c>
      <c r="GE321">
        <v>3.3494262881027748</v>
      </c>
      <c r="GF321">
        <v>0</v>
      </c>
      <c r="GG321">
        <v>9.1130597234771837</v>
      </c>
      <c r="GH321">
        <v>12.781633202218728</v>
      </c>
      <c r="GI321">
        <v>5.4081304668142858</v>
      </c>
      <c r="GJ321"/>
      <c r="GK321"/>
      <c r="GL321"/>
      <c r="GM321"/>
      <c r="GN321" s="208"/>
      <c r="GO321" s="208"/>
      <c r="GP321" s="208"/>
      <c r="GQ321" s="208"/>
      <c r="GR321" s="208"/>
      <c r="GS321" s="208"/>
      <c r="GT321" s="208"/>
      <c r="GU321" s="213">
        <v>316</v>
      </c>
    </row>
    <row r="322" spans="1:203" s="7" customFormat="1">
      <c r="A322" s="1"/>
      <c r="B322">
        <v>0.92929901686796956</v>
      </c>
      <c r="C322">
        <v>5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35.797704570333885</v>
      </c>
      <c r="AO322">
        <v>8.5089005594747675</v>
      </c>
      <c r="AP322">
        <v>206.10075859065384</v>
      </c>
      <c r="AQ322">
        <v>54.070930747313554</v>
      </c>
      <c r="AR322">
        <v>7.7896354158364565</v>
      </c>
      <c r="AS322">
        <v>101.89443294606664</v>
      </c>
      <c r="AT322" t="e">
        <v>#DIV/0!</v>
      </c>
      <c r="AU322" t="e">
        <v>#DIV/0!</v>
      </c>
      <c r="AV322"/>
      <c r="AW322"/>
      <c r="FY322" s="213">
        <v>317</v>
      </c>
      <c r="FZ322">
        <v>0</v>
      </c>
      <c r="GA322">
        <v>10.822227674682283</v>
      </c>
      <c r="GB322">
        <v>5.3864542924833456</v>
      </c>
      <c r="GC322">
        <v>1.682020285928534</v>
      </c>
      <c r="GD322">
        <v>1.3944695978925237</v>
      </c>
      <c r="GE322">
        <v>0.78867901640522187</v>
      </c>
      <c r="GF322">
        <v>0.95469624988012047</v>
      </c>
      <c r="GG322">
        <v>5.5431196325835081</v>
      </c>
      <c r="GH322">
        <v>7.8603959439878439</v>
      </c>
      <c r="GI322">
        <v>3.6408807154663414</v>
      </c>
      <c r="GJ322"/>
      <c r="GK322"/>
      <c r="GL322"/>
      <c r="GM322"/>
      <c r="GN322" s="208"/>
      <c r="GO322" s="208"/>
      <c r="GP322" s="208"/>
      <c r="GQ322" s="208"/>
      <c r="GR322" s="208"/>
      <c r="GS322" s="208"/>
      <c r="GT322" s="208"/>
      <c r="GU322" s="213">
        <v>317</v>
      </c>
    </row>
    <row r="323" spans="1:203" s="7" customFormat="1">
      <c r="A323" s="1"/>
      <c r="B323">
        <v>0.51620181318071356</v>
      </c>
      <c r="C323">
        <v>5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35.877326630001129</v>
      </c>
      <c r="AO323">
        <v>9.2113387046570914</v>
      </c>
      <c r="AP323">
        <v>217.37080009130557</v>
      </c>
      <c r="AQ323">
        <v>58.655715049942344</v>
      </c>
      <c r="AR323">
        <v>8.4824868186797762</v>
      </c>
      <c r="AS323">
        <v>104.6808674470861</v>
      </c>
      <c r="AT323" t="e">
        <v>#DIV/0!</v>
      </c>
      <c r="AU323" t="e">
        <v>#DIV/0!</v>
      </c>
      <c r="AV323"/>
      <c r="AW323"/>
      <c r="FY323" s="213">
        <v>318</v>
      </c>
      <c r="FZ323">
        <v>0</v>
      </c>
      <c r="GA323">
        <v>20.122409314010781</v>
      </c>
      <c r="GB323">
        <v>9.9625300496942479</v>
      </c>
      <c r="GC323">
        <v>2.0877312735903564</v>
      </c>
      <c r="GD323">
        <v>2.6316579644362794</v>
      </c>
      <c r="GE323">
        <v>2.0816818641205512</v>
      </c>
      <c r="GF323">
        <v>0</v>
      </c>
      <c r="GG323">
        <v>2.1849870012718453</v>
      </c>
      <c r="GH323">
        <v>3.1039612728129642</v>
      </c>
      <c r="GI323">
        <v>4.6088507002591488</v>
      </c>
      <c r="GJ323"/>
      <c r="GK323"/>
      <c r="GL323"/>
      <c r="GM323"/>
      <c r="GN323" s="208"/>
      <c r="GO323" s="208"/>
      <c r="GP323" s="208"/>
      <c r="GQ323" s="208"/>
      <c r="GR323" s="208"/>
      <c r="GS323" s="208"/>
      <c r="GT323" s="208"/>
      <c r="GU323" s="213">
        <v>318</v>
      </c>
    </row>
    <row r="324" spans="1:203" s="7" customFormat="1">
      <c r="A324" s="1"/>
      <c r="B324">
        <v>0.83211747500779798</v>
      </c>
      <c r="C324">
        <v>1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48.049860154905339</v>
      </c>
      <c r="AO324">
        <v>8.1975471327330531</v>
      </c>
      <c r="AP324">
        <v>180.76011655993307</v>
      </c>
      <c r="AQ324">
        <v>52.470379170024565</v>
      </c>
      <c r="AR324">
        <v>7.4523155752118653</v>
      </c>
      <c r="AS324">
        <v>121.5764312247709</v>
      </c>
      <c r="AT324" t="e">
        <v>#DIV/0!</v>
      </c>
      <c r="AU324" t="e">
        <v>#DIV/0!</v>
      </c>
      <c r="AV324"/>
      <c r="AW324"/>
      <c r="FY324" s="213">
        <v>319</v>
      </c>
      <c r="FZ324">
        <v>3.944920685033972</v>
      </c>
      <c r="GA324">
        <v>11.215234254809664</v>
      </c>
      <c r="GB324">
        <v>4.7294702161039091</v>
      </c>
      <c r="GC324">
        <v>1.9327560202079057</v>
      </c>
      <c r="GD324">
        <v>3.2738155166097052</v>
      </c>
      <c r="GE324">
        <v>4.2088292642471457</v>
      </c>
      <c r="GF324">
        <v>0.95469624988012047</v>
      </c>
      <c r="GG324">
        <v>1.7866400991329137</v>
      </c>
      <c r="GH324">
        <v>2.5769808871077484</v>
      </c>
      <c r="GI324">
        <v>4.3092073468130305</v>
      </c>
      <c r="GJ324"/>
      <c r="GK324"/>
      <c r="GL324"/>
      <c r="GM324"/>
      <c r="GN324" s="208"/>
      <c r="GO324" s="208"/>
      <c r="GP324" s="208"/>
      <c r="GQ324" s="208"/>
      <c r="GR324" s="208"/>
      <c r="GS324" s="208"/>
      <c r="GT324" s="208"/>
      <c r="GU324" s="213">
        <v>319</v>
      </c>
    </row>
    <row r="325" spans="1:203" s="7" customFormat="1">
      <c r="A325" s="1"/>
      <c r="B325">
        <v>0.86147252610249492</v>
      </c>
      <c r="C325">
        <v>9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14.517857142857142</v>
      </c>
      <c r="AO325">
        <v>6.1458963792676329</v>
      </c>
      <c r="AP325">
        <v>111.33178534560352</v>
      </c>
      <c r="AQ325">
        <v>45.319733488008787</v>
      </c>
      <c r="AR325">
        <v>5.6957210683257253</v>
      </c>
      <c r="AS325">
        <v>54.359813350290395</v>
      </c>
      <c r="AT325" t="e">
        <v>#DIV/0!</v>
      </c>
      <c r="AU325" t="e">
        <v>#DIV/0!</v>
      </c>
      <c r="AV325"/>
      <c r="AW325"/>
      <c r="FY325" s="213">
        <v>320</v>
      </c>
      <c r="FZ325">
        <v>1.596276202757001</v>
      </c>
      <c r="GA325">
        <v>18.167913839995382</v>
      </c>
      <c r="GB325">
        <v>8.2122942527107767</v>
      </c>
      <c r="GC325">
        <v>1.6375650613841901</v>
      </c>
      <c r="GD325">
        <v>2.3522652175591885</v>
      </c>
      <c r="GE325">
        <v>2.5099068834716127</v>
      </c>
      <c r="GF325">
        <v>0.47734812494006024</v>
      </c>
      <c r="GG325">
        <v>6.6111965596753564</v>
      </c>
      <c r="GH325">
        <v>9.4886491778179121</v>
      </c>
      <c r="GI325">
        <v>5.3532150591229009</v>
      </c>
      <c r="GJ325"/>
      <c r="GK325"/>
      <c r="GL325"/>
      <c r="GM325"/>
      <c r="GN325" s="208"/>
      <c r="GO325" s="208"/>
      <c r="GP325" s="208"/>
      <c r="GQ325" s="208"/>
      <c r="GR325" s="208"/>
      <c r="GS325" s="208"/>
      <c r="GT325" s="208"/>
      <c r="GU325" s="213">
        <v>320</v>
      </c>
    </row>
    <row r="326" spans="1:203" s="7" customFormat="1">
      <c r="A326" s="1"/>
      <c r="B326">
        <v>0.79030723427887839</v>
      </c>
      <c r="C326">
        <v>8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36.162305832525504</v>
      </c>
      <c r="AO326">
        <v>9.905303086280032</v>
      </c>
      <c r="AP326">
        <v>493.27872419634502</v>
      </c>
      <c r="AQ326">
        <v>64.67088164312149</v>
      </c>
      <c r="AR326">
        <v>9.1133635292460884</v>
      </c>
      <c r="AS326">
        <v>106.61826955498411</v>
      </c>
      <c r="AT326" t="e">
        <v>#DIV/0!</v>
      </c>
      <c r="AU326" t="e">
        <v>#DIV/0!</v>
      </c>
      <c r="AV326"/>
      <c r="AW326"/>
      <c r="FY326" s="213">
        <v>321</v>
      </c>
      <c r="FZ326">
        <v>2.1834373233262436</v>
      </c>
      <c r="GA326">
        <v>18.46575441456503</v>
      </c>
      <c r="GB326">
        <v>8.2262505478560524</v>
      </c>
      <c r="GC326">
        <v>2.7562882256936567</v>
      </c>
      <c r="GD326">
        <v>4.3549468944678651</v>
      </c>
      <c r="GE326">
        <v>5.1251121330633094</v>
      </c>
      <c r="GF326">
        <v>0.95469624988012047</v>
      </c>
      <c r="GG326">
        <v>2.9035501733129117</v>
      </c>
      <c r="GH326">
        <v>4.0526889260906458</v>
      </c>
      <c r="GI326">
        <v>5.9421624695182782</v>
      </c>
      <c r="GJ326"/>
      <c r="GK326"/>
      <c r="GL326"/>
      <c r="GM326"/>
      <c r="GN326" s="208"/>
      <c r="GO326" s="208"/>
      <c r="GP326" s="208"/>
      <c r="GQ326" s="208"/>
      <c r="GR326" s="208"/>
      <c r="GS326" s="208"/>
      <c r="GT326" s="208"/>
      <c r="GU326" s="213">
        <v>321</v>
      </c>
    </row>
    <row r="327" spans="1:203" s="7" customFormat="1">
      <c r="A327" s="1"/>
      <c r="B327">
        <v>0.81671728593139492</v>
      </c>
      <c r="C327">
        <v>5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27.488933772858257</v>
      </c>
      <c r="AO327">
        <v>5.4540038166766855</v>
      </c>
      <c r="AP327">
        <v>270.47908914807647</v>
      </c>
      <c r="AQ327">
        <v>39.943182570431674</v>
      </c>
      <c r="AR327">
        <v>5.0124565587472887</v>
      </c>
      <c r="AS327">
        <v>68.417547397250459</v>
      </c>
      <c r="AT327" t="e">
        <v>#DIV/0!</v>
      </c>
      <c r="AU327" t="e">
        <v>#DIV/0!</v>
      </c>
      <c r="AV327"/>
      <c r="AW327"/>
      <c r="FY327" s="213">
        <v>322</v>
      </c>
      <c r="FZ327">
        <v>1.596276202757001</v>
      </c>
      <c r="GA327">
        <v>15.183784532911345</v>
      </c>
      <c r="GB327">
        <v>6.604664752529966</v>
      </c>
      <c r="GC327">
        <v>1.4522067236339375</v>
      </c>
      <c r="GD327">
        <v>1.594164757044793</v>
      </c>
      <c r="GE327">
        <v>0.96573148374538664</v>
      </c>
      <c r="GF327">
        <v>0</v>
      </c>
      <c r="GG327">
        <v>4.583451515811781</v>
      </c>
      <c r="GH327">
        <v>6.4890873906742392</v>
      </c>
      <c r="GI327">
        <v>3.8828404392732749</v>
      </c>
      <c r="GJ327"/>
      <c r="GK327"/>
      <c r="GL327"/>
      <c r="GM327"/>
      <c r="GN327" s="208"/>
      <c r="GO327" s="208"/>
      <c r="GP327" s="208"/>
      <c r="GQ327" s="208"/>
      <c r="GR327" s="208"/>
      <c r="GS327" s="208"/>
      <c r="GT327" s="208"/>
      <c r="GU327" s="213">
        <v>322</v>
      </c>
    </row>
    <row r="328" spans="1:203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29.247776821572007</v>
      </c>
      <c r="AO328">
        <v>7.3255690960349797</v>
      </c>
      <c r="AP328">
        <v>197.33568704726252</v>
      </c>
      <c r="AQ328">
        <v>49.142075724011924</v>
      </c>
      <c r="AR328">
        <v>6.82242208170089</v>
      </c>
      <c r="AS328">
        <v>82.785644649843761</v>
      </c>
      <c r="AT328" t="e">
        <v>#DIV/0!</v>
      </c>
      <c r="AU328" t="e">
        <v>#DIV/0!</v>
      </c>
      <c r="AV328"/>
      <c r="AW328"/>
      <c r="FY328" s="213">
        <v>323</v>
      </c>
      <c r="FZ328">
        <v>2.1834373233262436</v>
      </c>
      <c r="GA328">
        <v>21.099651017111004</v>
      </c>
      <c r="GB328">
        <v>9.4225743970273044</v>
      </c>
      <c r="GC328">
        <v>1.4003717251190004</v>
      </c>
      <c r="GD328">
        <v>2.84550523143136</v>
      </c>
      <c r="GE328">
        <v>3.5939122541483632</v>
      </c>
      <c r="GF328">
        <v>0</v>
      </c>
      <c r="GG328">
        <v>5.1431026767584997</v>
      </c>
      <c r="GH328">
        <v>7.2170533002903205</v>
      </c>
      <c r="GI328">
        <v>5.7347817278707582</v>
      </c>
      <c r="GJ328"/>
      <c r="GK328"/>
      <c r="GL328"/>
      <c r="GM328"/>
      <c r="GN328" s="208"/>
      <c r="GO328" s="208"/>
      <c r="GP328" s="208"/>
      <c r="GQ328" s="208"/>
      <c r="GR328" s="208"/>
      <c r="GS328" s="208"/>
      <c r="GT328" s="208"/>
      <c r="GU328" s="213">
        <v>323</v>
      </c>
    </row>
    <row r="329" spans="1:203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43.055162975382643</v>
      </c>
      <c r="AO329">
        <v>8.3774592302568074</v>
      </c>
      <c r="AP329">
        <v>220.16293067702313</v>
      </c>
      <c r="AQ329">
        <v>53.458884223226285</v>
      </c>
      <c r="AR329">
        <v>7.615872027506188</v>
      </c>
      <c r="AS329">
        <v>95.01248846011876</v>
      </c>
      <c r="AT329" t="e">
        <v>#DIV/0!</v>
      </c>
      <c r="AU329" t="e">
        <v>#DIV/0!</v>
      </c>
      <c r="AV329"/>
      <c r="AW329"/>
      <c r="FY329" s="213">
        <v>324</v>
      </c>
      <c r="FZ329">
        <v>3.7797135260832437</v>
      </c>
      <c r="GA329">
        <v>17.171083471863202</v>
      </c>
      <c r="GB329">
        <v>6.6653155132875179</v>
      </c>
      <c r="GC329">
        <v>2.8903413070913326</v>
      </c>
      <c r="GD329">
        <v>3.4995589722993494</v>
      </c>
      <c r="GE329">
        <v>2.5936063640220421</v>
      </c>
      <c r="GF329">
        <v>0</v>
      </c>
      <c r="GG329">
        <v>2.7968114166788669</v>
      </c>
      <c r="GH329">
        <v>3.9121065035664904</v>
      </c>
      <c r="GI329">
        <v>5.0073110634971822</v>
      </c>
      <c r="GJ329"/>
      <c r="GK329"/>
      <c r="GL329"/>
      <c r="GM329"/>
      <c r="GN329" s="208"/>
      <c r="GO329" s="208"/>
      <c r="GP329" s="208"/>
      <c r="GQ329" s="208"/>
      <c r="GR329" s="208"/>
      <c r="GS329" s="208"/>
      <c r="GT329" s="208"/>
      <c r="GU329" s="213">
        <v>324</v>
      </c>
    </row>
    <row r="330" spans="1:203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40.943470309810671</v>
      </c>
      <c r="AO330">
        <v>7.4477675330173181</v>
      </c>
      <c r="AP330">
        <v>198.22022782350953</v>
      </c>
      <c r="AQ330">
        <v>44.476631407196557</v>
      </c>
      <c r="AR330">
        <v>6.8249690281478639</v>
      </c>
      <c r="AS330">
        <v>102.55933361837437</v>
      </c>
      <c r="AT330" t="e">
        <v>#DIV/0!</v>
      </c>
      <c r="AU330" t="e">
        <v>#DIV/0!</v>
      </c>
      <c r="AV330"/>
      <c r="AW330"/>
      <c r="FY330" s="213">
        <v>325</v>
      </c>
      <c r="FZ330">
        <v>1.596276202757001</v>
      </c>
      <c r="GA330">
        <v>17.475798088310874</v>
      </c>
      <c r="GB330">
        <v>7.6336378476629356</v>
      </c>
      <c r="GC330">
        <v>1.6119124332079018</v>
      </c>
      <c r="GD330">
        <v>2.891951275195944</v>
      </c>
      <c r="GE330">
        <v>3.3494262881027748</v>
      </c>
      <c r="GF330">
        <v>0</v>
      </c>
      <c r="GG330">
        <v>0.71856317204106601</v>
      </c>
      <c r="GH330">
        <v>0.94872765327768138</v>
      </c>
      <c r="GI330">
        <v>4.0672759776485217</v>
      </c>
      <c r="GJ330"/>
      <c r="GK330"/>
      <c r="GL330"/>
      <c r="GM330"/>
      <c r="GN330" s="208"/>
      <c r="GO330" s="208"/>
      <c r="GP330" s="208"/>
      <c r="GQ330" s="208"/>
      <c r="GR330" s="208"/>
      <c r="GS330" s="208"/>
      <c r="GT330" s="208"/>
      <c r="GU330" s="213">
        <v>325</v>
      </c>
    </row>
    <row r="331" spans="1:203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25.543154761904759</v>
      </c>
      <c r="AO331">
        <v>7.2113816632981198</v>
      </c>
      <c r="AP331">
        <v>220.39057633148303</v>
      </c>
      <c r="AQ331">
        <v>50.155801711978818</v>
      </c>
      <c r="AR331">
        <v>6.6100727829485919</v>
      </c>
      <c r="AS331">
        <v>81.477562353111267</v>
      </c>
      <c r="AT331" t="e">
        <v>#DIV/0!</v>
      </c>
      <c r="AU331" t="e">
        <v>#DIV/0!</v>
      </c>
      <c r="AV331"/>
      <c r="AW331"/>
      <c r="FY331" s="213">
        <v>326</v>
      </c>
      <c r="FZ331">
        <v>0.58716112056924263</v>
      </c>
      <c r="GA331">
        <v>10.003743417179463</v>
      </c>
      <c r="GB331">
        <v>5.0656163288367981</v>
      </c>
      <c r="GC331">
        <v>1.7730503106339413</v>
      </c>
      <c r="GD331">
        <v>2.8664661987394715</v>
      </c>
      <c r="GE331">
        <v>3.632779297380456</v>
      </c>
      <c r="GF331">
        <v>0.95469624988012047</v>
      </c>
      <c r="GG331">
        <v>0.61182441540702126</v>
      </c>
      <c r="GH331">
        <v>0.80814523075352618</v>
      </c>
      <c r="GI331">
        <v>3.3656501716656648</v>
      </c>
      <c r="GJ331"/>
      <c r="GK331"/>
      <c r="GL331"/>
      <c r="GM331"/>
      <c r="GN331" s="208"/>
      <c r="GO331" s="208"/>
      <c r="GP331" s="208"/>
      <c r="GQ331" s="208"/>
      <c r="GR331" s="208"/>
      <c r="GS331" s="208"/>
      <c r="GT331" s="208"/>
      <c r="GU331" s="213">
        <v>326</v>
      </c>
    </row>
    <row r="332" spans="1:203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36.248597427476739</v>
      </c>
      <c r="AO332">
        <v>8.6605571098456373</v>
      </c>
      <c r="AP332">
        <v>434.55457133857897</v>
      </c>
      <c r="AQ332">
        <v>52.734880370323147</v>
      </c>
      <c r="AR332">
        <v>7.8732337362233054</v>
      </c>
      <c r="AS332">
        <v>93.384574814167962</v>
      </c>
      <c r="AT332" t="e">
        <v>#DIV/0!</v>
      </c>
      <c r="AU332" t="e">
        <v>#DIV/0!</v>
      </c>
      <c r="AV332"/>
      <c r="AW332"/>
      <c r="FY332" s="213">
        <v>327</v>
      </c>
      <c r="FZ332">
        <v>4.3668746466524873</v>
      </c>
      <c r="GA332">
        <v>11.948769145397693</v>
      </c>
      <c r="GB332">
        <v>4.0630498315751877</v>
      </c>
      <c r="GC332">
        <v>1.1752886190159173</v>
      </c>
      <c r="GD332">
        <v>1.4043191190734081</v>
      </c>
      <c r="GE332">
        <v>1.0136049516973293</v>
      </c>
      <c r="GF332">
        <v>0</v>
      </c>
      <c r="GG332">
        <v>4.931295217176487</v>
      </c>
      <c r="GH332">
        <v>7.0522507132343177</v>
      </c>
      <c r="GI332">
        <v>3.64266244420743</v>
      </c>
      <c r="GJ332"/>
      <c r="GK332"/>
      <c r="GL332"/>
      <c r="GM332"/>
      <c r="GN332" s="208"/>
      <c r="GO332" s="208"/>
      <c r="GP332" s="208"/>
      <c r="GQ332" s="208"/>
      <c r="GR332" s="208"/>
      <c r="GS332" s="208"/>
      <c r="GT332" s="208"/>
      <c r="GU332" s="213">
        <v>327</v>
      </c>
    </row>
    <row r="333" spans="1:203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26.623597427476739</v>
      </c>
      <c r="AO333">
        <v>5.8134284198028414</v>
      </c>
      <c r="AP333">
        <v>323.55183410666871</v>
      </c>
      <c r="AQ333">
        <v>38.07294340930973</v>
      </c>
      <c r="AR333">
        <v>5.2849349270934916</v>
      </c>
      <c r="AS333">
        <v>65.145599516146575</v>
      </c>
      <c r="AT333" t="e">
        <v>#DIV/0!</v>
      </c>
      <c r="AU333" t="e">
        <v>#DIV/0!</v>
      </c>
      <c r="AV333"/>
      <c r="AW333"/>
      <c r="FY333" s="213">
        <v>328</v>
      </c>
      <c r="FZ333">
        <v>0</v>
      </c>
      <c r="GA333">
        <v>15.655802179269456</v>
      </c>
      <c r="GB333">
        <v>7.7490675282409835</v>
      </c>
      <c r="GC333">
        <v>1.9401357941784985</v>
      </c>
      <c r="GD333">
        <v>2.0176248043607323</v>
      </c>
      <c r="GE333">
        <v>1.3607598871804809</v>
      </c>
      <c r="GF333">
        <v>0.47734812494006024</v>
      </c>
      <c r="GG333">
        <v>3.6766788475277208</v>
      </c>
      <c r="GH333">
        <v>5.061819680755038</v>
      </c>
      <c r="GI333">
        <v>4.1003535952999499</v>
      </c>
      <c r="GJ333"/>
      <c r="GK333"/>
      <c r="GL333"/>
      <c r="GM333"/>
      <c r="GN333" s="208"/>
      <c r="GO333" s="208"/>
      <c r="GP333" s="208"/>
      <c r="GQ333" s="208"/>
      <c r="GR333" s="208"/>
      <c r="GS333" s="208"/>
      <c r="GT333" s="208"/>
      <c r="GU333" s="213">
        <v>328</v>
      </c>
    </row>
    <row r="334" spans="1:203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34.64443076081006</v>
      </c>
      <c r="AO334">
        <v>7.211458705191248</v>
      </c>
      <c r="AP334">
        <v>366.55806965807244</v>
      </c>
      <c r="AQ334">
        <v>46.783809440196173</v>
      </c>
      <c r="AR334">
        <v>6.5558715501738609</v>
      </c>
      <c r="AS334">
        <v>93.302815328946934</v>
      </c>
      <c r="AT334" t="e">
        <v>#DIV/0!</v>
      </c>
      <c r="AU334" t="e">
        <v>#DIV/0!</v>
      </c>
      <c r="AV334"/>
      <c r="AW334"/>
      <c r="FY334" s="213">
        <v>329</v>
      </c>
      <c r="FZ334">
        <v>3.3577595644647293</v>
      </c>
      <c r="GA334">
        <v>18.738205440395888</v>
      </c>
      <c r="GB334">
        <v>8.4052522330531954</v>
      </c>
      <c r="GC334">
        <v>0.15497525338245066</v>
      </c>
      <c r="GD334">
        <v>0.77868145593217453</v>
      </c>
      <c r="GE334">
        <v>1.6281984210363838</v>
      </c>
      <c r="GF334">
        <v>0.47734812494006024</v>
      </c>
      <c r="GG334">
        <v>0.82530192867511065</v>
      </c>
      <c r="GH334">
        <v>1.0893100758018361</v>
      </c>
      <c r="GI334">
        <v>3.3327600236749468</v>
      </c>
      <c r="GJ334"/>
      <c r="GK334"/>
      <c r="GL334"/>
      <c r="GM334"/>
      <c r="GN334" s="208"/>
      <c r="GO334" s="208"/>
      <c r="GP334" s="208"/>
      <c r="GQ334" s="208"/>
      <c r="GR334" s="208"/>
      <c r="GS334" s="208"/>
      <c r="GT334" s="208"/>
      <c r="GU334" s="213">
        <v>329</v>
      </c>
    </row>
    <row r="335" spans="1:203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38.755970309810664</v>
      </c>
      <c r="AO335">
        <v>6.4041199777842284</v>
      </c>
      <c r="AP335">
        <v>139.51366697686731</v>
      </c>
      <c r="AQ335">
        <v>38.932550539946121</v>
      </c>
      <c r="AR335">
        <v>6.0390123359686898</v>
      </c>
      <c r="AS335">
        <v>88.728886835907389</v>
      </c>
      <c r="AT335" t="e">
        <v>#DIV/0!</v>
      </c>
      <c r="AU335" t="e">
        <v>#DIV/0!</v>
      </c>
      <c r="AV335"/>
      <c r="AW335"/>
      <c r="FY335" s="213">
        <v>330</v>
      </c>
      <c r="FZ335">
        <v>1.7614833617077283</v>
      </c>
      <c r="GA335">
        <v>16.211845031058232</v>
      </c>
      <c r="GB335">
        <v>8.1648004155312766</v>
      </c>
      <c r="GC335">
        <v>2.5756603441349175</v>
      </c>
      <c r="GD335">
        <v>3.3580850158854916</v>
      </c>
      <c r="GE335">
        <v>2.7932738755810438</v>
      </c>
      <c r="GF335">
        <v>0</v>
      </c>
      <c r="GG335">
        <v>4.2885032629347419</v>
      </c>
      <c r="GH335">
        <v>5.8699649115085659</v>
      </c>
      <c r="GI335">
        <v>5.2239454832817707</v>
      </c>
      <c r="GJ335"/>
      <c r="GK335"/>
      <c r="GL335"/>
      <c r="GM335"/>
      <c r="GN335" s="208"/>
      <c r="GO335" s="208"/>
      <c r="GP335" s="208"/>
      <c r="GQ335" s="208"/>
      <c r="GR335" s="208"/>
      <c r="GS335" s="208"/>
      <c r="GT335" s="208"/>
      <c r="GU335" s="213">
        <v>330</v>
      </c>
    </row>
    <row r="336" spans="1:203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32.990336345381529</v>
      </c>
      <c r="AO336">
        <v>8.5108243831759847</v>
      </c>
      <c r="AP336">
        <v>271.93342477944225</v>
      </c>
      <c r="AQ336">
        <v>56.406630379434382</v>
      </c>
      <c r="AR336">
        <v>7.7371130756145305</v>
      </c>
      <c r="AS336">
        <v>85.488995687245819</v>
      </c>
      <c r="AT336" t="e">
        <v>#DIV/0!</v>
      </c>
      <c r="AU336" t="e">
        <v>#DIV/0!</v>
      </c>
      <c r="AV336"/>
      <c r="AW336"/>
      <c r="FY336" s="213">
        <v>331</v>
      </c>
      <c r="FZ336">
        <v>3.7797135260832437</v>
      </c>
      <c r="GA336">
        <v>15.670493082792678</v>
      </c>
      <c r="GB336">
        <v>6.0397177534340161</v>
      </c>
      <c r="GC336">
        <v>1.792540314766641</v>
      </c>
      <c r="GD336">
        <v>2.1051090107661703</v>
      </c>
      <c r="GE336">
        <v>1.7637404656301865</v>
      </c>
      <c r="GF336">
        <v>0.47734812494006024</v>
      </c>
      <c r="GG336">
        <v>0.32021626990213425</v>
      </c>
      <c r="GH336">
        <v>0.42174726757246522</v>
      </c>
      <c r="GI336">
        <v>3.4221363718552316</v>
      </c>
      <c r="GJ336"/>
      <c r="GK336"/>
      <c r="GL336"/>
      <c r="GM336"/>
      <c r="GN336" s="208"/>
      <c r="GO336" s="208"/>
      <c r="GP336" s="208"/>
      <c r="GQ336" s="208"/>
      <c r="GR336" s="208"/>
      <c r="GS336" s="208"/>
      <c r="GT336" s="208"/>
      <c r="GU336" s="213">
        <v>331</v>
      </c>
    </row>
    <row r="337" spans="1:203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42.801519295573101</v>
      </c>
      <c r="AO337">
        <v>9.2304071205466069</v>
      </c>
      <c r="AP337">
        <v>199.74551668238502</v>
      </c>
      <c r="AQ337">
        <v>54.964887357774124</v>
      </c>
      <c r="AR337">
        <v>8.4455504713563077</v>
      </c>
      <c r="AS337">
        <v>108.65923835508704</v>
      </c>
      <c r="AT337" t="e">
        <v>#DIV/0!</v>
      </c>
      <c r="AU337" t="e">
        <v>#DIV/0!</v>
      </c>
      <c r="AV337"/>
      <c r="AW337"/>
      <c r="FY337" s="213">
        <v>332</v>
      </c>
      <c r="FZ337">
        <v>2.1834373233262436</v>
      </c>
      <c r="GA337">
        <v>19.15650384985392</v>
      </c>
      <c r="GB337">
        <v>8.575553584166995</v>
      </c>
      <c r="GC337">
        <v>0.2951909588237156</v>
      </c>
      <c r="GD337">
        <v>0.7275837089421866</v>
      </c>
      <c r="GE337">
        <v>1.0136049516973293</v>
      </c>
      <c r="GF337">
        <v>0</v>
      </c>
      <c r="GG337">
        <v>5.1431026767584997</v>
      </c>
      <c r="GH337">
        <v>7.2170533002903205</v>
      </c>
      <c r="GI337">
        <v>4.0919383112654124</v>
      </c>
      <c r="GJ337"/>
      <c r="GK337"/>
      <c r="GL337"/>
      <c r="GM337"/>
      <c r="GN337" s="208"/>
      <c r="GO337" s="208"/>
      <c r="GP337" s="208"/>
      <c r="GQ337" s="208"/>
      <c r="GR337" s="208"/>
      <c r="GS337" s="208"/>
      <c r="GT337" s="208"/>
      <c r="GU337" s="213">
        <v>332</v>
      </c>
    </row>
    <row r="338" spans="1:203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30.212986593335575</v>
      </c>
      <c r="AO338">
        <v>6.137388301976471</v>
      </c>
      <c r="AP338">
        <v>176.98596729497874</v>
      </c>
      <c r="AQ338">
        <v>42.352207798381727</v>
      </c>
      <c r="AR338">
        <v>5.5794439108877025</v>
      </c>
      <c r="AS338">
        <v>87.093658846183487</v>
      </c>
      <c r="AT338" t="e">
        <v>#DIV/0!</v>
      </c>
      <c r="AU338" t="e">
        <v>#DIV/0!</v>
      </c>
      <c r="AV338"/>
      <c r="AW338"/>
      <c r="FY338" s="213">
        <v>333</v>
      </c>
      <c r="FZ338">
        <v>1.7614833617077283</v>
      </c>
      <c r="GA338">
        <v>14.810562056632214</v>
      </c>
      <c r="GB338">
        <v>7.3639215859093987</v>
      </c>
      <c r="GC338">
        <v>1.8626481674872735</v>
      </c>
      <c r="GD338">
        <v>1.966606539481448</v>
      </c>
      <c r="GE338">
        <v>1.0813759739942308</v>
      </c>
      <c r="GF338">
        <v>0</v>
      </c>
      <c r="GG338">
        <v>6.4734902642065872</v>
      </c>
      <c r="GH338">
        <v>8.9739261843215292</v>
      </c>
      <c r="GI338">
        <v>4.7030468870153896</v>
      </c>
      <c r="GJ338"/>
      <c r="GK338"/>
      <c r="GL338"/>
      <c r="GM338"/>
      <c r="GN338" s="208"/>
      <c r="GO338" s="208"/>
      <c r="GP338" s="208"/>
      <c r="GQ338" s="208"/>
      <c r="GR338" s="208"/>
      <c r="GS338" s="208"/>
      <c r="GT338" s="208"/>
      <c r="GU338" s="213">
        <v>333</v>
      </c>
    </row>
    <row r="339" spans="1:203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25.788690476190471</v>
      </c>
      <c r="AO339">
        <v>9.0995813687816955</v>
      </c>
      <c r="AP339">
        <v>199.82439387317973</v>
      </c>
      <c r="AQ339">
        <v>58.640389653082856</v>
      </c>
      <c r="AR339">
        <v>8.3266179697518439</v>
      </c>
      <c r="AS339">
        <v>88.242552484153663</v>
      </c>
      <c r="AT339" t="e">
        <v>#DIV/0!</v>
      </c>
      <c r="AU339" t="e">
        <v>#DIV/0!</v>
      </c>
      <c r="AV339"/>
      <c r="AW339"/>
      <c r="FY339" s="213">
        <v>334</v>
      </c>
      <c r="FZ339">
        <v>4.9540357672217299</v>
      </c>
      <c r="GA339">
        <v>19.885869701601052</v>
      </c>
      <c r="GB339">
        <v>7.8134389044273025</v>
      </c>
      <c r="GC339">
        <v>1.149635990839629</v>
      </c>
      <c r="GD339">
        <v>2.2282530261800786</v>
      </c>
      <c r="GE339">
        <v>3.3108688027986601</v>
      </c>
      <c r="GF339">
        <v>0.95469624988012047</v>
      </c>
      <c r="GG339">
        <v>1.6799013424988689</v>
      </c>
      <c r="GH339">
        <v>2.436398464583593</v>
      </c>
      <c r="GI339">
        <v>4.7023733724832422</v>
      </c>
      <c r="GJ339"/>
      <c r="GK339"/>
      <c r="GL339"/>
      <c r="GM339"/>
      <c r="GN339" s="208"/>
      <c r="GO339" s="208"/>
      <c r="GP339" s="208"/>
      <c r="GQ339" s="208"/>
      <c r="GR339" s="208"/>
      <c r="GS339" s="208"/>
      <c r="GT339" s="208"/>
      <c r="GU339" s="213">
        <v>334</v>
      </c>
    </row>
    <row r="340" spans="1:203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40.977849616858236</v>
      </c>
      <c r="AO340">
        <v>7.7431781622011657</v>
      </c>
      <c r="AP340">
        <v>180.63517062666449</v>
      </c>
      <c r="AQ340">
        <v>48.315848138389228</v>
      </c>
      <c r="AR340">
        <v>7.0935241455877263</v>
      </c>
      <c r="AS340">
        <v>96.895719703509116</v>
      </c>
      <c r="AT340" t="e">
        <v>#DIV/0!</v>
      </c>
      <c r="AU340" t="e">
        <v>#DIV/0!</v>
      </c>
      <c r="AV340"/>
      <c r="AW340"/>
      <c r="FY340" s="213">
        <v>335</v>
      </c>
      <c r="FZ340">
        <v>2.1834373233262436</v>
      </c>
      <c r="GA340">
        <v>18.054427766393175</v>
      </c>
      <c r="GB340">
        <v>8.0179844184272948</v>
      </c>
      <c r="GC340">
        <v>7.7487626691225331E-2</v>
      </c>
      <c r="GD340">
        <v>2.1610342442201289</v>
      </c>
      <c r="GE340">
        <v>4.2723076496928876</v>
      </c>
      <c r="GF340">
        <v>0</v>
      </c>
      <c r="GG340">
        <v>3.0086188762608805</v>
      </c>
      <c r="GH340">
        <v>4.0769090906224941</v>
      </c>
      <c r="GI340">
        <v>4.4955840082864231</v>
      </c>
      <c r="GJ340"/>
      <c r="GK340"/>
      <c r="GL340"/>
      <c r="GM340"/>
      <c r="GN340" s="208"/>
      <c r="GO340" s="208"/>
      <c r="GP340" s="208"/>
      <c r="GQ340" s="208"/>
      <c r="GR340" s="208"/>
      <c r="GS340" s="208"/>
      <c r="GT340" s="208"/>
      <c r="GU340" s="213">
        <v>335</v>
      </c>
    </row>
    <row r="341" spans="1:203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34.814826630001122</v>
      </c>
      <c r="AO341">
        <v>6.3114447444551978</v>
      </c>
      <c r="AP341">
        <v>95.91374180208166</v>
      </c>
      <c r="AQ341">
        <v>40.293568938204693</v>
      </c>
      <c r="AR341">
        <v>5.737677040413816</v>
      </c>
      <c r="AS341">
        <v>82.696264408920442</v>
      </c>
      <c r="AT341" t="e">
        <v>#DIV/0!</v>
      </c>
      <c r="AU341" t="e">
        <v>#DIV/0!</v>
      </c>
      <c r="AV341"/>
      <c r="AW341"/>
      <c r="FY341" s="213">
        <v>336</v>
      </c>
      <c r="FZ341">
        <v>2.1834373233262436</v>
      </c>
      <c r="GA341">
        <v>27.43717057534856</v>
      </c>
      <c r="GB341">
        <v>12.628367736025673</v>
      </c>
      <c r="GC341">
        <v>2.139036529942933</v>
      </c>
      <c r="GD341">
        <v>3.3635303938875705</v>
      </c>
      <c r="GE341">
        <v>4.0666887268793932</v>
      </c>
      <c r="GF341">
        <v>0.95469624988012047</v>
      </c>
      <c r="GG341">
        <v>6.5549610038155377</v>
      </c>
      <c r="GH341">
        <v>9.3118838184388935</v>
      </c>
      <c r="GI341">
        <v>7.1926919748964906</v>
      </c>
      <c r="GJ341"/>
      <c r="GK341"/>
      <c r="GL341"/>
      <c r="GM341"/>
      <c r="GN341" s="208"/>
      <c r="GO341" s="208"/>
      <c r="GP341" s="208"/>
      <c r="GQ341" s="208"/>
      <c r="GR341" s="208"/>
      <c r="GS341" s="208"/>
      <c r="GT341" s="208"/>
      <c r="GU341" s="213">
        <v>336</v>
      </c>
    </row>
    <row r="342" spans="1:203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33.391454570333877</v>
      </c>
      <c r="AO342">
        <v>5.0467206568507468</v>
      </c>
      <c r="AP342">
        <v>204.2660763798219</v>
      </c>
      <c r="AQ342">
        <v>29.669132741045701</v>
      </c>
      <c r="AR342">
        <v>4.6421991407237098</v>
      </c>
      <c r="AS342">
        <v>74.530485954500278</v>
      </c>
      <c r="AT342" t="e">
        <v>#DIV/0!</v>
      </c>
      <c r="AU342" t="e">
        <v>#DIV/0!</v>
      </c>
      <c r="AV342"/>
      <c r="AW342"/>
      <c r="FY342" s="213">
        <v>337</v>
      </c>
      <c r="FZ342">
        <v>2.1834373233262436</v>
      </c>
      <c r="GA342">
        <v>12.30169527326305</v>
      </c>
      <c r="GB342">
        <v>5.2804609200545816</v>
      </c>
      <c r="GC342">
        <v>0.91244265457443907</v>
      </c>
      <c r="GD342">
        <v>2.8456934605441058</v>
      </c>
      <c r="GE342">
        <v>4.6424151529863549</v>
      </c>
      <c r="GF342">
        <v>0.47734812494006024</v>
      </c>
      <c r="GG342">
        <v>7.7533746508804482</v>
      </c>
      <c r="GH342">
        <v>10.7669820052076</v>
      </c>
      <c r="GI342">
        <v>5.2287705521160506</v>
      </c>
      <c r="GJ342"/>
      <c r="GK342"/>
      <c r="GL342"/>
      <c r="GM342"/>
      <c r="GN342" s="208"/>
      <c r="GO342" s="208"/>
      <c r="GP342" s="208"/>
      <c r="GQ342" s="208"/>
      <c r="GR342" s="208"/>
      <c r="GS342" s="208"/>
      <c r="GT342" s="208"/>
      <c r="GU342" s="213">
        <v>337</v>
      </c>
    </row>
    <row r="343" spans="1:203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21.458333333333336</v>
      </c>
      <c r="AO343">
        <v>5.6947241011727225</v>
      </c>
      <c r="AP343">
        <v>173.84117491345319</v>
      </c>
      <c r="AQ343">
        <v>39.598114688030257</v>
      </c>
      <c r="AR343">
        <v>5.2855644518758069</v>
      </c>
      <c r="AS343">
        <v>56.737358703378888</v>
      </c>
      <c r="AT343" t="e">
        <v>#DIV/0!</v>
      </c>
      <c r="AU343" t="e">
        <v>#DIV/0!</v>
      </c>
      <c r="AV343"/>
      <c r="AW343"/>
      <c r="FY343" s="213">
        <v>338</v>
      </c>
      <c r="FZ343">
        <v>2.1834373233262436</v>
      </c>
      <c r="GA343">
        <v>15.148385364055738</v>
      </c>
      <c r="GB343">
        <v>6.4958135337409448</v>
      </c>
      <c r="GC343">
        <v>3.4227256021802384</v>
      </c>
      <c r="GD343">
        <v>3.8422136756481771</v>
      </c>
      <c r="GE343">
        <v>3.0434302689427568</v>
      </c>
      <c r="GF343">
        <v>0.95469624988012047</v>
      </c>
      <c r="GG343">
        <v>2.3967944608538589</v>
      </c>
      <c r="GH343">
        <v>3.2687638598689679</v>
      </c>
      <c r="GI343">
        <v>5.0343321184764305</v>
      </c>
      <c r="GJ343"/>
      <c r="GK343"/>
      <c r="GL343"/>
      <c r="GM343"/>
      <c r="GN343" s="208"/>
      <c r="GO343" s="208"/>
      <c r="GP343" s="208"/>
      <c r="GQ343" s="208"/>
      <c r="GR343" s="208"/>
      <c r="GS343" s="208"/>
      <c r="GT343" s="208"/>
      <c r="GU343" s="213">
        <v>338</v>
      </c>
    </row>
    <row r="344" spans="1:203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26.279026821572007</v>
      </c>
      <c r="AO344">
        <v>6.4201990480040489</v>
      </c>
      <c r="AP344">
        <v>354.59437083460637</v>
      </c>
      <c r="AQ344">
        <v>42.039590441752921</v>
      </c>
      <c r="AR344">
        <v>5.8365445890945891</v>
      </c>
      <c r="AS344">
        <v>71.137615942307164</v>
      </c>
      <c r="AT344" t="e">
        <v>#DIV/0!</v>
      </c>
      <c r="AU344" t="e">
        <v>#DIV/0!</v>
      </c>
      <c r="AV344"/>
      <c r="AW344"/>
      <c r="FY344" s="213">
        <v>339</v>
      </c>
      <c r="FZ344">
        <v>0</v>
      </c>
      <c r="GA344">
        <v>11.911491415580947</v>
      </c>
      <c r="GB344">
        <v>5.803785922908089</v>
      </c>
      <c r="GC344">
        <v>0.92455288473654584</v>
      </c>
      <c r="GD344">
        <v>2.2290337402650668</v>
      </c>
      <c r="GE344">
        <v>3.0819877542468719</v>
      </c>
      <c r="GF344">
        <v>0</v>
      </c>
      <c r="GG344">
        <v>9.219798480111228</v>
      </c>
      <c r="GH344">
        <v>12.922215624742883</v>
      </c>
      <c r="GI344">
        <v>5.0078181562184465</v>
      </c>
      <c r="GJ344"/>
      <c r="GK344"/>
      <c r="GL344"/>
      <c r="GM344"/>
      <c r="GN344" s="208"/>
      <c r="GO344" s="208"/>
      <c r="GP344" s="208"/>
      <c r="GQ344" s="208"/>
      <c r="GR344" s="208"/>
      <c r="GS344" s="208"/>
      <c r="GT344" s="208"/>
      <c r="GU344" s="213">
        <v>339</v>
      </c>
    </row>
    <row r="345" spans="1:203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19.27688916585884</v>
      </c>
      <c r="AO345">
        <v>4.9383777231620796</v>
      </c>
      <c r="AP345">
        <v>29.324591379950569</v>
      </c>
      <c r="AQ345">
        <v>38.787792521356778</v>
      </c>
      <c r="AR345">
        <v>4.6522481063618901</v>
      </c>
      <c r="AS345">
        <v>58.723756791927372</v>
      </c>
      <c r="AT345" t="e">
        <v>#DIV/0!</v>
      </c>
      <c r="AU345" t="e">
        <v>#DIV/0!</v>
      </c>
      <c r="AV345"/>
      <c r="AW345"/>
      <c r="FY345" s="213">
        <v>340</v>
      </c>
      <c r="FZ345">
        <v>2.7705984438954863</v>
      </c>
      <c r="GA345">
        <v>19.742105289222387</v>
      </c>
      <c r="GB345">
        <v>8.9219353766163909</v>
      </c>
      <c r="GC345">
        <v>0.86798743003009515</v>
      </c>
      <c r="GD345">
        <v>1.2933951304102607</v>
      </c>
      <c r="GE345">
        <v>1.5604273987394823</v>
      </c>
      <c r="GF345">
        <v>0.47734812494006024</v>
      </c>
      <c r="GG345">
        <v>0</v>
      </c>
      <c r="GH345">
        <v>0</v>
      </c>
      <c r="GI345">
        <v>3.4944796680197165</v>
      </c>
      <c r="GJ345"/>
      <c r="GK345"/>
      <c r="GL345"/>
      <c r="GM345"/>
      <c r="GN345" s="208"/>
      <c r="GO345" s="208"/>
      <c r="GP345" s="208"/>
      <c r="GQ345" s="208"/>
      <c r="GR345" s="208"/>
      <c r="GS345" s="208"/>
      <c r="GT345" s="208"/>
      <c r="GU345" s="213">
        <v>340</v>
      </c>
    </row>
    <row r="346" spans="1:203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43.627326630001122</v>
      </c>
      <c r="AO346">
        <v>7.8286164249018837</v>
      </c>
      <c r="AP346">
        <v>366.57344014135117</v>
      </c>
      <c r="AQ346">
        <v>50.247561701623766</v>
      </c>
      <c r="AR346">
        <v>7.2797378352162543</v>
      </c>
      <c r="AS346">
        <v>114.71896505118599</v>
      </c>
      <c r="AT346" t="e">
        <v>#DIV/0!</v>
      </c>
      <c r="AU346" t="e">
        <v>#DIV/0!</v>
      </c>
      <c r="AV346"/>
      <c r="AW346"/>
      <c r="FY346" s="213">
        <v>341</v>
      </c>
      <c r="FZ346">
        <v>1.1743222411384853</v>
      </c>
      <c r="GA346">
        <v>13.165255463944774</v>
      </c>
      <c r="GB346">
        <v>6.5308570681943623</v>
      </c>
      <c r="GC346">
        <v>1.1557986148832178</v>
      </c>
      <c r="GD346">
        <v>1.9146711973862787</v>
      </c>
      <c r="GE346">
        <v>2.3743648388778098</v>
      </c>
      <c r="GF346">
        <v>0.47734812494006024</v>
      </c>
      <c r="GG346">
        <v>6.4734902642065872</v>
      </c>
      <c r="GH346">
        <v>8.9739261843215292</v>
      </c>
      <c r="GI346">
        <v>4.5407784311758572</v>
      </c>
      <c r="GJ346"/>
      <c r="GK346"/>
      <c r="GL346"/>
      <c r="GM346"/>
      <c r="GN346" s="208"/>
      <c r="GO346" s="208"/>
      <c r="GP346" s="208"/>
      <c r="GQ346" s="208"/>
      <c r="GR346" s="208"/>
      <c r="GS346" s="208"/>
      <c r="GT346" s="208"/>
      <c r="GU346" s="213">
        <v>341</v>
      </c>
    </row>
    <row r="347" spans="1:203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33.846009036144579</v>
      </c>
      <c r="AO347">
        <v>5.099308246733286</v>
      </c>
      <c r="AP347">
        <v>76.38241015729281</v>
      </c>
      <c r="AQ347">
        <v>35.792762187742824</v>
      </c>
      <c r="AR347">
        <v>4.6900060406169271</v>
      </c>
      <c r="AS347">
        <v>81.835129644197153</v>
      </c>
      <c r="AT347" t="e">
        <v>#DIV/0!</v>
      </c>
      <c r="AU347" t="e">
        <v>#DIV/0!</v>
      </c>
      <c r="AV347"/>
      <c r="AW347"/>
      <c r="FY347" s="213">
        <v>342</v>
      </c>
      <c r="FZ347">
        <v>0</v>
      </c>
      <c r="GA347">
        <v>11.780953870921735</v>
      </c>
      <c r="GB347">
        <v>5.9659100690984115</v>
      </c>
      <c r="GC347">
        <v>3.2751301227683802</v>
      </c>
      <c r="GD347">
        <v>4.1619838370506876</v>
      </c>
      <c r="GE347">
        <v>3.6324557566207281</v>
      </c>
      <c r="GF347">
        <v>0.47734812494006024</v>
      </c>
      <c r="GG347">
        <v>5.6498583892175525</v>
      </c>
      <c r="GH347">
        <v>8.0009783665119993</v>
      </c>
      <c r="GI347">
        <v>5.4517541682068469</v>
      </c>
      <c r="GJ347"/>
      <c r="GK347"/>
      <c r="GL347"/>
      <c r="GM347"/>
      <c r="GN347" s="208"/>
      <c r="GO347" s="208"/>
      <c r="GP347" s="208"/>
      <c r="GQ347" s="208"/>
      <c r="GR347" s="208"/>
      <c r="GS347" s="208"/>
      <c r="GT347" s="208"/>
      <c r="GU347" s="213">
        <v>342</v>
      </c>
    </row>
    <row r="348" spans="1:203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17.014880952380949</v>
      </c>
      <c r="AO348">
        <v>6.4257688632174252</v>
      </c>
      <c r="AP348">
        <v>139.73650443744975</v>
      </c>
      <c r="AQ348">
        <v>48.403968665124623</v>
      </c>
      <c r="AR348">
        <v>5.8958793283297801</v>
      </c>
      <c r="AS348">
        <v>56.582808924681991</v>
      </c>
      <c r="AT348" t="e">
        <v>#DIV/0!</v>
      </c>
      <c r="AU348" t="e">
        <v>#DIV/0!</v>
      </c>
      <c r="AV348"/>
      <c r="AW348"/>
      <c r="FY348" s="213">
        <v>343</v>
      </c>
      <c r="FZ348">
        <v>2.1834373233262436</v>
      </c>
      <c r="GA348">
        <v>12.545718891524473</v>
      </c>
      <c r="GB348">
        <v>5.3126466081477428</v>
      </c>
      <c r="GC348">
        <v>1.3228840984277752</v>
      </c>
      <c r="GD348">
        <v>2.3946344698660051</v>
      </c>
      <c r="GE348">
        <v>3.3786398250955614</v>
      </c>
      <c r="GF348">
        <v>0.95469624988012047</v>
      </c>
      <c r="GG348">
        <v>5.1952759312188022</v>
      </c>
      <c r="GH348">
        <v>7.2972326214277654</v>
      </c>
      <c r="GI348">
        <v>4.4825929368968085</v>
      </c>
      <c r="GJ348"/>
      <c r="GK348"/>
      <c r="GL348"/>
      <c r="GM348"/>
      <c r="GN348" s="208"/>
      <c r="GO348" s="208"/>
      <c r="GP348" s="208"/>
      <c r="GQ348" s="208"/>
      <c r="GR348" s="208"/>
      <c r="GS348" s="208"/>
      <c r="GT348" s="208"/>
      <c r="GU348" s="213">
        <v>343</v>
      </c>
    </row>
    <row r="349" spans="1:203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33.94437643843024</v>
      </c>
      <c r="AO349">
        <v>7.1745895791610961</v>
      </c>
      <c r="AP349">
        <v>377.45732521060233</v>
      </c>
      <c r="AQ349">
        <v>48.997061020755794</v>
      </c>
      <c r="AR349">
        <v>6.6851679754519031</v>
      </c>
      <c r="AS349">
        <v>96.587753892599494</v>
      </c>
      <c r="AT349" t="e">
        <v>#DIV/0!</v>
      </c>
      <c r="AU349" t="e">
        <v>#DIV/0!</v>
      </c>
      <c r="AV349"/>
      <c r="AW349"/>
      <c r="FY349" s="213">
        <v>344</v>
      </c>
      <c r="FZ349">
        <v>1.1743222411384853</v>
      </c>
      <c r="GA349">
        <v>18.496886825171593</v>
      </c>
      <c r="GB349">
        <v>9.231738288979205</v>
      </c>
      <c r="GC349">
        <v>1.7150526880754156</v>
      </c>
      <c r="GD349">
        <v>1.8779284309221871</v>
      </c>
      <c r="GE349">
        <v>1.4285309094773821</v>
      </c>
      <c r="GF349">
        <v>0.47734812494006024</v>
      </c>
      <c r="GG349">
        <v>4.0766958033527283</v>
      </c>
      <c r="GH349">
        <v>5.7051623244525604</v>
      </c>
      <c r="GI349">
        <v>4.6615662418226584</v>
      </c>
      <c r="GJ349"/>
      <c r="GK349"/>
      <c r="GL349"/>
      <c r="GM349"/>
      <c r="GN349" s="208"/>
      <c r="GO349" s="208"/>
      <c r="GP349" s="208"/>
      <c r="GQ349" s="208"/>
      <c r="GR349" s="208"/>
      <c r="GS349" s="208"/>
      <c r="GT349" s="208"/>
      <c r="GU349" s="213">
        <v>344</v>
      </c>
    </row>
    <row r="350" spans="1:203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28.331110154905332</v>
      </c>
      <c r="AO350">
        <v>7.2932142130654025</v>
      </c>
      <c r="AP350">
        <v>109.62889448466663</v>
      </c>
      <c r="AQ350">
        <v>49.115471622514271</v>
      </c>
      <c r="AR350">
        <v>6.7930085517285468</v>
      </c>
      <c r="AS350">
        <v>84.635043225086477</v>
      </c>
      <c r="AT350" t="e">
        <v>#DIV/0!</v>
      </c>
      <c r="AU350" t="e">
        <v>#DIV/0!</v>
      </c>
      <c r="AV350"/>
      <c r="AW350"/>
      <c r="FY350" s="213">
        <v>345</v>
      </c>
      <c r="FZ350">
        <v>0</v>
      </c>
      <c r="GA350">
        <v>12.490121093663246</v>
      </c>
      <c r="GB350">
        <v>6.1881324936724473</v>
      </c>
      <c r="GC350">
        <v>0.1475954794118578</v>
      </c>
      <c r="GD350">
        <v>2.2334644358215447</v>
      </c>
      <c r="GE350">
        <v>4.5981872403661148</v>
      </c>
      <c r="GF350">
        <v>0.47734812494006024</v>
      </c>
      <c r="GG350">
        <v>2.3984645145399348</v>
      </c>
      <c r="GH350">
        <v>3.3851261178612746</v>
      </c>
      <c r="GI350">
        <v>3.6854979669932737</v>
      </c>
      <c r="GJ350"/>
      <c r="GK350"/>
      <c r="GL350"/>
      <c r="GM350"/>
      <c r="GN350" s="208"/>
      <c r="GO350" s="208"/>
      <c r="GP350" s="208"/>
      <c r="GQ350" s="208"/>
      <c r="GR350" s="208"/>
      <c r="GS350" s="208"/>
      <c r="GT350" s="208"/>
      <c r="GU350" s="213">
        <v>345</v>
      </c>
    </row>
    <row r="351" spans="1:203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13.707016283524903</v>
      </c>
      <c r="AO351">
        <v>7.0448495113282332</v>
      </c>
      <c r="AP351">
        <v>93.975559775012442</v>
      </c>
      <c r="AQ351">
        <v>46.347791003920754</v>
      </c>
      <c r="AR351">
        <v>6.4586799175214251</v>
      </c>
      <c r="AS351">
        <v>65.699008491014027</v>
      </c>
      <c r="AT351" t="e">
        <v>#DIV/0!</v>
      </c>
      <c r="AU351" t="e">
        <v>#DIV/0!</v>
      </c>
      <c r="AV351"/>
      <c r="AW351"/>
      <c r="FY351" s="213">
        <v>346</v>
      </c>
      <c r="FZ351">
        <v>4.3668746466524873</v>
      </c>
      <c r="GA351">
        <v>21.264565849733543</v>
      </c>
      <c r="GB351">
        <v>8.6457040505751142</v>
      </c>
      <c r="GC351">
        <v>1.2972314702514869</v>
      </c>
      <c r="GD351">
        <v>2.5157488761533324</v>
      </c>
      <c r="GE351">
        <v>3.3746707290041309</v>
      </c>
      <c r="GF351">
        <v>0.47734812494006024</v>
      </c>
      <c r="GG351">
        <v>1.3303875874480875</v>
      </c>
      <c r="GH351">
        <v>1.7568728840312078</v>
      </c>
      <c r="GI351">
        <v>4.7873934024053542</v>
      </c>
      <c r="GJ351"/>
      <c r="GK351"/>
      <c r="GL351"/>
      <c r="GM351"/>
      <c r="GN351" s="208"/>
      <c r="GO351" s="208"/>
      <c r="GP351" s="208"/>
      <c r="GQ351" s="208"/>
      <c r="GR351" s="208"/>
      <c r="GS351" s="208"/>
      <c r="GT351" s="208"/>
      <c r="GU351" s="213">
        <v>346</v>
      </c>
    </row>
    <row r="352" spans="1:203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49.513649425287348</v>
      </c>
      <c r="AO352">
        <v>11.291274354911231</v>
      </c>
      <c r="AP352">
        <v>253.80139509427312</v>
      </c>
      <c r="AQ352">
        <v>75.832464332441418</v>
      </c>
      <c r="AR352">
        <v>10.319066138960512</v>
      </c>
      <c r="AS352">
        <v>134.1845148318757</v>
      </c>
      <c r="AT352" t="e">
        <v>#DIV/0!</v>
      </c>
      <c r="AU352" t="e">
        <v>#DIV/0!</v>
      </c>
      <c r="AV352"/>
      <c r="AW352"/>
      <c r="FY352" s="213">
        <v>347</v>
      </c>
      <c r="FZ352">
        <v>3.7797135260832437</v>
      </c>
      <c r="GA352">
        <v>17.57543835874889</v>
      </c>
      <c r="GB352">
        <v>6.911546421031237</v>
      </c>
      <c r="GC352">
        <v>1.7851605407960478</v>
      </c>
      <c r="GD352">
        <v>2.5913183212560433</v>
      </c>
      <c r="GE352">
        <v>2.7640463557565069</v>
      </c>
      <c r="GF352">
        <v>0.47734812494006024</v>
      </c>
      <c r="GG352">
        <v>0.61182441540702126</v>
      </c>
      <c r="GH352">
        <v>0.80814523075352618</v>
      </c>
      <c r="GI352">
        <v>4.0651687672240815</v>
      </c>
      <c r="GJ352"/>
      <c r="GK352"/>
      <c r="GL352"/>
      <c r="GM352"/>
      <c r="GN352" s="208"/>
      <c r="GO352" s="208"/>
      <c r="GP352" s="208"/>
      <c r="GQ352" s="208"/>
      <c r="GR352" s="208"/>
      <c r="GS352" s="208"/>
      <c r="GT352" s="208"/>
      <c r="GU352" s="213">
        <v>347</v>
      </c>
    </row>
    <row r="353" spans="1:203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29.312603451573118</v>
      </c>
      <c r="AO353">
        <v>8.1563038770077316</v>
      </c>
      <c r="AP353">
        <v>240.8451464401648</v>
      </c>
      <c r="AQ353">
        <v>52.392620117892939</v>
      </c>
      <c r="AR353">
        <v>7.4690929772300576</v>
      </c>
      <c r="AS353">
        <v>99.916191587404981</v>
      </c>
      <c r="AT353" t="e">
        <v>#DIV/0!</v>
      </c>
      <c r="AU353" t="e">
        <v>#DIV/0!</v>
      </c>
      <c r="AV353"/>
      <c r="AW353"/>
      <c r="FY353" s="213">
        <v>348</v>
      </c>
      <c r="FZ353">
        <v>1.596276202757001</v>
      </c>
      <c r="GA353">
        <v>16.475750472576049</v>
      </c>
      <c r="GB353">
        <v>7.3069280430793304</v>
      </c>
      <c r="GC353">
        <v>1.5035119799865142</v>
      </c>
      <c r="GD353">
        <v>2.1582451710334913</v>
      </c>
      <c r="GE353">
        <v>2.3264913709258672</v>
      </c>
      <c r="GF353">
        <v>0.47734812494006024</v>
      </c>
      <c r="GG353">
        <v>3.9699570467186831</v>
      </c>
      <c r="GH353">
        <v>5.5645799019284059</v>
      </c>
      <c r="GI353">
        <v>4.3722379496722068</v>
      </c>
      <c r="GJ353"/>
      <c r="GK353"/>
      <c r="GL353"/>
      <c r="GM353"/>
      <c r="GN353" s="208"/>
      <c r="GO353" s="208"/>
      <c r="GP353" s="208"/>
      <c r="GQ353" s="208"/>
      <c r="GR353" s="208"/>
      <c r="GS353" s="208"/>
      <c r="GT353" s="208"/>
      <c r="GU353" s="213">
        <v>348</v>
      </c>
    </row>
    <row r="354" spans="1:203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42.001573617952936</v>
      </c>
      <c r="AO354">
        <v>7.7876799161614105</v>
      </c>
      <c r="AP354">
        <v>202.05311328641537</v>
      </c>
      <c r="AQ354">
        <v>45.790592456973478</v>
      </c>
      <c r="AR354">
        <v>7.1339802855515844</v>
      </c>
      <c r="AS354">
        <v>93.452112277759937</v>
      </c>
      <c r="AT354" t="e">
        <v>#DIV/0!</v>
      </c>
      <c r="AU354" t="e">
        <v>#DIV/0!</v>
      </c>
      <c r="AV354"/>
      <c r="AW354"/>
      <c r="FY354" s="213">
        <v>349</v>
      </c>
      <c r="FZ354">
        <v>0.58716112056924263</v>
      </c>
      <c r="GA354">
        <v>13.840389834226304</v>
      </c>
      <c r="GB354">
        <v>6.8735816427162781</v>
      </c>
      <c r="GC354">
        <v>1.0721483641484035</v>
      </c>
      <c r="GD354">
        <v>2.726385592559696</v>
      </c>
      <c r="GE354">
        <v>3.8511067398986132</v>
      </c>
      <c r="GF354">
        <v>0</v>
      </c>
      <c r="GG354">
        <v>1.3303875874480875</v>
      </c>
      <c r="GH354">
        <v>1.7568728840312078</v>
      </c>
      <c r="GI354">
        <v>3.6681293271370365</v>
      </c>
      <c r="GJ354"/>
      <c r="GK354"/>
      <c r="GL354"/>
      <c r="GM354"/>
      <c r="GN354" s="208"/>
      <c r="GO354" s="208"/>
      <c r="GP354" s="208"/>
      <c r="GQ354" s="208"/>
      <c r="GR354" s="208"/>
      <c r="GS354" s="208"/>
      <c r="GT354" s="208"/>
      <c r="GU354" s="213">
        <v>349</v>
      </c>
    </row>
    <row r="355" spans="1:203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22.046969487143976</v>
      </c>
      <c r="AO355">
        <v>8.1175001554067272</v>
      </c>
      <c r="AP355">
        <v>411.79191219428395</v>
      </c>
      <c r="AQ355">
        <v>51.100683978810082</v>
      </c>
      <c r="AR355">
        <v>7.3795455958242986</v>
      </c>
      <c r="AS355">
        <v>72.153450282644684</v>
      </c>
      <c r="AT355" t="e">
        <v>#DIV/0!</v>
      </c>
      <c r="AU355" t="e">
        <v>#DIV/0!</v>
      </c>
      <c r="AV355"/>
      <c r="AW355"/>
      <c r="FY355" s="213">
        <v>350</v>
      </c>
      <c r="FZ355">
        <v>3.192552405514002</v>
      </c>
      <c r="GA355">
        <v>25.947818705813258</v>
      </c>
      <c r="GB355">
        <v>11.068168675523077</v>
      </c>
      <c r="GC355">
        <v>0.45016621220616626</v>
      </c>
      <c r="GD355">
        <v>2.2738040790017804</v>
      </c>
      <c r="GE355">
        <v>5.0865546477591934</v>
      </c>
      <c r="GF355">
        <v>1.9093924997602409</v>
      </c>
      <c r="GG355">
        <v>4.9817984179507118</v>
      </c>
      <c r="GH355">
        <v>7.0160677763794546</v>
      </c>
      <c r="GI355">
        <v>6.285913137718846</v>
      </c>
      <c r="GJ355"/>
      <c r="GK355"/>
      <c r="GL355"/>
      <c r="GM355"/>
      <c r="GN355" s="208"/>
      <c r="GO355" s="208"/>
      <c r="GP355" s="208"/>
      <c r="GQ355" s="208"/>
      <c r="GR355" s="208"/>
      <c r="GS355" s="208"/>
      <c r="GT355" s="208"/>
      <c r="GU355" s="213">
        <v>350</v>
      </c>
    </row>
    <row r="356" spans="1:203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22.145833333333336</v>
      </c>
      <c r="AO356">
        <v>5.2334881175416346</v>
      </c>
      <c r="AP356">
        <v>39.276443236538327</v>
      </c>
      <c r="AQ356">
        <v>39.128276861873879</v>
      </c>
      <c r="AR356">
        <v>4.8662590122111817</v>
      </c>
      <c r="AS356">
        <v>60.518782260890298</v>
      </c>
      <c r="AT356" t="e">
        <v>#DIV/0!</v>
      </c>
      <c r="AU356" t="e">
        <v>#DIV/0!</v>
      </c>
      <c r="AV356"/>
      <c r="AW356"/>
      <c r="FY356" s="213">
        <v>351</v>
      </c>
      <c r="FZ356">
        <v>1.596276202757001</v>
      </c>
      <c r="GA356">
        <v>13.52286287521655</v>
      </c>
      <c r="GB356">
        <v>5.7650217730259037</v>
      </c>
      <c r="GC356">
        <v>1.4852391257808188</v>
      </c>
      <c r="GD356">
        <v>2.4860718600362279</v>
      </c>
      <c r="GE356">
        <v>3.0181858280414011</v>
      </c>
      <c r="GF356">
        <v>0.47734812494006024</v>
      </c>
      <c r="GG356">
        <v>5.3565801900265892</v>
      </c>
      <c r="GH356">
        <v>7.4982181453386314</v>
      </c>
      <c r="GI356">
        <v>4.5049173611238951</v>
      </c>
      <c r="GJ356"/>
      <c r="GK356"/>
      <c r="GL356"/>
      <c r="GM356"/>
      <c r="GN356" s="208"/>
      <c r="GO356" s="208"/>
      <c r="GP356" s="208"/>
      <c r="GQ356" s="208"/>
      <c r="GR356" s="208"/>
      <c r="GS356" s="208"/>
      <c r="GT356" s="208"/>
      <c r="GU356" s="213">
        <v>351</v>
      </c>
    </row>
    <row r="357" spans="1:203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25.37592405747786</v>
      </c>
      <c r="AO357">
        <v>7.0480455913916229</v>
      </c>
      <c r="AP357">
        <v>352.86485529773358</v>
      </c>
      <c r="AQ357">
        <v>46.780812429068966</v>
      </c>
      <c r="AR357">
        <v>6.5158567157111724</v>
      </c>
      <c r="AS357">
        <v>78.066589038097106</v>
      </c>
      <c r="AT357" t="e">
        <v>#DIV/0!</v>
      </c>
      <c r="AU357" t="e">
        <v>#DIV/0!</v>
      </c>
      <c r="AV357"/>
      <c r="AW357"/>
      <c r="FY357" s="213">
        <v>352</v>
      </c>
      <c r="FZ357">
        <v>2.1834373233262436</v>
      </c>
      <c r="GA357">
        <v>15.409390363720135</v>
      </c>
      <c r="GB357">
        <v>6.7639310523600313</v>
      </c>
      <c r="GC357">
        <v>0</v>
      </c>
      <c r="GD357">
        <v>0.22590719557945638</v>
      </c>
      <c r="GE357">
        <v>0.75013551393285716</v>
      </c>
      <c r="GF357">
        <v>0.47734812494006024</v>
      </c>
      <c r="GG357">
        <v>6.4734902642065872</v>
      </c>
      <c r="GH357">
        <v>8.9739261843215292</v>
      </c>
      <c r="GI357">
        <v>3.7060424960391414</v>
      </c>
      <c r="GJ357"/>
      <c r="GK357"/>
      <c r="GL357"/>
      <c r="GM357"/>
      <c r="GN357" s="208"/>
      <c r="GO357" s="208"/>
      <c r="GP357" s="208"/>
      <c r="GQ357" s="208"/>
      <c r="GR357" s="208"/>
      <c r="GS357" s="208"/>
      <c r="GT357" s="208"/>
      <c r="GU357" s="213">
        <v>352</v>
      </c>
    </row>
    <row r="358" spans="1:203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42.442802820477304</v>
      </c>
      <c r="AO358">
        <v>8.586048392251838</v>
      </c>
      <c r="AP358">
        <v>421.5601604064376</v>
      </c>
      <c r="AQ358">
        <v>48.396372705336404</v>
      </c>
      <c r="AR358">
        <v>7.8054985384107614</v>
      </c>
      <c r="AS358">
        <v>104.64566231183271</v>
      </c>
      <c r="AT358" t="e">
        <v>#DIV/0!</v>
      </c>
      <c r="AU358" t="e">
        <v>#DIV/0!</v>
      </c>
      <c r="AV358"/>
      <c r="AW358"/>
      <c r="FY358" s="213">
        <v>353</v>
      </c>
      <c r="FZ358">
        <v>0.58716112056924263</v>
      </c>
      <c r="GA358">
        <v>12.172496415245345</v>
      </c>
      <c r="GB358">
        <v>6.0719034415271764</v>
      </c>
      <c r="GC358">
        <v>0.75746740119198852</v>
      </c>
      <c r="GD358">
        <v>1.6085933802618066</v>
      </c>
      <c r="GE358">
        <v>2.3743648388778098</v>
      </c>
      <c r="GF358">
        <v>0.47734812494006024</v>
      </c>
      <c r="GG358">
        <v>3.6766788475277208</v>
      </c>
      <c r="GH358">
        <v>5.061819680755038</v>
      </c>
      <c r="GI358">
        <v>3.5150181442603139</v>
      </c>
      <c r="GJ358"/>
      <c r="GK358"/>
      <c r="GL358"/>
      <c r="GM358"/>
      <c r="GN358" s="208"/>
      <c r="GO358" s="208"/>
      <c r="GP358" s="208"/>
      <c r="GQ358" s="208"/>
      <c r="GR358" s="208"/>
      <c r="GS358" s="208"/>
      <c r="GT358" s="208"/>
      <c r="GU358" s="213">
        <v>353</v>
      </c>
    </row>
    <row r="359" spans="1:203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32.81426259224088</v>
      </c>
      <c r="AO359">
        <v>7.0132706392145447</v>
      </c>
      <c r="AP359">
        <v>184.63029741916941</v>
      </c>
      <c r="AQ359">
        <v>45.0677589558113</v>
      </c>
      <c r="AR359">
        <v>6.4299718519635247</v>
      </c>
      <c r="AS359">
        <v>89.373673623378849</v>
      </c>
      <c r="AT359" t="e">
        <v>#DIV/0!</v>
      </c>
      <c r="AU359" t="e">
        <v>#DIV/0!</v>
      </c>
      <c r="AV359"/>
      <c r="AW359"/>
      <c r="FY359" s="213">
        <v>354</v>
      </c>
      <c r="FZ359">
        <v>2.9358056028462136</v>
      </c>
      <c r="GA359">
        <v>14.962250021535302</v>
      </c>
      <c r="GB359">
        <v>7.5334235654559745</v>
      </c>
      <c r="GC359">
        <v>1.965788422354787</v>
      </c>
      <c r="GD359">
        <v>4.6054220892879094</v>
      </c>
      <c r="GE359">
        <v>6.5789014662737975</v>
      </c>
      <c r="GF359">
        <v>0.47734812494006024</v>
      </c>
      <c r="GG359">
        <v>10.898029768924021</v>
      </c>
      <c r="GH359">
        <v>15.242251831334169</v>
      </c>
      <c r="GI359">
        <v>7.838433721822109</v>
      </c>
      <c r="GJ359"/>
      <c r="GK359"/>
      <c r="GL359"/>
      <c r="GM359"/>
      <c r="GN359" s="208"/>
      <c r="GO359" s="208"/>
      <c r="GP359" s="208"/>
      <c r="GQ359" s="208"/>
      <c r="GR359" s="208"/>
      <c r="GS359" s="208"/>
      <c r="GT359" s="208"/>
      <c r="GU359" s="213">
        <v>354</v>
      </c>
    </row>
    <row r="360" spans="1:203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28.953219487143979</v>
      </c>
      <c r="AO360">
        <v>7.1842157587176958</v>
      </c>
      <c r="AP360">
        <v>380.34875255061888</v>
      </c>
      <c r="AQ360">
        <v>48.845231878332271</v>
      </c>
      <c r="AR360">
        <v>6.6396477769166919</v>
      </c>
      <c r="AS360">
        <v>82.594953150729935</v>
      </c>
      <c r="AT360" t="e">
        <v>#DIV/0!</v>
      </c>
      <c r="AU360" t="e">
        <v>#DIV/0!</v>
      </c>
      <c r="AV360"/>
      <c r="AW360"/>
      <c r="FY360" s="213">
        <v>355</v>
      </c>
      <c r="FZ360">
        <v>1.1743222411384853</v>
      </c>
      <c r="GA360">
        <v>14.495740100659585</v>
      </c>
      <c r="GB360">
        <v>7.1140334602381952</v>
      </c>
      <c r="GC360">
        <v>2.3641196360460164</v>
      </c>
      <c r="GD360">
        <v>3.6285038483827354</v>
      </c>
      <c r="GE360">
        <v>3.9640197574418288</v>
      </c>
      <c r="GF360">
        <v>0.47734812494006024</v>
      </c>
      <c r="GG360">
        <v>0.71856317204106601</v>
      </c>
      <c r="GH360">
        <v>0.94872765327768138</v>
      </c>
      <c r="GI360">
        <v>4.3864854301154681</v>
      </c>
      <c r="GJ360"/>
      <c r="GK360"/>
      <c r="GL360"/>
      <c r="GM360"/>
      <c r="GN360" s="208"/>
      <c r="GO360" s="208"/>
      <c r="GP360" s="208"/>
      <c r="GQ360" s="208"/>
      <c r="GR360" s="208"/>
      <c r="GS360" s="208"/>
      <c r="GT360" s="208"/>
      <c r="GU360" s="213">
        <v>355</v>
      </c>
    </row>
    <row r="361" spans="1:203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17.96141297538265</v>
      </c>
      <c r="AO361">
        <v>5.8724980792361361</v>
      </c>
      <c r="AP361">
        <v>236.29899312585897</v>
      </c>
      <c r="AQ361">
        <v>35.603937467269759</v>
      </c>
      <c r="AR361">
        <v>5.3386346174873962</v>
      </c>
      <c r="AS361">
        <v>54.703347278762777</v>
      </c>
      <c r="AT361" t="e">
        <v>#DIV/0!</v>
      </c>
      <c r="AU361" t="e">
        <v>#DIV/0!</v>
      </c>
      <c r="AV361"/>
      <c r="AW361"/>
      <c r="FY361" s="213">
        <v>356</v>
      </c>
      <c r="FZ361">
        <v>1.596276202757001</v>
      </c>
      <c r="GA361">
        <v>18.362277961079631</v>
      </c>
      <c r="GB361">
        <v>8.3058373224134563</v>
      </c>
      <c r="GC361">
        <v>0.92455288473654584</v>
      </c>
      <c r="GD361">
        <v>1.3370689318721953</v>
      </c>
      <c r="GE361">
        <v>1.2713899793139261</v>
      </c>
      <c r="GF361">
        <v>0</v>
      </c>
      <c r="GG361">
        <v>6.4734902642065872</v>
      </c>
      <c r="GH361">
        <v>8.9739261843215292</v>
      </c>
      <c r="GI361">
        <v>4.5872224252515172</v>
      </c>
      <c r="GJ361"/>
      <c r="GK361"/>
      <c r="GL361"/>
      <c r="GM361"/>
      <c r="GN361" s="208"/>
      <c r="GO361" s="208"/>
      <c r="GP361" s="208"/>
      <c r="GQ361" s="208"/>
      <c r="GR361" s="208"/>
      <c r="GS361" s="208"/>
      <c r="GT361" s="208"/>
      <c r="GU361" s="213">
        <v>356</v>
      </c>
    </row>
    <row r="362" spans="1:203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29.680983581287382</v>
      </c>
      <c r="AO362">
        <v>7.3228750982083044</v>
      </c>
      <c r="AP362">
        <v>95.001155749004951</v>
      </c>
      <c r="AQ362">
        <v>49.816797621194809</v>
      </c>
      <c r="AR362">
        <v>6.7657017219081546</v>
      </c>
      <c r="AS362">
        <v>92.398059339469398</v>
      </c>
      <c r="AT362" t="e">
        <v>#DIV/0!</v>
      </c>
      <c r="AU362" t="e">
        <v>#DIV/0!</v>
      </c>
      <c r="AV362"/>
      <c r="AW362"/>
      <c r="FY362" s="213">
        <v>357</v>
      </c>
      <c r="FZ362">
        <v>3.192552405514002</v>
      </c>
      <c r="GA362">
        <v>17.89723207600769</v>
      </c>
      <c r="GB362">
        <v>7.1234697683874799</v>
      </c>
      <c r="GC362">
        <v>7.7487626691225331E-2</v>
      </c>
      <c r="GD362">
        <v>1.644274965979545</v>
      </c>
      <c r="GE362">
        <v>3.5102127735979334</v>
      </c>
      <c r="GF362">
        <v>0.47734812494006024</v>
      </c>
      <c r="GG362">
        <v>7.1162822184483332</v>
      </c>
      <c r="GH362">
        <v>10.156211986047284</v>
      </c>
      <c r="GI362">
        <v>5.083404577553587</v>
      </c>
      <c r="GJ362"/>
      <c r="GK362"/>
      <c r="GL362"/>
      <c r="GM362"/>
      <c r="GN362" s="208"/>
      <c r="GO362" s="208"/>
      <c r="GP362" s="208"/>
      <c r="GQ362" s="208"/>
      <c r="GR362" s="208"/>
      <c r="GS362" s="208"/>
      <c r="GT362" s="208"/>
      <c r="GU362" s="213">
        <v>357</v>
      </c>
    </row>
    <row r="363" spans="1:203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33.636990284619586</v>
      </c>
      <c r="AO363">
        <v>6.1659779959802545</v>
      </c>
      <c r="AP363">
        <v>92.051275974599761</v>
      </c>
      <c r="AQ363">
        <v>41.369710061996649</v>
      </c>
      <c r="AR363">
        <v>5.6597058126596256</v>
      </c>
      <c r="AS363">
        <v>79.789790132478004</v>
      </c>
      <c r="AT363" t="e">
        <v>#DIV/0!</v>
      </c>
      <c r="AU363" t="e">
        <v>#DIV/0!</v>
      </c>
      <c r="AV363"/>
      <c r="AW363"/>
      <c r="FY363" s="213">
        <v>358</v>
      </c>
      <c r="FZ363">
        <v>5.3759897288402456</v>
      </c>
      <c r="GA363">
        <v>21.452067508649609</v>
      </c>
      <c r="GB363">
        <v>7.8374473875969874</v>
      </c>
      <c r="GC363">
        <v>0.59776169161802395</v>
      </c>
      <c r="GD363">
        <v>1.4522491720520034</v>
      </c>
      <c r="GE363">
        <v>2.01391084182365</v>
      </c>
      <c r="GF363">
        <v>0</v>
      </c>
      <c r="GG363">
        <v>2.0001176124010032</v>
      </c>
      <c r="GH363">
        <v>2.8581457321560584</v>
      </c>
      <c r="GI363">
        <v>4.1498845795664359</v>
      </c>
      <c r="GJ363"/>
      <c r="GK363"/>
      <c r="GL363"/>
      <c r="GM363"/>
      <c r="GN363" s="208"/>
      <c r="GO363" s="208"/>
      <c r="GP363" s="208"/>
      <c r="GQ363" s="208"/>
      <c r="GR363" s="208"/>
      <c r="GS363" s="208"/>
      <c r="GT363" s="208"/>
      <c r="GU363" s="213">
        <v>358</v>
      </c>
    </row>
    <row r="364" spans="1:203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27.785799808429118</v>
      </c>
      <c r="AO364">
        <v>6.8419538127403028</v>
      </c>
      <c r="AP364">
        <v>182.9829004141335</v>
      </c>
      <c r="AQ364">
        <v>45.751326263617607</v>
      </c>
      <c r="AR364">
        <v>6.2199580115820927</v>
      </c>
      <c r="AS364">
        <v>74.817291713832617</v>
      </c>
      <c r="AT364" t="e">
        <v>#DIV/0!</v>
      </c>
      <c r="AU364" t="e">
        <v>#DIV/0!</v>
      </c>
      <c r="AV364"/>
      <c r="AW364"/>
      <c r="FY364" s="213">
        <v>359</v>
      </c>
      <c r="FZ364">
        <v>1.596276202757001</v>
      </c>
      <c r="GA364">
        <v>17.317138362121618</v>
      </c>
      <c r="GB364">
        <v>7.5021006464313231</v>
      </c>
      <c r="GC364">
        <v>1.9462984182220877</v>
      </c>
      <c r="GD364">
        <v>2.4889989100193506</v>
      </c>
      <c r="GE364">
        <v>2.3065938165809086</v>
      </c>
      <c r="GF364">
        <v>0.47734812494006024</v>
      </c>
      <c r="GG364">
        <v>5.7549270921655209</v>
      </c>
      <c r="GH364">
        <v>8.0251985310438485</v>
      </c>
      <c r="GI364">
        <v>5.0729287373464844</v>
      </c>
      <c r="GJ364"/>
      <c r="GK364"/>
      <c r="GL364"/>
      <c r="GM364"/>
      <c r="GN364" s="208"/>
      <c r="GO364" s="208"/>
      <c r="GP364" s="208"/>
      <c r="GQ364" s="208"/>
      <c r="GR364" s="208"/>
      <c r="GS364" s="208"/>
      <c r="GT364" s="208"/>
      <c r="GU364" s="213">
        <v>359</v>
      </c>
    </row>
    <row r="365" spans="1:203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35.63187643843024</v>
      </c>
      <c r="AO365">
        <v>5.5187701336053223</v>
      </c>
      <c r="AP365">
        <v>221.83633985114361</v>
      </c>
      <c r="AQ365">
        <v>35.706163092734869</v>
      </c>
      <c r="AR365">
        <v>5.0713350286824133</v>
      </c>
      <c r="AS365">
        <v>81.962808366100901</v>
      </c>
      <c r="AT365" t="e">
        <v>#DIV/0!</v>
      </c>
      <c r="AU365" t="e">
        <v>#DIV/0!</v>
      </c>
      <c r="AV365"/>
      <c r="AW365"/>
      <c r="FY365" s="213">
        <v>360</v>
      </c>
      <c r="FZ365">
        <v>2.7705984438954863</v>
      </c>
      <c r="GA365">
        <v>10.788292541630449</v>
      </c>
      <c r="GB365">
        <v>4.5146256248861238</v>
      </c>
      <c r="GC365">
        <v>0.93809528275072762</v>
      </c>
      <c r="GD365">
        <v>1.9061549062212806</v>
      </c>
      <c r="GE365">
        <v>2.4035923587023471</v>
      </c>
      <c r="GF365">
        <v>0</v>
      </c>
      <c r="GG365">
        <v>5.8616658487995661</v>
      </c>
      <c r="GH365">
        <v>8.165780953568003</v>
      </c>
      <c r="GI365">
        <v>4.0086441457415072</v>
      </c>
      <c r="GJ365"/>
      <c r="GK365"/>
      <c r="GL365"/>
      <c r="GM365"/>
      <c r="GN365" s="208"/>
      <c r="GO365" s="208"/>
      <c r="GP365" s="208"/>
      <c r="GQ365" s="208"/>
      <c r="GR365" s="208"/>
      <c r="GS365" s="208"/>
      <c r="GT365" s="208"/>
      <c r="GU365" s="213">
        <v>360</v>
      </c>
    </row>
    <row r="366" spans="1:203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26.966030377668307</v>
      </c>
      <c r="AO366">
        <v>9.9700157012966653</v>
      </c>
      <c r="AP366">
        <v>205.8587246021753</v>
      </c>
      <c r="AQ366">
        <v>68.212236557626738</v>
      </c>
      <c r="AR366">
        <v>9.0636506375424233</v>
      </c>
      <c r="AS366">
        <v>89.842744086865139</v>
      </c>
      <c r="AT366" t="e">
        <v>#DIV/0!</v>
      </c>
      <c r="AU366" t="e">
        <v>#DIV/0!</v>
      </c>
      <c r="AV366"/>
      <c r="AW366"/>
      <c r="FY366" s="213">
        <v>361</v>
      </c>
      <c r="FZ366">
        <v>3.192552405514002</v>
      </c>
      <c r="GA366">
        <v>23.1934642683789</v>
      </c>
      <c r="GB366">
        <v>9.7154997703833015</v>
      </c>
      <c r="GC366">
        <v>1.5809996066777399</v>
      </c>
      <c r="GD366">
        <v>1.4414990480117607</v>
      </c>
      <c r="GE366">
        <v>0.75013551393285716</v>
      </c>
      <c r="GF366">
        <v>0.47734812494006024</v>
      </c>
      <c r="GG366">
        <v>3.1170276865810012</v>
      </c>
      <c r="GH366">
        <v>4.3338537711389558</v>
      </c>
      <c r="GI366">
        <v>4.5422272362769425</v>
      </c>
      <c r="GJ366"/>
      <c r="GK366"/>
      <c r="GL366"/>
      <c r="GM366"/>
      <c r="GN366" s="208"/>
      <c r="GO366" s="208"/>
      <c r="GP366" s="208"/>
      <c r="GQ366" s="208"/>
      <c r="GR366" s="208"/>
      <c r="GS366" s="208"/>
      <c r="GT366" s="208"/>
      <c r="GU366" s="213">
        <v>361</v>
      </c>
    </row>
    <row r="367" spans="1:203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29.772339357429718</v>
      </c>
      <c r="AO367">
        <v>7.1134228709746212</v>
      </c>
      <c r="AP367">
        <v>220.73260355879188</v>
      </c>
      <c r="AQ367">
        <v>45.710721486287078</v>
      </c>
      <c r="AR367">
        <v>6.4667480645223838</v>
      </c>
      <c r="AS367">
        <v>72.907084537746414</v>
      </c>
      <c r="AT367" t="e">
        <v>#DIV/0!</v>
      </c>
      <c r="AU367" t="e">
        <v>#DIV/0!</v>
      </c>
      <c r="AV367"/>
      <c r="AW367"/>
      <c r="FY367" s="213">
        <v>362</v>
      </c>
      <c r="FZ367">
        <v>1.596276202757001</v>
      </c>
      <c r="GA367">
        <v>18.024869178813478</v>
      </c>
      <c r="GB367">
        <v>8.0873355132681883</v>
      </c>
      <c r="GC367">
        <v>0.79049980333886993</v>
      </c>
      <c r="GD367">
        <v>1.1417467510081398</v>
      </c>
      <c r="GE367">
        <v>1.3740589487514896</v>
      </c>
      <c r="GF367">
        <v>0.47734812494006024</v>
      </c>
      <c r="GG367">
        <v>3.4648713879457071</v>
      </c>
      <c r="GH367">
        <v>4.8970170936990343</v>
      </c>
      <c r="GI367">
        <v>3.819959552754173</v>
      </c>
      <c r="GJ367"/>
      <c r="GK367"/>
      <c r="GL367"/>
      <c r="GM367"/>
      <c r="GN367" s="208"/>
      <c r="GO367" s="208"/>
      <c r="GP367" s="208"/>
      <c r="GQ367" s="208"/>
      <c r="GR367" s="208"/>
      <c r="GS367" s="208"/>
      <c r="GT367" s="208"/>
      <c r="GU367" s="213">
        <v>362</v>
      </c>
    </row>
    <row r="368" spans="1:203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15.645269295573097</v>
      </c>
      <c r="AO368">
        <v>5.8026307622610727</v>
      </c>
      <c r="AP368">
        <v>159.18848233682033</v>
      </c>
      <c r="AQ368">
        <v>44.963608518426042</v>
      </c>
      <c r="AR368">
        <v>5.3293901456421873</v>
      </c>
      <c r="AS368">
        <v>58.340072413790374</v>
      </c>
      <c r="AT368" t="e">
        <v>#DIV/0!</v>
      </c>
      <c r="AU368" t="e">
        <v>#DIV/0!</v>
      </c>
      <c r="AV368"/>
      <c r="AW368"/>
      <c r="FY368" s="213">
        <v>363</v>
      </c>
      <c r="FZ368">
        <v>2.1834373233262436</v>
      </c>
      <c r="GA368">
        <v>21.267270852770672</v>
      </c>
      <c r="GB368">
        <v>9.5043757945942868</v>
      </c>
      <c r="GC368">
        <v>1.514934802383977</v>
      </c>
      <c r="GD368">
        <v>4.1771646566474088</v>
      </c>
      <c r="GE368">
        <v>6.4124305706307627</v>
      </c>
      <c r="GF368">
        <v>0.47734812494006024</v>
      </c>
      <c r="GG368">
        <v>0.71856317204106601</v>
      </c>
      <c r="GH368">
        <v>0.94872765327768138</v>
      </c>
      <c r="GI368">
        <v>5.709096512779114</v>
      </c>
      <c r="GJ368"/>
      <c r="GK368"/>
      <c r="GL368"/>
      <c r="GM368"/>
      <c r="GN368" s="208"/>
      <c r="GO368" s="208"/>
      <c r="GP368" s="208"/>
      <c r="GQ368" s="208"/>
      <c r="GR368" s="208"/>
      <c r="GS368" s="208"/>
      <c r="GT368" s="208"/>
      <c r="GU368" s="213">
        <v>363</v>
      </c>
    </row>
    <row r="369" spans="1:203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19.869800631095817</v>
      </c>
      <c r="AO369">
        <v>5.4324487966950219</v>
      </c>
      <c r="AP369">
        <v>264.39136616664928</v>
      </c>
      <c r="AQ369">
        <v>36.302851395156502</v>
      </c>
      <c r="AR369">
        <v>4.9928610860366858</v>
      </c>
      <c r="AS369">
        <v>61.832451718657431</v>
      </c>
      <c r="AT369" t="e">
        <v>#DIV/0!</v>
      </c>
      <c r="AU369" t="e">
        <v>#DIV/0!</v>
      </c>
      <c r="AV369"/>
      <c r="AW369"/>
      <c r="FY369" s="213">
        <v>364</v>
      </c>
      <c r="FZ369">
        <v>3.7797135260832437</v>
      </c>
      <c r="GA369">
        <v>15.266138195906992</v>
      </c>
      <c r="GB369">
        <v>5.7934868456902961</v>
      </c>
      <c r="GC369">
        <v>1.6511074593983723</v>
      </c>
      <c r="GD369">
        <v>2.5126774481729059</v>
      </c>
      <c r="GE369">
        <v>2.5258353417251405</v>
      </c>
      <c r="GF369">
        <v>0</v>
      </c>
      <c r="GG369">
        <v>5.5431196325835081</v>
      </c>
      <c r="GH369">
        <v>7.8603959439878439</v>
      </c>
      <c r="GI369">
        <v>4.855414853449731</v>
      </c>
      <c r="GJ369"/>
      <c r="GK369"/>
      <c r="GL369"/>
      <c r="GM369"/>
      <c r="GN369" s="208"/>
      <c r="GO369" s="208"/>
      <c r="GP369" s="208"/>
      <c r="GQ369" s="208"/>
      <c r="GR369" s="208"/>
      <c r="GS369" s="208"/>
      <c r="GT369" s="208"/>
      <c r="GU369" s="213">
        <v>364</v>
      </c>
    </row>
    <row r="370" spans="1:203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35.369133141762454</v>
      </c>
      <c r="AO370">
        <v>12.153822286118888</v>
      </c>
      <c r="AP370">
        <v>550.78938609532054</v>
      </c>
      <c r="AQ370">
        <v>73.03765461477434</v>
      </c>
      <c r="AR370">
        <v>11.32028570531414</v>
      </c>
      <c r="AS370">
        <v>127.55803648053183</v>
      </c>
      <c r="AT370" t="e">
        <v>#DIV/0!</v>
      </c>
      <c r="AU370" t="e">
        <v>#DIV/0!</v>
      </c>
      <c r="AV370"/>
      <c r="AW370"/>
      <c r="FY370" s="213">
        <v>365</v>
      </c>
      <c r="FZ370">
        <v>0</v>
      </c>
      <c r="GA370">
        <v>11.105819500640203</v>
      </c>
      <c r="GB370">
        <v>5.6231854945764965</v>
      </c>
      <c r="GC370">
        <v>0.5903819176474312</v>
      </c>
      <c r="GD370">
        <v>2.4475368670264861</v>
      </c>
      <c r="GE370">
        <v>4.0411207452183087</v>
      </c>
      <c r="GF370">
        <v>0</v>
      </c>
      <c r="GG370">
        <v>0.93204068530915563</v>
      </c>
      <c r="GH370">
        <v>1.2298924983259916</v>
      </c>
      <c r="GI370">
        <v>3.05283755771808</v>
      </c>
      <c r="GJ370"/>
      <c r="GK370"/>
      <c r="GL370"/>
      <c r="GM370"/>
      <c r="GN370" s="208"/>
      <c r="GO370" s="208"/>
      <c r="GP370" s="208"/>
      <c r="GQ370" s="208"/>
      <c r="GR370" s="208"/>
      <c r="GS370" s="208"/>
      <c r="GT370" s="208"/>
      <c r="GU370" s="213">
        <v>365</v>
      </c>
    </row>
    <row r="371" spans="1:203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39.773159963334464</v>
      </c>
      <c r="AO371">
        <v>6.6445602021937802</v>
      </c>
      <c r="AP371">
        <v>290.25686106894739</v>
      </c>
      <c r="AQ371">
        <v>39.271863424281115</v>
      </c>
      <c r="AR371">
        <v>6.1490518164404042</v>
      </c>
      <c r="AS371">
        <v>95.736471447209496</v>
      </c>
      <c r="AT371" t="e">
        <v>#DIV/0!</v>
      </c>
      <c r="AU371" t="e">
        <v>#DIV/0!</v>
      </c>
      <c r="AV371"/>
      <c r="AW371"/>
      <c r="FY371" s="213">
        <v>366</v>
      </c>
      <c r="FZ371">
        <v>3.192552405514002</v>
      </c>
      <c r="GA371">
        <v>30.494998661997229</v>
      </c>
      <c r="GB371">
        <v>13.327709782713491</v>
      </c>
      <c r="GC371">
        <v>2.4798998632379972</v>
      </c>
      <c r="GD371">
        <v>2.6253324443154287</v>
      </c>
      <c r="GE371">
        <v>1.4577584293019186</v>
      </c>
      <c r="GF371">
        <v>0</v>
      </c>
      <c r="GG371">
        <v>4.4767127591777358</v>
      </c>
      <c r="GH371">
        <v>6.3485049681500838</v>
      </c>
      <c r="GI371">
        <v>6.4377280610694658</v>
      </c>
      <c r="GJ371"/>
      <c r="GK371"/>
      <c r="GL371"/>
      <c r="GM371"/>
      <c r="GN371" s="208"/>
      <c r="GO371" s="208"/>
      <c r="GP371" s="208"/>
      <c r="GQ371" s="208"/>
      <c r="GR371" s="208"/>
      <c r="GS371" s="208"/>
      <c r="GT371" s="208"/>
      <c r="GU371" s="213">
        <v>366</v>
      </c>
    </row>
    <row r="372" spans="1:203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1.8156463984709309E-3</v>
      </c>
      <c r="H372" s="59">
        <f t="shared" ref="H372:AK372" si="357">+H36</f>
        <v>1.15313E-2</v>
      </c>
      <c r="I372" s="59">
        <f t="shared" si="357"/>
        <v>7.3236110182017297E-2</v>
      </c>
      <c r="J372" s="59">
        <f t="shared" si="357"/>
        <v>0.21595370395129135</v>
      </c>
      <c r="K372" s="59">
        <f t="shared" si="357"/>
        <v>0.46512776829954805</v>
      </c>
      <c r="L372" s="59">
        <f t="shared" si="357"/>
        <v>0.84339548649291773</v>
      </c>
      <c r="M372" s="59">
        <f t="shared" si="357"/>
        <v>1.3715374031368122</v>
      </c>
      <c r="N372" s="59">
        <f t="shared" si="357"/>
        <v>2.0689726212277471</v>
      </c>
      <c r="O372" s="59">
        <f t="shared" si="357"/>
        <v>2.9540596886648949</v>
      </c>
      <c r="P372" s="59">
        <f t="shared" si="357"/>
        <v>4.0442970220427874</v>
      </c>
      <c r="Q372" s="59">
        <f t="shared" si="357"/>
        <v>5.3564649931760897</v>
      </c>
      <c r="R372" s="59">
        <f t="shared" si="357"/>
        <v>6.9067313280301672</v>
      </c>
      <c r="S372" s="59">
        <f t="shared" si="357"/>
        <v>8.7107320401763371</v>
      </c>
      <c r="T372" s="59">
        <f t="shared" si="357"/>
        <v>10.783635296383494</v>
      </c>
      <c r="U372" s="59">
        <f t="shared" si="357"/>
        <v>13.140192940241995</v>
      </c>
      <c r="V372" s="59">
        <f t="shared" si="357"/>
        <v>15.794782826216199</v>
      </c>
      <c r="W372" s="59">
        <f t="shared" si="357"/>
        <v>18.761444142752168</v>
      </c>
      <c r="X372" s="59">
        <f t="shared" si="357"/>
        <v>22.053907275344272</v>
      </c>
      <c r="Y372" s="59">
        <f t="shared" si="357"/>
        <v>25.685619341716023</v>
      </c>
      <c r="Z372" s="59">
        <f t="shared" si="357"/>
        <v>29.669766243653644</v>
      </c>
      <c r="AA372" s="59">
        <f t="shared" si="357"/>
        <v>34.019291877443351</v>
      </c>
      <c r="AB372" s="59">
        <f t="shared" si="357"/>
        <v>38.746914998997923</v>
      </c>
      <c r="AC372" s="59">
        <f t="shared" si="357"/>
        <v>43.865144132683035</v>
      </c>
      <c r="AD372" s="59">
        <f t="shared" si="357"/>
        <v>49.386290832891866</v>
      </c>
      <c r="AE372" s="59">
        <f t="shared" si="357"/>
        <v>55.322481546779947</v>
      </c>
      <c r="AF372" s="59">
        <f t="shared" si="357"/>
        <v>61.685668279953298</v>
      </c>
      <c r="AG372" s="59">
        <f t="shared" si="357"/>
        <v>68.487638230609974</v>
      </c>
      <c r="AH372" s="59">
        <f t="shared" si="357"/>
        <v>75.740022529057185</v>
      </c>
      <c r="AI372" s="59">
        <f t="shared" si="357"/>
        <v>83.454304196797253</v>
      </c>
      <c r="AJ372" s="59">
        <f t="shared" si="357"/>
        <v>91.64182542111466</v>
      </c>
      <c r="AK372" s="59">
        <f t="shared" si="357"/>
        <v>100.31379422630621</v>
      </c>
      <c r="AL372" s="78"/>
      <c r="AM372" s="43">
        <v>356</v>
      </c>
      <c r="AN372">
        <v>25.54110262890643</v>
      </c>
      <c r="AO372">
        <v>7.1864570199999971</v>
      </c>
      <c r="AP372">
        <v>203.23709467073681</v>
      </c>
      <c r="AQ372">
        <v>51.832042155952387</v>
      </c>
      <c r="AR372">
        <v>6.5331427454545423</v>
      </c>
      <c r="AS372">
        <v>73.849729561374545</v>
      </c>
      <c r="AT372" t="e">
        <v>#DIV/0!</v>
      </c>
      <c r="AU372" t="e">
        <v>#DIV/0!</v>
      </c>
      <c r="AV372"/>
      <c r="AW372"/>
      <c r="FY372" s="213">
        <v>367</v>
      </c>
      <c r="FZ372">
        <v>5.9631508494094883</v>
      </c>
      <c r="GA372">
        <v>15.516100114852469</v>
      </c>
      <c r="GB372">
        <v>5.0115440298682712</v>
      </c>
      <c r="GC372">
        <v>2.1982513024284636</v>
      </c>
      <c r="GD372">
        <v>3.2081990492040089</v>
      </c>
      <c r="GE372">
        <v>3.3746707290041309</v>
      </c>
      <c r="GF372">
        <v>0.47734812494006024</v>
      </c>
      <c r="GG372">
        <v>6.4734902642065872</v>
      </c>
      <c r="GH372">
        <v>8.9739261843215292</v>
      </c>
      <c r="GI372">
        <v>5.6344792622811282</v>
      </c>
      <c r="GJ372"/>
      <c r="GK372"/>
      <c r="GL372"/>
      <c r="GM372"/>
      <c r="GN372" s="208"/>
      <c r="GO372" s="208"/>
      <c r="GP372" s="208"/>
      <c r="GQ372" s="208"/>
      <c r="GR372" s="208"/>
      <c r="GS372" s="208"/>
      <c r="GT372" s="208"/>
      <c r="GU372" s="213">
        <v>367</v>
      </c>
    </row>
    <row r="373" spans="1:203" s="7" customFormat="1">
      <c r="A373" s="95"/>
      <c r="B373" s="71">
        <f t="shared" ref="B373:B378" si="358">+C4</f>
        <v>39646</v>
      </c>
      <c r="C373" s="18">
        <f t="shared" ref="C373:C382" si="359">+D70</f>
        <v>6.2499999999999991</v>
      </c>
      <c r="D373" s="18">
        <f t="shared" ref="D373:D382" si="360">SUM(G373:AK373)</f>
        <v>2.3879359178133068</v>
      </c>
      <c r="E373" s="19">
        <f t="shared" ref="E373:E382" si="361">IF(C373&lt;1, 0.000001, D373/C373)</f>
        <v>0.38206974685012912</v>
      </c>
      <c r="F373" s="19"/>
      <c r="G373" s="18">
        <f>AVERAGE(E228:E237)*G$372</f>
        <v>0</v>
      </c>
      <c r="H373" s="18">
        <f t="shared" ref="H373:AK373" si="362">AVERAGE(F228:F237)*H$372</f>
        <v>0</v>
      </c>
      <c r="I373" s="18">
        <f t="shared" si="362"/>
        <v>0</v>
      </c>
      <c r="J373" s="18">
        <f t="shared" si="362"/>
        <v>0.4499035498985236</v>
      </c>
      <c r="K373" s="18">
        <f t="shared" si="362"/>
        <v>1.9380323679147833</v>
      </c>
      <c r="L373" s="18">
        <f t="shared" si="362"/>
        <v>0</v>
      </c>
      <c r="M373" s="18">
        <f t="shared" si="362"/>
        <v>0</v>
      </c>
      <c r="N373" s="18">
        <f t="shared" si="362"/>
        <v>0</v>
      </c>
      <c r="O373" s="18">
        <f t="shared" si="362"/>
        <v>0</v>
      </c>
      <c r="P373" s="18">
        <f t="shared" si="362"/>
        <v>0</v>
      </c>
      <c r="Q373" s="18">
        <f t="shared" si="362"/>
        <v>0</v>
      </c>
      <c r="R373" s="18">
        <f t="shared" si="362"/>
        <v>0</v>
      </c>
      <c r="S373" s="18">
        <f t="shared" si="362"/>
        <v>0</v>
      </c>
      <c r="T373" s="18">
        <f t="shared" si="362"/>
        <v>0</v>
      </c>
      <c r="U373" s="18">
        <f t="shared" si="362"/>
        <v>0</v>
      </c>
      <c r="V373" s="18">
        <f t="shared" si="362"/>
        <v>0</v>
      </c>
      <c r="W373" s="18">
        <f t="shared" si="362"/>
        <v>0</v>
      </c>
      <c r="X373" s="18">
        <f t="shared" si="362"/>
        <v>0</v>
      </c>
      <c r="Y373" s="18">
        <f t="shared" si="362"/>
        <v>0</v>
      </c>
      <c r="Z373" s="18">
        <f t="shared" si="362"/>
        <v>0</v>
      </c>
      <c r="AA373" s="18">
        <f t="shared" si="362"/>
        <v>0</v>
      </c>
      <c r="AB373" s="18">
        <f t="shared" si="362"/>
        <v>0</v>
      </c>
      <c r="AC373" s="18">
        <f t="shared" si="362"/>
        <v>0</v>
      </c>
      <c r="AD373" s="18">
        <f t="shared" si="362"/>
        <v>0</v>
      </c>
      <c r="AE373" s="18">
        <f t="shared" si="362"/>
        <v>0</v>
      </c>
      <c r="AF373" s="18">
        <f t="shared" si="362"/>
        <v>0</v>
      </c>
      <c r="AG373" s="18">
        <f t="shared" si="362"/>
        <v>0</v>
      </c>
      <c r="AH373" s="18">
        <f t="shared" si="362"/>
        <v>0</v>
      </c>
      <c r="AI373" s="18">
        <f t="shared" si="362"/>
        <v>0</v>
      </c>
      <c r="AJ373" s="18">
        <f t="shared" si="362"/>
        <v>0</v>
      </c>
      <c r="AK373" s="18">
        <f t="shared" si="362"/>
        <v>0</v>
      </c>
      <c r="AL373" s="78"/>
      <c r="AM373" s="43">
        <v>357</v>
      </c>
      <c r="AN373">
        <v>18.389966475095786</v>
      </c>
      <c r="AO373">
        <v>8.1694300130220849</v>
      </c>
      <c r="AP373">
        <v>251.22936719502695</v>
      </c>
      <c r="AQ373">
        <v>56.278476523167136</v>
      </c>
      <c r="AR373">
        <v>7.4267545572928046</v>
      </c>
      <c r="AS373">
        <v>69.738799277369182</v>
      </c>
      <c r="AT373" t="e">
        <v>#DIV/0!</v>
      </c>
      <c r="AU373" t="e">
        <v>#DIV/0!</v>
      </c>
      <c r="AV373"/>
      <c r="AW373"/>
      <c r="FY373" s="213">
        <v>368</v>
      </c>
      <c r="FZ373">
        <v>0</v>
      </c>
      <c r="GA373">
        <v>10.019358482186815</v>
      </c>
      <c r="GB373">
        <v>5.0721947906258231</v>
      </c>
      <c r="GC373">
        <v>1.3228840984277752</v>
      </c>
      <c r="GD373">
        <v>1.5762103218305064</v>
      </c>
      <c r="GE373">
        <v>1.4285309094773821</v>
      </c>
      <c r="GF373">
        <v>0.47734812494006024</v>
      </c>
      <c r="GG373">
        <v>3.4648713879457071</v>
      </c>
      <c r="GH373">
        <v>4.8970170936990343</v>
      </c>
      <c r="GI373">
        <v>3.1202411821540244</v>
      </c>
      <c r="GJ373"/>
      <c r="GK373"/>
      <c r="GL373"/>
      <c r="GM373"/>
      <c r="GN373" s="208"/>
      <c r="GO373" s="208"/>
      <c r="GP373" s="208"/>
      <c r="GQ373" s="208"/>
      <c r="GR373" s="208"/>
      <c r="GS373" s="208"/>
      <c r="GT373" s="208"/>
      <c r="GU373" s="213">
        <v>368</v>
      </c>
    </row>
    <row r="374" spans="1:203" s="7" customFormat="1">
      <c r="A374" s="95"/>
      <c r="B374" s="71">
        <f t="shared" si="358"/>
        <v>39673</v>
      </c>
      <c r="C374" s="18">
        <f t="shared" si="359"/>
        <v>6.2499999999999991</v>
      </c>
      <c r="D374" s="18">
        <f t="shared" si="360"/>
        <v>3.2868858209026008</v>
      </c>
      <c r="E374" s="19">
        <f t="shared" si="361"/>
        <v>0.5259017313444162</v>
      </c>
      <c r="F374" s="19">
        <f>IF(F388&lt;0,0,F388)</f>
        <v>1.1833748052870831E-2</v>
      </c>
      <c r="G374" s="18">
        <f>AVERAGE(E238:E247)*G$372</f>
        <v>0</v>
      </c>
      <c r="H374" s="18">
        <f t="shared" ref="H374:AK374" si="363">AVERAGE(F238:F247)*H$372</f>
        <v>0</v>
      </c>
      <c r="I374" s="18">
        <f t="shared" si="363"/>
        <v>7.6287614772934678E-2</v>
      </c>
      <c r="J374" s="18">
        <f t="shared" si="363"/>
        <v>0</v>
      </c>
      <c r="K374" s="18">
        <f t="shared" si="363"/>
        <v>1.4535242759360876</v>
      </c>
      <c r="L374" s="18">
        <f t="shared" si="363"/>
        <v>1.7570739301935783</v>
      </c>
      <c r="M374" s="18">
        <f t="shared" si="363"/>
        <v>0</v>
      </c>
      <c r="N374" s="18">
        <f t="shared" si="363"/>
        <v>0</v>
      </c>
      <c r="O374" s="18">
        <f t="shared" si="363"/>
        <v>0</v>
      </c>
      <c r="P374" s="18">
        <f t="shared" si="363"/>
        <v>0</v>
      </c>
      <c r="Q374" s="18">
        <f t="shared" si="363"/>
        <v>0</v>
      </c>
      <c r="R374" s="18">
        <f t="shared" si="363"/>
        <v>0</v>
      </c>
      <c r="S374" s="18">
        <f t="shared" si="363"/>
        <v>0</v>
      </c>
      <c r="T374" s="18">
        <f t="shared" si="363"/>
        <v>0</v>
      </c>
      <c r="U374" s="18">
        <f t="shared" si="363"/>
        <v>0</v>
      </c>
      <c r="V374" s="18">
        <f t="shared" si="363"/>
        <v>0</v>
      </c>
      <c r="W374" s="18">
        <f t="shared" si="363"/>
        <v>0</v>
      </c>
      <c r="X374" s="18">
        <f t="shared" si="363"/>
        <v>0</v>
      </c>
      <c r="Y374" s="18">
        <f t="shared" si="363"/>
        <v>0</v>
      </c>
      <c r="Z374" s="18">
        <f t="shared" si="363"/>
        <v>0</v>
      </c>
      <c r="AA374" s="18">
        <f t="shared" si="363"/>
        <v>0</v>
      </c>
      <c r="AB374" s="18">
        <f t="shared" si="363"/>
        <v>0</v>
      </c>
      <c r="AC374" s="18">
        <f t="shared" si="363"/>
        <v>0</v>
      </c>
      <c r="AD374" s="18">
        <f t="shared" si="363"/>
        <v>0</v>
      </c>
      <c r="AE374" s="18">
        <f t="shared" si="363"/>
        <v>0</v>
      </c>
      <c r="AF374" s="18">
        <f t="shared" si="363"/>
        <v>0</v>
      </c>
      <c r="AG374" s="18">
        <f t="shared" si="363"/>
        <v>0</v>
      </c>
      <c r="AH374" s="18">
        <f t="shared" si="363"/>
        <v>0</v>
      </c>
      <c r="AI374" s="18">
        <f t="shared" si="363"/>
        <v>0</v>
      </c>
      <c r="AJ374" s="18">
        <f t="shared" si="363"/>
        <v>0</v>
      </c>
      <c r="AK374" s="18">
        <f t="shared" si="363"/>
        <v>0</v>
      </c>
      <c r="AL374" s="78"/>
      <c r="AM374" s="43">
        <v>358</v>
      </c>
      <c r="AN374">
        <v>21.264916810097528</v>
      </c>
      <c r="AO374">
        <v>6.4693572353368989</v>
      </c>
      <c r="AP374">
        <v>76.662299050691416</v>
      </c>
      <c r="AQ374">
        <v>47.737574254704029</v>
      </c>
      <c r="AR374">
        <v>5.9355051211656642</v>
      </c>
      <c r="AS374">
        <v>62.616635836301668</v>
      </c>
      <c r="AT374" t="e">
        <v>#DIV/0!</v>
      </c>
      <c r="AU374" t="e">
        <v>#DIV/0!</v>
      </c>
      <c r="AV374"/>
      <c r="AW374"/>
      <c r="FY374" s="213">
        <v>369</v>
      </c>
      <c r="FZ374">
        <v>2.7705984438954863</v>
      </c>
      <c r="GA374">
        <v>19.095715132259517</v>
      </c>
      <c r="GB374">
        <v>8.6317477554298385</v>
      </c>
      <c r="GC374">
        <v>1.8491057694730917</v>
      </c>
      <c r="GD374">
        <v>3.1911226157585708</v>
      </c>
      <c r="GE374">
        <v>3.8865952289056223</v>
      </c>
      <c r="GF374">
        <v>0.47734812494006024</v>
      </c>
      <c r="GG374">
        <v>3.7581495871366699</v>
      </c>
      <c r="GH374">
        <v>5.3997773148724022</v>
      </c>
      <c r="GI374">
        <v>5.5707227524466001</v>
      </c>
      <c r="GJ374"/>
      <c r="GK374"/>
      <c r="GL374"/>
      <c r="GM374"/>
      <c r="GN374" s="208"/>
      <c r="GO374" s="208"/>
      <c r="GP374" s="208"/>
      <c r="GQ374" s="208"/>
      <c r="GR374" s="208"/>
      <c r="GS374" s="208"/>
      <c r="GT374" s="208"/>
      <c r="GU374" s="213">
        <v>369</v>
      </c>
    </row>
    <row r="375" spans="1:203" s="7" customFormat="1">
      <c r="A375" s="95"/>
      <c r="B375" s="71">
        <f t="shared" si="358"/>
        <v>39714</v>
      </c>
      <c r="C375" s="18">
        <f t="shared" si="359"/>
        <v>85.416666666666657</v>
      </c>
      <c r="D375" s="18">
        <f t="shared" si="360"/>
        <v>33.207866938734988</v>
      </c>
      <c r="E375" s="19">
        <f t="shared" si="361"/>
        <v>0.38877502757543403</v>
      </c>
      <c r="F375" s="19">
        <f>IF(F389&lt;0,0,F389)</f>
        <v>0</v>
      </c>
      <c r="G375" s="18">
        <f>AVERAGE(E248:E257)*G$372</f>
        <v>0</v>
      </c>
      <c r="H375" s="18">
        <f t="shared" ref="H375:AK375" si="364">AVERAGE(F248:F257)*H$372</f>
        <v>0</v>
      </c>
      <c r="I375" s="18">
        <f t="shared" si="364"/>
        <v>0</v>
      </c>
      <c r="J375" s="18">
        <f t="shared" si="364"/>
        <v>8.5481674480719487</v>
      </c>
      <c r="K375" s="18">
        <f t="shared" si="364"/>
        <v>20.349339863105229</v>
      </c>
      <c r="L375" s="18">
        <f t="shared" si="364"/>
        <v>0</v>
      </c>
      <c r="M375" s="18">
        <f t="shared" si="364"/>
        <v>0</v>
      </c>
      <c r="N375" s="18">
        <f t="shared" si="364"/>
        <v>4.3103596275578058</v>
      </c>
      <c r="O375" s="18">
        <f t="shared" si="364"/>
        <v>0</v>
      </c>
      <c r="P375" s="18">
        <f t="shared" si="364"/>
        <v>0</v>
      </c>
      <c r="Q375" s="18">
        <f t="shared" si="364"/>
        <v>0</v>
      </c>
      <c r="R375" s="18">
        <f t="shared" si="364"/>
        <v>0</v>
      </c>
      <c r="S375" s="18">
        <f t="shared" si="364"/>
        <v>0</v>
      </c>
      <c r="T375" s="18">
        <f t="shared" si="364"/>
        <v>0</v>
      </c>
      <c r="U375" s="18">
        <f t="shared" si="364"/>
        <v>0</v>
      </c>
      <c r="V375" s="18">
        <f t="shared" si="364"/>
        <v>0</v>
      </c>
      <c r="W375" s="18">
        <f t="shared" si="364"/>
        <v>0</v>
      </c>
      <c r="X375" s="18">
        <f t="shared" si="364"/>
        <v>0</v>
      </c>
      <c r="Y375" s="18">
        <f t="shared" si="364"/>
        <v>0</v>
      </c>
      <c r="Z375" s="18">
        <f t="shared" si="364"/>
        <v>0</v>
      </c>
      <c r="AA375" s="18">
        <f t="shared" si="364"/>
        <v>0</v>
      </c>
      <c r="AB375" s="18">
        <f t="shared" si="364"/>
        <v>0</v>
      </c>
      <c r="AC375" s="18">
        <f t="shared" si="364"/>
        <v>0</v>
      </c>
      <c r="AD375" s="18">
        <f t="shared" si="364"/>
        <v>0</v>
      </c>
      <c r="AE375" s="18">
        <f t="shared" si="364"/>
        <v>0</v>
      </c>
      <c r="AF375" s="18">
        <f t="shared" si="364"/>
        <v>0</v>
      </c>
      <c r="AG375" s="18">
        <f t="shared" si="364"/>
        <v>0</v>
      </c>
      <c r="AH375" s="18">
        <f t="shared" si="364"/>
        <v>0</v>
      </c>
      <c r="AI375" s="18">
        <f t="shared" si="364"/>
        <v>0</v>
      </c>
      <c r="AJ375" s="18">
        <f t="shared" si="364"/>
        <v>0</v>
      </c>
      <c r="AK375" s="18">
        <f t="shared" si="364"/>
        <v>0</v>
      </c>
      <c r="AL375" s="78"/>
      <c r="AM375" s="43">
        <v>359</v>
      </c>
      <c r="AN375">
        <v>29.308121237000545</v>
      </c>
      <c r="AO375">
        <v>8.0805830889193402</v>
      </c>
      <c r="AP375">
        <v>242.51598723219138</v>
      </c>
      <c r="AQ375">
        <v>52.487808841628208</v>
      </c>
      <c r="AR375">
        <v>7.3459846262903099</v>
      </c>
      <c r="AS375">
        <v>93.111307198173677</v>
      </c>
      <c r="AT375" t="e">
        <v>#DIV/0!</v>
      </c>
      <c r="AU375" t="e">
        <v>#DIV/0!</v>
      </c>
      <c r="AV375"/>
      <c r="AW375"/>
      <c r="FY375" s="213">
        <v>370</v>
      </c>
      <c r="FZ375">
        <v>1.596276202757001</v>
      </c>
      <c r="GA375">
        <v>16.697187264543945</v>
      </c>
      <c r="GB375">
        <v>7.3705000476984246</v>
      </c>
      <c r="GC375">
        <v>1.5479672045308583</v>
      </c>
      <c r="GD375">
        <v>2.1344783466184798</v>
      </c>
      <c r="GE375">
        <v>2.2042483879030734</v>
      </c>
      <c r="GF375">
        <v>0.47734812494006024</v>
      </c>
      <c r="GG375">
        <v>0.71856317204106601</v>
      </c>
      <c r="GH375">
        <v>0.94872765327768138</v>
      </c>
      <c r="GI375">
        <v>3.5680193060601422</v>
      </c>
      <c r="GJ375"/>
      <c r="GK375"/>
      <c r="GL375"/>
      <c r="GM375"/>
      <c r="GN375" s="208"/>
      <c r="GO375" s="208"/>
      <c r="GP375" s="208"/>
      <c r="GQ375" s="208"/>
      <c r="GR375" s="208"/>
      <c r="GS375" s="208"/>
      <c r="GT375" s="208"/>
      <c r="GU375" s="213">
        <v>370</v>
      </c>
    </row>
    <row r="376" spans="1:203" s="7" customFormat="1">
      <c r="A376" s="95"/>
      <c r="B376" s="71">
        <f t="shared" si="358"/>
        <v>39747</v>
      </c>
      <c r="C376" s="18">
        <f t="shared" si="359"/>
        <v>0</v>
      </c>
      <c r="D376" s="18">
        <f t="shared" si="360"/>
        <v>0</v>
      </c>
      <c r="E376" s="19">
        <f t="shared" si="361"/>
        <v>9.9999999999999995E-7</v>
      </c>
      <c r="F376" s="19">
        <f>IF(F390&lt;0,0,F390)</f>
        <v>0</v>
      </c>
      <c r="G376" s="18">
        <f>AVERAGE(E258:E267)*G$372</f>
        <v>0</v>
      </c>
      <c r="H376" s="18">
        <f t="shared" ref="H376:AK376" si="365">AVERAGE(F258:F267)*H$372</f>
        <v>0</v>
      </c>
      <c r="I376" s="18">
        <f t="shared" si="365"/>
        <v>0</v>
      </c>
      <c r="J376" s="18">
        <f t="shared" si="365"/>
        <v>0</v>
      </c>
      <c r="K376" s="18">
        <f t="shared" si="365"/>
        <v>0</v>
      </c>
      <c r="L376" s="18">
        <f t="shared" si="365"/>
        <v>0</v>
      </c>
      <c r="M376" s="18">
        <f t="shared" si="365"/>
        <v>0</v>
      </c>
      <c r="N376" s="18">
        <f t="shared" si="365"/>
        <v>0</v>
      </c>
      <c r="O376" s="18">
        <f t="shared" si="365"/>
        <v>0</v>
      </c>
      <c r="P376" s="18">
        <f t="shared" si="365"/>
        <v>0</v>
      </c>
      <c r="Q376" s="18">
        <f t="shared" si="365"/>
        <v>0</v>
      </c>
      <c r="R376" s="18">
        <f t="shared" si="365"/>
        <v>0</v>
      </c>
      <c r="S376" s="18">
        <f t="shared" si="365"/>
        <v>0</v>
      </c>
      <c r="T376" s="18">
        <f t="shared" si="365"/>
        <v>0</v>
      </c>
      <c r="U376" s="18">
        <f t="shared" si="365"/>
        <v>0</v>
      </c>
      <c r="V376" s="18">
        <f t="shared" si="365"/>
        <v>0</v>
      </c>
      <c r="W376" s="18">
        <f t="shared" si="365"/>
        <v>0</v>
      </c>
      <c r="X376" s="18">
        <f t="shared" si="365"/>
        <v>0</v>
      </c>
      <c r="Y376" s="18">
        <f t="shared" si="365"/>
        <v>0</v>
      </c>
      <c r="Z376" s="18">
        <f t="shared" si="365"/>
        <v>0</v>
      </c>
      <c r="AA376" s="18">
        <f t="shared" si="365"/>
        <v>0</v>
      </c>
      <c r="AB376" s="18">
        <f t="shared" si="365"/>
        <v>0</v>
      </c>
      <c r="AC376" s="18">
        <f t="shared" si="365"/>
        <v>0</v>
      </c>
      <c r="AD376" s="18">
        <f t="shared" si="365"/>
        <v>0</v>
      </c>
      <c r="AE376" s="18">
        <f t="shared" si="365"/>
        <v>0</v>
      </c>
      <c r="AF376" s="18">
        <f t="shared" si="365"/>
        <v>0</v>
      </c>
      <c r="AG376" s="18">
        <f t="shared" si="365"/>
        <v>0</v>
      </c>
      <c r="AH376" s="18">
        <f t="shared" si="365"/>
        <v>0</v>
      </c>
      <c r="AI376" s="18">
        <f t="shared" si="365"/>
        <v>0</v>
      </c>
      <c r="AJ376" s="18">
        <f t="shared" si="365"/>
        <v>0</v>
      </c>
      <c r="AK376" s="18">
        <f t="shared" si="365"/>
        <v>0</v>
      </c>
      <c r="AL376" s="78"/>
      <c r="AM376" s="43">
        <v>360</v>
      </c>
      <c r="AN376">
        <v>23.502326630001118</v>
      </c>
      <c r="AO376">
        <v>6.1632915507605146</v>
      </c>
      <c r="AP376">
        <v>173.688021775496</v>
      </c>
      <c r="AQ376">
        <v>41.357450106195486</v>
      </c>
      <c r="AR376">
        <v>5.711534860591982</v>
      </c>
      <c r="AS376">
        <v>64.205544664338575</v>
      </c>
      <c r="AT376" t="e">
        <v>#DIV/0!</v>
      </c>
      <c r="AU376" t="e">
        <v>#DIV/0!</v>
      </c>
      <c r="AV376"/>
      <c r="AW376"/>
      <c r="FY376" s="213">
        <v>371</v>
      </c>
      <c r="FZ376">
        <v>1.596276202757001</v>
      </c>
      <c r="GA376">
        <v>20.220378042013785</v>
      </c>
      <c r="GB376">
        <v>9.1579306046436049</v>
      </c>
      <c r="GC376">
        <v>0.71301217664764449</v>
      </c>
      <c r="GD376">
        <v>1.8336204337224919</v>
      </c>
      <c r="GE376">
        <v>3.1886258197758659</v>
      </c>
      <c r="GF376">
        <v>0.95469624988012047</v>
      </c>
      <c r="GG376">
        <v>3.8648883437707147</v>
      </c>
      <c r="GH376">
        <v>5.5403597373965576</v>
      </c>
      <c r="GI376">
        <v>4.7027270543769539</v>
      </c>
      <c r="GJ376"/>
      <c r="GK376"/>
      <c r="GL376"/>
      <c r="GM376"/>
      <c r="GN376" s="208"/>
      <c r="GO376" s="208"/>
      <c r="GP376" s="208"/>
      <c r="GQ376" s="208"/>
      <c r="GR376" s="208"/>
      <c r="GS376" s="208"/>
      <c r="GT376" s="208"/>
      <c r="GU376" s="213">
        <v>371</v>
      </c>
    </row>
    <row r="377" spans="1:203" s="7" customFormat="1">
      <c r="A377" s="95"/>
      <c r="B377" s="71">
        <f t="shared" si="358"/>
        <v>39775</v>
      </c>
      <c r="C377" s="18">
        <f t="shared" si="359"/>
        <v>111.9047619047619</v>
      </c>
      <c r="D377" s="18">
        <f t="shared" si="360"/>
        <v>8.2960318342351762</v>
      </c>
      <c r="E377" s="19">
        <f t="shared" si="361"/>
        <v>7.4134752561250516E-2</v>
      </c>
      <c r="F377" s="19">
        <f>IF(F391&lt;0,0,F391)</f>
        <v>0.40048713202745284</v>
      </c>
      <c r="G377" s="18">
        <f>AVERAGE(E268:E277)*G$372</f>
        <v>0</v>
      </c>
      <c r="H377" s="18">
        <f t="shared" ref="H377:AK377" si="366">AVERAGE(F268:F277)*H$372</f>
        <v>0.12011770833333334</v>
      </c>
      <c r="I377" s="18">
        <f t="shared" si="366"/>
        <v>7.0511552511555342</v>
      </c>
      <c r="J377" s="18">
        <f t="shared" si="366"/>
        <v>1.1247588747463093</v>
      </c>
      <c r="K377" s="18">
        <f t="shared" si="366"/>
        <v>0</v>
      </c>
      <c r="L377" s="18">
        <f t="shared" si="366"/>
        <v>0</v>
      </c>
      <c r="M377" s="18">
        <f t="shared" si="366"/>
        <v>0</v>
      </c>
      <c r="N377" s="18">
        <f t="shared" si="366"/>
        <v>0</v>
      </c>
      <c r="O377" s="18">
        <f t="shared" si="366"/>
        <v>0</v>
      </c>
      <c r="P377" s="18">
        <f t="shared" si="366"/>
        <v>0</v>
      </c>
      <c r="Q377" s="18">
        <f t="shared" si="366"/>
        <v>0</v>
      </c>
      <c r="R377" s="18">
        <f t="shared" si="366"/>
        <v>0</v>
      </c>
      <c r="S377" s="18">
        <f t="shared" si="366"/>
        <v>0</v>
      </c>
      <c r="T377" s="18">
        <f t="shared" si="366"/>
        <v>0</v>
      </c>
      <c r="U377" s="18">
        <f t="shared" si="366"/>
        <v>0</v>
      </c>
      <c r="V377" s="18">
        <f t="shared" si="366"/>
        <v>0</v>
      </c>
      <c r="W377" s="18">
        <f t="shared" si="366"/>
        <v>0</v>
      </c>
      <c r="X377" s="18">
        <f t="shared" si="366"/>
        <v>0</v>
      </c>
      <c r="Y377" s="18">
        <f t="shared" si="366"/>
        <v>0</v>
      </c>
      <c r="Z377" s="18">
        <f t="shared" si="366"/>
        <v>0</v>
      </c>
      <c r="AA377" s="18">
        <f t="shared" si="366"/>
        <v>0</v>
      </c>
      <c r="AB377" s="18">
        <f t="shared" si="366"/>
        <v>0</v>
      </c>
      <c r="AC377" s="18">
        <f t="shared" si="366"/>
        <v>0</v>
      </c>
      <c r="AD377" s="18">
        <f t="shared" si="366"/>
        <v>0</v>
      </c>
      <c r="AE377" s="18">
        <f t="shared" si="366"/>
        <v>0</v>
      </c>
      <c r="AF377" s="18">
        <f t="shared" si="366"/>
        <v>0</v>
      </c>
      <c r="AG377" s="18">
        <f t="shared" si="366"/>
        <v>0</v>
      </c>
      <c r="AH377" s="18">
        <f t="shared" si="366"/>
        <v>0</v>
      </c>
      <c r="AI377" s="18">
        <f t="shared" si="366"/>
        <v>0</v>
      </c>
      <c r="AJ377" s="18">
        <f t="shared" si="366"/>
        <v>0</v>
      </c>
      <c r="AK377" s="18">
        <f t="shared" si="366"/>
        <v>0</v>
      </c>
      <c r="AL377" s="78"/>
      <c r="AM377" s="43">
        <v>361</v>
      </c>
      <c r="AN377">
        <v>31.709275319669491</v>
      </c>
      <c r="AO377">
        <v>7.0437314384327721</v>
      </c>
      <c r="AP377">
        <v>167.59570886966361</v>
      </c>
      <c r="AQ377">
        <v>52.344607431835527</v>
      </c>
      <c r="AR377">
        <v>6.4033922167570658</v>
      </c>
      <c r="AS377">
        <v>84.988774738245027</v>
      </c>
      <c r="AT377" t="e">
        <v>#DIV/0!</v>
      </c>
      <c r="AU377" t="e">
        <v>#DIV/0!</v>
      </c>
      <c r="AV377"/>
      <c r="AW377"/>
      <c r="FY377" s="213">
        <v>372</v>
      </c>
      <c r="FZ377">
        <v>1.596276202757001</v>
      </c>
      <c r="GA377">
        <v>14.325732067712018</v>
      </c>
      <c r="GB377">
        <v>6.0792812748834262</v>
      </c>
      <c r="GC377">
        <v>2.0998415037524634</v>
      </c>
      <c r="GD377">
        <v>2.0334919250470018</v>
      </c>
      <c r="GE377">
        <v>0.84713405605429515</v>
      </c>
      <c r="GF377">
        <v>0</v>
      </c>
      <c r="GG377">
        <v>5.4380509296355397</v>
      </c>
      <c r="GH377">
        <v>7.8361757794559974</v>
      </c>
      <c r="GI377">
        <v>4.2614892918321852</v>
      </c>
      <c r="GJ377"/>
      <c r="GK377"/>
      <c r="GL377"/>
      <c r="GM377"/>
      <c r="GN377" s="208"/>
      <c r="GO377" s="208"/>
      <c r="GP377" s="208"/>
      <c r="GQ377" s="208"/>
      <c r="GR377" s="208"/>
      <c r="GS377" s="208"/>
      <c r="GT377" s="208"/>
      <c r="GU377" s="213">
        <v>372</v>
      </c>
    </row>
    <row r="378" spans="1:203" s="7" customFormat="1">
      <c r="A378" s="95"/>
      <c r="B378" s="71">
        <f t="shared" si="358"/>
        <v>39799</v>
      </c>
      <c r="C378" s="18">
        <f t="shared" si="359"/>
        <v>15.624999999999996</v>
      </c>
      <c r="D378" s="18">
        <f t="shared" si="360"/>
        <v>10.938546060462272</v>
      </c>
      <c r="E378" s="19">
        <f t="shared" si="361"/>
        <v>0.70006694786958557</v>
      </c>
      <c r="F378" s="19">
        <f t="shared" ref="F378:F382" si="367">IF(F392&lt;0,0,F392)</f>
        <v>9.3553814687390061E-2</v>
      </c>
      <c r="G378" s="18">
        <f>AVERAGE(E278:E287)*G$372</f>
        <v>3.7825966634811056E-3</v>
      </c>
      <c r="H378" s="18">
        <f t="shared" ref="H378:AK378" si="368">AVERAGE(F278:F287)*H$372</f>
        <v>2.4023541666666662E-2</v>
      </c>
      <c r="I378" s="18">
        <f t="shared" si="368"/>
        <v>0.22886284431880405</v>
      </c>
      <c r="J378" s="18">
        <f t="shared" si="368"/>
        <v>0</v>
      </c>
      <c r="K378" s="18">
        <f t="shared" si="368"/>
        <v>0</v>
      </c>
      <c r="L378" s="18">
        <f t="shared" si="368"/>
        <v>3.5141478603871565</v>
      </c>
      <c r="M378" s="18">
        <f t="shared" si="368"/>
        <v>2.8573695898683584</v>
      </c>
      <c r="N378" s="18">
        <f t="shared" si="368"/>
        <v>4.3103596275578058</v>
      </c>
      <c r="O378" s="18">
        <f t="shared" si="368"/>
        <v>0</v>
      </c>
      <c r="P378" s="18">
        <f t="shared" si="368"/>
        <v>0</v>
      </c>
      <c r="Q378" s="18">
        <f t="shared" si="368"/>
        <v>0</v>
      </c>
      <c r="R378" s="18">
        <f t="shared" si="368"/>
        <v>0</v>
      </c>
      <c r="S378" s="18">
        <f t="shared" si="368"/>
        <v>0</v>
      </c>
      <c r="T378" s="18">
        <f t="shared" si="368"/>
        <v>0</v>
      </c>
      <c r="U378" s="18">
        <f t="shared" si="368"/>
        <v>0</v>
      </c>
      <c r="V378" s="18">
        <f t="shared" si="368"/>
        <v>0</v>
      </c>
      <c r="W378" s="18">
        <f t="shared" si="368"/>
        <v>0</v>
      </c>
      <c r="X378" s="18">
        <f t="shared" si="368"/>
        <v>0</v>
      </c>
      <c r="Y378" s="18">
        <f t="shared" si="368"/>
        <v>0</v>
      </c>
      <c r="Z378" s="18">
        <f t="shared" si="368"/>
        <v>0</v>
      </c>
      <c r="AA378" s="18">
        <f t="shared" si="368"/>
        <v>0</v>
      </c>
      <c r="AB378" s="18">
        <f t="shared" si="368"/>
        <v>0</v>
      </c>
      <c r="AC378" s="18">
        <f t="shared" si="368"/>
        <v>0</v>
      </c>
      <c r="AD378" s="18">
        <f t="shared" si="368"/>
        <v>0</v>
      </c>
      <c r="AE378" s="18">
        <f t="shared" si="368"/>
        <v>0</v>
      </c>
      <c r="AF378" s="18">
        <f t="shared" si="368"/>
        <v>0</v>
      </c>
      <c r="AG378" s="18">
        <f t="shared" si="368"/>
        <v>0</v>
      </c>
      <c r="AH378" s="18">
        <f t="shared" si="368"/>
        <v>0</v>
      </c>
      <c r="AI378" s="18">
        <f t="shared" si="368"/>
        <v>0</v>
      </c>
      <c r="AJ378" s="18">
        <f t="shared" si="368"/>
        <v>0</v>
      </c>
      <c r="AK378" s="18">
        <f t="shared" si="368"/>
        <v>0</v>
      </c>
      <c r="AL378" s="78"/>
      <c r="AM378" s="43">
        <v>362</v>
      </c>
      <c r="AN378">
        <v>21.990336345381525</v>
      </c>
      <c r="AO378">
        <v>5.9803264457936018</v>
      </c>
      <c r="AP378">
        <v>142.52436230228471</v>
      </c>
      <c r="AQ378">
        <v>43.67398255727614</v>
      </c>
      <c r="AR378">
        <v>5.4366604052669105</v>
      </c>
      <c r="AS378">
        <v>65.155967468489479</v>
      </c>
      <c r="AT378" t="e">
        <v>#DIV/0!</v>
      </c>
      <c r="AU378" t="e">
        <v>#DIV/0!</v>
      </c>
      <c r="AV378"/>
      <c r="AW378"/>
      <c r="FY378" s="213">
        <v>373</v>
      </c>
      <c r="FZ378">
        <v>0.58716112056924263</v>
      </c>
      <c r="GA378">
        <v>16.925498098389863</v>
      </c>
      <c r="GB378">
        <v>8.3884380915476608</v>
      </c>
      <c r="GC378">
        <v>1.0856907621625855</v>
      </c>
      <c r="GD378">
        <v>3.5286087086970213</v>
      </c>
      <c r="GE378">
        <v>5.7686095814671718</v>
      </c>
      <c r="GF378">
        <v>0.47734812494006024</v>
      </c>
      <c r="GG378">
        <v>0</v>
      </c>
      <c r="GH378">
        <v>0</v>
      </c>
      <c r="GI378">
        <v>4.6417448594271784</v>
      </c>
      <c r="GJ378"/>
      <c r="GK378"/>
      <c r="GL378"/>
      <c r="GM378"/>
      <c r="GN378" s="208"/>
      <c r="GO378" s="208"/>
      <c r="GP378" s="208"/>
      <c r="GQ378" s="208"/>
      <c r="GR378" s="208"/>
      <c r="GS378" s="208"/>
      <c r="GT378" s="208"/>
      <c r="GU378" s="213">
        <v>373</v>
      </c>
    </row>
    <row r="379" spans="1:203" s="7" customFormat="1">
      <c r="A379" s="77" t="s">
        <v>61</v>
      </c>
      <c r="B379" s="71">
        <f t="shared" ref="B379:B382" si="369">+C10</f>
        <v>39847</v>
      </c>
      <c r="C379" s="18">
        <f t="shared" si="359"/>
        <v>2.083333333333333</v>
      </c>
      <c r="D379" s="18">
        <f t="shared" si="360"/>
        <v>2.8573695898683584</v>
      </c>
      <c r="E379" s="19">
        <f t="shared" si="361"/>
        <v>1.3715374031368122</v>
      </c>
      <c r="F379" s="19">
        <f t="shared" si="367"/>
        <v>1.4010658571293334E-2</v>
      </c>
      <c r="G379" s="18">
        <f>AVERAGE(E288:E297)*G$372</f>
        <v>0</v>
      </c>
      <c r="H379" s="18">
        <f t="shared" ref="H379:AK379" si="370">AVERAGE(F288:F297)*H$372</f>
        <v>0</v>
      </c>
      <c r="I379" s="18">
        <f t="shared" si="370"/>
        <v>0</v>
      </c>
      <c r="J379" s="18">
        <f t="shared" si="370"/>
        <v>0</v>
      </c>
      <c r="K379" s="18">
        <f t="shared" si="370"/>
        <v>0</v>
      </c>
      <c r="L379" s="18">
        <f t="shared" si="370"/>
        <v>0</v>
      </c>
      <c r="M379" s="18">
        <f t="shared" si="370"/>
        <v>2.8573695898683584</v>
      </c>
      <c r="N379" s="18">
        <f t="shared" si="370"/>
        <v>0</v>
      </c>
      <c r="O379" s="18">
        <f t="shared" si="370"/>
        <v>0</v>
      </c>
      <c r="P379" s="18">
        <f t="shared" si="370"/>
        <v>0</v>
      </c>
      <c r="Q379" s="18">
        <f t="shared" si="370"/>
        <v>0</v>
      </c>
      <c r="R379" s="18">
        <f t="shared" si="370"/>
        <v>0</v>
      </c>
      <c r="S379" s="18">
        <f t="shared" si="370"/>
        <v>0</v>
      </c>
      <c r="T379" s="18">
        <f t="shared" si="370"/>
        <v>0</v>
      </c>
      <c r="U379" s="18">
        <f t="shared" si="370"/>
        <v>0</v>
      </c>
      <c r="V379" s="18">
        <f t="shared" si="370"/>
        <v>0</v>
      </c>
      <c r="W379" s="18">
        <f t="shared" si="370"/>
        <v>0</v>
      </c>
      <c r="X379" s="18">
        <f t="shared" si="370"/>
        <v>0</v>
      </c>
      <c r="Y379" s="18">
        <f t="shared" si="370"/>
        <v>0</v>
      </c>
      <c r="Z379" s="18">
        <f t="shared" si="370"/>
        <v>0</v>
      </c>
      <c r="AA379" s="18">
        <f t="shared" si="370"/>
        <v>0</v>
      </c>
      <c r="AB379" s="18">
        <f t="shared" si="370"/>
        <v>0</v>
      </c>
      <c r="AC379" s="18">
        <f t="shared" si="370"/>
        <v>0</v>
      </c>
      <c r="AD379" s="18">
        <f t="shared" si="370"/>
        <v>0</v>
      </c>
      <c r="AE379" s="18">
        <f t="shared" si="370"/>
        <v>0</v>
      </c>
      <c r="AF379" s="18">
        <f t="shared" si="370"/>
        <v>0</v>
      </c>
      <c r="AG379" s="18">
        <f t="shared" si="370"/>
        <v>0</v>
      </c>
      <c r="AH379" s="18">
        <f t="shared" si="370"/>
        <v>0</v>
      </c>
      <c r="AI379" s="18">
        <f t="shared" si="370"/>
        <v>0</v>
      </c>
      <c r="AJ379" s="18">
        <f t="shared" si="370"/>
        <v>0</v>
      </c>
      <c r="AK379" s="18">
        <f t="shared" si="370"/>
        <v>0</v>
      </c>
      <c r="AL379" s="78"/>
      <c r="AM379" s="43">
        <v>363</v>
      </c>
      <c r="AN379">
        <v>32.857981391905888</v>
      </c>
      <c r="AO379">
        <v>8.941572444765951</v>
      </c>
      <c r="AP379">
        <v>115.99262953176668</v>
      </c>
      <c r="AQ379">
        <v>52.913349463391263</v>
      </c>
      <c r="AR379">
        <v>8.1829734933738933</v>
      </c>
      <c r="AS379">
        <v>96.312887647561155</v>
      </c>
      <c r="AT379" t="e">
        <v>#DIV/0!</v>
      </c>
      <c r="AU379" t="e">
        <v>#DIV/0!</v>
      </c>
      <c r="AV379"/>
      <c r="AW379"/>
      <c r="FY379" s="213">
        <v>374</v>
      </c>
      <c r="FZ379">
        <v>3.192552405514002</v>
      </c>
      <c r="GA379">
        <v>22.672820585445731</v>
      </c>
      <c r="GB379">
        <v>9.4086181018820305</v>
      </c>
      <c r="GC379">
        <v>1.3868293271048187</v>
      </c>
      <c r="GD379">
        <v>2.6181565736514818</v>
      </c>
      <c r="GE379">
        <v>3.1497587765437736</v>
      </c>
      <c r="GF379">
        <v>0</v>
      </c>
      <c r="GG379">
        <v>4.7952589753937938</v>
      </c>
      <c r="GH379">
        <v>6.6538899777302429</v>
      </c>
      <c r="GI379">
        <v>5.5520382050493158</v>
      </c>
      <c r="GJ379"/>
      <c r="GK379"/>
      <c r="GL379"/>
      <c r="GM379"/>
      <c r="GN379" s="208"/>
      <c r="GO379" s="208"/>
      <c r="GP379" s="208"/>
      <c r="GQ379" s="208"/>
      <c r="GR379" s="208"/>
      <c r="GS379" s="208"/>
      <c r="GT379" s="208"/>
      <c r="GU379" s="213">
        <v>374</v>
      </c>
    </row>
    <row r="380" spans="1:203" s="7" customFormat="1">
      <c r="A380" s="77" t="s">
        <v>62</v>
      </c>
      <c r="B380" s="71">
        <f t="shared" si="369"/>
        <v>39910</v>
      </c>
      <c r="C380" s="18">
        <f t="shared" si="359"/>
        <v>0</v>
      </c>
      <c r="D380" s="18">
        <f t="shared" si="360"/>
        <v>0</v>
      </c>
      <c r="E380" s="19">
        <f t="shared" si="361"/>
        <v>9.9999999999999995E-7</v>
      </c>
      <c r="F380" s="19">
        <f t="shared" si="367"/>
        <v>0</v>
      </c>
      <c r="G380" s="18">
        <f>AVERAGE(E298:E307)*G$372</f>
        <v>0</v>
      </c>
      <c r="H380" s="18">
        <f t="shared" ref="H380:AK380" si="371">AVERAGE(F298:F307)*H$372</f>
        <v>0</v>
      </c>
      <c r="I380" s="18">
        <f t="shared" si="371"/>
        <v>0</v>
      </c>
      <c r="J380" s="18">
        <f t="shared" si="371"/>
        <v>0</v>
      </c>
      <c r="K380" s="18">
        <f t="shared" si="371"/>
        <v>0</v>
      </c>
      <c r="L380" s="18">
        <f t="shared" si="371"/>
        <v>0</v>
      </c>
      <c r="M380" s="18">
        <f t="shared" si="371"/>
        <v>0</v>
      </c>
      <c r="N380" s="18">
        <f t="shared" si="371"/>
        <v>0</v>
      </c>
      <c r="O380" s="18">
        <f t="shared" si="371"/>
        <v>0</v>
      </c>
      <c r="P380" s="18">
        <f t="shared" si="371"/>
        <v>0</v>
      </c>
      <c r="Q380" s="18">
        <f t="shared" si="371"/>
        <v>0</v>
      </c>
      <c r="R380" s="18">
        <f t="shared" si="371"/>
        <v>0</v>
      </c>
      <c r="S380" s="18">
        <f t="shared" si="371"/>
        <v>0</v>
      </c>
      <c r="T380" s="18">
        <f t="shared" si="371"/>
        <v>0</v>
      </c>
      <c r="U380" s="18">
        <f t="shared" si="371"/>
        <v>0</v>
      </c>
      <c r="V380" s="18">
        <f t="shared" si="371"/>
        <v>0</v>
      </c>
      <c r="W380" s="18">
        <f t="shared" si="371"/>
        <v>0</v>
      </c>
      <c r="X380" s="18">
        <f t="shared" si="371"/>
        <v>0</v>
      </c>
      <c r="Y380" s="18">
        <f t="shared" si="371"/>
        <v>0</v>
      </c>
      <c r="Z380" s="18">
        <f t="shared" si="371"/>
        <v>0</v>
      </c>
      <c r="AA380" s="18">
        <f t="shared" si="371"/>
        <v>0</v>
      </c>
      <c r="AB380" s="18">
        <f t="shared" si="371"/>
        <v>0</v>
      </c>
      <c r="AC380" s="18">
        <f t="shared" si="371"/>
        <v>0</v>
      </c>
      <c r="AD380" s="18">
        <f t="shared" si="371"/>
        <v>0</v>
      </c>
      <c r="AE380" s="18">
        <f t="shared" si="371"/>
        <v>0</v>
      </c>
      <c r="AF380" s="18">
        <f t="shared" si="371"/>
        <v>0</v>
      </c>
      <c r="AG380" s="18">
        <f t="shared" si="371"/>
        <v>0</v>
      </c>
      <c r="AH380" s="18">
        <f t="shared" si="371"/>
        <v>0</v>
      </c>
      <c r="AI380" s="18">
        <f t="shared" si="371"/>
        <v>0</v>
      </c>
      <c r="AJ380" s="18">
        <f t="shared" si="371"/>
        <v>0</v>
      </c>
      <c r="AK380" s="18">
        <f t="shared" si="371"/>
        <v>0</v>
      </c>
      <c r="AL380" s="78"/>
      <c r="AM380" s="43">
        <v>364</v>
      </c>
      <c r="AN380">
        <v>26.991156951286268</v>
      </c>
      <c r="AO380">
        <v>7.6325189961445092</v>
      </c>
      <c r="AP380">
        <v>211.21260865900348</v>
      </c>
      <c r="AQ380">
        <v>49.787889246998034</v>
      </c>
      <c r="AR380">
        <v>6.9929249037180385</v>
      </c>
      <c r="AS380">
        <v>82.18016918290067</v>
      </c>
      <c r="AT380" t="e">
        <v>#DIV/0!</v>
      </c>
      <c r="AU380" t="e">
        <v>#DIV/0!</v>
      </c>
      <c r="AV380"/>
      <c r="AW380"/>
      <c r="FY380" s="213">
        <v>375</v>
      </c>
      <c r="FZ380">
        <v>0</v>
      </c>
      <c r="GA380">
        <v>19.454246705015425</v>
      </c>
      <c r="GB380">
        <v>9.5818406968573733</v>
      </c>
      <c r="GC380">
        <v>1.0020405114277708</v>
      </c>
      <c r="GD380">
        <v>2.0898300370060601</v>
      </c>
      <c r="GE380">
        <v>3.2563968420727676</v>
      </c>
      <c r="GF380">
        <v>0.95469624988012047</v>
      </c>
      <c r="GG380">
        <v>0.10673875663404474</v>
      </c>
      <c r="GH380">
        <v>0.14058242252415507</v>
      </c>
      <c r="GI380">
        <v>3.8629765120059516</v>
      </c>
      <c r="GJ380"/>
      <c r="GK380"/>
      <c r="GL380"/>
      <c r="GM380"/>
      <c r="GN380" s="208"/>
      <c r="GO380" s="208"/>
      <c r="GP380" s="208"/>
      <c r="GQ380" s="208"/>
      <c r="GR380" s="208"/>
      <c r="GS380" s="208"/>
      <c r="GT380" s="208"/>
      <c r="GU380" s="213">
        <v>375</v>
      </c>
    </row>
    <row r="381" spans="1:203" s="7" customFormat="1">
      <c r="A381" s="1"/>
      <c r="B381" s="71">
        <f t="shared" si="369"/>
        <v>39949</v>
      </c>
      <c r="C381" s="18">
        <f t="shared" si="359"/>
        <v>15.098180076628349</v>
      </c>
      <c r="D381" s="18">
        <f t="shared" si="360"/>
        <v>7.9618394932971919</v>
      </c>
      <c r="E381" s="19">
        <f t="shared" si="361"/>
        <v>0.52733769586057222</v>
      </c>
      <c r="F381" s="19">
        <f t="shared" si="367"/>
        <v>0.33783580542089914</v>
      </c>
      <c r="G381" s="18">
        <f>AVERAGE(E308:E317)*G$372</f>
        <v>0</v>
      </c>
      <c r="H381" s="18">
        <f t="shared" ref="H381:AK381" si="372">AVERAGE(F308:F317)*H$372</f>
        <v>0</v>
      </c>
      <c r="I381" s="18">
        <f t="shared" si="372"/>
        <v>0.51472218243347878</v>
      </c>
      <c r="J381" s="18">
        <f t="shared" si="372"/>
        <v>1.2928262928118495</v>
      </c>
      <c r="K381" s="18">
        <f t="shared" si="372"/>
        <v>0</v>
      </c>
      <c r="L381" s="18">
        <f t="shared" si="372"/>
        <v>0</v>
      </c>
      <c r="M381" s="18">
        <f t="shared" si="372"/>
        <v>0</v>
      </c>
      <c r="N381" s="18">
        <f t="shared" si="372"/>
        <v>0</v>
      </c>
      <c r="O381" s="18">
        <f t="shared" si="372"/>
        <v>6.1542910180518637</v>
      </c>
      <c r="P381" s="18">
        <f t="shared" si="372"/>
        <v>0</v>
      </c>
      <c r="Q381" s="18">
        <f t="shared" si="372"/>
        <v>0</v>
      </c>
      <c r="R381" s="18">
        <f t="shared" si="372"/>
        <v>0</v>
      </c>
      <c r="S381" s="18">
        <f t="shared" si="372"/>
        <v>0</v>
      </c>
      <c r="T381" s="18">
        <f t="shared" si="372"/>
        <v>0</v>
      </c>
      <c r="U381" s="18">
        <f t="shared" si="372"/>
        <v>0</v>
      </c>
      <c r="V381" s="18">
        <f t="shared" si="372"/>
        <v>0</v>
      </c>
      <c r="W381" s="18">
        <f t="shared" si="372"/>
        <v>0</v>
      </c>
      <c r="X381" s="18">
        <f t="shared" si="372"/>
        <v>0</v>
      </c>
      <c r="Y381" s="18">
        <f t="shared" si="372"/>
        <v>0</v>
      </c>
      <c r="Z381" s="18">
        <f t="shared" si="372"/>
        <v>0</v>
      </c>
      <c r="AA381" s="18">
        <f t="shared" si="372"/>
        <v>0</v>
      </c>
      <c r="AB381" s="18">
        <f t="shared" si="372"/>
        <v>0</v>
      </c>
      <c r="AC381" s="18">
        <f t="shared" si="372"/>
        <v>0</v>
      </c>
      <c r="AD381" s="18">
        <f t="shared" si="372"/>
        <v>0</v>
      </c>
      <c r="AE381" s="18">
        <f t="shared" si="372"/>
        <v>0</v>
      </c>
      <c r="AF381" s="18">
        <f t="shared" si="372"/>
        <v>0</v>
      </c>
      <c r="AG381" s="18">
        <f t="shared" si="372"/>
        <v>0</v>
      </c>
      <c r="AH381" s="18">
        <f t="shared" si="372"/>
        <v>0</v>
      </c>
      <c r="AI381" s="18">
        <f t="shared" si="372"/>
        <v>0</v>
      </c>
      <c r="AJ381" s="18">
        <f t="shared" si="372"/>
        <v>0</v>
      </c>
      <c r="AK381" s="18">
        <f t="shared" si="372"/>
        <v>0</v>
      </c>
      <c r="AL381" s="78"/>
      <c r="AM381" s="43">
        <v>365</v>
      </c>
      <c r="AN381">
        <v>27.151154082668931</v>
      </c>
      <c r="AO381">
        <v>4.6217696958363117</v>
      </c>
      <c r="AP381">
        <v>163.39623741765959</v>
      </c>
      <c r="AQ381">
        <v>29.022815266462146</v>
      </c>
      <c r="AR381">
        <v>4.2016088143966472</v>
      </c>
      <c r="AS381">
        <v>59.544210008828315</v>
      </c>
      <c r="AT381" t="e">
        <v>#DIV/0!</v>
      </c>
      <c r="AU381" t="e">
        <v>#DIV/0!</v>
      </c>
      <c r="AV381"/>
      <c r="AW381"/>
      <c r="FY381" s="213">
        <v>376</v>
      </c>
      <c r="FZ381">
        <v>5.3759897288402456</v>
      </c>
      <c r="GA381">
        <v>14.382793901377019</v>
      </c>
      <c r="GB381">
        <v>4.4408179405505201</v>
      </c>
      <c r="GC381">
        <v>0.2951909588237156</v>
      </c>
      <c r="GD381">
        <v>0.97836334482902165</v>
      </c>
      <c r="GE381">
        <v>1.8182124263560788</v>
      </c>
      <c r="GF381">
        <v>0.47734812494006024</v>
      </c>
      <c r="GG381">
        <v>4.9003276783417631</v>
      </c>
      <c r="GH381">
        <v>6.6781101422620921</v>
      </c>
      <c r="GI381">
        <v>3.6848560624274174</v>
      </c>
      <c r="GJ381"/>
      <c r="GK381"/>
      <c r="GL381"/>
      <c r="GM381"/>
      <c r="GN381" s="208"/>
      <c r="GO381" s="208"/>
      <c r="GP381" s="208"/>
      <c r="GQ381" s="208"/>
      <c r="GR381" s="208"/>
      <c r="GS381" s="208"/>
      <c r="GT381" s="208"/>
      <c r="GU381" s="213">
        <v>376</v>
      </c>
    </row>
    <row r="382" spans="1:203" s="7" customFormat="1">
      <c r="A382" s="1"/>
      <c r="B382" s="71">
        <f t="shared" si="369"/>
        <v>39987</v>
      </c>
      <c r="C382" s="18">
        <f t="shared" si="359"/>
        <v>0</v>
      </c>
      <c r="D382" s="18">
        <f t="shared" si="360"/>
        <v>0</v>
      </c>
      <c r="E382" s="19">
        <f t="shared" si="361"/>
        <v>9.9999999999999995E-7</v>
      </c>
      <c r="F382" s="19">
        <f t="shared" si="367"/>
        <v>0</v>
      </c>
      <c r="G382" s="18">
        <f>AVERAGE(E318:E327)*G$372</f>
        <v>0</v>
      </c>
      <c r="H382" s="18">
        <f t="shared" ref="H382:AK382" si="373">AVERAGE(F318:F327)*H$372</f>
        <v>0</v>
      </c>
      <c r="I382" s="18">
        <f t="shared" si="373"/>
        <v>0</v>
      </c>
      <c r="J382" s="18">
        <f t="shared" si="373"/>
        <v>0</v>
      </c>
      <c r="K382" s="18">
        <f t="shared" si="373"/>
        <v>0</v>
      </c>
      <c r="L382" s="18">
        <f t="shared" si="373"/>
        <v>0</v>
      </c>
      <c r="M382" s="18">
        <f t="shared" si="373"/>
        <v>0</v>
      </c>
      <c r="N382" s="18">
        <f t="shared" si="373"/>
        <v>0</v>
      </c>
      <c r="O382" s="18">
        <f t="shared" si="373"/>
        <v>0</v>
      </c>
      <c r="P382" s="18">
        <f t="shared" si="373"/>
        <v>0</v>
      </c>
      <c r="Q382" s="18">
        <f t="shared" si="373"/>
        <v>0</v>
      </c>
      <c r="R382" s="18">
        <f t="shared" si="373"/>
        <v>0</v>
      </c>
      <c r="S382" s="18">
        <f t="shared" si="373"/>
        <v>0</v>
      </c>
      <c r="T382" s="18">
        <f t="shared" si="373"/>
        <v>0</v>
      </c>
      <c r="U382" s="18">
        <f t="shared" si="373"/>
        <v>0</v>
      </c>
      <c r="V382" s="18">
        <f t="shared" si="373"/>
        <v>0</v>
      </c>
      <c r="W382" s="18">
        <f t="shared" si="373"/>
        <v>0</v>
      </c>
      <c r="X382" s="18">
        <f t="shared" si="373"/>
        <v>0</v>
      </c>
      <c r="Y382" s="18">
        <f t="shared" si="373"/>
        <v>0</v>
      </c>
      <c r="Z382" s="18">
        <f t="shared" si="373"/>
        <v>0</v>
      </c>
      <c r="AA382" s="18">
        <f t="shared" si="373"/>
        <v>0</v>
      </c>
      <c r="AB382" s="18">
        <f t="shared" si="373"/>
        <v>0</v>
      </c>
      <c r="AC382" s="18">
        <f t="shared" si="373"/>
        <v>0</v>
      </c>
      <c r="AD382" s="18">
        <f t="shared" si="373"/>
        <v>0</v>
      </c>
      <c r="AE382" s="18">
        <f t="shared" si="373"/>
        <v>0</v>
      </c>
      <c r="AF382" s="18">
        <f t="shared" si="373"/>
        <v>0</v>
      </c>
      <c r="AG382" s="18">
        <f t="shared" si="373"/>
        <v>0</v>
      </c>
      <c r="AH382" s="18">
        <f t="shared" si="373"/>
        <v>0</v>
      </c>
      <c r="AI382" s="18">
        <f t="shared" si="373"/>
        <v>0</v>
      </c>
      <c r="AJ382" s="18">
        <f t="shared" si="373"/>
        <v>0</v>
      </c>
      <c r="AK382" s="18">
        <f t="shared" si="373"/>
        <v>0</v>
      </c>
      <c r="AL382" s="78"/>
      <c r="AM382" s="43">
        <v>366</v>
      </c>
      <c r="AN382">
        <v>43.69437643843024</v>
      </c>
      <c r="AO382">
        <v>10.085869719058659</v>
      </c>
      <c r="AP382">
        <v>244.44844461552381</v>
      </c>
      <c r="AQ382">
        <v>70.84119737547735</v>
      </c>
      <c r="AR382">
        <v>9.1689724718715055</v>
      </c>
      <c r="AS382">
        <v>129.99957350173807</v>
      </c>
      <c r="AT382" t="e">
        <v>#DIV/0!</v>
      </c>
      <c r="AU382" t="e">
        <v>#DIV/0!</v>
      </c>
      <c r="AV382"/>
      <c r="AW382"/>
      <c r="FY382" s="213">
        <v>377</v>
      </c>
      <c r="FZ382">
        <v>2.1834373233262436</v>
      </c>
      <c r="GA382">
        <v>15.856116180747598</v>
      </c>
      <c r="GB382">
        <v>7.0810484005778118</v>
      </c>
      <c r="GC382">
        <v>0.61725169575072358</v>
      </c>
      <c r="GD382">
        <v>0.66732167810968213</v>
      </c>
      <c r="GE382">
        <v>0.68236449163595569</v>
      </c>
      <c r="GF382">
        <v>0.47734812494006024</v>
      </c>
      <c r="GG382">
        <v>1.9422120028551084</v>
      </c>
      <c r="GH382">
        <v>2.565018114784734</v>
      </c>
      <c r="GI382">
        <v>2.9610263323963282</v>
      </c>
      <c r="GJ382"/>
      <c r="GK382"/>
      <c r="GL382"/>
      <c r="GM382"/>
      <c r="GN382" s="208"/>
      <c r="GO382" s="208"/>
      <c r="GP382" s="208"/>
      <c r="GQ382" s="208"/>
      <c r="GR382" s="208"/>
      <c r="GS382" s="208"/>
      <c r="GT382" s="208"/>
      <c r="GU382" s="213">
        <v>377</v>
      </c>
    </row>
    <row r="383" spans="1:203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35.54110262890643</v>
      </c>
      <c r="AO383">
        <v>8.6688970611336238</v>
      </c>
      <c r="AP383">
        <v>250.62015398133428</v>
      </c>
      <c r="AQ383">
        <v>56.831159910516135</v>
      </c>
      <c r="AR383">
        <v>7.9893580518402612</v>
      </c>
      <c r="AS383">
        <v>94.899142449862254</v>
      </c>
      <c r="AT383" t="e">
        <v>#DIV/0!</v>
      </c>
      <c r="AU383" t="e">
        <v>#DIV/0!</v>
      </c>
      <c r="AV383"/>
      <c r="AW383"/>
      <c r="FY383" s="213">
        <v>378</v>
      </c>
      <c r="FZ383">
        <v>1.596276202757001</v>
      </c>
      <c r="GA383">
        <v>19.715349424087968</v>
      </c>
      <c r="GB383">
        <v>8.8576273979313562</v>
      </c>
      <c r="GC383">
        <v>0.71301217664764449</v>
      </c>
      <c r="GD383">
        <v>1.0486644992700735</v>
      </c>
      <c r="GE383">
        <v>1.0136049516973293</v>
      </c>
      <c r="GF383">
        <v>0</v>
      </c>
      <c r="GG383">
        <v>2.3967944608538589</v>
      </c>
      <c r="GH383">
        <v>3.2687638598689679</v>
      </c>
      <c r="GI383">
        <v>3.607459425979842</v>
      </c>
      <c r="GJ383"/>
      <c r="GK383"/>
      <c r="GL383"/>
      <c r="GM383"/>
      <c r="GN383" s="208"/>
      <c r="GO383" s="208"/>
      <c r="GP383" s="208"/>
      <c r="GQ383" s="208"/>
      <c r="GR383" s="208"/>
      <c r="GS383" s="208"/>
      <c r="GT383" s="208"/>
      <c r="GU383" s="213">
        <v>378</v>
      </c>
    </row>
    <row r="384" spans="1:203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19.747776821572</v>
      </c>
      <c r="AO384">
        <v>4.9028730465909209</v>
      </c>
      <c r="AP384">
        <v>256.81629032361207</v>
      </c>
      <c r="AQ384">
        <v>31.378656391287127</v>
      </c>
      <c r="AR384">
        <v>4.4571573150826547</v>
      </c>
      <c r="AS384">
        <v>51.266283057096075</v>
      </c>
      <c r="AT384" t="e">
        <v>#DIV/0!</v>
      </c>
      <c r="AU384" t="e">
        <v>#DIV/0!</v>
      </c>
      <c r="AV384"/>
      <c r="AW384"/>
      <c r="FY384" s="213">
        <v>379</v>
      </c>
      <c r="FZ384">
        <v>0</v>
      </c>
      <c r="GA384">
        <v>12.997952434034335</v>
      </c>
      <c r="GB384">
        <v>6.3547766268587633</v>
      </c>
      <c r="GC384">
        <v>0.53976406905949814</v>
      </c>
      <c r="GD384">
        <v>2.8421495135609933</v>
      </c>
      <c r="GE384">
        <v>5.211866627079095</v>
      </c>
      <c r="GF384">
        <v>0.47734812494006024</v>
      </c>
      <c r="GG384">
        <v>4.1834345599867726</v>
      </c>
      <c r="GH384">
        <v>5.8457447469767168</v>
      </c>
      <c r="GI384">
        <v>4.3792039459246324</v>
      </c>
      <c r="GJ384"/>
      <c r="GK384"/>
      <c r="GL384"/>
      <c r="GM384"/>
      <c r="GN384" s="208"/>
      <c r="GO384" s="208"/>
      <c r="GP384" s="208"/>
      <c r="GQ384" s="208"/>
      <c r="GR384" s="208"/>
      <c r="GS384" s="208"/>
      <c r="GT384" s="208"/>
      <c r="GU384" s="213">
        <v>379</v>
      </c>
    </row>
    <row r="385" spans="1:203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34.577466475095783</v>
      </c>
      <c r="AO385">
        <v>8.6743860333190543</v>
      </c>
      <c r="AP385">
        <v>195.96027360574593</v>
      </c>
      <c r="AQ385">
        <v>54.630882725117857</v>
      </c>
      <c r="AR385">
        <v>7.9943480265542899</v>
      </c>
      <c r="AS385">
        <v>89.848424339259878</v>
      </c>
      <c r="AT385" t="e">
        <v>#DIV/0!</v>
      </c>
      <c r="AU385" t="e">
        <v>#DIV/0!</v>
      </c>
      <c r="AV385"/>
      <c r="AW385"/>
      <c r="FY385" s="213">
        <v>380</v>
      </c>
      <c r="FZ385">
        <v>4.3668746466524873</v>
      </c>
      <c r="GA385">
        <v>23.106734059911116</v>
      </c>
      <c r="GB385">
        <v>9.5854979147848542</v>
      </c>
      <c r="GC385">
        <v>1.3302638723983682</v>
      </c>
      <c r="GD385">
        <v>2.0253319409306449</v>
      </c>
      <c r="GE385">
        <v>2.3264913709258672</v>
      </c>
      <c r="GF385">
        <v>0.47734812494006024</v>
      </c>
      <c r="GG385">
        <v>1.8917088020808825</v>
      </c>
      <c r="GH385">
        <v>2.6012010516395971</v>
      </c>
      <c r="GI385">
        <v>4.8177869180001744</v>
      </c>
      <c r="GJ385"/>
      <c r="GK385"/>
      <c r="GL385"/>
      <c r="GM385"/>
      <c r="GN385" s="208"/>
      <c r="GO385" s="208"/>
      <c r="GP385" s="208"/>
      <c r="GQ385" s="208"/>
      <c r="GR385" s="208"/>
      <c r="GS385" s="208"/>
      <c r="GT385" s="208"/>
      <c r="GU385" s="213">
        <v>380</v>
      </c>
    </row>
    <row r="386" spans="1:203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32.11393377285826</v>
      </c>
      <c r="AO386">
        <v>5.452275337526836</v>
      </c>
      <c r="AP386">
        <v>98.344448621315195</v>
      </c>
      <c r="AQ386">
        <v>37.263315710370733</v>
      </c>
      <c r="AR386">
        <v>4.9566139432062144</v>
      </c>
      <c r="AS386">
        <v>73.086511754461114</v>
      </c>
      <c r="AT386" t="e">
        <v>#DIV/0!</v>
      </c>
      <c r="AU386" t="e">
        <v>#DIV/0!</v>
      </c>
      <c r="AV386"/>
      <c r="AW386"/>
      <c r="FY386" s="213">
        <v>381</v>
      </c>
      <c r="FZ386">
        <v>0.58716112056924263</v>
      </c>
      <c r="GA386">
        <v>17.301108771956891</v>
      </c>
      <c r="GB386">
        <v>8.5821320459560173</v>
      </c>
      <c r="GC386">
        <v>2.0998415037524634</v>
      </c>
      <c r="GD386">
        <v>3.2335003626524044</v>
      </c>
      <c r="GE386">
        <v>3.5743382405631321</v>
      </c>
      <c r="GF386">
        <v>0.47734812494006024</v>
      </c>
      <c r="GG386">
        <v>2.1849870012718453</v>
      </c>
      <c r="GH386">
        <v>3.1039612728129642</v>
      </c>
      <c r="GI386">
        <v>4.7826991529731178</v>
      </c>
      <c r="GJ386"/>
      <c r="GK386"/>
      <c r="GL386"/>
      <c r="GM386"/>
      <c r="GN386" s="208"/>
      <c r="GO386" s="208"/>
      <c r="GP386" s="208"/>
      <c r="GQ386" s="208"/>
      <c r="GR386" s="208"/>
      <c r="GS386" s="208"/>
      <c r="GT386" s="208"/>
      <c r="GU386" s="213">
        <v>381</v>
      </c>
    </row>
    <row r="387" spans="1:203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29.953219487143979</v>
      </c>
      <c r="AO387">
        <v>7.3972108127809806</v>
      </c>
      <c r="AP387">
        <v>160.76948937645804</v>
      </c>
      <c r="AQ387">
        <v>51.77251466498474</v>
      </c>
      <c r="AR387">
        <v>6.7247371025281648</v>
      </c>
      <c r="AS387">
        <v>70.943074728272236</v>
      </c>
      <c r="AT387" t="e">
        <v>#DIV/0!</v>
      </c>
      <c r="AU387" t="e">
        <v>#DIV/0!</v>
      </c>
      <c r="AV387"/>
      <c r="AW387"/>
      <c r="FY387" s="213">
        <v>382</v>
      </c>
      <c r="FZ387">
        <v>3.192552405514002</v>
      </c>
      <c r="GA387">
        <v>23.565222708854265</v>
      </c>
      <c r="GB387">
        <v>9.7192203858120703</v>
      </c>
      <c r="GC387">
        <v>2.6457681968555504</v>
      </c>
      <c r="GD387">
        <v>2.6021931518373487</v>
      </c>
      <c r="GE387">
        <v>1.4418299710483911</v>
      </c>
      <c r="GF387">
        <v>0.47734812494006024</v>
      </c>
      <c r="GG387">
        <v>7.7517045971943723</v>
      </c>
      <c r="GH387">
        <v>10.650619747215293</v>
      </c>
      <c r="GI387">
        <v>6.2728143854409755</v>
      </c>
      <c r="GJ387"/>
      <c r="GK387"/>
      <c r="GL387"/>
      <c r="GM387"/>
      <c r="GN387" s="208"/>
      <c r="GO387" s="208"/>
      <c r="GP387" s="208"/>
      <c r="GQ387" s="208"/>
      <c r="GR387" s="208"/>
      <c r="GS387" s="208"/>
      <c r="GT387" s="208"/>
      <c r="GU387" s="213">
        <v>382</v>
      </c>
    </row>
    <row r="388" spans="1:203" s="7" customFormat="1">
      <c r="A388" s="1"/>
      <c r="B388" s="13"/>
      <c r="C388" s="21"/>
      <c r="D388" s="96"/>
      <c r="E388" s="3"/>
      <c r="F388" s="19">
        <f t="shared" ref="F388:F398" si="374">IF(C374&lt;1,0,LN(E374/E373)/E21)</f>
        <v>1.1833748052870831E-2</v>
      </c>
      <c r="G388" s="13"/>
      <c r="H388" s="19">
        <f>IF(G406&lt;0,0,G406)</f>
        <v>1.3431983443847426E-2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33.849052820477318</v>
      </c>
      <c r="AO388">
        <v>6.8683270950126909</v>
      </c>
      <c r="AP388">
        <v>232.00238101811522</v>
      </c>
      <c r="AQ388">
        <v>44.517473031129924</v>
      </c>
      <c r="AR388">
        <v>6.2439337227388112</v>
      </c>
      <c r="AS388">
        <v>125.0466957292107</v>
      </c>
      <c r="AT388" t="e">
        <v>#DIV/0!</v>
      </c>
      <c r="AU388" t="e">
        <v>#DIV/0!</v>
      </c>
      <c r="AV388"/>
      <c r="AW388"/>
      <c r="FY388" s="213">
        <v>383</v>
      </c>
      <c r="FZ388">
        <v>5.3759897288402456</v>
      </c>
      <c r="GA388">
        <v>20.70998703374854</v>
      </c>
      <c r="GB388">
        <v>7.4669937144766205</v>
      </c>
      <c r="GC388">
        <v>0.66786954433865642</v>
      </c>
      <c r="GD388">
        <v>1.573122109929818</v>
      </c>
      <c r="GE388">
        <v>2.7348188359319705</v>
      </c>
      <c r="GF388">
        <v>0.95469624988012047</v>
      </c>
      <c r="GG388">
        <v>5.6498583892175525</v>
      </c>
      <c r="GH388">
        <v>8.0009783665119993</v>
      </c>
      <c r="GI388">
        <v>5.1616698622361881</v>
      </c>
      <c r="GJ388"/>
      <c r="GK388"/>
      <c r="GL388"/>
      <c r="GM388"/>
      <c r="GN388" s="208"/>
      <c r="GO388" s="208"/>
      <c r="GP388" s="208"/>
      <c r="GQ388" s="208"/>
      <c r="GR388" s="208"/>
      <c r="GS388" s="208"/>
      <c r="GT388" s="208"/>
      <c r="GU388" s="213">
        <v>383</v>
      </c>
    </row>
    <row r="389" spans="1:203" s="7" customFormat="1">
      <c r="A389" s="1"/>
      <c r="B389" s="13"/>
      <c r="C389" s="21"/>
      <c r="D389" s="96"/>
      <c r="E389" s="3"/>
      <c r="F389" s="19">
        <f t="shared" si="374"/>
        <v>-7.3686227246010467E-3</v>
      </c>
      <c r="G389" s="13"/>
      <c r="H389" s="19">
        <f t="shared" ref="H389:H398" si="375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21.369047619047617</v>
      </c>
      <c r="AO389">
        <v>7.2574763331580385</v>
      </c>
      <c r="AP389">
        <v>278.36596222780969</v>
      </c>
      <c r="AQ389">
        <v>41.403099347200779</v>
      </c>
      <c r="AR389">
        <v>6.6519770282757902</v>
      </c>
      <c r="AS389">
        <v>65.799011621338963</v>
      </c>
      <c r="AT389" t="e">
        <v>#DIV/0!</v>
      </c>
      <c r="AU389" t="e">
        <v>#DIV/0!</v>
      </c>
      <c r="AV389"/>
      <c r="AW389"/>
      <c r="FY389" s="213">
        <v>384</v>
      </c>
      <c r="FZ389">
        <v>0.58716112056924263</v>
      </c>
      <c r="GA389">
        <v>10.39528596150307</v>
      </c>
      <c r="GB389">
        <v>5.1716097012655613</v>
      </c>
      <c r="GC389">
        <v>1.4704795778396331</v>
      </c>
      <c r="GD389">
        <v>2.1233070547398927</v>
      </c>
      <c r="GE389">
        <v>2.3065938165809086</v>
      </c>
      <c r="GF389">
        <v>0.47734812494006024</v>
      </c>
      <c r="GG389">
        <v>2.5035332174879037</v>
      </c>
      <c r="GH389">
        <v>3.4093462823931233</v>
      </c>
      <c r="GI389">
        <v>3.3163377581339963</v>
      </c>
      <c r="GJ389"/>
      <c r="GK389"/>
      <c r="GL389"/>
      <c r="GM389"/>
      <c r="GN389" s="208"/>
      <c r="GO389" s="208"/>
      <c r="GP389" s="208"/>
      <c r="GQ389" s="208"/>
      <c r="GR389" s="208"/>
      <c r="GS389" s="208"/>
      <c r="GT389" s="208"/>
      <c r="GU389" s="213">
        <v>384</v>
      </c>
    </row>
    <row r="390" spans="1:203" s="7" customFormat="1">
      <c r="A390" s="1"/>
      <c r="B390" s="13"/>
      <c r="C390" s="21"/>
      <c r="D390" s="96"/>
      <c r="E390" s="3"/>
      <c r="F390" s="19">
        <f t="shared" si="374"/>
        <v>0</v>
      </c>
      <c r="G390" s="13"/>
      <c r="H390" s="19" t="e">
        <f t="shared" si="375"/>
        <v>#DIV/0!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33.552272307621294</v>
      </c>
      <c r="AO390">
        <v>8.7105650912854191</v>
      </c>
      <c r="AP390">
        <v>210.51438278050156</v>
      </c>
      <c r="AQ390">
        <v>59.429922928315193</v>
      </c>
      <c r="AR390">
        <v>7.918695537532197</v>
      </c>
      <c r="AS390">
        <v>90.606185885192232</v>
      </c>
      <c r="AT390" t="e">
        <v>#DIV/0!</v>
      </c>
      <c r="AU390" t="e">
        <v>#DIV/0!</v>
      </c>
      <c r="AV390"/>
      <c r="AW390"/>
      <c r="FY390" s="213">
        <v>385</v>
      </c>
      <c r="FZ390">
        <v>1.596276202757001</v>
      </c>
      <c r="GA390">
        <v>11.835185352387338</v>
      </c>
      <c r="GB390">
        <v>4.8610708148368058</v>
      </c>
      <c r="GC390">
        <v>1.4509895737069332</v>
      </c>
      <c r="GD390">
        <v>1.8423244391827289</v>
      </c>
      <c r="GE390">
        <v>1.4710574908729277</v>
      </c>
      <c r="GF390">
        <v>0</v>
      </c>
      <c r="GG390">
        <v>5.9431365884085166</v>
      </c>
      <c r="GH390">
        <v>8.5037385876853691</v>
      </c>
      <c r="GI390">
        <v>3.9463358547552563</v>
      </c>
      <c r="GJ390"/>
      <c r="GK390"/>
      <c r="GL390"/>
      <c r="GM390"/>
      <c r="GN390" s="208"/>
      <c r="GO390" s="208"/>
      <c r="GP390" s="208"/>
      <c r="GQ390" s="208"/>
      <c r="GR390" s="208"/>
      <c r="GS390" s="208"/>
      <c r="GT390" s="208"/>
      <c r="GU390" s="213">
        <v>385</v>
      </c>
    </row>
    <row r="391" spans="1:203" s="7" customFormat="1">
      <c r="A391" s="1"/>
      <c r="B391" s="13"/>
      <c r="C391" s="21"/>
      <c r="D391" s="96"/>
      <c r="E391" s="3"/>
      <c r="F391" s="19">
        <f t="shared" si="374"/>
        <v>0.40048713202745284</v>
      </c>
      <c r="G391" s="13"/>
      <c r="H391" s="19">
        <f t="shared" si="375"/>
        <v>6.3071420487654517E-3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31.386169678714857</v>
      </c>
      <c r="AO391">
        <v>5.9834540574990083</v>
      </c>
      <c r="AP391">
        <v>283.97212465356023</v>
      </c>
      <c r="AQ391">
        <v>40.449348733423669</v>
      </c>
      <c r="AR391">
        <v>5.4395036886354617</v>
      </c>
      <c r="AS391">
        <v>78.138478498936422</v>
      </c>
      <c r="AT391" t="e">
        <v>#DIV/0!</v>
      </c>
      <c r="AU391" t="e">
        <v>#DIV/0!</v>
      </c>
      <c r="AV391"/>
      <c r="AW391"/>
      <c r="FY391" s="213">
        <v>386</v>
      </c>
      <c r="FZ391">
        <v>2.1834373233262436</v>
      </c>
      <c r="GA391">
        <v>12.433599134317888</v>
      </c>
      <c r="GB391">
        <v>5.3476901426011603</v>
      </c>
      <c r="GC391">
        <v>1.5736198327071467</v>
      </c>
      <c r="GD391">
        <v>3.762297735421861</v>
      </c>
      <c r="GE391">
        <v>5.4660060993639892</v>
      </c>
      <c r="GF391">
        <v>0.47734812494006024</v>
      </c>
      <c r="GG391">
        <v>1.7866400991329137</v>
      </c>
      <c r="GH391">
        <v>2.5769808871077484</v>
      </c>
      <c r="GI391">
        <v>4.3904942361288457</v>
      </c>
      <c r="GJ391"/>
      <c r="GK391"/>
      <c r="GL391"/>
      <c r="GM391"/>
      <c r="GN391" s="208"/>
      <c r="GO391" s="208"/>
      <c r="GP391" s="208"/>
      <c r="GQ391" s="208"/>
      <c r="GR391" s="208"/>
      <c r="GS391" s="208"/>
      <c r="GT391" s="208"/>
      <c r="GU391" s="213">
        <v>386</v>
      </c>
    </row>
    <row r="392" spans="1:203" s="7" customFormat="1">
      <c r="A392" s="1"/>
      <c r="B392" s="13"/>
      <c r="C392" s="21"/>
      <c r="D392" s="96"/>
      <c r="E392" s="3"/>
      <c r="F392" s="19">
        <f t="shared" si="374"/>
        <v>9.3553814687390061E-2</v>
      </c>
      <c r="G392" s="13"/>
      <c r="H392" s="19">
        <f t="shared" si="375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17.805983581287382</v>
      </c>
      <c r="AO392">
        <v>5.656883403639716</v>
      </c>
      <c r="AP392">
        <v>124.91363528682813</v>
      </c>
      <c r="AQ392">
        <v>43.032010308747935</v>
      </c>
      <c r="AR392">
        <v>5.1968925468954987</v>
      </c>
      <c r="AS392">
        <v>62.357445730283068</v>
      </c>
      <c r="AT392" t="e">
        <v>#DIV/0!</v>
      </c>
      <c r="AU392" t="e">
        <v>#DIV/0!</v>
      </c>
      <c r="AV392"/>
      <c r="AW392"/>
      <c r="FY392" s="213">
        <v>387</v>
      </c>
      <c r="FZ392">
        <v>1.596276202757001</v>
      </c>
      <c r="GA392">
        <v>16.894048882034081</v>
      </c>
      <c r="GB392">
        <v>7.4772293941931292</v>
      </c>
      <c r="GC392">
        <v>0.86060765605950218</v>
      </c>
      <c r="GD392">
        <v>2.1794569375862043</v>
      </c>
      <c r="GE392">
        <v>3.667353703761389</v>
      </c>
      <c r="GF392">
        <v>0.95469624988012047</v>
      </c>
      <c r="GG392">
        <v>7.7281066338553543</v>
      </c>
      <c r="GH392">
        <v>10.96435721680081</v>
      </c>
      <c r="GI392">
        <v>5.4911851023364076</v>
      </c>
      <c r="GJ392"/>
      <c r="GK392"/>
      <c r="GL392"/>
      <c r="GM392"/>
      <c r="GN392" s="208"/>
      <c r="GO392" s="208"/>
      <c r="GP392" s="208"/>
      <c r="GQ392" s="208"/>
      <c r="GR392" s="208"/>
      <c r="GS392" s="208"/>
      <c r="GT392" s="208"/>
      <c r="GU392" s="213">
        <v>387</v>
      </c>
    </row>
    <row r="393" spans="1:203" s="7" customFormat="1">
      <c r="A393" s="1"/>
      <c r="B393" s="13"/>
      <c r="C393" s="21"/>
      <c r="D393" s="96"/>
      <c r="E393" s="3"/>
      <c r="F393" s="19">
        <f t="shared" si="374"/>
        <v>1.4010658571293334E-2</v>
      </c>
      <c r="G393" s="13"/>
      <c r="H393" s="19">
        <f t="shared" si="375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21.774819104002216</v>
      </c>
      <c r="AO393">
        <v>4.4114188859947436</v>
      </c>
      <c r="AP393">
        <v>57.975203938326622</v>
      </c>
      <c r="AQ393">
        <v>35.033144345124249</v>
      </c>
      <c r="AR393">
        <v>4.0646520763091605</v>
      </c>
      <c r="AS393">
        <v>60.346718887635816</v>
      </c>
      <c r="AT393" t="e">
        <v>#DIV/0!</v>
      </c>
      <c r="AU393" t="e">
        <v>#DIV/0!</v>
      </c>
      <c r="AV393"/>
      <c r="AW393"/>
      <c r="FY393" s="213">
        <v>388</v>
      </c>
      <c r="FZ393">
        <v>3.7797135260832437</v>
      </c>
      <c r="GA393">
        <v>23.312555786871659</v>
      </c>
      <c r="GB393">
        <v>9.6424914576149234</v>
      </c>
      <c r="GC393">
        <v>1.4778593518102259</v>
      </c>
      <c r="GD393">
        <v>2.1959210093493855</v>
      </c>
      <c r="GE393">
        <v>2.1494528864174529</v>
      </c>
      <c r="GF393">
        <v>0</v>
      </c>
      <c r="GG393">
        <v>5.1431026767584997</v>
      </c>
      <c r="GH393">
        <v>7.2170533002903205</v>
      </c>
      <c r="GI393">
        <v>5.5176396643737782</v>
      </c>
      <c r="GJ393"/>
      <c r="GK393"/>
      <c r="GL393"/>
      <c r="GM393"/>
      <c r="GN393" s="208"/>
      <c r="GO393" s="208"/>
      <c r="GP393" s="208"/>
      <c r="GQ393" s="208"/>
      <c r="GR393" s="208"/>
      <c r="GS393" s="208"/>
      <c r="GT393" s="208"/>
      <c r="GU393" s="213">
        <v>388</v>
      </c>
    </row>
    <row r="394" spans="1:203" s="7" customFormat="1">
      <c r="A394" s="1"/>
      <c r="B394" s="13"/>
      <c r="C394" s="21"/>
      <c r="D394" s="96"/>
      <c r="E394" s="3"/>
      <c r="F394" s="19">
        <f t="shared" si="374"/>
        <v>0</v>
      </c>
      <c r="G394" s="13"/>
      <c r="H394" s="19" t="e">
        <f t="shared" si="375"/>
        <v>#DIV/0!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20.681633141762454</v>
      </c>
      <c r="AO394">
        <v>5.5919647055785466</v>
      </c>
      <c r="AP394">
        <v>96.051532398070663</v>
      </c>
      <c r="AQ394">
        <v>42.217552399094046</v>
      </c>
      <c r="AR394">
        <v>5.0836042777986794</v>
      </c>
      <c r="AS394">
        <v>63.440774477719835</v>
      </c>
      <c r="AT394" t="e">
        <v>#DIV/0!</v>
      </c>
      <c r="AU394" t="e">
        <v>#DIV/0!</v>
      </c>
      <c r="AV394"/>
      <c r="AW394"/>
      <c r="FY394" s="213">
        <v>389</v>
      </c>
      <c r="FZ394">
        <v>2.7705984438954863</v>
      </c>
      <c r="GA394">
        <v>12.715824643880184</v>
      </c>
      <c r="GB394">
        <v>5.3550679759574109</v>
      </c>
      <c r="GC394">
        <v>3.8602518420619378</v>
      </c>
      <c r="GD394">
        <v>3.7529664724915293</v>
      </c>
      <c r="GE394">
        <v>2.467703842835796</v>
      </c>
      <c r="GF394">
        <v>1.432044374820181</v>
      </c>
      <c r="GG394">
        <v>6.2926503434592975</v>
      </c>
      <c r="GH394">
        <v>9.183264168237752</v>
      </c>
      <c r="GI394">
        <v>5.7427441574370084</v>
      </c>
      <c r="GJ394"/>
      <c r="GK394"/>
      <c r="GL394"/>
      <c r="GM394"/>
      <c r="GN394" s="208"/>
      <c r="GO394" s="208"/>
      <c r="GP394" s="208"/>
      <c r="GQ394" s="208"/>
      <c r="GR394" s="208"/>
      <c r="GS394" s="208"/>
      <c r="GT394" s="208"/>
      <c r="GU394" s="213">
        <v>389</v>
      </c>
    </row>
    <row r="395" spans="1:203" s="7" customFormat="1">
      <c r="A395" s="1"/>
      <c r="B395" s="13"/>
      <c r="C395" s="21"/>
      <c r="D395" s="96"/>
      <c r="E395" s="3"/>
      <c r="F395" s="19">
        <f t="shared" si="374"/>
        <v>0.33783580542089914</v>
      </c>
      <c r="G395" s="13"/>
      <c r="H395" s="19">
        <f t="shared" si="375"/>
        <v>1.5368683240810671E-2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29.485222499192169</v>
      </c>
      <c r="AO395">
        <v>6.9205191939491</v>
      </c>
      <c r="AP395">
        <v>301.96747039192644</v>
      </c>
      <c r="AQ395">
        <v>42.832240648420864</v>
      </c>
      <c r="AR395">
        <v>6.2913810854082719</v>
      </c>
      <c r="AS395">
        <v>89.847877084086008</v>
      </c>
      <c r="AT395" t="e">
        <v>#DIV/0!</v>
      </c>
      <c r="AU395" t="e">
        <v>#DIV/0!</v>
      </c>
      <c r="AV395"/>
      <c r="AW395"/>
      <c r="FY395" s="213">
        <v>390</v>
      </c>
      <c r="FZ395">
        <v>0.58716112056924263</v>
      </c>
      <c r="GA395">
        <v>14.776529204172231</v>
      </c>
      <c r="GB395">
        <v>7.4844237358572787</v>
      </c>
      <c r="GC395">
        <v>2.9678289337825579</v>
      </c>
      <c r="GD395">
        <v>3.7419395586102464</v>
      </c>
      <c r="GE395">
        <v>2.9597447712240781</v>
      </c>
      <c r="GF395">
        <v>0</v>
      </c>
      <c r="GG395">
        <v>4.0766958033527283</v>
      </c>
      <c r="GH395">
        <v>5.7051623244525604</v>
      </c>
      <c r="GI395">
        <v>5.073999199562012</v>
      </c>
      <c r="GJ395"/>
      <c r="GK395"/>
      <c r="GL395"/>
      <c r="GM395"/>
      <c r="GN395" s="208"/>
      <c r="GO395" s="208"/>
      <c r="GP395" s="208"/>
      <c r="GQ395" s="208"/>
      <c r="GR395" s="208"/>
      <c r="GS395" s="208"/>
      <c r="GT395" s="208"/>
      <c r="GU395" s="213">
        <v>390</v>
      </c>
    </row>
    <row r="396" spans="1:203" s="7" customFormat="1">
      <c r="A396" s="1"/>
      <c r="B396" s="13"/>
      <c r="C396" s="21"/>
      <c r="D396" s="96"/>
      <c r="E396" s="3"/>
      <c r="F396" s="19">
        <f t="shared" si="374"/>
        <v>0</v>
      </c>
      <c r="G396" s="13"/>
      <c r="H396" s="19" t="e">
        <f t="shared" si="375"/>
        <v>#DIV/0!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28.7820030120482</v>
      </c>
      <c r="AO396">
        <v>7.3752089552088247</v>
      </c>
      <c r="AP396">
        <v>105.31469084563011</v>
      </c>
      <c r="AQ396">
        <v>52.529238702264045</v>
      </c>
      <c r="AR396">
        <v>6.8132779555449927</v>
      </c>
      <c r="AS396">
        <v>81.177985374240833</v>
      </c>
      <c r="AT396" t="e">
        <v>#DIV/0!</v>
      </c>
      <c r="AU396" t="e">
        <v>#DIV/0!</v>
      </c>
      <c r="AV396"/>
      <c r="AW396"/>
      <c r="FY396" s="213">
        <v>391</v>
      </c>
      <c r="FZ396">
        <v>2.7705984438954863</v>
      </c>
      <c r="GA396">
        <v>15.762414210993644</v>
      </c>
      <c r="GB396">
        <v>6.9890113232943243</v>
      </c>
      <c r="GC396">
        <v>2.6013129723112058</v>
      </c>
      <c r="GD396">
        <v>4.8033633303065555</v>
      </c>
      <c r="GE396">
        <v>5.9779305992654779</v>
      </c>
      <c r="GF396">
        <v>0.47734812494006024</v>
      </c>
      <c r="GG396">
        <v>5.8616658487995661</v>
      </c>
      <c r="GH396">
        <v>8.165780953568003</v>
      </c>
      <c r="GI396">
        <v>6.4529886692673459</v>
      </c>
      <c r="GJ396"/>
      <c r="GK396"/>
      <c r="GL396"/>
      <c r="GM396"/>
      <c r="GN396" s="208"/>
      <c r="GO396" s="208"/>
      <c r="GP396" s="208"/>
      <c r="GQ396" s="208"/>
      <c r="GR396" s="208"/>
      <c r="GS396" s="208"/>
      <c r="GT396" s="208"/>
      <c r="GU396" s="213">
        <v>391</v>
      </c>
    </row>
    <row r="397" spans="1:203" s="7" customFormat="1">
      <c r="A397" s="1"/>
      <c r="B397" s="13"/>
      <c r="C397" s="21"/>
      <c r="D397" s="96"/>
      <c r="E397" s="3"/>
      <c r="F397" s="19">
        <f t="shared" si="374"/>
        <v>0</v>
      </c>
      <c r="G397" s="13"/>
      <c r="H397" s="19">
        <f t="shared" si="375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38.744133141762447</v>
      </c>
      <c r="AO397">
        <v>7.3875936293458135</v>
      </c>
      <c r="AP397">
        <v>349.55882021681896</v>
      </c>
      <c r="AQ397">
        <v>45.927077597448132</v>
      </c>
      <c r="AR397">
        <v>6.7702654793555874</v>
      </c>
      <c r="AS397">
        <v>88.898819754311702</v>
      </c>
      <c r="AT397" t="e">
        <v>#DIV/0!</v>
      </c>
      <c r="AU397" t="e">
        <v>#DIV/0!</v>
      </c>
      <c r="AV397"/>
      <c r="AW397"/>
      <c r="FY397" s="213">
        <v>392</v>
      </c>
      <c r="FZ397">
        <v>1.596276202757001</v>
      </c>
      <c r="GA397">
        <v>14.756842819732128</v>
      </c>
      <c r="GB397">
        <v>6.3898201613121808</v>
      </c>
      <c r="GC397">
        <v>1.4704795778396331</v>
      </c>
      <c r="GD397">
        <v>3.3081154858783814</v>
      </c>
      <c r="GE397">
        <v>4.7101861752832557</v>
      </c>
      <c r="GF397">
        <v>0.47734812494006024</v>
      </c>
      <c r="GG397">
        <v>6.180212065015624</v>
      </c>
      <c r="GH397">
        <v>8.4711659631481631</v>
      </c>
      <c r="GI397">
        <v>5.336893921837671</v>
      </c>
      <c r="GJ397"/>
      <c r="GK397"/>
      <c r="GL397"/>
      <c r="GM397"/>
      <c r="GN397" s="208"/>
      <c r="GO397" s="208"/>
      <c r="GP397" s="208"/>
      <c r="GQ397" s="208"/>
      <c r="GR397" s="208"/>
      <c r="GS397" s="208"/>
      <c r="GT397" s="208"/>
      <c r="GU397" s="213">
        <v>392</v>
      </c>
    </row>
    <row r="398" spans="1:203" s="7" customFormat="1">
      <c r="A398" s="1"/>
      <c r="B398" s="13"/>
      <c r="C398" s="21"/>
      <c r="D398" s="96"/>
      <c r="E398" s="3"/>
      <c r="F398" s="19">
        <f t="shared" si="374"/>
        <v>0</v>
      </c>
      <c r="G398" s="13"/>
      <c r="H398" s="19">
        <f t="shared" si="375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42.206930760810067</v>
      </c>
      <c r="AO398">
        <v>9.8342819757534716</v>
      </c>
      <c r="AP398">
        <v>313.37807523587787</v>
      </c>
      <c r="AQ398">
        <v>68.319273674712321</v>
      </c>
      <c r="AR398">
        <v>8.9402563415940612</v>
      </c>
      <c r="AS398">
        <v>110.19538955924965</v>
      </c>
      <c r="AT398" t="e">
        <v>#DIV/0!</v>
      </c>
      <c r="AU398" t="e">
        <v>#DIV/0!</v>
      </c>
      <c r="AV398"/>
      <c r="AW398"/>
      <c r="FY398" s="213">
        <v>393</v>
      </c>
      <c r="FZ398">
        <v>1.7614833617077283</v>
      </c>
      <c r="GA398">
        <v>15.897023075085604</v>
      </c>
      <c r="GB398">
        <v>7.914912289860073</v>
      </c>
      <c r="GC398">
        <v>2.1834917544872772</v>
      </c>
      <c r="GD398">
        <v>4.2649711176749143</v>
      </c>
      <c r="GE398">
        <v>5.5337771216608909</v>
      </c>
      <c r="GF398">
        <v>0.47734812494006024</v>
      </c>
      <c r="GG398">
        <v>5.1447727304445756</v>
      </c>
      <c r="GH398">
        <v>7.3334155582826277</v>
      </c>
      <c r="GI398">
        <v>6.0686670655047052</v>
      </c>
      <c r="GJ398"/>
      <c r="GK398"/>
      <c r="GL398"/>
      <c r="GM398"/>
      <c r="GN398" s="208"/>
      <c r="GO398" s="208"/>
      <c r="GP398" s="208"/>
      <c r="GQ398" s="208"/>
      <c r="GR398" s="208"/>
      <c r="GS398" s="208"/>
      <c r="GT398" s="208"/>
      <c r="GU398" s="213">
        <v>393</v>
      </c>
    </row>
    <row r="399" spans="1:203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23.576731391905877</v>
      </c>
      <c r="AO399">
        <v>8.1667839554950312</v>
      </c>
      <c r="AP399">
        <v>180.57095602424576</v>
      </c>
      <c r="AQ399">
        <v>58.29598383511172</v>
      </c>
      <c r="AR399">
        <v>7.4786203213094238</v>
      </c>
      <c r="AS399">
        <v>69.772592342857578</v>
      </c>
      <c r="AT399" t="e">
        <v>#DIV/0!</v>
      </c>
      <c r="AU399" t="e">
        <v>#DIV/0!</v>
      </c>
      <c r="AV399"/>
      <c r="AW399"/>
      <c r="FY399" s="213">
        <v>394</v>
      </c>
      <c r="FZ399">
        <v>0</v>
      </c>
      <c r="GA399">
        <v>14.721029125719152</v>
      </c>
      <c r="GB399">
        <v>7.3675788038368832</v>
      </c>
      <c r="GC399">
        <v>0.59776169161802395</v>
      </c>
      <c r="GD399">
        <v>2.1788644526139627</v>
      </c>
      <c r="GE399">
        <v>3.4813227773648752</v>
      </c>
      <c r="GF399">
        <v>0</v>
      </c>
      <c r="GG399">
        <v>6.6111965596753564</v>
      </c>
      <c r="GH399">
        <v>9.4886491778179121</v>
      </c>
      <c r="GI399">
        <v>4.6651325272198392</v>
      </c>
      <c r="GJ399"/>
      <c r="GK399"/>
      <c r="GL399"/>
      <c r="GM399"/>
      <c r="GN399" s="208"/>
      <c r="GO399" s="208"/>
      <c r="GP399" s="208"/>
      <c r="GQ399" s="208"/>
      <c r="GR399" s="208"/>
      <c r="GS399" s="208"/>
      <c r="GT399" s="208"/>
      <c r="GU399" s="213">
        <v>394</v>
      </c>
    </row>
    <row r="400" spans="1:203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24.624350439524928</v>
      </c>
      <c r="AO400">
        <v>5.0757228211823762</v>
      </c>
      <c r="AP400">
        <v>238.40807597333867</v>
      </c>
      <c r="AQ400">
        <v>31.761002615453389</v>
      </c>
      <c r="AR400">
        <v>4.6685647446615519</v>
      </c>
      <c r="AS400">
        <v>62.282127551207438</v>
      </c>
      <c r="AT400" t="e">
        <v>#DIV/0!</v>
      </c>
      <c r="AU400" t="e">
        <v>#DIV/0!</v>
      </c>
      <c r="AV400"/>
      <c r="AW400"/>
      <c r="FY400" s="213">
        <v>395</v>
      </c>
      <c r="FZ400">
        <v>0</v>
      </c>
      <c r="GA400">
        <v>14.852932986773988</v>
      </c>
      <c r="GB400">
        <v>7.4348080263834611</v>
      </c>
      <c r="GC400">
        <v>0.66786954433865642</v>
      </c>
      <c r="GD400">
        <v>2.7343602350992864</v>
      </c>
      <c r="GE400">
        <v>5.0905377266823741</v>
      </c>
      <c r="GF400">
        <v>0.95469624988012047</v>
      </c>
      <c r="GG400">
        <v>0.71856317204106601</v>
      </c>
      <c r="GH400">
        <v>0.94872765327768138</v>
      </c>
      <c r="GI400">
        <v>3.898802588232861</v>
      </c>
      <c r="GJ400"/>
      <c r="GK400"/>
      <c r="GL400"/>
      <c r="GM400"/>
      <c r="GN400" s="208"/>
      <c r="GO400" s="208"/>
      <c r="GP400" s="208"/>
      <c r="GQ400" s="208"/>
      <c r="GR400" s="208"/>
      <c r="GS400" s="208"/>
      <c r="GT400" s="208"/>
      <c r="GU400" s="213">
        <v>395</v>
      </c>
    </row>
    <row r="401" spans="1:203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28.546301997810623</v>
      </c>
      <c r="AO401">
        <v>6.3698356776182612</v>
      </c>
      <c r="AP401">
        <v>218.63069794160606</v>
      </c>
      <c r="AQ401">
        <v>41.450114904592873</v>
      </c>
      <c r="AR401">
        <v>5.7907597069256926</v>
      </c>
      <c r="AS401">
        <v>73.240645019584434</v>
      </c>
      <c r="AT401" t="e">
        <v>#DIV/0!</v>
      </c>
      <c r="AU401" t="e">
        <v>#DIV/0!</v>
      </c>
      <c r="AV401"/>
      <c r="AW401"/>
      <c r="FY401" s="213">
        <v>396</v>
      </c>
      <c r="FZ401">
        <v>3.192552405514002</v>
      </c>
      <c r="GA401">
        <v>23.126518163759364</v>
      </c>
      <c r="GB401">
        <v>9.6877706717848504</v>
      </c>
      <c r="GC401">
        <v>0.86798743003009515</v>
      </c>
      <c r="GD401">
        <v>2.2857645795523731</v>
      </c>
      <c r="GE401">
        <v>3.5743382405631321</v>
      </c>
      <c r="GF401">
        <v>0.47734812494006024</v>
      </c>
      <c r="GG401">
        <v>3.8648883437707147</v>
      </c>
      <c r="GH401">
        <v>5.5403597373965576</v>
      </c>
      <c r="GI401">
        <v>5.2907886668873649</v>
      </c>
      <c r="GJ401"/>
      <c r="GK401"/>
      <c r="GL401"/>
      <c r="GM401"/>
      <c r="GN401" s="208"/>
      <c r="GO401" s="208"/>
      <c r="GP401" s="208"/>
      <c r="GQ401" s="208"/>
      <c r="GR401" s="208"/>
      <c r="GS401" s="208"/>
      <c r="GT401" s="208"/>
      <c r="GU401" s="213">
        <v>396</v>
      </c>
    </row>
    <row r="402" spans="1:203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37.800613166953525</v>
      </c>
      <c r="AO402">
        <v>6.6928349045747266</v>
      </c>
      <c r="AP402">
        <v>132.95797090079597</v>
      </c>
      <c r="AQ402">
        <v>39.998113615047856</v>
      </c>
      <c r="AR402">
        <v>6.1386666386546</v>
      </c>
      <c r="AS402">
        <v>94.059780233904945</v>
      </c>
      <c r="AT402" t="e">
        <v>#DIV/0!</v>
      </c>
      <c r="AU402" t="e">
        <v>#DIV/0!</v>
      </c>
      <c r="AV402"/>
      <c r="AW402"/>
      <c r="FY402" s="213">
        <v>397</v>
      </c>
      <c r="FZ402">
        <v>1.1743222411384853</v>
      </c>
      <c r="GA402">
        <v>8.7853785376712388</v>
      </c>
      <c r="GB402">
        <v>4.447396402339546</v>
      </c>
      <c r="GC402">
        <v>1.965788422354787</v>
      </c>
      <c r="GD402">
        <v>2.2294264675933149</v>
      </c>
      <c r="GE402">
        <v>2.0431243788164366</v>
      </c>
      <c r="GF402">
        <v>0.95469624988012047</v>
      </c>
      <c r="GG402">
        <v>3.5699400908936756</v>
      </c>
      <c r="GH402">
        <v>4.9212372582308834</v>
      </c>
      <c r="GI402">
        <v>3.6036043228763179</v>
      </c>
      <c r="GJ402"/>
      <c r="GK402"/>
      <c r="GL402"/>
      <c r="GM402"/>
      <c r="GN402" s="208"/>
      <c r="GO402" s="208"/>
      <c r="GP402" s="208"/>
      <c r="GQ402" s="208"/>
      <c r="GR402" s="208"/>
      <c r="GS402" s="208"/>
      <c r="GT402" s="208"/>
      <c r="GU402" s="213">
        <v>397</v>
      </c>
    </row>
    <row r="403" spans="1:203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23.19362342638205</v>
      </c>
      <c r="AO403">
        <v>8.829629085395748</v>
      </c>
      <c r="AP403">
        <v>266.19540983079753</v>
      </c>
      <c r="AQ403">
        <v>57.813317979264006</v>
      </c>
      <c r="AR403">
        <v>8.0269355321779532</v>
      </c>
      <c r="AS403">
        <v>73.980229775855378</v>
      </c>
      <c r="AT403" t="e">
        <v>#DIV/0!</v>
      </c>
      <c r="AU403" t="e">
        <v>#DIV/0!</v>
      </c>
      <c r="AV403"/>
      <c r="AW403"/>
      <c r="FY403" s="213">
        <v>398</v>
      </c>
      <c r="FZ403">
        <v>1.596276202757001</v>
      </c>
      <c r="GA403">
        <v>20.525190377869603</v>
      </c>
      <c r="GB403">
        <v>9.133922121473919</v>
      </c>
      <c r="GC403">
        <v>0.76484717516258138</v>
      </c>
      <c r="GD403">
        <v>2.7321429116774665</v>
      </c>
      <c r="GE403">
        <v>4.3497321782290959</v>
      </c>
      <c r="GF403">
        <v>0</v>
      </c>
      <c r="GG403">
        <v>0</v>
      </c>
      <c r="GH403">
        <v>0</v>
      </c>
      <c r="GI403">
        <v>4.2735697003215662</v>
      </c>
      <c r="GJ403"/>
      <c r="GK403"/>
      <c r="GL403"/>
      <c r="GM403"/>
      <c r="GN403" s="208"/>
      <c r="GO403" s="208"/>
      <c r="GP403" s="208"/>
      <c r="GQ403" s="208"/>
      <c r="GR403" s="208"/>
      <c r="GS403" s="208"/>
      <c r="GT403" s="208"/>
      <c r="GU403" s="213">
        <v>398</v>
      </c>
    </row>
    <row r="404" spans="1:203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30.028273809523814</v>
      </c>
      <c r="AO404">
        <v>8.6649282754914978</v>
      </c>
      <c r="AP404">
        <v>187.02218540615002</v>
      </c>
      <c r="AQ404">
        <v>60.43578965956948</v>
      </c>
      <c r="AR404">
        <v>7.9314787940334828</v>
      </c>
      <c r="AS404">
        <v>83.857266674471632</v>
      </c>
      <c r="AT404" t="e">
        <v>#DIV/0!</v>
      </c>
      <c r="AU404" t="e">
        <v>#DIV/0!</v>
      </c>
      <c r="AV404"/>
      <c r="AW404"/>
      <c r="FY404" s="213">
        <v>399</v>
      </c>
      <c r="FZ404">
        <v>1.596276202757001</v>
      </c>
      <c r="GA404">
        <v>15.148385364055738</v>
      </c>
      <c r="GB404">
        <v>6.4958135337409448</v>
      </c>
      <c r="GC404">
        <v>2.1834917544872772</v>
      </c>
      <c r="GD404">
        <v>3.1818694616240264</v>
      </c>
      <c r="GE404">
        <v>3.047413347865938</v>
      </c>
      <c r="GF404">
        <v>0</v>
      </c>
      <c r="GG404">
        <v>1.6799013424988689</v>
      </c>
      <c r="GH404">
        <v>2.436398464583593</v>
      </c>
      <c r="GI404">
        <v>4.1940077834805694</v>
      </c>
      <c r="GJ404"/>
      <c r="GK404"/>
      <c r="GL404"/>
      <c r="GM404"/>
      <c r="GN404" s="208"/>
      <c r="GO404" s="208"/>
      <c r="GP404" s="208"/>
      <c r="GQ404" s="208"/>
      <c r="GR404" s="208"/>
      <c r="GS404" s="208"/>
      <c r="GT404" s="208"/>
      <c r="GU404" s="213">
        <v>399</v>
      </c>
    </row>
    <row r="405" spans="1:203" s="7" customFormat="1">
      <c r="A405" s="189">
        <v>13.69</v>
      </c>
      <c r="B405" s="71">
        <f t="shared" ref="B405:B414" si="376">+C4</f>
        <v>39646</v>
      </c>
      <c r="C405" s="61">
        <v>0</v>
      </c>
      <c r="D405" s="61">
        <f t="shared" ref="D405:D414" si="377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3.666666666666667</v>
      </c>
      <c r="E405" s="108">
        <f t="shared" ref="E405:E414" si="378">IF(D405=0,0.00000001,(1-$A$43/100)*($A$39*(D405^($A$41))))</f>
        <v>0.3687993746144681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45.96279761904762</v>
      </c>
      <c r="AO405">
        <v>9.0514100730108016</v>
      </c>
      <c r="AP405">
        <v>326.97363030409133</v>
      </c>
      <c r="AQ405">
        <v>53.573116265076585</v>
      </c>
      <c r="AR405">
        <v>8.3370971535467859</v>
      </c>
      <c r="AS405">
        <v>120.52473301194406</v>
      </c>
      <c r="AT405" t="e">
        <v>#DIV/0!</v>
      </c>
      <c r="AU405" t="e">
        <v>#DIV/0!</v>
      </c>
      <c r="AV405"/>
      <c r="AW405"/>
      <c r="FY405" s="213">
        <v>400</v>
      </c>
      <c r="FZ405">
        <v>2.1834373233262436</v>
      </c>
      <c r="GA405">
        <v>13.496107010082131</v>
      </c>
      <c r="GB405">
        <v>5.700713794340869</v>
      </c>
      <c r="GC405">
        <v>0.76484717516258138</v>
      </c>
      <c r="GD405">
        <v>1.5907006017361187</v>
      </c>
      <c r="GE405">
        <v>2.3264913709258672</v>
      </c>
      <c r="GF405">
        <v>0.47734812494006024</v>
      </c>
      <c r="GG405">
        <v>5.9667345517475345</v>
      </c>
      <c r="GH405">
        <v>8.1900011180998522</v>
      </c>
      <c r="GI405">
        <v>4.1751736085160021</v>
      </c>
      <c r="GJ405"/>
      <c r="GK405"/>
      <c r="GL405"/>
      <c r="GM405"/>
      <c r="GN405" s="208"/>
      <c r="GO405" s="208"/>
      <c r="GP405" s="208"/>
      <c r="GQ405" s="208"/>
      <c r="GR405" s="208"/>
      <c r="GS405" s="208"/>
      <c r="GT405" s="208"/>
      <c r="GU405" s="213">
        <v>400</v>
      </c>
    </row>
    <row r="406" spans="1:203" s="7" customFormat="1">
      <c r="A406" s="189">
        <v>9.4499999999999993</v>
      </c>
      <c r="B406" s="71">
        <f t="shared" si="376"/>
        <v>39673</v>
      </c>
      <c r="C406" s="61">
        <f>B406-B405</f>
        <v>27</v>
      </c>
      <c r="D406" s="61">
        <f t="shared" si="377"/>
        <v>4</v>
      </c>
      <c r="E406" s="108">
        <f t="shared" si="378"/>
        <v>0.46512776829954805</v>
      </c>
      <c r="F406" s="19">
        <f t="shared" ref="F406:F414" si="379">IF(C374&lt;1,0,LN(E406/E405)/E21)</f>
        <v>8.5947904604200872E-3</v>
      </c>
      <c r="G406" s="19">
        <f t="shared" ref="G406:G414" si="380">IF(D406=0, 0, 0.051-(0.068*LN(D406))+(0.006*A406))</f>
        <v>1.3431983443847426E-2</v>
      </c>
      <c r="H406" s="19">
        <f t="shared" ref="H406:H414" si="381">+IF((G406&gt;0),G406,0)</f>
        <v>1.3431983443847426E-2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45.609469487143976</v>
      </c>
      <c r="AO406">
        <v>7.7500157217185786</v>
      </c>
      <c r="AP406">
        <v>367.95089414919244</v>
      </c>
      <c r="AQ406">
        <v>47.373484651582935</v>
      </c>
      <c r="AR406">
        <v>7.0997401087853751</v>
      </c>
      <c r="AS406">
        <v>103.23117304205195</v>
      </c>
      <c r="AT406" t="e">
        <v>#DIV/0!</v>
      </c>
      <c r="AU406" t="e">
        <v>#DIV/0!</v>
      </c>
      <c r="AV406"/>
      <c r="AW406"/>
      <c r="FY406" s="213">
        <v>401</v>
      </c>
      <c r="FZ406">
        <v>0</v>
      </c>
      <c r="GA406">
        <v>12.020808450342258</v>
      </c>
      <c r="GB406">
        <v>5.9024014619806016</v>
      </c>
      <c r="GC406">
        <v>0</v>
      </c>
      <c r="GD406">
        <v>1.4345114064605609</v>
      </c>
      <c r="GE406">
        <v>3.1979557852554445</v>
      </c>
      <c r="GF406">
        <v>0.47734812494006024</v>
      </c>
      <c r="GG406">
        <v>4.0766958033527283</v>
      </c>
      <c r="GH406">
        <v>5.7051623244525622</v>
      </c>
      <c r="GI406">
        <v>3.3658817651700659</v>
      </c>
      <c r="GJ406"/>
      <c r="GK406"/>
      <c r="GL406"/>
      <c r="GM406"/>
      <c r="GN406" s="208"/>
      <c r="GO406" s="208"/>
      <c r="GP406" s="208"/>
      <c r="GQ406" s="208"/>
      <c r="GR406" s="208"/>
      <c r="GS406" s="208"/>
      <c r="GT406" s="208"/>
      <c r="GU406" s="213">
        <v>401</v>
      </c>
    </row>
    <row r="407" spans="1:203" s="7" customFormat="1">
      <c r="A407" s="189">
        <v>4.03</v>
      </c>
      <c r="B407" s="71">
        <f t="shared" si="376"/>
        <v>39714</v>
      </c>
      <c r="C407" s="61">
        <f>B407-$B$405</f>
        <v>68</v>
      </c>
      <c r="D407" s="61">
        <f t="shared" si="377"/>
        <v>3.6097560975609757</v>
      </c>
      <c r="E407" s="108">
        <f t="shared" si="378"/>
        <v>0.35372985824151915</v>
      </c>
      <c r="F407" s="19">
        <f t="shared" si="379"/>
        <v>-6.6775275336156664E-3</v>
      </c>
      <c r="G407" s="19">
        <f t="shared" si="380"/>
        <v>-1.2107534080066897E-2</v>
      </c>
      <c r="H407" s="19">
        <f t="shared" si="381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49.349052820477304</v>
      </c>
      <c r="AO407">
        <v>9.8987732371179966</v>
      </c>
      <c r="AP407">
        <v>265.13964288723918</v>
      </c>
      <c r="AQ407">
        <v>59.862414476641668</v>
      </c>
      <c r="AR407">
        <v>9.1074273027351484</v>
      </c>
      <c r="AS407">
        <v>125.55238976911549</v>
      </c>
      <c r="AT407" t="e">
        <v>#DIV/0!</v>
      </c>
      <c r="AU407" t="e">
        <v>#DIV/0!</v>
      </c>
      <c r="AV407"/>
      <c r="AW407"/>
      <c r="FY407" s="213">
        <v>402</v>
      </c>
      <c r="FZ407">
        <v>3.7797135260832437</v>
      </c>
      <c r="GA407">
        <v>18.532798238592719</v>
      </c>
      <c r="GB407">
        <v>7.2616488289094034</v>
      </c>
      <c r="GC407">
        <v>2.0432760490460127</v>
      </c>
      <c r="GD407">
        <v>2.6977142494836688</v>
      </c>
      <c r="GE407">
        <v>2.5740323504368119</v>
      </c>
      <c r="GF407">
        <v>0.47734812494006024</v>
      </c>
      <c r="GG407">
        <v>1.7849700454468378</v>
      </c>
      <c r="GH407">
        <v>2.4606186291154417</v>
      </c>
      <c r="GI407">
        <v>4.4605693863470508</v>
      </c>
      <c r="GJ407"/>
      <c r="GK407"/>
      <c r="GL407"/>
      <c r="GM407"/>
      <c r="GN407" s="208"/>
      <c r="GO407" s="208"/>
      <c r="GP407" s="208"/>
      <c r="GQ407" s="208"/>
      <c r="GR407" s="208"/>
      <c r="GS407" s="208"/>
      <c r="GT407" s="208"/>
      <c r="GU407" s="213">
        <v>402</v>
      </c>
    </row>
    <row r="408" spans="1:203" s="7" customFormat="1">
      <c r="A408" s="189">
        <v>0.78</v>
      </c>
      <c r="B408" s="71">
        <f t="shared" si="376"/>
        <v>39747</v>
      </c>
      <c r="C408" s="61">
        <f t="shared" ref="C408:C414" si="382">B408-$B$405</f>
        <v>101</v>
      </c>
      <c r="D408" s="61" t="e">
        <f t="shared" si="377"/>
        <v>#DIV/0!</v>
      </c>
      <c r="E408" s="108" t="e">
        <f t="shared" si="378"/>
        <v>#DIV/0!</v>
      </c>
      <c r="F408" s="19">
        <f t="shared" si="379"/>
        <v>0</v>
      </c>
      <c r="G408" s="19" t="e">
        <f t="shared" si="380"/>
        <v>#DIV/0!</v>
      </c>
      <c r="H408" s="19" t="e">
        <f t="shared" si="381"/>
        <v>#DIV/0!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34.052186784906453</v>
      </c>
      <c r="AO408">
        <v>8.3436426318991685</v>
      </c>
      <c r="AP408">
        <v>237.72534458720344</v>
      </c>
      <c r="AQ408">
        <v>52.697340497744094</v>
      </c>
      <c r="AR408">
        <v>7.5851296653628797</v>
      </c>
      <c r="AS408">
        <v>92.147168185569129</v>
      </c>
      <c r="AT408" t="e">
        <v>#DIV/0!</v>
      </c>
      <c r="AU408" t="e">
        <v>#DIV/0!</v>
      </c>
      <c r="AV408"/>
      <c r="AW408"/>
      <c r="FY408" s="213">
        <v>403</v>
      </c>
      <c r="FZ408">
        <v>1.596276202757001</v>
      </c>
      <c r="GA408">
        <v>13.632179909977861</v>
      </c>
      <c r="GB408">
        <v>5.8636373120984171</v>
      </c>
      <c r="GC408">
        <v>0.45016621220616626</v>
      </c>
      <c r="GD408">
        <v>1.5646058187648202</v>
      </c>
      <c r="GE408">
        <v>2.7640463557565069</v>
      </c>
      <c r="GF408">
        <v>0.47734812494006024</v>
      </c>
      <c r="GG408">
        <v>5.7549270921655209</v>
      </c>
      <c r="GH408">
        <v>8.0251985310438485</v>
      </c>
      <c r="GI408">
        <v>4.0743204184237003</v>
      </c>
      <c r="GJ408"/>
      <c r="GK408"/>
      <c r="GL408"/>
      <c r="GM408"/>
      <c r="GN408" s="208"/>
      <c r="GO408" s="208"/>
      <c r="GP408" s="208"/>
      <c r="GQ408" s="208"/>
      <c r="GR408" s="208"/>
      <c r="GS408" s="208"/>
      <c r="GT408" s="208"/>
      <c r="GU408" s="213">
        <v>403</v>
      </c>
    </row>
    <row r="409" spans="1:203" s="7" customFormat="1">
      <c r="A409" s="189">
        <v>0.14000000000000001</v>
      </c>
      <c r="B409" s="71">
        <f t="shared" si="376"/>
        <v>39775</v>
      </c>
      <c r="C409" s="61">
        <f t="shared" si="382"/>
        <v>129</v>
      </c>
      <c r="D409" s="61">
        <f t="shared" si="377"/>
        <v>1.9534574468085106</v>
      </c>
      <c r="E409" s="108">
        <f t="shared" si="378"/>
        <v>6.877845557290474E-2</v>
      </c>
      <c r="F409" s="19" t="e">
        <f t="shared" si="379"/>
        <v>#DIV/0!</v>
      </c>
      <c r="G409" s="19">
        <f t="shared" si="380"/>
        <v>6.3071420487654517E-3</v>
      </c>
      <c r="H409" s="19">
        <f t="shared" si="381"/>
        <v>6.3071420487654517E-3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46.703886976477342</v>
      </c>
      <c r="AO409">
        <v>9.3294837662412284</v>
      </c>
      <c r="AP409">
        <v>422.11187914634166</v>
      </c>
      <c r="AQ409">
        <v>56.579862199648453</v>
      </c>
      <c r="AR409">
        <v>8.6441626909792983</v>
      </c>
      <c r="AS409">
        <v>113.79372758886088</v>
      </c>
      <c r="AT409" t="e">
        <v>#DIV/0!</v>
      </c>
      <c r="AU409" t="e">
        <v>#DIV/0!</v>
      </c>
      <c r="AV409"/>
      <c r="AW409"/>
      <c r="FY409" s="213">
        <v>404</v>
      </c>
      <c r="FZ409">
        <v>0.58716112056924263</v>
      </c>
      <c r="GA409">
        <v>13.402307320920027</v>
      </c>
      <c r="GB409">
        <v>6.6010075346024832</v>
      </c>
      <c r="GC409">
        <v>0.77222694913317413</v>
      </c>
      <c r="GD409">
        <v>2.2794018147706736</v>
      </c>
      <c r="GE409">
        <v>4.0025632599141936</v>
      </c>
      <c r="GF409">
        <v>0.95469624988012047</v>
      </c>
      <c r="GG409">
        <v>1.6799013424988689</v>
      </c>
      <c r="GH409">
        <v>2.436398464583593</v>
      </c>
      <c r="GI409">
        <v>3.7404957170268416</v>
      </c>
      <c r="GJ409"/>
      <c r="GK409"/>
      <c r="GL409"/>
      <c r="GM409"/>
      <c r="GN409" s="208"/>
      <c r="GO409" s="208"/>
      <c r="GP409" s="208"/>
      <c r="GQ409" s="208"/>
      <c r="GR409" s="208"/>
      <c r="GS409" s="208"/>
      <c r="GT409" s="208"/>
      <c r="GU409" s="213">
        <v>404</v>
      </c>
    </row>
    <row r="410" spans="1:203" s="7" customFormat="1">
      <c r="A410" s="189">
        <v>0.21</v>
      </c>
      <c r="B410" s="71">
        <f t="shared" si="376"/>
        <v>39799</v>
      </c>
      <c r="C410" s="61">
        <f t="shared" si="382"/>
        <v>153</v>
      </c>
      <c r="D410" s="61">
        <f t="shared" si="377"/>
        <v>3.666666666666667</v>
      </c>
      <c r="E410" s="108">
        <f t="shared" si="378"/>
        <v>0.3687993746144681</v>
      </c>
      <c r="F410" s="19">
        <f t="shared" si="379"/>
        <v>6.9973426908079076E-2</v>
      </c>
      <c r="G410" s="19">
        <f t="shared" si="380"/>
        <v>-3.6091242920857754E-2</v>
      </c>
      <c r="H410" s="19">
        <f t="shared" si="381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28.89807444061962</v>
      </c>
      <c r="AO410">
        <v>7.4397000261848758</v>
      </c>
      <c r="AP410">
        <v>365.77829845309452</v>
      </c>
      <c r="AQ410">
        <v>49.111535115866005</v>
      </c>
      <c r="AR410">
        <v>6.7633636601680713</v>
      </c>
      <c r="AS410">
        <v>91.255909604512595</v>
      </c>
      <c r="AT410" t="e">
        <v>#DIV/0!</v>
      </c>
      <c r="AU410" t="e">
        <v>#DIV/0!</v>
      </c>
      <c r="AV410"/>
      <c r="AW410"/>
      <c r="FY410" s="213">
        <v>405</v>
      </c>
      <c r="FZ410">
        <v>0</v>
      </c>
      <c r="GA410">
        <v>10.546973926406157</v>
      </c>
      <c r="GB410">
        <v>5.3411116808121344</v>
      </c>
      <c r="GC410">
        <v>1.8883007956635618</v>
      </c>
      <c r="GD410">
        <v>2.2369743303780849</v>
      </c>
      <c r="GE410">
        <v>1.882337893321278</v>
      </c>
      <c r="GF410">
        <v>0.47734812494006024</v>
      </c>
      <c r="GG410">
        <v>2.3967944608538589</v>
      </c>
      <c r="GH410">
        <v>3.2687638598689679</v>
      </c>
      <c r="GI410">
        <v>3.2269518103975434</v>
      </c>
      <c r="GJ410"/>
      <c r="GK410"/>
      <c r="GL410"/>
      <c r="GM410"/>
      <c r="GN410" s="208"/>
      <c r="GO410" s="208"/>
      <c r="GP410" s="208"/>
      <c r="GQ410" s="208"/>
      <c r="GR410" s="208"/>
      <c r="GS410" s="208"/>
      <c r="GT410" s="208"/>
      <c r="GU410" s="213">
        <v>405</v>
      </c>
    </row>
    <row r="411" spans="1:203" s="7" customFormat="1">
      <c r="A411" s="189">
        <v>1.28</v>
      </c>
      <c r="B411" s="71">
        <f>+C10</f>
        <v>39847</v>
      </c>
      <c r="C411" s="61">
        <f t="shared" si="382"/>
        <v>201</v>
      </c>
      <c r="D411" s="61">
        <f t="shared" si="377"/>
        <v>6</v>
      </c>
      <c r="E411" s="108">
        <f t="shared" si="378"/>
        <v>1.3715374031368122</v>
      </c>
      <c r="F411" s="19">
        <f t="shared" si="379"/>
        <v>2.7363224703246185E-2</v>
      </c>
      <c r="G411" s="19">
        <f t="shared" si="380"/>
        <v>-6.3159643907507737E-2</v>
      </c>
      <c r="H411" s="19">
        <f t="shared" si="381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28.545481391905884</v>
      </c>
      <c r="AO411">
        <v>6.0119305546540414</v>
      </c>
      <c r="AP411">
        <v>236.0652940269035</v>
      </c>
      <c r="AQ411">
        <v>37.301298182709502</v>
      </c>
      <c r="AR411">
        <v>5.4653914133218562</v>
      </c>
      <c r="AS411">
        <v>71.073229048222004</v>
      </c>
      <c r="AT411" t="e">
        <v>#DIV/0!</v>
      </c>
      <c r="AU411" t="e">
        <v>#DIV/0!</v>
      </c>
      <c r="AV411"/>
      <c r="AW411"/>
      <c r="FY411" s="213">
        <v>406</v>
      </c>
      <c r="FZ411">
        <v>3.7797135260832437</v>
      </c>
      <c r="GA411">
        <v>23.028963960913742</v>
      </c>
      <c r="GB411">
        <v>9.4057602555217734</v>
      </c>
      <c r="GC411">
        <v>2.1133839017666447</v>
      </c>
      <c r="GD411">
        <v>1.6251829829472926</v>
      </c>
      <c r="GE411">
        <v>0.29268297475725885</v>
      </c>
      <c r="GF411">
        <v>0.47734812494006024</v>
      </c>
      <c r="GG411">
        <v>3.1463251717296488</v>
      </c>
      <c r="GH411">
        <v>4.591632084118876</v>
      </c>
      <c r="GI411">
        <v>4.7796461866865947</v>
      </c>
      <c r="GJ411"/>
      <c r="GK411"/>
      <c r="GL411"/>
      <c r="GM411"/>
      <c r="GN411" s="208"/>
      <c r="GO411" s="208"/>
      <c r="GP411" s="208"/>
      <c r="GQ411" s="208"/>
      <c r="GR411" s="208"/>
      <c r="GS411" s="208"/>
      <c r="GT411" s="208"/>
      <c r="GU411" s="213">
        <v>406</v>
      </c>
    </row>
    <row r="412" spans="1:203" s="7" customFormat="1">
      <c r="A412" s="189">
        <v>4</v>
      </c>
      <c r="B412" s="71">
        <f t="shared" si="376"/>
        <v>39910</v>
      </c>
      <c r="C412" s="61">
        <f t="shared" si="382"/>
        <v>264</v>
      </c>
      <c r="D412" s="61" t="e">
        <f t="shared" si="377"/>
        <v>#DIV/0!</v>
      </c>
      <c r="E412" s="108" t="e">
        <f t="shared" si="378"/>
        <v>#DIV/0!</v>
      </c>
      <c r="F412" s="19">
        <f t="shared" si="379"/>
        <v>0</v>
      </c>
      <c r="G412" s="19" t="e">
        <f t="shared" si="380"/>
        <v>#DIV/0!</v>
      </c>
      <c r="H412" s="19" t="e">
        <f t="shared" si="381"/>
        <v>#DIV/0!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29.838636153810647</v>
      </c>
      <c r="AO412">
        <v>8.3200719691107459</v>
      </c>
      <c r="AP412">
        <v>192.31227003143312</v>
      </c>
      <c r="AQ412">
        <v>57.908316364198505</v>
      </c>
      <c r="AR412">
        <v>7.5637017901006773</v>
      </c>
      <c r="AS412">
        <v>91.282202896303815</v>
      </c>
      <c r="AT412" t="e">
        <v>#DIV/0!</v>
      </c>
      <c r="AU412" t="e">
        <v>#DIV/0!</v>
      </c>
      <c r="AV412"/>
      <c r="AW412"/>
      <c r="FY412" s="213">
        <v>407</v>
      </c>
      <c r="FZ412">
        <v>1.596276202757001</v>
      </c>
      <c r="GA412">
        <v>21.760536638780806</v>
      </c>
      <c r="GB412">
        <v>9.9880738784970955</v>
      </c>
      <c r="GC412">
        <v>1.4003717251190004</v>
      </c>
      <c r="GD412">
        <v>3.0952082067534317</v>
      </c>
      <c r="GE412">
        <v>4.0955927059442017</v>
      </c>
      <c r="GF412">
        <v>0</v>
      </c>
      <c r="GG412">
        <v>0.71856317204106601</v>
      </c>
      <c r="GH412">
        <v>0.94872765327768138</v>
      </c>
      <c r="GI412">
        <v>4.7802054892255512</v>
      </c>
      <c r="GJ412"/>
      <c r="GK412"/>
      <c r="GL412"/>
      <c r="GM412"/>
      <c r="GN412" s="208"/>
      <c r="GO412" s="208"/>
      <c r="GP412" s="208"/>
      <c r="GQ412" s="208"/>
      <c r="GR412" s="208"/>
      <c r="GS412" s="208"/>
      <c r="GT412" s="208"/>
      <c r="GU412" s="213">
        <v>407</v>
      </c>
    </row>
    <row r="413" spans="1:203" s="7" customFormat="1">
      <c r="A413" s="190">
        <v>7.33</v>
      </c>
      <c r="B413" s="71">
        <f t="shared" si="376"/>
        <v>39949</v>
      </c>
      <c r="C413" s="61">
        <f t="shared" si="382"/>
        <v>303</v>
      </c>
      <c r="D413" s="61">
        <f t="shared" si="377"/>
        <v>3.224425059476606</v>
      </c>
      <c r="E413" s="108">
        <f t="shared" si="378"/>
        <v>0.26177039138252495</v>
      </c>
      <c r="F413" s="19" t="e">
        <f t="shared" si="379"/>
        <v>#DIV/0!</v>
      </c>
      <c r="G413" s="19">
        <f t="shared" si="380"/>
        <v>1.5368683240810671E-2</v>
      </c>
      <c r="H413" s="19">
        <f t="shared" si="381"/>
        <v>1.5368683240810671E-2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26.156249999999993</v>
      </c>
      <c r="AO413">
        <v>5.4536868548732595</v>
      </c>
      <c r="AP413">
        <v>264.69866756202629</v>
      </c>
      <c r="AQ413">
        <v>33.694914371794802</v>
      </c>
      <c r="AR413">
        <v>5.0664396825126596</v>
      </c>
      <c r="AS413">
        <v>68.355729051180944</v>
      </c>
      <c r="AT413" t="e">
        <v>#DIV/0!</v>
      </c>
      <c r="AU413" t="e">
        <v>#DIV/0!</v>
      </c>
      <c r="AV413"/>
      <c r="AW413"/>
      <c r="FY413" s="213">
        <v>408</v>
      </c>
      <c r="FZ413">
        <v>1.596276202757001</v>
      </c>
      <c r="GA413">
        <v>22.514063139848332</v>
      </c>
      <c r="GB413">
        <v>10.269411718195521</v>
      </c>
      <c r="GC413">
        <v>0.61725169575072358</v>
      </c>
      <c r="GD413">
        <v>1.8186618956650902</v>
      </c>
      <c r="GE413">
        <v>3.0181858280414011</v>
      </c>
      <c r="GF413">
        <v>0.47734812494006024</v>
      </c>
      <c r="GG413">
        <v>2.5035332174879037</v>
      </c>
      <c r="GH413">
        <v>3.4093462823931233</v>
      </c>
      <c r="GI413">
        <v>4.579242041717948</v>
      </c>
      <c r="GJ413"/>
      <c r="GK413"/>
      <c r="GL413"/>
      <c r="GM413"/>
      <c r="GN413" s="208"/>
      <c r="GO413" s="208"/>
      <c r="GP413" s="208"/>
      <c r="GQ413" s="208"/>
      <c r="GR413" s="208"/>
      <c r="GS413" s="208"/>
      <c r="GT413" s="208"/>
      <c r="GU413" s="213">
        <v>408</v>
      </c>
    </row>
    <row r="414" spans="1:203" s="7" customFormat="1">
      <c r="A414" s="189">
        <v>10.51</v>
      </c>
      <c r="B414" s="71">
        <f t="shared" si="376"/>
        <v>39987</v>
      </c>
      <c r="C414" s="61">
        <f t="shared" si="382"/>
        <v>341</v>
      </c>
      <c r="D414" s="61" t="e">
        <f t="shared" si="377"/>
        <v>#DIV/0!</v>
      </c>
      <c r="E414" s="108" t="e">
        <f t="shared" si="378"/>
        <v>#DIV/0!</v>
      </c>
      <c r="F414" s="19">
        <f t="shared" si="379"/>
        <v>0</v>
      </c>
      <c r="G414" s="19" t="e">
        <f t="shared" si="380"/>
        <v>#DIV/0!</v>
      </c>
      <c r="H414" s="19" t="e">
        <f t="shared" si="381"/>
        <v>#DIV/0!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25.257440476190474</v>
      </c>
      <c r="AO414">
        <v>6.7034736337582199</v>
      </c>
      <c r="AP414">
        <v>60.027929304873183</v>
      </c>
      <c r="AQ414">
        <v>43.375680667491231</v>
      </c>
      <c r="AR414">
        <v>6.0940669397802001</v>
      </c>
      <c r="AS414">
        <v>79.889637466966775</v>
      </c>
      <c r="AT414" t="e">
        <v>#DIV/0!</v>
      </c>
      <c r="AU414" t="e">
        <v>#DIV/0!</v>
      </c>
      <c r="AV414"/>
      <c r="AW414"/>
      <c r="FY414" s="213">
        <v>409</v>
      </c>
      <c r="FZ414">
        <v>1.596276202757001</v>
      </c>
      <c r="GA414">
        <v>11.186806847240229</v>
      </c>
      <c r="GB414">
        <v>4.5826542189999264</v>
      </c>
      <c r="GC414">
        <v>1.0795281381189963</v>
      </c>
      <c r="GD414">
        <v>1.6489614639521388</v>
      </c>
      <c r="GE414">
        <v>1.6574259408609204</v>
      </c>
      <c r="GF414">
        <v>0</v>
      </c>
      <c r="GG414">
        <v>5.6751264062426481</v>
      </c>
      <c r="GH414">
        <v>7.8036031549187914</v>
      </c>
      <c r="GI414">
        <v>3.6105722004923737</v>
      </c>
      <c r="GJ414"/>
      <c r="GK414"/>
      <c r="GL414"/>
      <c r="GM414"/>
      <c r="GN414" s="208"/>
      <c r="GO414" s="208"/>
      <c r="GP414" s="208"/>
      <c r="GQ414" s="208"/>
      <c r="GR414" s="208"/>
      <c r="GS414" s="208"/>
      <c r="GT414" s="208"/>
      <c r="GU414" s="213">
        <v>409</v>
      </c>
    </row>
    <row r="415" spans="1:203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35.838550631095799</v>
      </c>
      <c r="AO415">
        <v>6.5850781354302468</v>
      </c>
      <c r="AP415">
        <v>146.66904250033872</v>
      </c>
      <c r="AQ415">
        <v>39.963557255093953</v>
      </c>
      <c r="AR415">
        <v>5.9864346685729535</v>
      </c>
      <c r="AS415">
        <v>85.748635240372508</v>
      </c>
      <c r="AT415" t="e">
        <v>#DIV/0!</v>
      </c>
      <c r="AU415" t="e">
        <v>#DIV/0!</v>
      </c>
      <c r="AV415"/>
      <c r="AW415"/>
      <c r="FY415" s="213">
        <v>410</v>
      </c>
      <c r="FZ415">
        <v>1.596276202757001</v>
      </c>
      <c r="GA415">
        <v>16.312616481506506</v>
      </c>
      <c r="GB415">
        <v>7.2265418969547</v>
      </c>
      <c r="GC415">
        <v>2.7933636762674081</v>
      </c>
      <c r="GD415">
        <v>3.4672314215733264</v>
      </c>
      <c r="GE415">
        <v>2.67103089255825</v>
      </c>
      <c r="GF415">
        <v>0</v>
      </c>
      <c r="GG415">
        <v>4.0766958033527283</v>
      </c>
      <c r="GH415">
        <v>5.7051623244525622</v>
      </c>
      <c r="GI415">
        <v>4.9634263683389523</v>
      </c>
      <c r="GJ415"/>
      <c r="GK415"/>
      <c r="GL415"/>
      <c r="GM415"/>
      <c r="GN415" s="208"/>
      <c r="GO415" s="208"/>
      <c r="GP415" s="208"/>
      <c r="GQ415" s="208"/>
      <c r="GR415" s="208"/>
      <c r="GS415" s="208"/>
      <c r="GT415" s="208"/>
      <c r="GU415" s="213">
        <v>410</v>
      </c>
    </row>
    <row r="416" spans="1:203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21.720323617952932</v>
      </c>
      <c r="AO416">
        <v>6.535505063076366</v>
      </c>
      <c r="AP416">
        <v>174.66385285742666</v>
      </c>
      <c r="AQ416">
        <v>44.871554678877267</v>
      </c>
      <c r="AR416">
        <v>5.995639510019724</v>
      </c>
      <c r="AS416">
        <v>67.47059315038851</v>
      </c>
      <c r="AT416" t="e">
        <v>#DIV/0!</v>
      </c>
      <c r="AU416" t="e">
        <v>#DIV/0!</v>
      </c>
      <c r="AV416"/>
      <c r="AW416"/>
      <c r="FY416" s="213">
        <v>411</v>
      </c>
      <c r="FZ416">
        <v>3.192552405514002</v>
      </c>
      <c r="GA416">
        <v>23.446131190361506</v>
      </c>
      <c r="GB416">
        <v>9.7922286985804483</v>
      </c>
      <c r="GC416">
        <v>1.7212153121190044</v>
      </c>
      <c r="GD416">
        <v>2.0833228942270563</v>
      </c>
      <c r="GE416">
        <v>1.8315114879270877</v>
      </c>
      <c r="GF416">
        <v>0.47734812494006024</v>
      </c>
      <c r="GG416">
        <v>2.2917257579058905</v>
      </c>
      <c r="GH416">
        <v>3.2445436953371196</v>
      </c>
      <c r="GI416">
        <v>4.7712896750691831</v>
      </c>
      <c r="GJ416"/>
      <c r="GK416"/>
      <c r="GL416"/>
      <c r="GM416"/>
      <c r="GN416" s="208"/>
      <c r="GO416" s="208"/>
      <c r="GP416" s="208"/>
      <c r="GQ416" s="208"/>
      <c r="GR416" s="208"/>
      <c r="GS416" s="208"/>
      <c r="GT416" s="208"/>
      <c r="GU416" s="213">
        <v>411</v>
      </c>
    </row>
    <row r="417" spans="1:203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19.640719487143979</v>
      </c>
      <c r="AO417">
        <v>5.3378115668322481</v>
      </c>
      <c r="AP417">
        <v>317.05135219617921</v>
      </c>
      <c r="AQ417">
        <v>36.180765121954288</v>
      </c>
      <c r="AR417">
        <v>4.8525559698474972</v>
      </c>
      <c r="AS417">
        <v>52.452703420719232</v>
      </c>
      <c r="AT417" t="e">
        <v>#DIV/0!</v>
      </c>
      <c r="AU417" t="e">
        <v>#DIV/0!</v>
      </c>
      <c r="AV417"/>
      <c r="AW417"/>
      <c r="FY417" s="213">
        <v>412</v>
      </c>
      <c r="FZ417">
        <v>0.58716112056924263</v>
      </c>
      <c r="GA417">
        <v>14.294087412539936</v>
      </c>
      <c r="GB417">
        <v>7.1527342126190963</v>
      </c>
      <c r="GC417">
        <v>1.7851605407960478</v>
      </c>
      <c r="GD417">
        <v>2.3654111256765873</v>
      </c>
      <c r="GE417">
        <v>2.3065938165809086</v>
      </c>
      <c r="GF417">
        <v>0.47734812494006024</v>
      </c>
      <c r="GG417">
        <v>7.2466189384213955</v>
      </c>
      <c r="GH417">
        <v>9.9830569389859214</v>
      </c>
      <c r="GI417">
        <v>5.00948326243783</v>
      </c>
      <c r="GJ417"/>
      <c r="GK417"/>
      <c r="GL417"/>
      <c r="GM417"/>
      <c r="GN417" s="208"/>
      <c r="GO417" s="208"/>
      <c r="GP417" s="208"/>
      <c r="GQ417" s="208"/>
      <c r="GR417" s="208"/>
      <c r="GS417" s="208"/>
      <c r="GT417" s="208"/>
      <c r="GU417" s="213">
        <v>412</v>
      </c>
    </row>
    <row r="418" spans="1:203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35.593749999999993</v>
      </c>
      <c r="AO418">
        <v>6.8448556690111886</v>
      </c>
      <c r="AP418">
        <v>126.99818384726795</v>
      </c>
      <c r="AQ418">
        <v>46.072689428401254</v>
      </c>
      <c r="AR418">
        <v>6.2768673335968375</v>
      </c>
      <c r="AS418">
        <v>87.286737237403116</v>
      </c>
      <c r="AT418" t="e">
        <v>#DIV/0!</v>
      </c>
      <c r="AU418" t="e">
        <v>#DIV/0!</v>
      </c>
      <c r="AV418"/>
      <c r="AW418"/>
      <c r="FY418" s="213">
        <v>413</v>
      </c>
      <c r="FZ418">
        <v>0</v>
      </c>
      <c r="GA418">
        <v>12.924034568128626</v>
      </c>
      <c r="GB418">
        <v>6.3650123065752719</v>
      </c>
      <c r="GC418">
        <v>2.0877312735903564</v>
      </c>
      <c r="GD418">
        <v>3.1669109235666251</v>
      </c>
      <c r="GE418">
        <v>3.4623393056459912</v>
      </c>
      <c r="GF418">
        <v>0.47734812494006024</v>
      </c>
      <c r="GG418">
        <v>0</v>
      </c>
      <c r="GH418">
        <v>0</v>
      </c>
      <c r="GI418">
        <v>3.6574061559307482</v>
      </c>
      <c r="GJ418"/>
      <c r="GK418"/>
      <c r="GL418"/>
      <c r="GM418"/>
      <c r="GN418" s="208"/>
      <c r="GO418" s="208"/>
      <c r="GP418" s="208"/>
      <c r="GQ418" s="208"/>
      <c r="GR418" s="208"/>
      <c r="GS418" s="208"/>
      <c r="GT418" s="208"/>
      <c r="GU418" s="213">
        <v>413</v>
      </c>
    </row>
    <row r="419" spans="1:203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20.779847427476732</v>
      </c>
      <c r="AO419">
        <v>6.4501567470927252</v>
      </c>
      <c r="AP419">
        <v>189.47904816125379</v>
      </c>
      <c r="AQ419">
        <v>44.202705978133906</v>
      </c>
      <c r="AR419">
        <v>5.8637788609933867</v>
      </c>
      <c r="AS419">
        <v>61.535723492168209</v>
      </c>
      <c r="AT419" t="e">
        <v>#DIV/0!</v>
      </c>
      <c r="AU419" t="e">
        <v>#DIV/0!</v>
      </c>
      <c r="AV419"/>
      <c r="AW419"/>
      <c r="FY419" s="213">
        <v>414</v>
      </c>
      <c r="FZ419">
        <v>1.596276202757001</v>
      </c>
      <c r="GA419">
        <v>22.183309313119121</v>
      </c>
      <c r="GB419">
        <v>10.107224174503909</v>
      </c>
      <c r="GC419">
        <v>0.30257073279430846</v>
      </c>
      <c r="GD419">
        <v>1.2920845014848847</v>
      </c>
      <c r="GE419">
        <v>2.4421358611747115</v>
      </c>
      <c r="GF419">
        <v>0.47734812494006024</v>
      </c>
      <c r="GG419">
        <v>4.8262265142285186</v>
      </c>
      <c r="GH419">
        <v>7.0280305487024703</v>
      </c>
      <c r="GI419">
        <v>4.8581112364518351</v>
      </c>
      <c r="GJ419"/>
      <c r="GK419"/>
      <c r="GL419"/>
      <c r="GM419"/>
      <c r="GN419" s="208"/>
      <c r="GO419" s="208"/>
      <c r="GP419" s="208"/>
      <c r="GQ419" s="208"/>
      <c r="GR419" s="208"/>
      <c r="GS419" s="208"/>
      <c r="GT419" s="208"/>
      <c r="GU419" s="213">
        <v>414</v>
      </c>
    </row>
    <row r="420" spans="1:203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25.615336345381518</v>
      </c>
      <c r="AO420">
        <v>5.8431789858053262</v>
      </c>
      <c r="AP420">
        <v>254.10559779570562</v>
      </c>
      <c r="AQ420">
        <v>36.456159773899216</v>
      </c>
      <c r="AR420">
        <v>5.3662521670460528</v>
      </c>
      <c r="AS420">
        <v>63.880072683174063</v>
      </c>
      <c r="AT420" t="e">
        <v>#DIV/0!</v>
      </c>
      <c r="AU420" t="e">
        <v>#DIV/0!</v>
      </c>
      <c r="AV420"/>
      <c r="AW420"/>
      <c r="FY420" s="213">
        <v>415</v>
      </c>
      <c r="FZ420">
        <v>0.58716112056924263</v>
      </c>
      <c r="GA420">
        <v>13.294356602554338</v>
      </c>
      <c r="GB420">
        <v>6.731745364266871</v>
      </c>
      <c r="GC420">
        <v>0.44278643823557334</v>
      </c>
      <c r="GD420">
        <v>0.96663681263904178</v>
      </c>
      <c r="GE420">
        <v>1.8531103734967411</v>
      </c>
      <c r="GF420">
        <v>0.95469624988012047</v>
      </c>
      <c r="GG420">
        <v>5.3549101363405134</v>
      </c>
      <c r="GH420">
        <v>7.381855887346326</v>
      </c>
      <c r="GI420">
        <v>3.6978156581408053</v>
      </c>
      <c r="GJ420"/>
      <c r="GK420"/>
      <c r="GL420"/>
      <c r="GM420"/>
      <c r="GN420" s="208"/>
      <c r="GO420" s="208"/>
      <c r="GP420" s="208"/>
      <c r="GQ420" s="208"/>
      <c r="GR420" s="208"/>
      <c r="GS420" s="208"/>
      <c r="GT420" s="208"/>
      <c r="GU420" s="213">
        <v>415</v>
      </c>
    </row>
    <row r="421" spans="1:203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31.223299808429118</v>
      </c>
      <c r="AO421">
        <v>4.8963115173507301</v>
      </c>
      <c r="AP421">
        <v>240.14918061890953</v>
      </c>
      <c r="AQ421">
        <v>31.265556882641647</v>
      </c>
      <c r="AR421">
        <v>4.4511922885006632</v>
      </c>
      <c r="AS421">
        <v>80.058373352620194</v>
      </c>
      <c r="AT421" t="e">
        <v>#DIV/0!</v>
      </c>
      <c r="AU421" t="e">
        <v>#DIV/0!</v>
      </c>
      <c r="AV421"/>
      <c r="AW421"/>
      <c r="FY421" s="213">
        <v>416</v>
      </c>
      <c r="FZ421">
        <v>2.7705984438954863</v>
      </c>
      <c r="GA421">
        <v>21.624463738885073</v>
      </c>
      <c r="GB421">
        <v>9.8251503607395492</v>
      </c>
      <c r="GC421">
        <v>1.4704795778396331</v>
      </c>
      <c r="GD421">
        <v>2.6237896659488</v>
      </c>
      <c r="GE421">
        <v>3.6128817430354969</v>
      </c>
      <c r="GF421">
        <v>0.95469624988012047</v>
      </c>
      <c r="GG421">
        <v>3.3598026849977378</v>
      </c>
      <c r="GH421">
        <v>4.872796929167186</v>
      </c>
      <c r="GI421">
        <v>5.4615097457848485</v>
      </c>
      <c r="GJ421"/>
      <c r="GK421"/>
      <c r="GL421"/>
      <c r="GM421"/>
      <c r="GN421" s="208"/>
      <c r="GO421" s="208"/>
      <c r="GP421" s="208"/>
      <c r="GQ421" s="208"/>
      <c r="GR421" s="208"/>
      <c r="GS421" s="208"/>
      <c r="GT421" s="208"/>
      <c r="GU421" s="213">
        <v>416</v>
      </c>
    </row>
    <row r="422" spans="1:203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1.8156463984709309E-3</v>
      </c>
      <c r="H422" s="44">
        <f t="shared" ref="H422:AK422" si="383">H372</f>
        <v>1.15313E-2</v>
      </c>
      <c r="I422" s="44">
        <f t="shared" si="383"/>
        <v>7.3236110182017297E-2</v>
      </c>
      <c r="J422" s="44">
        <f t="shared" si="383"/>
        <v>0.21595370395129135</v>
      </c>
      <c r="K422" s="44">
        <f t="shared" si="383"/>
        <v>0.46512776829954805</v>
      </c>
      <c r="L422" s="44">
        <f t="shared" si="383"/>
        <v>0.84339548649291773</v>
      </c>
      <c r="M422" s="44">
        <f t="shared" si="383"/>
        <v>1.3715374031368122</v>
      </c>
      <c r="N422" s="44">
        <f t="shared" si="383"/>
        <v>2.0689726212277471</v>
      </c>
      <c r="O422" s="44">
        <f t="shared" si="383"/>
        <v>2.9540596886648949</v>
      </c>
      <c r="P422" s="44">
        <f t="shared" si="383"/>
        <v>4.0442970220427874</v>
      </c>
      <c r="Q422" s="44">
        <f t="shared" si="383"/>
        <v>5.3564649931760897</v>
      </c>
      <c r="R422" s="44">
        <f t="shared" si="383"/>
        <v>6.9067313280301672</v>
      </c>
      <c r="S422" s="44">
        <f t="shared" si="383"/>
        <v>8.7107320401763371</v>
      </c>
      <c r="T422" s="44">
        <f t="shared" si="383"/>
        <v>10.783635296383494</v>
      </c>
      <c r="U422" s="44">
        <f t="shared" si="383"/>
        <v>13.140192940241995</v>
      </c>
      <c r="V422" s="44">
        <f t="shared" si="383"/>
        <v>15.794782826216199</v>
      </c>
      <c r="W422" s="44">
        <f t="shared" si="383"/>
        <v>18.761444142752168</v>
      </c>
      <c r="X422" s="44">
        <f t="shared" si="383"/>
        <v>22.053907275344272</v>
      </c>
      <c r="Y422" s="44">
        <f t="shared" si="383"/>
        <v>25.685619341716023</v>
      </c>
      <c r="Z422" s="44">
        <f t="shared" si="383"/>
        <v>29.669766243653644</v>
      </c>
      <c r="AA422" s="44">
        <f t="shared" si="383"/>
        <v>34.019291877443351</v>
      </c>
      <c r="AB422" s="44">
        <f t="shared" si="383"/>
        <v>38.746914998997923</v>
      </c>
      <c r="AC422" s="44">
        <f t="shared" si="383"/>
        <v>43.865144132683035</v>
      </c>
      <c r="AD422" s="44">
        <f t="shared" si="383"/>
        <v>49.386290832891866</v>
      </c>
      <c r="AE422" s="44">
        <f t="shared" si="383"/>
        <v>55.322481546779947</v>
      </c>
      <c r="AF422" s="44">
        <f t="shared" si="383"/>
        <v>61.685668279953298</v>
      </c>
      <c r="AG422" s="44">
        <f t="shared" si="383"/>
        <v>68.487638230609974</v>
      </c>
      <c r="AH422" s="44">
        <f t="shared" si="383"/>
        <v>75.740022529057185</v>
      </c>
      <c r="AI422" s="44">
        <f t="shared" si="383"/>
        <v>83.454304196797253</v>
      </c>
      <c r="AJ422" s="44">
        <f t="shared" si="383"/>
        <v>91.64182542111466</v>
      </c>
      <c r="AK422" s="44">
        <f t="shared" si="383"/>
        <v>100.31379422630621</v>
      </c>
      <c r="AL422" s="4"/>
      <c r="AM422" s="43">
        <v>406</v>
      </c>
      <c r="AN422">
        <v>27.851190476190482</v>
      </c>
      <c r="AO422">
        <v>7.5891120693630496</v>
      </c>
      <c r="AP422">
        <v>172.17065566606797</v>
      </c>
      <c r="AQ422">
        <v>53.240639169465126</v>
      </c>
      <c r="AR422">
        <v>6.9534640611894378</v>
      </c>
      <c r="AS422">
        <v>101.71776567973288</v>
      </c>
      <c r="AT422" t="e">
        <v>#DIV/0!</v>
      </c>
      <c r="AU422" t="e">
        <v>#DIV/0!</v>
      </c>
      <c r="AV422"/>
      <c r="AW422"/>
      <c r="FY422" s="213">
        <v>417</v>
      </c>
      <c r="FZ422">
        <v>0</v>
      </c>
      <c r="GA422">
        <v>13.646330939181446</v>
      </c>
      <c r="GB422">
        <v>6.6331932226956436</v>
      </c>
      <c r="GC422">
        <v>2.3505772380318346</v>
      </c>
      <c r="GD422">
        <v>2.2845853209688882</v>
      </c>
      <c r="GE422">
        <v>0.96573148374538664</v>
      </c>
      <c r="GF422">
        <v>0</v>
      </c>
      <c r="GG422">
        <v>4.1817645063006967</v>
      </c>
      <c r="GH422">
        <v>5.7293824889844096</v>
      </c>
      <c r="GI422">
        <v>3.9491703206731703</v>
      </c>
      <c r="GJ422"/>
      <c r="GK422"/>
      <c r="GL422"/>
      <c r="GM422"/>
      <c r="GN422" s="208"/>
      <c r="GO422" s="208"/>
      <c r="GP422" s="208"/>
      <c r="GQ422" s="208"/>
      <c r="GR422" s="208"/>
      <c r="GS422" s="208"/>
      <c r="GT422" s="208"/>
      <c r="GU422" s="213">
        <v>417</v>
      </c>
    </row>
    <row r="423" spans="1:203" s="7" customFormat="1">
      <c r="A423" s="4"/>
      <c r="B423" s="48" t="s">
        <v>38</v>
      </c>
      <c r="C423" s="107">
        <f t="shared" ref="C423:C432" si="384">SUM(G423:AK423)</f>
        <v>2.7705984438954863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85">(($A$453+$A$455*(H$422)+($A$457*$D423))*($E21*H37))</f>
        <v>0</v>
      </c>
      <c r="I423" s="107">
        <f t="shared" si="385"/>
        <v>3.8187364199102132E-2</v>
      </c>
      <c r="J423" s="107">
        <f t="shared" si="385"/>
        <v>0.22357095999547494</v>
      </c>
      <c r="K423" s="107">
        <f t="shared" si="385"/>
        <v>1.6638147420002685</v>
      </c>
      <c r="L423" s="107">
        <f t="shared" si="385"/>
        <v>0.84502537770064079</v>
      </c>
      <c r="M423" s="107">
        <f t="shared" si="385"/>
        <v>0</v>
      </c>
      <c r="N423" s="107">
        <f t="shared" si="385"/>
        <v>0</v>
      </c>
      <c r="O423" s="107">
        <f t="shared" si="385"/>
        <v>0</v>
      </c>
      <c r="P423" s="107">
        <f t="shared" si="385"/>
        <v>0</v>
      </c>
      <c r="Q423" s="107">
        <f t="shared" si="385"/>
        <v>0</v>
      </c>
      <c r="R423" s="107">
        <f t="shared" si="385"/>
        <v>0</v>
      </c>
      <c r="S423" s="107">
        <f t="shared" si="385"/>
        <v>0</v>
      </c>
      <c r="T423" s="107">
        <f t="shared" si="385"/>
        <v>0</v>
      </c>
      <c r="U423" s="107">
        <f t="shared" si="385"/>
        <v>0</v>
      </c>
      <c r="V423" s="107">
        <f t="shared" si="385"/>
        <v>0</v>
      </c>
      <c r="W423" s="107">
        <f t="shared" si="385"/>
        <v>0</v>
      </c>
      <c r="X423" s="107">
        <f t="shared" si="385"/>
        <v>0</v>
      </c>
      <c r="Y423" s="107">
        <f t="shared" si="385"/>
        <v>0</v>
      </c>
      <c r="Z423" s="107">
        <f t="shared" si="385"/>
        <v>0</v>
      </c>
      <c r="AA423" s="107">
        <f t="shared" si="385"/>
        <v>0</v>
      </c>
      <c r="AB423" s="107">
        <f t="shared" si="385"/>
        <v>0</v>
      </c>
      <c r="AC423" s="107">
        <f t="shared" si="385"/>
        <v>0</v>
      </c>
      <c r="AD423" s="107">
        <f t="shared" si="385"/>
        <v>0</v>
      </c>
      <c r="AE423" s="107">
        <f t="shared" si="385"/>
        <v>0</v>
      </c>
      <c r="AF423" s="107">
        <f t="shared" si="385"/>
        <v>0</v>
      </c>
      <c r="AG423" s="107">
        <f t="shared" si="385"/>
        <v>0</v>
      </c>
      <c r="AH423" s="107">
        <f t="shared" si="385"/>
        <v>0</v>
      </c>
      <c r="AI423" s="107">
        <f t="shared" si="385"/>
        <v>0</v>
      </c>
      <c r="AJ423" s="107">
        <f t="shared" si="385"/>
        <v>0</v>
      </c>
      <c r="AK423" s="107">
        <f t="shared" si="385"/>
        <v>0</v>
      </c>
      <c r="AL423" s="4"/>
      <c r="AM423" s="43">
        <v>407</v>
      </c>
      <c r="AN423">
        <v>34.012743296667786</v>
      </c>
      <c r="AO423">
        <v>7.3254504852772371</v>
      </c>
      <c r="AP423">
        <v>94.566845799119477</v>
      </c>
      <c r="AQ423">
        <v>48.383555672395829</v>
      </c>
      <c r="AR423">
        <v>6.6595004411611241</v>
      </c>
      <c r="AS423">
        <v>96.273102810735509</v>
      </c>
      <c r="AT423" t="e">
        <v>#DIV/0!</v>
      </c>
      <c r="AU423" t="e">
        <v>#DIV/0!</v>
      </c>
      <c r="AV423"/>
      <c r="AW423"/>
      <c r="FY423" s="213">
        <v>418</v>
      </c>
      <c r="FZ423">
        <v>1.1743222411384853</v>
      </c>
      <c r="GA423">
        <v>13.871619964241013</v>
      </c>
      <c r="GB423">
        <v>6.8867385662943281</v>
      </c>
      <c r="GC423">
        <v>0.2951909588237156</v>
      </c>
      <c r="GD423">
        <v>2.2701806499079638</v>
      </c>
      <c r="GE423">
        <v>4.1500646666700938</v>
      </c>
      <c r="GF423">
        <v>0</v>
      </c>
      <c r="GG423">
        <v>2.6102719741219484</v>
      </c>
      <c r="GH423">
        <v>3.5499287049172779</v>
      </c>
      <c r="GI423">
        <v>3.9737708451643319</v>
      </c>
      <c r="GJ423"/>
      <c r="GK423"/>
      <c r="GL423"/>
      <c r="GM423"/>
      <c r="GN423" s="208"/>
      <c r="GO423" s="208"/>
      <c r="GP423" s="208"/>
      <c r="GQ423" s="208"/>
      <c r="GR423" s="208"/>
      <c r="GS423" s="208"/>
      <c r="GT423" s="208"/>
      <c r="GU423" s="213">
        <v>418</v>
      </c>
    </row>
    <row r="424" spans="1:203" s="7" customFormat="1">
      <c r="A424" s="4"/>
      <c r="B424" s="48" t="s">
        <v>39</v>
      </c>
      <c r="C424" s="107">
        <f t="shared" si="384"/>
        <v>20.837209611396961</v>
      </c>
      <c r="D424" s="191">
        <f>$A$406</f>
        <v>9.4499999999999993</v>
      </c>
      <c r="E424" s="8"/>
      <c r="F424" s="124"/>
      <c r="G424" s="107">
        <f t="shared" ref="G424:V432" si="386">(($A$453+$A$455*(G$422)+($A$457*$D424))*($E22*G38))</f>
        <v>0</v>
      </c>
      <c r="H424" s="107">
        <f t="shared" si="386"/>
        <v>0</v>
      </c>
      <c r="I424" s="107">
        <f t="shared" si="386"/>
        <v>4.5154075063826807E-2</v>
      </c>
      <c r="J424" s="107">
        <f t="shared" si="386"/>
        <v>5.0123467200837357</v>
      </c>
      <c r="K424" s="107">
        <f t="shared" si="386"/>
        <v>12.574025420266095</v>
      </c>
      <c r="L424" s="107">
        <f t="shared" si="386"/>
        <v>0.98758770648947836</v>
      </c>
      <c r="M424" s="107">
        <f t="shared" si="386"/>
        <v>0</v>
      </c>
      <c r="N424" s="107">
        <f t="shared" si="386"/>
        <v>2.2180956894938242</v>
      </c>
      <c r="O424" s="107">
        <f t="shared" si="386"/>
        <v>0</v>
      </c>
      <c r="P424" s="107">
        <f t="shared" si="386"/>
        <v>0</v>
      </c>
      <c r="Q424" s="107">
        <f t="shared" si="386"/>
        <v>0</v>
      </c>
      <c r="R424" s="107">
        <f t="shared" si="386"/>
        <v>0</v>
      </c>
      <c r="S424" s="107">
        <f t="shared" si="386"/>
        <v>0</v>
      </c>
      <c r="T424" s="107">
        <f t="shared" si="386"/>
        <v>0</v>
      </c>
      <c r="U424" s="107">
        <f t="shared" si="386"/>
        <v>0</v>
      </c>
      <c r="V424" s="107">
        <f t="shared" si="386"/>
        <v>0</v>
      </c>
      <c r="W424" s="107">
        <f t="shared" si="385"/>
        <v>0</v>
      </c>
      <c r="X424" s="107">
        <f t="shared" si="385"/>
        <v>0</v>
      </c>
      <c r="Y424" s="107">
        <f t="shared" si="385"/>
        <v>0</v>
      </c>
      <c r="Z424" s="107">
        <f t="shared" si="385"/>
        <v>0</v>
      </c>
      <c r="AA424" s="107">
        <f t="shared" si="385"/>
        <v>0</v>
      </c>
      <c r="AB424" s="107">
        <f t="shared" si="385"/>
        <v>0</v>
      </c>
      <c r="AC424" s="107">
        <f t="shared" si="385"/>
        <v>0</v>
      </c>
      <c r="AD424" s="107">
        <f t="shared" si="385"/>
        <v>0</v>
      </c>
      <c r="AE424" s="107">
        <f t="shared" si="385"/>
        <v>0</v>
      </c>
      <c r="AF424" s="107">
        <f t="shared" si="385"/>
        <v>0</v>
      </c>
      <c r="AG424" s="107">
        <f t="shared" si="385"/>
        <v>0</v>
      </c>
      <c r="AH424" s="107">
        <f t="shared" si="385"/>
        <v>0</v>
      </c>
      <c r="AI424" s="107">
        <f t="shared" si="385"/>
        <v>0</v>
      </c>
      <c r="AJ424" s="107">
        <f t="shared" si="385"/>
        <v>0</v>
      </c>
      <c r="AK424" s="107">
        <f t="shared" si="385"/>
        <v>0</v>
      </c>
      <c r="AL424" s="4"/>
      <c r="AM424" s="43">
        <v>408</v>
      </c>
      <c r="AN424">
        <v>27.661552820477304</v>
      </c>
      <c r="AO424">
        <v>7.1073865061986421</v>
      </c>
      <c r="AP424">
        <v>113.54368663284663</v>
      </c>
      <c r="AQ424">
        <v>50.803320146797105</v>
      </c>
      <c r="AR424">
        <v>6.4612604601805836</v>
      </c>
      <c r="AS424">
        <v>83.519429076456476</v>
      </c>
      <c r="AT424" t="e">
        <v>#DIV/0!</v>
      </c>
      <c r="AU424" t="e">
        <v>#DIV/0!</v>
      </c>
      <c r="AV424"/>
      <c r="AW424"/>
      <c r="FY424" s="213">
        <v>419</v>
      </c>
      <c r="FZ424">
        <v>1.1743222411384853</v>
      </c>
      <c r="GA424">
        <v>23.769165874853655</v>
      </c>
      <c r="GB424">
        <v>11.625801238764062</v>
      </c>
      <c r="GC424">
        <v>4.0078473214737969</v>
      </c>
      <c r="GD424">
        <v>4.0254877897714652</v>
      </c>
      <c r="GE424">
        <v>2.496931362660332</v>
      </c>
      <c r="GF424">
        <v>0.95469624988012047</v>
      </c>
      <c r="GG424">
        <v>6.0734733083815797</v>
      </c>
      <c r="GH424">
        <v>8.3305835406240085</v>
      </c>
      <c r="GI424">
        <v>7.0110191516389238</v>
      </c>
      <c r="GJ424"/>
      <c r="GK424"/>
      <c r="GL424"/>
      <c r="GM424"/>
      <c r="GN424" s="208"/>
      <c r="GO424" s="208"/>
      <c r="GP424" s="208"/>
      <c r="GQ424" s="208"/>
      <c r="GR424" s="208"/>
      <c r="GS424" s="208"/>
      <c r="GT424" s="208"/>
      <c r="GU424" s="213">
        <v>419</v>
      </c>
    </row>
    <row r="425" spans="1:203" s="7" customFormat="1">
      <c r="A425" s="4"/>
      <c r="B425" s="48" t="s">
        <v>40</v>
      </c>
      <c r="C425" s="107">
        <f t="shared" si="384"/>
        <v>9.5174693206710508</v>
      </c>
      <c r="D425" s="191">
        <f>A$407</f>
        <v>4.03</v>
      </c>
      <c r="E425" s="8"/>
      <c r="F425" s="124"/>
      <c r="G425" s="107">
        <f t="shared" si="386"/>
        <v>0</v>
      </c>
      <c r="H425" s="107">
        <f t="shared" si="385"/>
        <v>0</v>
      </c>
      <c r="I425" s="107">
        <f t="shared" si="385"/>
        <v>0</v>
      </c>
      <c r="J425" s="107">
        <f t="shared" si="385"/>
        <v>2.5547104567699557</v>
      </c>
      <c r="K425" s="107">
        <f t="shared" si="385"/>
        <v>5.9235500890516182</v>
      </c>
      <c r="L425" s="107">
        <f t="shared" si="385"/>
        <v>0</v>
      </c>
      <c r="M425" s="107">
        <f t="shared" si="385"/>
        <v>0</v>
      </c>
      <c r="N425" s="107">
        <f t="shared" si="385"/>
        <v>1.0392087748494772</v>
      </c>
      <c r="O425" s="107">
        <f t="shared" si="385"/>
        <v>0</v>
      </c>
      <c r="P425" s="107">
        <f t="shared" si="385"/>
        <v>0</v>
      </c>
      <c r="Q425" s="107">
        <f t="shared" si="385"/>
        <v>0</v>
      </c>
      <c r="R425" s="107">
        <f t="shared" si="385"/>
        <v>0</v>
      </c>
      <c r="S425" s="107">
        <f t="shared" si="385"/>
        <v>0</v>
      </c>
      <c r="T425" s="107">
        <f t="shared" si="385"/>
        <v>0</v>
      </c>
      <c r="U425" s="107">
        <f t="shared" si="385"/>
        <v>0</v>
      </c>
      <c r="V425" s="107">
        <f t="shared" si="385"/>
        <v>0</v>
      </c>
      <c r="W425" s="107">
        <f t="shared" si="385"/>
        <v>0</v>
      </c>
      <c r="X425" s="107">
        <f t="shared" si="385"/>
        <v>0</v>
      </c>
      <c r="Y425" s="107">
        <f t="shared" si="385"/>
        <v>0</v>
      </c>
      <c r="Z425" s="107">
        <f t="shared" si="385"/>
        <v>0</v>
      </c>
      <c r="AA425" s="107">
        <f t="shared" si="385"/>
        <v>0</v>
      </c>
      <c r="AB425" s="107">
        <f t="shared" si="385"/>
        <v>0</v>
      </c>
      <c r="AC425" s="107">
        <f t="shared" si="385"/>
        <v>0</v>
      </c>
      <c r="AD425" s="107">
        <f t="shared" si="385"/>
        <v>0</v>
      </c>
      <c r="AE425" s="107">
        <f t="shared" si="385"/>
        <v>0</v>
      </c>
      <c r="AF425" s="107">
        <f t="shared" si="385"/>
        <v>0</v>
      </c>
      <c r="AG425" s="107">
        <f t="shared" si="385"/>
        <v>0</v>
      </c>
      <c r="AH425" s="107">
        <f t="shared" si="385"/>
        <v>0</v>
      </c>
      <c r="AI425" s="107">
        <f t="shared" si="385"/>
        <v>0</v>
      </c>
      <c r="AJ425" s="107">
        <f t="shared" si="385"/>
        <v>0</v>
      </c>
      <c r="AK425" s="107">
        <f t="shared" si="385"/>
        <v>0</v>
      </c>
      <c r="AL425" s="4"/>
      <c r="AM425" s="43">
        <v>409</v>
      </c>
      <c r="AN425">
        <v>25.981425702811244</v>
      </c>
      <c r="AO425">
        <v>5.6543988444534232</v>
      </c>
      <c r="AP425">
        <v>184.26018935725054</v>
      </c>
      <c r="AQ425">
        <v>38.840954573583026</v>
      </c>
      <c r="AR425">
        <v>5.1403625858667485</v>
      </c>
      <c r="AS425">
        <v>74.383599442964794</v>
      </c>
      <c r="AT425" t="e">
        <v>#DIV/0!</v>
      </c>
      <c r="AU425" t="e">
        <v>#DIV/0!</v>
      </c>
      <c r="AV425"/>
      <c r="AW425"/>
      <c r="FY425" s="213">
        <v>420</v>
      </c>
      <c r="FZ425">
        <v>0.58716112056924263</v>
      </c>
      <c r="GA425">
        <v>12.863245850534227</v>
      </c>
      <c r="GB425">
        <v>6.4212064778381164</v>
      </c>
      <c r="GC425">
        <v>7.7487626691225331E-2</v>
      </c>
      <c r="GD425">
        <v>0.5699945569779532</v>
      </c>
      <c r="GE425">
        <v>1.0335025060422882</v>
      </c>
      <c r="GF425">
        <v>0</v>
      </c>
      <c r="GG425">
        <v>6.5802290208406315</v>
      </c>
      <c r="GH425">
        <v>9.1145086068456838</v>
      </c>
      <c r="GI425">
        <v>3.5067072328367015</v>
      </c>
      <c r="GJ425"/>
      <c r="GK425"/>
      <c r="GL425"/>
      <c r="GM425"/>
      <c r="GN425" s="208"/>
      <c r="GO425" s="208"/>
      <c r="GP425" s="208"/>
      <c r="GQ425" s="208"/>
      <c r="GR425" s="208"/>
      <c r="GS425" s="208"/>
      <c r="GT425" s="208"/>
      <c r="GU425" s="213">
        <v>420</v>
      </c>
    </row>
    <row r="426" spans="1:203" s="7" customFormat="1">
      <c r="A426" s="128" t="s">
        <v>92</v>
      </c>
      <c r="B426" s="48" t="s">
        <v>41</v>
      </c>
      <c r="C426" s="107">
        <f t="shared" si="384"/>
        <v>1.4003717251190004</v>
      </c>
      <c r="D426" s="191">
        <f>A$408</f>
        <v>0.78</v>
      </c>
      <c r="E426" s="8"/>
      <c r="F426" s="124"/>
      <c r="G426" s="107">
        <f t="shared" si="386"/>
        <v>0</v>
      </c>
      <c r="H426" s="107">
        <f t="shared" si="385"/>
        <v>2.0530573338916908E-2</v>
      </c>
      <c r="I426" s="107">
        <f t="shared" si="385"/>
        <v>1.1936784397433997</v>
      </c>
      <c r="J426" s="107">
        <f t="shared" si="385"/>
        <v>0.18616271203668372</v>
      </c>
      <c r="K426" s="107">
        <f t="shared" si="385"/>
        <v>0</v>
      </c>
      <c r="L426" s="107">
        <f t="shared" si="385"/>
        <v>0</v>
      </c>
      <c r="M426" s="107">
        <f t="shared" si="385"/>
        <v>0</v>
      </c>
      <c r="N426" s="107">
        <f t="shared" si="385"/>
        <v>0</v>
      </c>
      <c r="O426" s="107">
        <f t="shared" si="385"/>
        <v>0</v>
      </c>
      <c r="P426" s="107">
        <f t="shared" si="385"/>
        <v>0</v>
      </c>
      <c r="Q426" s="107">
        <f t="shared" si="385"/>
        <v>0</v>
      </c>
      <c r="R426" s="107">
        <f t="shared" si="385"/>
        <v>0</v>
      </c>
      <c r="S426" s="107">
        <f t="shared" si="385"/>
        <v>0</v>
      </c>
      <c r="T426" s="107">
        <f t="shared" si="385"/>
        <v>0</v>
      </c>
      <c r="U426" s="107">
        <f t="shared" si="385"/>
        <v>0</v>
      </c>
      <c r="V426" s="107">
        <f t="shared" si="385"/>
        <v>0</v>
      </c>
      <c r="W426" s="107">
        <f t="shared" si="385"/>
        <v>0</v>
      </c>
      <c r="X426" s="107">
        <f t="shared" si="385"/>
        <v>0</v>
      </c>
      <c r="Y426" s="107">
        <f t="shared" si="385"/>
        <v>0</v>
      </c>
      <c r="Z426" s="107">
        <f t="shared" si="385"/>
        <v>0</v>
      </c>
      <c r="AA426" s="107">
        <f t="shared" si="385"/>
        <v>0</v>
      </c>
      <c r="AB426" s="107">
        <f t="shared" si="385"/>
        <v>0</v>
      </c>
      <c r="AC426" s="107">
        <f t="shared" si="385"/>
        <v>0</v>
      </c>
      <c r="AD426" s="107">
        <f t="shared" si="385"/>
        <v>0</v>
      </c>
      <c r="AE426" s="107">
        <f t="shared" si="385"/>
        <v>0</v>
      </c>
      <c r="AF426" s="107">
        <f t="shared" si="385"/>
        <v>0</v>
      </c>
      <c r="AG426" s="107">
        <f t="shared" si="385"/>
        <v>0</v>
      </c>
      <c r="AH426" s="107">
        <f t="shared" si="385"/>
        <v>0</v>
      </c>
      <c r="AI426" s="107">
        <f t="shared" si="385"/>
        <v>0</v>
      </c>
      <c r="AJ426" s="107">
        <f t="shared" si="385"/>
        <v>0</v>
      </c>
      <c r="AK426" s="107">
        <f t="shared" si="385"/>
        <v>0</v>
      </c>
      <c r="AL426" s="4"/>
      <c r="AM426" s="43">
        <v>410</v>
      </c>
      <c r="AN426">
        <v>47.288040915715406</v>
      </c>
      <c r="AO426">
        <v>7.6567021235545552</v>
      </c>
      <c r="AP426">
        <v>211.11640250294244</v>
      </c>
      <c r="AQ426">
        <v>48.812345067761434</v>
      </c>
      <c r="AR426">
        <v>6.9606382941405034</v>
      </c>
      <c r="AS426">
        <v>108.73462536679132</v>
      </c>
      <c r="AT426" t="e">
        <v>#DIV/0!</v>
      </c>
      <c r="AU426" t="e">
        <v>#DIV/0!</v>
      </c>
      <c r="AV426"/>
      <c r="AW426"/>
      <c r="FY426" s="213">
        <v>421</v>
      </c>
      <c r="FZ426">
        <v>2.1834373233262436</v>
      </c>
      <c r="GA426">
        <v>20.685521646493875</v>
      </c>
      <c r="GB426">
        <v>9.3479673411244786</v>
      </c>
      <c r="GC426">
        <v>1.3228840984277752</v>
      </c>
      <c r="GD426">
        <v>2.635741671912375</v>
      </c>
      <c r="GE426">
        <v>3.2816552658058735</v>
      </c>
      <c r="GF426">
        <v>0</v>
      </c>
      <c r="GG426">
        <v>5.1447727304445756</v>
      </c>
      <c r="GH426">
        <v>7.3334155582826277</v>
      </c>
      <c r="GI426">
        <v>5.4663269151151956</v>
      </c>
      <c r="GJ426"/>
      <c r="GK426"/>
      <c r="GL426"/>
      <c r="GM426"/>
      <c r="GN426" s="208"/>
      <c r="GO426" s="208"/>
      <c r="GP426" s="208"/>
      <c r="GQ426" s="208"/>
      <c r="GR426" s="208"/>
      <c r="GS426" s="208"/>
      <c r="GT426" s="208"/>
      <c r="GU426" s="213">
        <v>421</v>
      </c>
    </row>
    <row r="427" spans="1:203" s="7" customFormat="1">
      <c r="A427" s="128" t="s">
        <v>93</v>
      </c>
      <c r="B427" s="48" t="s">
        <v>42</v>
      </c>
      <c r="C427" s="107">
        <f t="shared" si="384"/>
        <v>2.1611794115017782</v>
      </c>
      <c r="D427" s="191">
        <f>A$409</f>
        <v>0.14000000000000001</v>
      </c>
      <c r="E427" s="8"/>
      <c r="F427" s="124"/>
      <c r="G427" s="107">
        <f t="shared" si="386"/>
        <v>4.9876894588738938E-4</v>
      </c>
      <c r="H427" s="107">
        <f t="shared" si="385"/>
        <v>1.8974553358200252E-2</v>
      </c>
      <c r="I427" s="107">
        <f t="shared" si="385"/>
        <v>0.94814708303644191</v>
      </c>
      <c r="J427" s="107">
        <f t="shared" si="385"/>
        <v>0.1428489031286771</v>
      </c>
      <c r="K427" s="107">
        <f t="shared" si="385"/>
        <v>0</v>
      </c>
      <c r="L427" s="107">
        <f t="shared" si="385"/>
        <v>0.3963217824519516</v>
      </c>
      <c r="M427" s="107">
        <f t="shared" si="385"/>
        <v>0.28803740613065909</v>
      </c>
      <c r="N427" s="107">
        <f t="shared" si="385"/>
        <v>0.36635091444996082</v>
      </c>
      <c r="O427" s="107">
        <f t="shared" si="385"/>
        <v>0</v>
      </c>
      <c r="P427" s="107">
        <f t="shared" si="385"/>
        <v>0</v>
      </c>
      <c r="Q427" s="107">
        <f t="shared" si="385"/>
        <v>0</v>
      </c>
      <c r="R427" s="107">
        <f t="shared" si="385"/>
        <v>0</v>
      </c>
      <c r="S427" s="107">
        <f t="shared" si="385"/>
        <v>0</v>
      </c>
      <c r="T427" s="107">
        <f t="shared" si="385"/>
        <v>0</v>
      </c>
      <c r="U427" s="107">
        <f t="shared" si="385"/>
        <v>0</v>
      </c>
      <c r="V427" s="107">
        <f t="shared" si="385"/>
        <v>0</v>
      </c>
      <c r="W427" s="107">
        <f t="shared" si="385"/>
        <v>0</v>
      </c>
      <c r="X427" s="107">
        <f t="shared" si="385"/>
        <v>0</v>
      </c>
      <c r="Y427" s="107">
        <f t="shared" si="385"/>
        <v>0</v>
      </c>
      <c r="Z427" s="107">
        <f t="shared" si="385"/>
        <v>0</v>
      </c>
      <c r="AA427" s="107">
        <f t="shared" si="385"/>
        <v>0</v>
      </c>
      <c r="AB427" s="107">
        <f t="shared" si="385"/>
        <v>0</v>
      </c>
      <c r="AC427" s="107">
        <f t="shared" si="385"/>
        <v>0</v>
      </c>
      <c r="AD427" s="107">
        <f t="shared" si="385"/>
        <v>0</v>
      </c>
      <c r="AE427" s="107">
        <f t="shared" si="385"/>
        <v>0</v>
      </c>
      <c r="AF427" s="107">
        <f t="shared" si="385"/>
        <v>0</v>
      </c>
      <c r="AG427" s="107">
        <f t="shared" si="385"/>
        <v>0</v>
      </c>
      <c r="AH427" s="107">
        <f t="shared" si="385"/>
        <v>0</v>
      </c>
      <c r="AI427" s="107">
        <f t="shared" si="385"/>
        <v>0</v>
      </c>
      <c r="AJ427" s="107">
        <f t="shared" si="385"/>
        <v>0</v>
      </c>
      <c r="AK427" s="107">
        <f t="shared" si="385"/>
        <v>0</v>
      </c>
      <c r="AL427" s="4"/>
      <c r="AM427" s="43">
        <v>411</v>
      </c>
      <c r="AN427">
        <v>35.780600439524932</v>
      </c>
      <c r="AO427">
        <v>7.4149863802299123</v>
      </c>
      <c r="AP427">
        <v>165.19437412549885</v>
      </c>
      <c r="AQ427">
        <v>52.851869241981355</v>
      </c>
      <c r="AR427">
        <v>6.7408967092999204</v>
      </c>
      <c r="AS427">
        <v>90.397090423469621</v>
      </c>
      <c r="AT427" t="e">
        <v>#DIV/0!</v>
      </c>
      <c r="AU427" t="e">
        <v>#DIV/0!</v>
      </c>
      <c r="AV427"/>
      <c r="AW427"/>
      <c r="FY427" s="213">
        <v>422</v>
      </c>
      <c r="FZ427">
        <v>6.385104811028004</v>
      </c>
      <c r="GA427">
        <v>19.151508368937037</v>
      </c>
      <c r="GB427">
        <v>5.7716002348149296</v>
      </c>
      <c r="GC427">
        <v>1.5035119799865142</v>
      </c>
      <c r="GD427">
        <v>1.8154311938995216</v>
      </c>
      <c r="GE427">
        <v>1.335515446279125</v>
      </c>
      <c r="GF427">
        <v>0</v>
      </c>
      <c r="GG427">
        <v>4.7194877575944743</v>
      </c>
      <c r="GH427">
        <v>6.8874481261783158</v>
      </c>
      <c r="GI427">
        <v>4.5952397527710005</v>
      </c>
      <c r="GJ427"/>
      <c r="GK427"/>
      <c r="GL427"/>
      <c r="GM427"/>
      <c r="GN427" s="208"/>
      <c r="GO427" s="208"/>
      <c r="GP427" s="208"/>
      <c r="GQ427" s="208"/>
      <c r="GR427" s="208"/>
      <c r="GS427" s="208"/>
      <c r="GT427" s="208"/>
      <c r="GU427" s="213">
        <v>422</v>
      </c>
    </row>
    <row r="428" spans="1:203" s="7" customFormat="1">
      <c r="A428" s="138" t="s">
        <v>95</v>
      </c>
      <c r="B428" s="48" t="s">
        <v>118</v>
      </c>
      <c r="C428" s="107">
        <f t="shared" si="384"/>
        <v>2.7892907966578626</v>
      </c>
      <c r="D428" s="191">
        <f>A$410</f>
        <v>0.21</v>
      </c>
      <c r="E428" s="8"/>
      <c r="F428" s="124"/>
      <c r="G428" s="107">
        <f t="shared" si="386"/>
        <v>1.0098375343896204E-3</v>
      </c>
      <c r="H428" s="107">
        <f t="shared" si="385"/>
        <v>6.4029670284250825E-3</v>
      </c>
      <c r="I428" s="107">
        <f t="shared" si="385"/>
        <v>6.0358217734086665E-2</v>
      </c>
      <c r="J428" s="107">
        <f t="shared" si="385"/>
        <v>0</v>
      </c>
      <c r="K428" s="107">
        <f t="shared" si="385"/>
        <v>0</v>
      </c>
      <c r="L428" s="107">
        <f t="shared" si="385"/>
        <v>0.80407030865265239</v>
      </c>
      <c r="M428" s="107">
        <f t="shared" si="385"/>
        <v>1.1707318990290354</v>
      </c>
      <c r="N428" s="107">
        <f t="shared" si="385"/>
        <v>0.7467175666792738</v>
      </c>
      <c r="O428" s="107">
        <f t="shared" si="385"/>
        <v>0</v>
      </c>
      <c r="P428" s="107">
        <f t="shared" si="385"/>
        <v>0</v>
      </c>
      <c r="Q428" s="107">
        <f t="shared" si="385"/>
        <v>0</v>
      </c>
      <c r="R428" s="107">
        <f t="shared" si="385"/>
        <v>0</v>
      </c>
      <c r="S428" s="107">
        <f t="shared" si="385"/>
        <v>0</v>
      </c>
      <c r="T428" s="107">
        <f t="shared" si="385"/>
        <v>0</v>
      </c>
      <c r="U428" s="107">
        <f t="shared" si="385"/>
        <v>0</v>
      </c>
      <c r="V428" s="107">
        <f t="shared" si="385"/>
        <v>0</v>
      </c>
      <c r="W428" s="107">
        <f t="shared" si="385"/>
        <v>0</v>
      </c>
      <c r="X428" s="107">
        <f t="shared" si="385"/>
        <v>0</v>
      </c>
      <c r="Y428" s="107">
        <f t="shared" si="385"/>
        <v>0</v>
      </c>
      <c r="Z428" s="107">
        <f t="shared" si="385"/>
        <v>0</v>
      </c>
      <c r="AA428" s="107">
        <f t="shared" si="385"/>
        <v>0</v>
      </c>
      <c r="AB428" s="107">
        <f t="shared" si="385"/>
        <v>0</v>
      </c>
      <c r="AC428" s="107">
        <f t="shared" si="385"/>
        <v>0</v>
      </c>
      <c r="AD428" s="107">
        <f t="shared" si="385"/>
        <v>0</v>
      </c>
      <c r="AE428" s="107">
        <f t="shared" si="385"/>
        <v>0</v>
      </c>
      <c r="AF428" s="107">
        <f t="shared" si="385"/>
        <v>0</v>
      </c>
      <c r="AG428" s="107">
        <f t="shared" si="385"/>
        <v>0</v>
      </c>
      <c r="AH428" s="107">
        <f t="shared" si="385"/>
        <v>0</v>
      </c>
      <c r="AI428" s="107">
        <f t="shared" si="385"/>
        <v>0</v>
      </c>
      <c r="AJ428" s="107">
        <f t="shared" si="385"/>
        <v>0</v>
      </c>
      <c r="AK428" s="107">
        <f t="shared" si="385"/>
        <v>0</v>
      </c>
      <c r="AL428" s="4"/>
      <c r="AM428" s="43">
        <v>412</v>
      </c>
      <c r="AN428">
        <v>29.789443488238668</v>
      </c>
      <c r="AO428">
        <v>7.7689855297405099</v>
      </c>
      <c r="AP428">
        <v>408.68309853913689</v>
      </c>
      <c r="AQ428">
        <v>51.207655493567025</v>
      </c>
      <c r="AR428">
        <v>7.1169853888053103</v>
      </c>
      <c r="AS428">
        <v>82.451600704765852</v>
      </c>
      <c r="AT428" t="e">
        <v>#DIV/0!</v>
      </c>
      <c r="AU428" t="e">
        <v>#DIV/0!</v>
      </c>
      <c r="AV428"/>
      <c r="AW428"/>
      <c r="FY428" s="213">
        <v>423</v>
      </c>
      <c r="FZ428">
        <v>1.596276202757001</v>
      </c>
      <c r="GA428">
        <v>13.383987252875546</v>
      </c>
      <c r="GB428">
        <v>5.7357573287942865</v>
      </c>
      <c r="GC428">
        <v>1.6254548312220838</v>
      </c>
      <c r="GD428">
        <v>2.1355262571094111</v>
      </c>
      <c r="GE428">
        <v>2.0856509602119822</v>
      </c>
      <c r="GF428">
        <v>0.47734812494006024</v>
      </c>
      <c r="GG428">
        <v>5.6498583892175525</v>
      </c>
      <c r="GH428">
        <v>8.0009783665119993</v>
      </c>
      <c r="GI428">
        <v>4.3132341297438996</v>
      </c>
      <c r="GJ428"/>
      <c r="GK428"/>
      <c r="GL428"/>
      <c r="GM428"/>
      <c r="GN428" s="208"/>
      <c r="GO428" s="208"/>
      <c r="GP428" s="208"/>
      <c r="GQ428" s="208"/>
      <c r="GR428" s="208"/>
      <c r="GS428" s="208"/>
      <c r="GT428" s="208"/>
      <c r="GU428" s="213">
        <v>423</v>
      </c>
    </row>
    <row r="429" spans="1:203" s="7" customFormat="1">
      <c r="A429" s="138" t="s">
        <v>94</v>
      </c>
      <c r="B429" s="48" t="s">
        <v>119</v>
      </c>
      <c r="C429" s="107">
        <f t="shared" si="384"/>
        <v>0.95469624988012047</v>
      </c>
      <c r="D429" s="191">
        <f>A$411</f>
        <v>1.28</v>
      </c>
      <c r="E429" s="8"/>
      <c r="F429" s="124"/>
      <c r="G429" s="107">
        <f t="shared" si="386"/>
        <v>0</v>
      </c>
      <c r="H429" s="107">
        <f t="shared" si="385"/>
        <v>0</v>
      </c>
      <c r="I429" s="107">
        <f t="shared" si="385"/>
        <v>0</v>
      </c>
      <c r="J429" s="107">
        <f t="shared" si="385"/>
        <v>0</v>
      </c>
      <c r="K429" s="107">
        <f t="shared" si="385"/>
        <v>0</v>
      </c>
      <c r="L429" s="107">
        <f t="shared" si="385"/>
        <v>0</v>
      </c>
      <c r="M429" s="107">
        <f t="shared" si="385"/>
        <v>0.95469624988012047</v>
      </c>
      <c r="N429" s="107">
        <f t="shared" si="385"/>
        <v>0</v>
      </c>
      <c r="O429" s="107">
        <f t="shared" si="385"/>
        <v>0</v>
      </c>
      <c r="P429" s="107">
        <f t="shared" si="385"/>
        <v>0</v>
      </c>
      <c r="Q429" s="107">
        <f t="shared" si="385"/>
        <v>0</v>
      </c>
      <c r="R429" s="107">
        <f t="shared" si="385"/>
        <v>0</v>
      </c>
      <c r="S429" s="107">
        <f t="shared" si="385"/>
        <v>0</v>
      </c>
      <c r="T429" s="107">
        <f t="shared" si="385"/>
        <v>0</v>
      </c>
      <c r="U429" s="107">
        <f t="shared" si="385"/>
        <v>0</v>
      </c>
      <c r="V429" s="107">
        <f t="shared" si="385"/>
        <v>0</v>
      </c>
      <c r="W429" s="107">
        <f t="shared" si="385"/>
        <v>0</v>
      </c>
      <c r="X429" s="107">
        <f t="shared" si="385"/>
        <v>0</v>
      </c>
      <c r="Y429" s="107">
        <f t="shared" si="385"/>
        <v>0</v>
      </c>
      <c r="Z429" s="107">
        <f t="shared" si="385"/>
        <v>0</v>
      </c>
      <c r="AA429" s="107">
        <f t="shared" si="385"/>
        <v>0</v>
      </c>
      <c r="AB429" s="107">
        <f t="shared" si="385"/>
        <v>0</v>
      </c>
      <c r="AC429" s="107">
        <f t="shared" si="385"/>
        <v>0</v>
      </c>
      <c r="AD429" s="107">
        <f t="shared" si="385"/>
        <v>0</v>
      </c>
      <c r="AE429" s="107">
        <f t="shared" si="385"/>
        <v>0</v>
      </c>
      <c r="AF429" s="107">
        <f t="shared" si="385"/>
        <v>0</v>
      </c>
      <c r="AG429" s="107">
        <f t="shared" si="385"/>
        <v>0</v>
      </c>
      <c r="AH429" s="107">
        <f t="shared" si="385"/>
        <v>0</v>
      </c>
      <c r="AI429" s="107">
        <f t="shared" si="385"/>
        <v>0</v>
      </c>
      <c r="AJ429" s="107">
        <f t="shared" si="385"/>
        <v>0</v>
      </c>
      <c r="AK429" s="107">
        <f t="shared" si="385"/>
        <v>0</v>
      </c>
      <c r="AL429" s="4"/>
      <c r="AM429" s="43">
        <v>413</v>
      </c>
      <c r="AN429">
        <v>31.379464285714285</v>
      </c>
      <c r="AO429">
        <v>5.6880081855658489</v>
      </c>
      <c r="AP429">
        <v>251.86287065725656</v>
      </c>
      <c r="AQ429">
        <v>32.140782658377681</v>
      </c>
      <c r="AR429">
        <v>5.1709165323325896</v>
      </c>
      <c r="AS429">
        <v>74.062416949808011</v>
      </c>
      <c r="AT429" t="e">
        <v>#DIV/0!</v>
      </c>
      <c r="AU429" t="e">
        <v>#DIV/0!</v>
      </c>
      <c r="AV429"/>
      <c r="AW429"/>
      <c r="FY429" s="213">
        <v>424</v>
      </c>
      <c r="FZ429">
        <v>0.58716112056924263</v>
      </c>
      <c r="GA429">
        <v>11.888904589287421</v>
      </c>
      <c r="GB429">
        <v>5.8351722394340237</v>
      </c>
      <c r="GC429">
        <v>0.93809528275072762</v>
      </c>
      <c r="GD429">
        <v>1.0727562254924636</v>
      </c>
      <c r="GE429">
        <v>1.0042749862177514</v>
      </c>
      <c r="GF429">
        <v>0.47734812494006024</v>
      </c>
      <c r="GG429">
        <v>5.6498583892175525</v>
      </c>
      <c r="GH429">
        <v>8.0009783665119993</v>
      </c>
      <c r="GI429">
        <v>3.606816583108758</v>
      </c>
      <c r="GJ429"/>
      <c r="GK429"/>
      <c r="GL429"/>
      <c r="GM429"/>
      <c r="GN429" s="208"/>
      <c r="GO429" s="208"/>
      <c r="GP429" s="208"/>
      <c r="GQ429" s="208"/>
      <c r="GR429" s="208"/>
      <c r="GS429" s="208"/>
      <c r="GT429" s="208"/>
      <c r="GU429" s="213">
        <v>424</v>
      </c>
    </row>
    <row r="430" spans="1:203" s="7" customFormat="1">
      <c r="A430" s="128" t="s">
        <v>18</v>
      </c>
      <c r="B430" s="48" t="s">
        <v>120</v>
      </c>
      <c r="C430" s="107">
        <f t="shared" si="384"/>
        <v>2.1849870012718453</v>
      </c>
      <c r="D430" s="191">
        <f>A$412</f>
        <v>4</v>
      </c>
      <c r="E430" s="8"/>
      <c r="F430" s="124"/>
      <c r="G430" s="107">
        <f t="shared" si="386"/>
        <v>0</v>
      </c>
      <c r="H430" s="107">
        <f t="shared" si="385"/>
        <v>0</v>
      </c>
      <c r="I430" s="107">
        <f t="shared" si="385"/>
        <v>0.1839228633763853</v>
      </c>
      <c r="J430" s="107">
        <f t="shared" si="385"/>
        <v>0.45516098834025354</v>
      </c>
      <c r="K430" s="107">
        <f t="shared" si="385"/>
        <v>0</v>
      </c>
      <c r="L430" s="107">
        <f t="shared" si="385"/>
        <v>0</v>
      </c>
      <c r="M430" s="107">
        <f t="shared" si="385"/>
        <v>0</v>
      </c>
      <c r="N430" s="107">
        <f t="shared" si="385"/>
        <v>0</v>
      </c>
      <c r="O430" s="107">
        <f t="shared" si="385"/>
        <v>1.5459031495552067</v>
      </c>
      <c r="P430" s="107">
        <f t="shared" si="385"/>
        <v>0</v>
      </c>
      <c r="Q430" s="107">
        <f t="shared" si="385"/>
        <v>0</v>
      </c>
      <c r="R430" s="107">
        <f t="shared" si="385"/>
        <v>0</v>
      </c>
      <c r="S430" s="107">
        <f t="shared" si="385"/>
        <v>0</v>
      </c>
      <c r="T430" s="107">
        <f t="shared" si="385"/>
        <v>0</v>
      </c>
      <c r="U430" s="107">
        <f t="shared" si="385"/>
        <v>0</v>
      </c>
      <c r="V430" s="107">
        <f t="shared" si="385"/>
        <v>0</v>
      </c>
      <c r="W430" s="107">
        <f t="shared" si="385"/>
        <v>0</v>
      </c>
      <c r="X430" s="107">
        <f t="shared" si="385"/>
        <v>0</v>
      </c>
      <c r="Y430" s="107">
        <f t="shared" si="385"/>
        <v>0</v>
      </c>
      <c r="Z430" s="107">
        <f t="shared" si="385"/>
        <v>0</v>
      </c>
      <c r="AA430" s="107">
        <f t="shared" si="385"/>
        <v>0</v>
      </c>
      <c r="AB430" s="107">
        <f t="shared" si="385"/>
        <v>0</v>
      </c>
      <c r="AC430" s="107">
        <f t="shared" si="385"/>
        <v>0</v>
      </c>
      <c r="AD430" s="107">
        <f t="shared" si="385"/>
        <v>0</v>
      </c>
      <c r="AE430" s="107">
        <f t="shared" si="385"/>
        <v>0</v>
      </c>
      <c r="AF430" s="107">
        <f t="shared" si="385"/>
        <v>0</v>
      </c>
      <c r="AG430" s="107">
        <f t="shared" si="385"/>
        <v>0</v>
      </c>
      <c r="AH430" s="107">
        <f t="shared" si="385"/>
        <v>0</v>
      </c>
      <c r="AI430" s="107">
        <f t="shared" si="385"/>
        <v>0</v>
      </c>
      <c r="AJ430" s="107">
        <f t="shared" si="385"/>
        <v>0</v>
      </c>
      <c r="AK430" s="107">
        <f t="shared" si="385"/>
        <v>0</v>
      </c>
      <c r="AL430" s="4"/>
      <c r="AM430" s="43">
        <v>414</v>
      </c>
      <c r="AN430">
        <v>20.091526821572</v>
      </c>
      <c r="AO430">
        <v>7.8142005745281384</v>
      </c>
      <c r="AP430">
        <v>182.26481477977825</v>
      </c>
      <c r="AQ430">
        <v>55.113317210156815</v>
      </c>
      <c r="AR430">
        <v>7.1038187041164882</v>
      </c>
      <c r="AS430">
        <v>78.427423368890345</v>
      </c>
      <c r="AT430" t="e">
        <v>#DIV/0!</v>
      </c>
      <c r="AU430" t="e">
        <v>#DIV/0!</v>
      </c>
      <c r="AV430"/>
      <c r="AW430"/>
      <c r="FY430" s="213">
        <v>425</v>
      </c>
      <c r="FZ430">
        <v>3.7797135260832437</v>
      </c>
      <c r="GA430">
        <v>19.91846614801138</v>
      </c>
      <c r="GB430">
        <v>8.0559491967422545</v>
      </c>
      <c r="GC430">
        <v>1.7285950860895976</v>
      </c>
      <c r="GD430">
        <v>2.3884482776072176</v>
      </c>
      <c r="GE430">
        <v>2.7348188359319705</v>
      </c>
      <c r="GF430">
        <v>0.95469624988012047</v>
      </c>
      <c r="GG430">
        <v>1.6506038573502213</v>
      </c>
      <c r="GH430">
        <v>2.1786201516036723</v>
      </c>
      <c r="GI430">
        <v>4.5602966041084461</v>
      </c>
      <c r="GJ430"/>
      <c r="GK430"/>
      <c r="GL430"/>
      <c r="GM430"/>
      <c r="GN430" s="208"/>
      <c r="GO430" s="208"/>
      <c r="GP430" s="208"/>
      <c r="GQ430" s="208"/>
      <c r="GR430" s="208"/>
      <c r="GS430" s="208"/>
      <c r="GT430" s="208"/>
      <c r="GU430" s="213">
        <v>425</v>
      </c>
    </row>
    <row r="431" spans="1:203" s="7" customFormat="1">
      <c r="A431" s="128" t="s">
        <v>17</v>
      </c>
      <c r="B431" s="48" t="s">
        <v>121</v>
      </c>
      <c r="C431" s="107">
        <f t="shared" si="384"/>
        <v>3.1039612728129642</v>
      </c>
      <c r="D431" s="191">
        <f>A$413</f>
        <v>7.33</v>
      </c>
      <c r="E431" s="8"/>
      <c r="F431" s="124"/>
      <c r="G431" s="107">
        <f t="shared" si="386"/>
        <v>0</v>
      </c>
      <c r="H431" s="107">
        <f t="shared" si="385"/>
        <v>0</v>
      </c>
      <c r="I431" s="107">
        <f t="shared" si="385"/>
        <v>0.24223930001058741</v>
      </c>
      <c r="J431" s="107">
        <f t="shared" si="385"/>
        <v>0.60180851864910767</v>
      </c>
      <c r="K431" s="107">
        <f t="shared" si="385"/>
        <v>0</v>
      </c>
      <c r="L431" s="107">
        <f t="shared" si="385"/>
        <v>0</v>
      </c>
      <c r="M431" s="107">
        <f t="shared" si="385"/>
        <v>0</v>
      </c>
      <c r="N431" s="107">
        <f t="shared" si="385"/>
        <v>0</v>
      </c>
      <c r="O431" s="107">
        <f t="shared" si="385"/>
        <v>2.2599134541532693</v>
      </c>
      <c r="P431" s="107">
        <f t="shared" si="385"/>
        <v>0</v>
      </c>
      <c r="Q431" s="107">
        <f t="shared" si="385"/>
        <v>0</v>
      </c>
      <c r="R431" s="107">
        <f t="shared" si="385"/>
        <v>0</v>
      </c>
      <c r="S431" s="107">
        <f t="shared" si="385"/>
        <v>0</v>
      </c>
      <c r="T431" s="107">
        <f t="shared" si="385"/>
        <v>0</v>
      </c>
      <c r="U431" s="107">
        <f t="shared" si="385"/>
        <v>0</v>
      </c>
      <c r="V431" s="107">
        <f t="shared" si="385"/>
        <v>0</v>
      </c>
      <c r="W431" s="107">
        <f t="shared" si="385"/>
        <v>0</v>
      </c>
      <c r="X431" s="107">
        <f t="shared" si="385"/>
        <v>0</v>
      </c>
      <c r="Y431" s="107">
        <f t="shared" si="385"/>
        <v>0</v>
      </c>
      <c r="Z431" s="107">
        <f t="shared" si="385"/>
        <v>0</v>
      </c>
      <c r="AA431" s="107">
        <f t="shared" si="385"/>
        <v>0</v>
      </c>
      <c r="AB431" s="107">
        <f t="shared" si="385"/>
        <v>0</v>
      </c>
      <c r="AC431" s="107">
        <f t="shared" si="385"/>
        <v>0</v>
      </c>
      <c r="AD431" s="107">
        <f t="shared" si="385"/>
        <v>0</v>
      </c>
      <c r="AE431" s="107">
        <f t="shared" si="385"/>
        <v>0</v>
      </c>
      <c r="AF431" s="107">
        <f t="shared" si="385"/>
        <v>0</v>
      </c>
      <c r="AG431" s="107">
        <f t="shared" si="385"/>
        <v>0</v>
      </c>
      <c r="AH431" s="107">
        <f t="shared" si="385"/>
        <v>0</v>
      </c>
      <c r="AI431" s="107">
        <f t="shared" si="385"/>
        <v>0</v>
      </c>
      <c r="AJ431" s="107">
        <f t="shared" si="385"/>
        <v>0</v>
      </c>
      <c r="AK431" s="107">
        <f t="shared" si="385"/>
        <v>0</v>
      </c>
      <c r="AL431" s="4"/>
      <c r="AM431" s="43">
        <v>415</v>
      </c>
      <c r="AN431">
        <v>18.668154761904759</v>
      </c>
      <c r="AO431">
        <v>5.6733870178933303</v>
      </c>
      <c r="AP431">
        <v>297.01585874723253</v>
      </c>
      <c r="AQ431">
        <v>41.265074643469568</v>
      </c>
      <c r="AR431">
        <v>5.2118958325806028</v>
      </c>
      <c r="AS431">
        <v>55.720040319750069</v>
      </c>
      <c r="AT431" t="e">
        <v>#DIV/0!</v>
      </c>
      <c r="AU431" t="e">
        <v>#DIV/0!</v>
      </c>
      <c r="AV431"/>
      <c r="AW431"/>
      <c r="FY431" s="213">
        <v>426</v>
      </c>
      <c r="FZ431">
        <v>0</v>
      </c>
      <c r="GA431">
        <v>8.8974982948778223</v>
      </c>
      <c r="GB431">
        <v>4.4123528678861277</v>
      </c>
      <c r="GC431">
        <v>0.61725169575072358</v>
      </c>
      <c r="GD431">
        <v>1.3851157116223438</v>
      </c>
      <c r="GE431">
        <v>2.1401229209378743</v>
      </c>
      <c r="GF431">
        <v>0.47734812494006024</v>
      </c>
      <c r="GG431">
        <v>0.10673875663404474</v>
      </c>
      <c r="GH431">
        <v>0.14058242252415507</v>
      </c>
      <c r="GI431">
        <v>2.0918874067282838</v>
      </c>
      <c r="GJ431"/>
      <c r="GK431"/>
      <c r="GL431"/>
      <c r="GM431"/>
      <c r="GN431" s="208"/>
      <c r="GO431" s="208"/>
      <c r="GP431" s="208"/>
      <c r="GQ431" s="208"/>
      <c r="GR431" s="208"/>
      <c r="GS431" s="208"/>
      <c r="GT431" s="208"/>
      <c r="GU431" s="213">
        <v>426</v>
      </c>
    </row>
    <row r="432" spans="1:203" s="7" customFormat="1">
      <c r="A432" s="4"/>
      <c r="B432" s="48" t="s">
        <v>122</v>
      </c>
      <c r="C432" s="107">
        <f t="shared" si="384"/>
        <v>4.8563875670878982</v>
      </c>
      <c r="D432" s="191">
        <f>A$414</f>
        <v>10.51</v>
      </c>
      <c r="E432" s="8"/>
      <c r="F432" s="124"/>
      <c r="G432" s="107">
        <f t="shared" si="386"/>
        <v>2.8196420905734712E-4</v>
      </c>
      <c r="H432" s="107">
        <f t="shared" ref="H432:AK432" si="387">(($A$453+$A$455*(H$422)+($A$457*$D432))*($E30*H46))</f>
        <v>1.073829904240505E-2</v>
      </c>
      <c r="I432" s="107">
        <f t="shared" si="387"/>
        <v>0.58417711185504118</v>
      </c>
      <c r="J432" s="107">
        <f t="shared" si="387"/>
        <v>0.83986727636563963</v>
      </c>
      <c r="K432" s="107">
        <f t="shared" si="387"/>
        <v>1.7198307566629232</v>
      </c>
      <c r="L432" s="107">
        <f t="shared" si="387"/>
        <v>0.37281510475243579</v>
      </c>
      <c r="M432" s="107">
        <f t="shared" si="387"/>
        <v>0.39049808621134735</v>
      </c>
      <c r="N432" s="107">
        <f t="shared" si="387"/>
        <v>0.56180665369964411</v>
      </c>
      <c r="O432" s="107">
        <f t="shared" si="387"/>
        <v>0.37637231428940426</v>
      </c>
      <c r="P432" s="107">
        <f t="shared" si="387"/>
        <v>0</v>
      </c>
      <c r="Q432" s="107">
        <f t="shared" si="387"/>
        <v>0</v>
      </c>
      <c r="R432" s="107">
        <f t="shared" si="387"/>
        <v>0</v>
      </c>
      <c r="S432" s="107">
        <f t="shared" si="387"/>
        <v>0</v>
      </c>
      <c r="T432" s="107">
        <f t="shared" si="387"/>
        <v>0</v>
      </c>
      <c r="U432" s="107">
        <f t="shared" si="387"/>
        <v>0</v>
      </c>
      <c r="V432" s="107">
        <f t="shared" si="387"/>
        <v>0</v>
      </c>
      <c r="W432" s="107">
        <f t="shared" si="387"/>
        <v>0</v>
      </c>
      <c r="X432" s="107">
        <f t="shared" si="387"/>
        <v>0</v>
      </c>
      <c r="Y432" s="107">
        <f t="shared" si="387"/>
        <v>0</v>
      </c>
      <c r="Z432" s="107">
        <f t="shared" si="387"/>
        <v>0</v>
      </c>
      <c r="AA432" s="107">
        <f t="shared" si="387"/>
        <v>0</v>
      </c>
      <c r="AB432" s="107">
        <f t="shared" si="387"/>
        <v>0</v>
      </c>
      <c r="AC432" s="107">
        <f t="shared" si="387"/>
        <v>0</v>
      </c>
      <c r="AD432" s="107">
        <f t="shared" si="387"/>
        <v>0</v>
      </c>
      <c r="AE432" s="107">
        <f t="shared" si="387"/>
        <v>0</v>
      </c>
      <c r="AF432" s="107">
        <f t="shared" si="387"/>
        <v>0</v>
      </c>
      <c r="AG432" s="107">
        <f t="shared" si="387"/>
        <v>0</v>
      </c>
      <c r="AH432" s="107">
        <f t="shared" si="387"/>
        <v>0</v>
      </c>
      <c r="AI432" s="107">
        <f t="shared" si="387"/>
        <v>0</v>
      </c>
      <c r="AJ432" s="107">
        <f t="shared" si="387"/>
        <v>0</v>
      </c>
      <c r="AK432" s="107">
        <f t="shared" si="387"/>
        <v>0</v>
      </c>
      <c r="AL432" s="4"/>
      <c r="AM432" s="43">
        <v>416</v>
      </c>
      <c r="AN432">
        <v>33.568470309810671</v>
      </c>
      <c r="AO432">
        <v>8.4881727505993165</v>
      </c>
      <c r="AP432">
        <v>164.5724384181139</v>
      </c>
      <c r="AQ432">
        <v>56.576169140173931</v>
      </c>
      <c r="AR432">
        <v>7.8250632240818048</v>
      </c>
      <c r="AS432">
        <v>107.98241915405922</v>
      </c>
      <c r="AT432" t="e">
        <v>#DIV/0!</v>
      </c>
      <c r="AU432" t="e">
        <v>#DIV/0!</v>
      </c>
      <c r="AV432"/>
      <c r="AW432"/>
      <c r="FY432" s="213">
        <v>427</v>
      </c>
      <c r="FZ432">
        <v>1.596276202757001</v>
      </c>
      <c r="GA432">
        <v>16.122726625302544</v>
      </c>
      <c r="GB432">
        <v>7.0818477721450375</v>
      </c>
      <c r="GC432">
        <v>1.3868293271048187</v>
      </c>
      <c r="GD432">
        <v>1.6592553380924495</v>
      </c>
      <c r="GE432">
        <v>1.7889849065315424</v>
      </c>
      <c r="GF432">
        <v>0.95469624988012047</v>
      </c>
      <c r="GG432">
        <v>3.6204432916679012</v>
      </c>
      <c r="GH432">
        <v>4.8850543213760211</v>
      </c>
      <c r="GI432">
        <v>4.0130209545817284</v>
      </c>
      <c r="GJ432"/>
      <c r="GK432"/>
      <c r="GL432"/>
      <c r="GM432"/>
      <c r="GN432" s="208"/>
      <c r="GO432" s="208"/>
      <c r="GP432" s="208"/>
      <c r="GQ432" s="208"/>
      <c r="GR432" s="208"/>
      <c r="GS432" s="208"/>
      <c r="GT432" s="208"/>
      <c r="GU432" s="213">
        <v>427</v>
      </c>
    </row>
    <row r="433" spans="1:203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33.629549808429118</v>
      </c>
      <c r="AO433">
        <v>6.1866033842539654</v>
      </c>
      <c r="AP433">
        <v>334.24008074644649</v>
      </c>
      <c r="AQ433">
        <v>39.740735520581474</v>
      </c>
      <c r="AR433">
        <v>5.6241848947763327</v>
      </c>
      <c r="AS433">
        <v>81.750511846595614</v>
      </c>
      <c r="AT433" t="e">
        <v>#DIV/0!</v>
      </c>
      <c r="AU433" t="e">
        <v>#DIV/0!</v>
      </c>
      <c r="AV433"/>
      <c r="AW433"/>
      <c r="FY433" s="213">
        <v>428</v>
      </c>
      <c r="FZ433">
        <v>2.1834373233262436</v>
      </c>
      <c r="GA433">
        <v>16.674600438250422</v>
      </c>
      <c r="GB433">
        <v>7.4018863642243611</v>
      </c>
      <c r="GC433">
        <v>1.4704795778396331</v>
      </c>
      <c r="GD433">
        <v>2.8411010882525543</v>
      </c>
      <c r="GE433">
        <v>4.6424011701546046</v>
      </c>
      <c r="GF433">
        <v>1.9093924997602409</v>
      </c>
      <c r="GG433">
        <v>1.7866400991329137</v>
      </c>
      <c r="GH433">
        <v>2.5769808871077484</v>
      </c>
      <c r="GI433">
        <v>4.7487338793565623</v>
      </c>
      <c r="GJ433"/>
      <c r="GK433"/>
      <c r="GL433"/>
      <c r="GM433"/>
      <c r="GN433" s="208"/>
      <c r="GO433" s="208"/>
      <c r="GP433" s="208"/>
      <c r="GQ433" s="208"/>
      <c r="GR433" s="208"/>
      <c r="GS433" s="208"/>
      <c r="GT433" s="208"/>
      <c r="GU433" s="213">
        <v>428</v>
      </c>
    </row>
    <row r="434" spans="1:203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16.895936784906453</v>
      </c>
      <c r="AO434">
        <v>6.11994322154505</v>
      </c>
      <c r="AP434">
        <v>241.57237183462672</v>
      </c>
      <c r="AQ434">
        <v>38.782088571279161</v>
      </c>
      <c r="AR434">
        <v>5.672127288577923</v>
      </c>
      <c r="AS434">
        <v>56.332995950620898</v>
      </c>
      <c r="AT434" t="e">
        <v>#DIV/0!</v>
      </c>
      <c r="AU434" t="e">
        <v>#DIV/0!</v>
      </c>
      <c r="AV434"/>
      <c r="AW434"/>
      <c r="FY434" s="213">
        <v>429</v>
      </c>
      <c r="FZ434">
        <v>1.1743222411384853</v>
      </c>
      <c r="GA434">
        <v>13.538380220815755</v>
      </c>
      <c r="GB434">
        <v>6.7639310523600304</v>
      </c>
      <c r="GC434">
        <v>2.2866320093547907</v>
      </c>
      <c r="GD434">
        <v>3.409919041814454</v>
      </c>
      <c r="GE434">
        <v>3.3494262881027748</v>
      </c>
      <c r="GF434">
        <v>0</v>
      </c>
      <c r="GG434">
        <v>1.2236488308140425</v>
      </c>
      <c r="GH434">
        <v>1.6162904615070524</v>
      </c>
      <c r="GI434">
        <v>4.1457408005424883</v>
      </c>
      <c r="GJ434"/>
      <c r="GK434"/>
      <c r="GL434"/>
      <c r="GM434"/>
      <c r="GN434" s="208"/>
      <c r="GO434" s="208"/>
      <c r="GP434" s="208"/>
      <c r="GQ434" s="208"/>
      <c r="GR434" s="208"/>
      <c r="GS434" s="208"/>
      <c r="GT434" s="208"/>
      <c r="GU434" s="213">
        <v>429</v>
      </c>
    </row>
    <row r="435" spans="1:203" s="7" customFormat="1">
      <c r="A435" s="4"/>
      <c r="B435" s="52" t="s">
        <v>53</v>
      </c>
      <c r="C435" s="53">
        <f>SUM(C423:C434)</f>
        <v>50.576151400294968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55.22554091571542</v>
      </c>
      <c r="AO435">
        <v>10.814528472898564</v>
      </c>
      <c r="AP435">
        <v>566.17812884242767</v>
      </c>
      <c r="AQ435">
        <v>69.469328079186425</v>
      </c>
      <c r="AR435">
        <v>9.9399320625356626</v>
      </c>
      <c r="AS435">
        <v>148.35036836301398</v>
      </c>
      <c r="AT435" t="e">
        <v>#DIV/0!</v>
      </c>
      <c r="AU435" t="e">
        <v>#DIV/0!</v>
      </c>
      <c r="AV435"/>
      <c r="AW435"/>
      <c r="FY435" s="213">
        <v>430</v>
      </c>
      <c r="FZ435">
        <v>1.1743222411384853</v>
      </c>
      <c r="GA435">
        <v>15.597816184120326</v>
      </c>
      <c r="GB435">
        <v>7.6716026259778971</v>
      </c>
      <c r="GC435">
        <v>0.60987192178013072</v>
      </c>
      <c r="GD435">
        <v>1.1869992021826359</v>
      </c>
      <c r="GE435">
        <v>2.3358073535736952</v>
      </c>
      <c r="GF435">
        <v>1.432044374820181</v>
      </c>
      <c r="GG435">
        <v>1.9422120028551084</v>
      </c>
      <c r="GH435">
        <v>2.565018114784734</v>
      </c>
      <c r="GI435">
        <v>3.5758363226645349</v>
      </c>
      <c r="GJ435"/>
      <c r="GK435"/>
      <c r="GL435"/>
      <c r="GM435"/>
      <c r="GN435" s="208"/>
      <c r="GO435" s="208"/>
      <c r="GP435" s="208"/>
      <c r="GQ435" s="208"/>
      <c r="GR435" s="208"/>
      <c r="GS435" s="208"/>
      <c r="GT435" s="208"/>
      <c r="GU435" s="213">
        <v>430</v>
      </c>
    </row>
    <row r="436" spans="1:203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18.385605640954623</v>
      </c>
      <c r="AO436">
        <v>5.4798954823532888</v>
      </c>
      <c r="AP436">
        <v>293.74558718429364</v>
      </c>
      <c r="AQ436">
        <v>40.754042999176072</v>
      </c>
      <c r="AR436">
        <v>5.0359944366351099</v>
      </c>
      <c r="AS436">
        <v>59.339552512404254</v>
      </c>
      <c r="AT436" t="e">
        <v>#DIV/0!</v>
      </c>
      <c r="AU436" t="e">
        <v>#DIV/0!</v>
      </c>
      <c r="AV436"/>
      <c r="AW436"/>
      <c r="FY436" s="213">
        <v>431</v>
      </c>
      <c r="FZ436">
        <v>4.3668746466524873</v>
      </c>
      <c r="GA436">
        <v>19.212101647715144</v>
      </c>
      <c r="GB436">
        <v>7.7000676986422887</v>
      </c>
      <c r="GC436">
        <v>1.2271236175308542</v>
      </c>
      <c r="GD436">
        <v>3.0877975314808008</v>
      </c>
      <c r="GE436">
        <v>4.3497321782290959</v>
      </c>
      <c r="GF436">
        <v>0</v>
      </c>
      <c r="GG436">
        <v>5.5121520937487842</v>
      </c>
      <c r="GH436">
        <v>7.4862553730156183</v>
      </c>
      <c r="GI436">
        <v>5.6808579611786651</v>
      </c>
      <c r="GJ436"/>
      <c r="GK436"/>
      <c r="GL436"/>
      <c r="GM436"/>
      <c r="GN436" s="208"/>
      <c r="GO436" s="208"/>
      <c r="GP436" s="208"/>
      <c r="GQ436" s="208"/>
      <c r="GR436" s="208"/>
      <c r="GS436" s="208"/>
      <c r="GT436" s="208"/>
      <c r="GU436" s="213">
        <v>431</v>
      </c>
    </row>
    <row r="437" spans="1:203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32.644363166953525</v>
      </c>
      <c r="AO437">
        <v>8.5833523363102149</v>
      </c>
      <c r="AP437">
        <v>183.9417699290093</v>
      </c>
      <c r="AQ437">
        <v>57.401722550933023</v>
      </c>
      <c r="AR437">
        <v>7.8573188493232244</v>
      </c>
      <c r="AS437">
        <v>99.157156261425058</v>
      </c>
      <c r="AT437" t="e">
        <v>#DIV/0!</v>
      </c>
      <c r="AU437" t="e">
        <v>#DIV/0!</v>
      </c>
      <c r="AV437"/>
      <c r="AW437"/>
      <c r="FY437" s="213">
        <v>432</v>
      </c>
      <c r="FZ437">
        <v>5.3759897288402456</v>
      </c>
      <c r="GA437">
        <v>18.122935626224628</v>
      </c>
      <c r="GB437">
        <v>6.2904052506724444</v>
      </c>
      <c r="GC437">
        <v>2.3505772380318346</v>
      </c>
      <c r="GD437">
        <v>2.8335106784541946</v>
      </c>
      <c r="GE437">
        <v>2.0816818641205512</v>
      </c>
      <c r="GF437">
        <v>0</v>
      </c>
      <c r="GG437">
        <v>1.6799013424988689</v>
      </c>
      <c r="GH437">
        <v>2.436398464583593</v>
      </c>
      <c r="GI437">
        <v>4.4510871827126621</v>
      </c>
      <c r="GJ437"/>
      <c r="GK437"/>
      <c r="GL437"/>
      <c r="GM437"/>
      <c r="GN437" s="208"/>
      <c r="GO437" s="208"/>
      <c r="GP437" s="208"/>
      <c r="GQ437" s="208"/>
      <c r="GR437" s="208"/>
      <c r="GS437" s="208"/>
      <c r="GT437" s="208"/>
      <c r="GU437" s="213">
        <v>432</v>
      </c>
    </row>
    <row r="438" spans="1:203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27.270833333333336</v>
      </c>
      <c r="AO438">
        <v>7.3465797639216204</v>
      </c>
      <c r="AP438">
        <v>273.30585990506256</v>
      </c>
      <c r="AQ438">
        <v>52.164847671488914</v>
      </c>
      <c r="AR438">
        <v>6.6787088762923812</v>
      </c>
      <c r="AS438">
        <v>98.932723578009117</v>
      </c>
      <c r="AT438" t="e">
        <v>#DIV/0!</v>
      </c>
      <c r="AU438" t="e">
        <v>#DIV/0!</v>
      </c>
      <c r="AV438"/>
      <c r="AW438"/>
      <c r="FY438" s="213">
        <v>433</v>
      </c>
      <c r="FZ438">
        <v>6.385104811028004</v>
      </c>
      <c r="GA438">
        <v>20.691666965704066</v>
      </c>
      <c r="GB438">
        <v>6.6017435086684237</v>
      </c>
      <c r="GC438">
        <v>2.0432760490460127</v>
      </c>
      <c r="GD438">
        <v>2.548641388684433</v>
      </c>
      <c r="GE438">
        <v>2.5647023849572337</v>
      </c>
      <c r="GF438">
        <v>0.95469624988012047</v>
      </c>
      <c r="GG438">
        <v>3.010288929946956</v>
      </c>
      <c r="GH438">
        <v>4.1932713486148003</v>
      </c>
      <c r="GI438">
        <v>4.9358291956127411</v>
      </c>
      <c r="GJ438"/>
      <c r="GK438"/>
      <c r="GL438"/>
      <c r="GM438"/>
      <c r="GN438" s="208"/>
      <c r="GO438" s="208"/>
      <c r="GP438" s="208"/>
      <c r="GQ438" s="208"/>
      <c r="GR438" s="208"/>
      <c r="GS438" s="208"/>
      <c r="GT438" s="208"/>
      <c r="GU438" s="213">
        <v>433</v>
      </c>
    </row>
    <row r="439" spans="1:203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33.259767106191596</v>
      </c>
      <c r="AO439">
        <v>6.8159826241347687</v>
      </c>
      <c r="AP439">
        <v>225.99177014171056</v>
      </c>
      <c r="AQ439">
        <v>45.004071843383819</v>
      </c>
      <c r="AR439">
        <v>6.1963478401225176</v>
      </c>
      <c r="AS439">
        <v>77.533708983068934</v>
      </c>
      <c r="AT439" t="e">
        <v>#DIV/0!</v>
      </c>
      <c r="AU439" t="e">
        <v>#DIV/0!</v>
      </c>
      <c r="AV439"/>
      <c r="AW439"/>
      <c r="FY439" s="213">
        <v>434</v>
      </c>
      <c r="FZ439">
        <v>1.596276202757001</v>
      </c>
      <c r="GA439">
        <v>11.256555674305041</v>
      </c>
      <c r="GB439">
        <v>4.4767242440724484</v>
      </c>
      <c r="GC439">
        <v>0.5903819176474312</v>
      </c>
      <c r="GD439">
        <v>1.1719962289792207</v>
      </c>
      <c r="GE439">
        <v>1.4577584293019186</v>
      </c>
      <c r="GF439">
        <v>0</v>
      </c>
      <c r="GG439">
        <v>2.9035501733129117</v>
      </c>
      <c r="GH439">
        <v>4.0526889260906458</v>
      </c>
      <c r="GI439">
        <v>2.8119146088184048</v>
      </c>
      <c r="GJ439"/>
      <c r="GK439"/>
      <c r="GL439"/>
      <c r="GM439"/>
      <c r="GN439" s="208"/>
      <c r="GO439" s="208"/>
      <c r="GP439" s="208"/>
      <c r="GQ439" s="208"/>
      <c r="GR439" s="208"/>
      <c r="GS439" s="208"/>
      <c r="GT439" s="208"/>
      <c r="GU439" s="213">
        <v>434</v>
      </c>
    </row>
    <row r="440" spans="1:203" s="7" customFormat="1">
      <c r="A440" s="1">
        <v>8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20.450243296667789</v>
      </c>
      <c r="AO440">
        <v>5.7527801187977303</v>
      </c>
      <c r="AP440">
        <v>316.65829604143408</v>
      </c>
      <c r="AQ440">
        <v>39.061365907529996</v>
      </c>
      <c r="AR440">
        <v>5.2840713788573304</v>
      </c>
      <c r="AS440">
        <v>60.537624038679212</v>
      </c>
      <c r="AT440" t="e">
        <v>#DIV/0!</v>
      </c>
      <c r="AU440" t="e">
        <v>#DIV/0!</v>
      </c>
      <c r="AV440"/>
      <c r="AW440"/>
      <c r="FY440" s="213">
        <v>435</v>
      </c>
      <c r="FZ440">
        <v>1.1743222411384853</v>
      </c>
      <c r="GA440">
        <v>21.588650044872093</v>
      </c>
      <c r="GB440">
        <v>10.802909003264247</v>
      </c>
      <c r="GC440">
        <v>1.79870293881023</v>
      </c>
      <c r="GD440">
        <v>2.6933898979793018</v>
      </c>
      <c r="GE440">
        <v>2.6577318309872413</v>
      </c>
      <c r="GF440">
        <v>0</v>
      </c>
      <c r="GG440">
        <v>5.2498414333925441</v>
      </c>
      <c r="GH440">
        <v>7.3576357228144769</v>
      </c>
      <c r="GI440">
        <v>5.6904265910831642</v>
      </c>
      <c r="GJ440"/>
      <c r="GK440"/>
      <c r="GL440"/>
      <c r="GM440"/>
      <c r="GN440" s="208"/>
      <c r="GO440" s="208"/>
      <c r="GP440" s="208"/>
      <c r="GQ440" s="208"/>
      <c r="GR440" s="208"/>
      <c r="GS440" s="208"/>
      <c r="GT440" s="208"/>
      <c r="GU440" s="213">
        <v>435</v>
      </c>
    </row>
    <row r="441" spans="1:203" s="7" customFormat="1">
      <c r="A441" s="21" t="s">
        <v>97</v>
      </c>
      <c r="B441" s="48" t="s">
        <v>38</v>
      </c>
      <c r="C441" s="107">
        <f t="shared" ref="C441:C450" si="388">SUM(G441:AK441)</f>
        <v>2.7705984438954863</v>
      </c>
      <c r="D441" s="191">
        <f>$A$405</f>
        <v>13.69</v>
      </c>
      <c r="E441" s="8"/>
      <c r="F441" s="124"/>
      <c r="G441" s="107" t="str">
        <f t="shared" ref="G441:G450" si="389">IF(G423&lt;=0, "0.000", G423)</f>
        <v>0.000</v>
      </c>
      <c r="H441" s="107" t="str">
        <f t="shared" ref="H441:AK441" si="390">IF(H423&lt;=0, "0.000", H423)</f>
        <v>0.000</v>
      </c>
      <c r="I441" s="107">
        <f t="shared" si="390"/>
        <v>3.8187364199102132E-2</v>
      </c>
      <c r="J441" s="107">
        <f t="shared" si="390"/>
        <v>0.22357095999547494</v>
      </c>
      <c r="K441" s="107">
        <f t="shared" si="390"/>
        <v>1.6638147420002685</v>
      </c>
      <c r="L441" s="107">
        <f t="shared" si="390"/>
        <v>0.84502537770064079</v>
      </c>
      <c r="M441" s="107" t="str">
        <f t="shared" si="390"/>
        <v>0.000</v>
      </c>
      <c r="N441" s="107" t="str">
        <f t="shared" si="390"/>
        <v>0.000</v>
      </c>
      <c r="O441" s="107" t="str">
        <f t="shared" si="390"/>
        <v>0.000</v>
      </c>
      <c r="P441" s="107" t="str">
        <f t="shared" si="390"/>
        <v>0.000</v>
      </c>
      <c r="Q441" s="107" t="str">
        <f t="shared" si="390"/>
        <v>0.000</v>
      </c>
      <c r="R441" s="107" t="str">
        <f t="shared" si="390"/>
        <v>0.000</v>
      </c>
      <c r="S441" s="107" t="str">
        <f t="shared" si="390"/>
        <v>0.000</v>
      </c>
      <c r="T441" s="107" t="str">
        <f t="shared" si="390"/>
        <v>0.000</v>
      </c>
      <c r="U441" s="107" t="str">
        <f t="shared" si="390"/>
        <v>0.000</v>
      </c>
      <c r="V441" s="107" t="str">
        <f t="shared" si="390"/>
        <v>0.000</v>
      </c>
      <c r="W441" s="107" t="str">
        <f t="shared" si="390"/>
        <v>0.000</v>
      </c>
      <c r="X441" s="107" t="str">
        <f t="shared" si="390"/>
        <v>0.000</v>
      </c>
      <c r="Y441" s="107" t="str">
        <f t="shared" si="390"/>
        <v>0.000</v>
      </c>
      <c r="Z441" s="107" t="str">
        <f t="shared" si="390"/>
        <v>0.000</v>
      </c>
      <c r="AA441" s="107" t="str">
        <f t="shared" si="390"/>
        <v>0.000</v>
      </c>
      <c r="AB441" s="107" t="str">
        <f t="shared" si="390"/>
        <v>0.000</v>
      </c>
      <c r="AC441" s="107" t="str">
        <f t="shared" si="390"/>
        <v>0.000</v>
      </c>
      <c r="AD441" s="107" t="str">
        <f t="shared" si="390"/>
        <v>0.000</v>
      </c>
      <c r="AE441" s="107" t="str">
        <f t="shared" si="390"/>
        <v>0.000</v>
      </c>
      <c r="AF441" s="107" t="str">
        <f t="shared" si="390"/>
        <v>0.000</v>
      </c>
      <c r="AG441" s="107" t="str">
        <f t="shared" si="390"/>
        <v>0.000</v>
      </c>
      <c r="AH441" s="107" t="str">
        <f t="shared" si="390"/>
        <v>0.000</v>
      </c>
      <c r="AI441" s="107" t="str">
        <f t="shared" si="390"/>
        <v>0.000</v>
      </c>
      <c r="AJ441" s="107" t="str">
        <f t="shared" si="390"/>
        <v>0.000</v>
      </c>
      <c r="AK441" s="107" t="str">
        <f t="shared" si="390"/>
        <v>0.000</v>
      </c>
      <c r="AL441" s="4"/>
      <c r="AM441" s="43">
        <v>425</v>
      </c>
      <c r="AN441">
        <v>33.769552141241491</v>
      </c>
      <c r="AO441">
        <v>6.9480001647926359</v>
      </c>
      <c r="AP441">
        <v>106.89909637527484</v>
      </c>
      <c r="AQ441">
        <v>47.950207933408123</v>
      </c>
      <c r="AR441">
        <v>6.3706350570345176</v>
      </c>
      <c r="AS441">
        <v>82.709896570563316</v>
      </c>
      <c r="AT441" t="e">
        <v>#DIV/0!</v>
      </c>
      <c r="AU441" t="e">
        <v>#DIV/0!</v>
      </c>
      <c r="AV441"/>
      <c r="AW441"/>
      <c r="FY441" s="213">
        <v>436</v>
      </c>
      <c r="FZ441">
        <v>3.7797135260832437</v>
      </c>
      <c r="GA441">
        <v>20.484283483531605</v>
      </c>
      <c r="GB441">
        <v>8.3000582321916561</v>
      </c>
      <c r="GC441">
        <v>2.1133839017666447</v>
      </c>
      <c r="GD441">
        <v>1.725587623696534</v>
      </c>
      <c r="GE441">
        <v>1.0813619911624808</v>
      </c>
      <c r="GF441">
        <v>1.432044374820181</v>
      </c>
      <c r="GG441">
        <v>6.504457803041312</v>
      </c>
      <c r="GH441">
        <v>9.3480667552937575</v>
      </c>
      <c r="GI441">
        <v>5.4872151045336253</v>
      </c>
      <c r="GJ441"/>
      <c r="GK441"/>
      <c r="GL441"/>
      <c r="GM441"/>
      <c r="GN441" s="208"/>
      <c r="GO441" s="208"/>
      <c r="GP441" s="208"/>
      <c r="GQ441" s="208"/>
      <c r="GR441" s="208"/>
      <c r="GS441" s="208"/>
      <c r="GT441" s="208"/>
      <c r="GU441" s="213">
        <v>436</v>
      </c>
    </row>
    <row r="442" spans="1:203" s="7" customFormat="1">
      <c r="A442" s="1">
        <v>200</v>
      </c>
      <c r="B442" s="48" t="s">
        <v>39</v>
      </c>
      <c r="C442" s="107">
        <f t="shared" si="388"/>
        <v>20.837209611396961</v>
      </c>
      <c r="D442" s="191">
        <f>$A$406</f>
        <v>9.4499999999999993</v>
      </c>
      <c r="E442" s="8"/>
      <c r="F442" s="124"/>
      <c r="G442" s="173" t="str">
        <f t="shared" si="389"/>
        <v>0.000</v>
      </c>
      <c r="H442" s="173" t="str">
        <f t="shared" ref="H442:V442" si="391">IF(H424&lt;=0, "0.000", H424)</f>
        <v>0.000</v>
      </c>
      <c r="I442" s="173">
        <f t="shared" si="391"/>
        <v>4.5154075063826807E-2</v>
      </c>
      <c r="J442" s="173">
        <f t="shared" si="391"/>
        <v>5.0123467200837357</v>
      </c>
      <c r="K442" s="173">
        <f t="shared" si="391"/>
        <v>12.574025420266095</v>
      </c>
      <c r="L442" s="173">
        <f t="shared" si="391"/>
        <v>0.98758770648947836</v>
      </c>
      <c r="M442" s="173" t="str">
        <f t="shared" si="391"/>
        <v>0.000</v>
      </c>
      <c r="N442" s="173">
        <f t="shared" si="391"/>
        <v>2.2180956894938242</v>
      </c>
      <c r="O442" s="173" t="str">
        <f t="shared" si="391"/>
        <v>0.000</v>
      </c>
      <c r="P442" s="173" t="str">
        <f t="shared" si="391"/>
        <v>0.000</v>
      </c>
      <c r="Q442" s="173" t="str">
        <f t="shared" si="391"/>
        <v>0.000</v>
      </c>
      <c r="R442" s="173" t="str">
        <f t="shared" si="391"/>
        <v>0.000</v>
      </c>
      <c r="S442" s="173" t="str">
        <f t="shared" si="391"/>
        <v>0.000</v>
      </c>
      <c r="T442" s="173" t="str">
        <f t="shared" si="391"/>
        <v>0.000</v>
      </c>
      <c r="U442" s="173" t="str">
        <f t="shared" si="391"/>
        <v>0.000</v>
      </c>
      <c r="V442" s="173" t="str">
        <f t="shared" si="391"/>
        <v>0.000</v>
      </c>
      <c r="W442" s="173" t="str">
        <f t="shared" ref="W442:AK442" si="392">IF(W424&lt;=0, "0.000", W424)</f>
        <v>0.000</v>
      </c>
      <c r="X442" s="173" t="str">
        <f t="shared" si="392"/>
        <v>0.000</v>
      </c>
      <c r="Y442" s="173" t="str">
        <f t="shared" si="392"/>
        <v>0.000</v>
      </c>
      <c r="Z442" s="173" t="str">
        <f t="shared" si="392"/>
        <v>0.000</v>
      </c>
      <c r="AA442" s="173" t="str">
        <f t="shared" si="392"/>
        <v>0.000</v>
      </c>
      <c r="AB442" s="173" t="str">
        <f t="shared" si="392"/>
        <v>0.000</v>
      </c>
      <c r="AC442" s="173" t="str">
        <f t="shared" si="392"/>
        <v>0.000</v>
      </c>
      <c r="AD442" s="173" t="str">
        <f t="shared" si="392"/>
        <v>0.000</v>
      </c>
      <c r="AE442" s="173" t="str">
        <f t="shared" si="392"/>
        <v>0.000</v>
      </c>
      <c r="AF442" s="173" t="str">
        <f t="shared" si="392"/>
        <v>0.000</v>
      </c>
      <c r="AG442" s="173" t="str">
        <f t="shared" si="392"/>
        <v>0.000</v>
      </c>
      <c r="AH442" s="173" t="str">
        <f t="shared" si="392"/>
        <v>0.000</v>
      </c>
      <c r="AI442" s="173" t="str">
        <f t="shared" si="392"/>
        <v>0.000</v>
      </c>
      <c r="AJ442" s="173" t="str">
        <f t="shared" si="392"/>
        <v>0.000</v>
      </c>
      <c r="AK442" s="173" t="str">
        <f t="shared" si="392"/>
        <v>0.000</v>
      </c>
      <c r="AL442" s="4"/>
      <c r="AM442" s="43">
        <v>426</v>
      </c>
      <c r="AN442">
        <v>16.37575301204819</v>
      </c>
      <c r="AO442">
        <v>3.2505534534051166</v>
      </c>
      <c r="AP442">
        <v>140.43501018206652</v>
      </c>
      <c r="AQ442">
        <v>20.268898201901436</v>
      </c>
      <c r="AR442">
        <v>2.9550485940046514</v>
      </c>
      <c r="AS442">
        <v>40.235562103424208</v>
      </c>
      <c r="AT442" t="e">
        <v>#DIV/0!</v>
      </c>
      <c r="AU442" t="e">
        <v>#DIV/0!</v>
      </c>
      <c r="AV442"/>
      <c r="AW442"/>
      <c r="FY442" s="213">
        <v>437</v>
      </c>
      <c r="FZ442">
        <v>0</v>
      </c>
      <c r="GA442">
        <v>12.188111480252697</v>
      </c>
      <c r="GB442">
        <v>6.0784819033162014</v>
      </c>
      <c r="GC442">
        <v>1.0020405114277708</v>
      </c>
      <c r="GD442">
        <v>3.2810172275621654</v>
      </c>
      <c r="GE442">
        <v>5.9739475203422989</v>
      </c>
      <c r="GF442">
        <v>1.432044374820181</v>
      </c>
      <c r="GG442">
        <v>7.6971390950206295</v>
      </c>
      <c r="GH442">
        <v>10.590216645828582</v>
      </c>
      <c r="GI442">
        <v>5.5992978749228541</v>
      </c>
      <c r="GJ442"/>
      <c r="GK442"/>
      <c r="GL442"/>
      <c r="GM442"/>
      <c r="GN442" s="208"/>
      <c r="GO442" s="208"/>
      <c r="GP442" s="208"/>
      <c r="GQ442" s="208"/>
      <c r="GR442" s="208"/>
      <c r="GS442" s="208"/>
      <c r="GT442" s="208"/>
      <c r="GU442" s="213">
        <v>437</v>
      </c>
    </row>
    <row r="443" spans="1:203" s="7" customFormat="1">
      <c r="A443" s="103" t="s">
        <v>98</v>
      </c>
      <c r="B443" s="48" t="s">
        <v>40</v>
      </c>
      <c r="C443" s="107">
        <f t="shared" si="388"/>
        <v>9.5174693206710508</v>
      </c>
      <c r="D443" s="191">
        <f>A$407</f>
        <v>4.03</v>
      </c>
      <c r="E443" s="8"/>
      <c r="F443" s="124"/>
      <c r="G443" s="173" t="str">
        <f t="shared" si="389"/>
        <v>0.000</v>
      </c>
      <c r="H443" s="173" t="str">
        <f t="shared" ref="H443:V443" si="393">IF(H425&lt;=0, "0.000", H425)</f>
        <v>0.000</v>
      </c>
      <c r="I443" s="173" t="str">
        <f t="shared" si="393"/>
        <v>0.000</v>
      </c>
      <c r="J443" s="173">
        <f t="shared" si="393"/>
        <v>2.5547104567699557</v>
      </c>
      <c r="K443" s="173">
        <f t="shared" si="393"/>
        <v>5.9235500890516182</v>
      </c>
      <c r="L443" s="173" t="str">
        <f t="shared" si="393"/>
        <v>0.000</v>
      </c>
      <c r="M443" s="173" t="str">
        <f t="shared" si="393"/>
        <v>0.000</v>
      </c>
      <c r="N443" s="173">
        <f t="shared" si="393"/>
        <v>1.0392087748494772</v>
      </c>
      <c r="O443" s="173" t="str">
        <f t="shared" si="393"/>
        <v>0.000</v>
      </c>
      <c r="P443" s="173" t="str">
        <f t="shared" si="393"/>
        <v>0.000</v>
      </c>
      <c r="Q443" s="173" t="str">
        <f t="shared" si="393"/>
        <v>0.000</v>
      </c>
      <c r="R443" s="173" t="str">
        <f t="shared" si="393"/>
        <v>0.000</v>
      </c>
      <c r="S443" s="173" t="str">
        <f t="shared" si="393"/>
        <v>0.000</v>
      </c>
      <c r="T443" s="173" t="str">
        <f t="shared" si="393"/>
        <v>0.000</v>
      </c>
      <c r="U443" s="173" t="str">
        <f t="shared" si="393"/>
        <v>0.000</v>
      </c>
      <c r="V443" s="173" t="str">
        <f t="shared" si="393"/>
        <v>0.000</v>
      </c>
      <c r="W443" s="173" t="str">
        <f t="shared" ref="W443:AK443" si="394">IF(W425&lt;=0, "0.000", W425)</f>
        <v>0.000</v>
      </c>
      <c r="X443" s="173" t="str">
        <f t="shared" si="394"/>
        <v>0.000</v>
      </c>
      <c r="Y443" s="173" t="str">
        <f t="shared" si="394"/>
        <v>0.000</v>
      </c>
      <c r="Z443" s="173" t="str">
        <f t="shared" si="394"/>
        <v>0.000</v>
      </c>
      <c r="AA443" s="173" t="str">
        <f t="shared" si="394"/>
        <v>0.000</v>
      </c>
      <c r="AB443" s="173" t="str">
        <f t="shared" si="394"/>
        <v>0.000</v>
      </c>
      <c r="AC443" s="173" t="str">
        <f t="shared" si="394"/>
        <v>0.000</v>
      </c>
      <c r="AD443" s="173" t="str">
        <f t="shared" si="394"/>
        <v>0.000</v>
      </c>
      <c r="AE443" s="173" t="str">
        <f t="shared" si="394"/>
        <v>0.000</v>
      </c>
      <c r="AF443" s="173" t="str">
        <f t="shared" si="394"/>
        <v>0.000</v>
      </c>
      <c r="AG443" s="173" t="str">
        <f t="shared" si="394"/>
        <v>0.000</v>
      </c>
      <c r="AH443" s="173" t="str">
        <f t="shared" si="394"/>
        <v>0.000</v>
      </c>
      <c r="AI443" s="173" t="str">
        <f t="shared" si="394"/>
        <v>0.000</v>
      </c>
      <c r="AJ443" s="173" t="str">
        <f t="shared" si="394"/>
        <v>0.000</v>
      </c>
      <c r="AK443" s="173" t="str">
        <f t="shared" si="394"/>
        <v>0.000</v>
      </c>
      <c r="AL443" s="4"/>
      <c r="AM443" s="43">
        <v>427</v>
      </c>
      <c r="AN443">
        <v>27.784482758620687</v>
      </c>
      <c r="AO443">
        <v>6.2293588381873182</v>
      </c>
      <c r="AP443">
        <v>153.92277178301578</v>
      </c>
      <c r="AQ443">
        <v>43.109134989439163</v>
      </c>
      <c r="AR443">
        <v>5.6630534892611983</v>
      </c>
      <c r="AS443">
        <v>73.615042150332286</v>
      </c>
      <c r="AT443" t="e">
        <v>#DIV/0!</v>
      </c>
      <c r="AU443" t="e">
        <v>#DIV/0!</v>
      </c>
      <c r="AV443"/>
      <c r="AW443"/>
      <c r="FY443" s="213">
        <v>438</v>
      </c>
      <c r="FZ443">
        <v>0.58716112056924263</v>
      </c>
      <c r="GA443">
        <v>13.97229369528114</v>
      </c>
      <c r="GB443">
        <v>6.940810865262856</v>
      </c>
      <c r="GC443">
        <v>1.3302638723983682</v>
      </c>
      <c r="GD443">
        <v>1.0565327977575527</v>
      </c>
      <c r="GE443">
        <v>0.3604539970541602</v>
      </c>
      <c r="GF443">
        <v>0.47734812494006024</v>
      </c>
      <c r="GG443">
        <v>1.5438651007161768</v>
      </c>
      <c r="GH443">
        <v>2.0380377290795177</v>
      </c>
      <c r="GI443">
        <v>2.8677899989827029</v>
      </c>
      <c r="GJ443"/>
      <c r="GK443"/>
      <c r="GL443"/>
      <c r="GM443"/>
      <c r="GN443" s="208"/>
      <c r="GO443" s="208"/>
      <c r="GP443" s="208"/>
      <c r="GQ443" s="208"/>
      <c r="GR443" s="208"/>
      <c r="GS443" s="208"/>
      <c r="GT443" s="208"/>
      <c r="GU443" s="213">
        <v>438</v>
      </c>
    </row>
    <row r="444" spans="1:203" s="7" customFormat="1">
      <c r="A444" s="1">
        <v>160</v>
      </c>
      <c r="B444" s="48" t="s">
        <v>41</v>
      </c>
      <c r="C444" s="107">
        <f t="shared" si="388"/>
        <v>1.4003717251190004</v>
      </c>
      <c r="D444" s="191">
        <f>A$408</f>
        <v>0.78</v>
      </c>
      <c r="E444" s="8"/>
      <c r="F444" s="124"/>
      <c r="G444" s="173" t="str">
        <f t="shared" si="389"/>
        <v>0.000</v>
      </c>
      <c r="H444" s="173">
        <f t="shared" ref="H444:V444" si="395">IF(H426&lt;=0, "0.000", H426)</f>
        <v>2.0530573338916908E-2</v>
      </c>
      <c r="I444" s="173">
        <f t="shared" si="395"/>
        <v>1.1936784397433997</v>
      </c>
      <c r="J444" s="173">
        <f t="shared" si="395"/>
        <v>0.18616271203668372</v>
      </c>
      <c r="K444" s="173" t="str">
        <f t="shared" si="395"/>
        <v>0.000</v>
      </c>
      <c r="L444" s="173" t="str">
        <f t="shared" si="395"/>
        <v>0.000</v>
      </c>
      <c r="M444" s="173" t="str">
        <f t="shared" si="395"/>
        <v>0.000</v>
      </c>
      <c r="N444" s="173" t="str">
        <f t="shared" si="395"/>
        <v>0.000</v>
      </c>
      <c r="O444" s="173" t="str">
        <f t="shared" si="395"/>
        <v>0.000</v>
      </c>
      <c r="P444" s="173" t="str">
        <f t="shared" si="395"/>
        <v>0.000</v>
      </c>
      <c r="Q444" s="173" t="str">
        <f t="shared" si="395"/>
        <v>0.000</v>
      </c>
      <c r="R444" s="173" t="str">
        <f t="shared" si="395"/>
        <v>0.000</v>
      </c>
      <c r="S444" s="173" t="str">
        <f t="shared" si="395"/>
        <v>0.000</v>
      </c>
      <c r="T444" s="173" t="str">
        <f t="shared" si="395"/>
        <v>0.000</v>
      </c>
      <c r="U444" s="173" t="str">
        <f t="shared" si="395"/>
        <v>0.000</v>
      </c>
      <c r="V444" s="173" t="str">
        <f t="shared" si="395"/>
        <v>0.000</v>
      </c>
      <c r="W444" s="173" t="str">
        <f t="shared" ref="W444:AK444" si="396">IF(W426&lt;=0, "0.000", W426)</f>
        <v>0.000</v>
      </c>
      <c r="X444" s="173" t="str">
        <f t="shared" si="396"/>
        <v>0.000</v>
      </c>
      <c r="Y444" s="173" t="str">
        <f t="shared" si="396"/>
        <v>0.000</v>
      </c>
      <c r="Z444" s="173" t="str">
        <f t="shared" si="396"/>
        <v>0.000</v>
      </c>
      <c r="AA444" s="173" t="str">
        <f t="shared" si="396"/>
        <v>0.000</v>
      </c>
      <c r="AB444" s="173" t="str">
        <f t="shared" si="396"/>
        <v>0.000</v>
      </c>
      <c r="AC444" s="173" t="str">
        <f t="shared" si="396"/>
        <v>0.000</v>
      </c>
      <c r="AD444" s="173" t="str">
        <f t="shared" si="396"/>
        <v>0.000</v>
      </c>
      <c r="AE444" s="173" t="str">
        <f t="shared" si="396"/>
        <v>0.000</v>
      </c>
      <c r="AF444" s="173" t="str">
        <f t="shared" si="396"/>
        <v>0.000</v>
      </c>
      <c r="AG444" s="173" t="str">
        <f t="shared" si="396"/>
        <v>0.000</v>
      </c>
      <c r="AH444" s="173" t="str">
        <f t="shared" si="396"/>
        <v>0.000</v>
      </c>
      <c r="AI444" s="173" t="str">
        <f t="shared" si="396"/>
        <v>0.000</v>
      </c>
      <c r="AJ444" s="173" t="str">
        <f t="shared" si="396"/>
        <v>0.000</v>
      </c>
      <c r="AK444" s="173" t="str">
        <f t="shared" si="396"/>
        <v>0.000</v>
      </c>
      <c r="AL444" s="4"/>
      <c r="AM444" s="43">
        <v>428</v>
      </c>
      <c r="AN444">
        <v>30.058053643143996</v>
      </c>
      <c r="AO444">
        <v>7.3760217929712608</v>
      </c>
      <c r="AP444">
        <v>128.1444058086588</v>
      </c>
      <c r="AQ444">
        <v>46.235653327405288</v>
      </c>
      <c r="AR444">
        <v>6.7597456281059953</v>
      </c>
      <c r="AS444">
        <v>83.627100805698973</v>
      </c>
      <c r="AT444" t="e">
        <v>#DIV/0!</v>
      </c>
      <c r="AU444" t="e">
        <v>#DIV/0!</v>
      </c>
      <c r="AV444"/>
      <c r="AW444"/>
      <c r="FY444" s="213">
        <v>439</v>
      </c>
      <c r="FZ444">
        <v>1.596276202757001</v>
      </c>
      <c r="GA444">
        <v>20.50260355157608</v>
      </c>
      <c r="GB444">
        <v>9.1653084379998546</v>
      </c>
      <c r="GC444">
        <v>0.30257073279430846</v>
      </c>
      <c r="GD444">
        <v>1.5179916970643412</v>
      </c>
      <c r="GE444">
        <v>2.8995884003503094</v>
      </c>
      <c r="GF444">
        <v>0.47734812494006024</v>
      </c>
      <c r="GG444">
        <v>3.9699570467186831</v>
      </c>
      <c r="GH444">
        <v>5.5645799019284059</v>
      </c>
      <c r="GI444">
        <v>4.5176178410032062</v>
      </c>
      <c r="GJ444"/>
      <c r="GK444"/>
      <c r="GL444"/>
      <c r="GM444"/>
      <c r="GN444" s="208"/>
      <c r="GO444" s="208"/>
      <c r="GP444" s="208"/>
      <c r="GQ444" s="208"/>
      <c r="GR444" s="208"/>
      <c r="GS444" s="208"/>
      <c r="GT444" s="208"/>
      <c r="GU444" s="213">
        <v>439</v>
      </c>
    </row>
    <row r="445" spans="1:203" s="7" customFormat="1">
      <c r="A445" s="4"/>
      <c r="B445" s="48" t="s">
        <v>42</v>
      </c>
      <c r="C445" s="107">
        <f t="shared" si="388"/>
        <v>2.1611794115017782</v>
      </c>
      <c r="D445" s="191">
        <f>A$409</f>
        <v>0.14000000000000001</v>
      </c>
      <c r="E445" s="8"/>
      <c r="F445" s="124"/>
      <c r="G445" s="173">
        <f t="shared" si="389"/>
        <v>4.9876894588738938E-4</v>
      </c>
      <c r="H445" s="173">
        <f t="shared" ref="H445:V445" si="397">IF(H427&lt;=0, "0.000", H427)</f>
        <v>1.8974553358200252E-2</v>
      </c>
      <c r="I445" s="173">
        <f t="shared" si="397"/>
        <v>0.94814708303644191</v>
      </c>
      <c r="J445" s="173">
        <f t="shared" si="397"/>
        <v>0.1428489031286771</v>
      </c>
      <c r="K445" s="173" t="str">
        <f t="shared" si="397"/>
        <v>0.000</v>
      </c>
      <c r="L445" s="173">
        <f t="shared" si="397"/>
        <v>0.3963217824519516</v>
      </c>
      <c r="M445" s="173">
        <f t="shared" si="397"/>
        <v>0.28803740613065909</v>
      </c>
      <c r="N445" s="173">
        <f t="shared" si="397"/>
        <v>0.36635091444996082</v>
      </c>
      <c r="O445" s="173" t="str">
        <f t="shared" si="397"/>
        <v>0.000</v>
      </c>
      <c r="P445" s="173" t="str">
        <f t="shared" si="397"/>
        <v>0.000</v>
      </c>
      <c r="Q445" s="173" t="str">
        <f t="shared" si="397"/>
        <v>0.000</v>
      </c>
      <c r="R445" s="173" t="str">
        <f t="shared" si="397"/>
        <v>0.000</v>
      </c>
      <c r="S445" s="173" t="str">
        <f t="shared" si="397"/>
        <v>0.000</v>
      </c>
      <c r="T445" s="173" t="str">
        <f t="shared" si="397"/>
        <v>0.000</v>
      </c>
      <c r="U445" s="173" t="str">
        <f t="shared" si="397"/>
        <v>0.000</v>
      </c>
      <c r="V445" s="173" t="str">
        <f t="shared" si="397"/>
        <v>0.000</v>
      </c>
      <c r="W445" s="173" t="str">
        <f t="shared" ref="W445:AK445" si="398">IF(W427&lt;=0, "0.000", W427)</f>
        <v>0.000</v>
      </c>
      <c r="X445" s="173" t="str">
        <f t="shared" si="398"/>
        <v>0.000</v>
      </c>
      <c r="Y445" s="173" t="str">
        <f t="shared" si="398"/>
        <v>0.000</v>
      </c>
      <c r="Z445" s="173" t="str">
        <f t="shared" si="398"/>
        <v>0.000</v>
      </c>
      <c r="AA445" s="173" t="str">
        <f t="shared" si="398"/>
        <v>0.000</v>
      </c>
      <c r="AB445" s="173" t="str">
        <f t="shared" si="398"/>
        <v>0.000</v>
      </c>
      <c r="AC445" s="173" t="str">
        <f t="shared" si="398"/>
        <v>0.000</v>
      </c>
      <c r="AD445" s="173" t="str">
        <f t="shared" si="398"/>
        <v>0.000</v>
      </c>
      <c r="AE445" s="173" t="str">
        <f t="shared" si="398"/>
        <v>0.000</v>
      </c>
      <c r="AF445" s="173" t="str">
        <f t="shared" si="398"/>
        <v>0.000</v>
      </c>
      <c r="AG445" s="173" t="str">
        <f t="shared" si="398"/>
        <v>0.000</v>
      </c>
      <c r="AH445" s="173" t="str">
        <f t="shared" si="398"/>
        <v>0.000</v>
      </c>
      <c r="AI445" s="173" t="str">
        <f t="shared" si="398"/>
        <v>0.000</v>
      </c>
      <c r="AJ445" s="173" t="str">
        <f t="shared" si="398"/>
        <v>0.000</v>
      </c>
      <c r="AK445" s="173" t="str">
        <f t="shared" si="398"/>
        <v>0.000</v>
      </c>
      <c r="AL445" s="4"/>
      <c r="AM445" s="43">
        <v>429</v>
      </c>
      <c r="AN445">
        <v>38.808206759715368</v>
      </c>
      <c r="AO445">
        <v>6.1931687759377407</v>
      </c>
      <c r="AP445">
        <v>259.1677220928234</v>
      </c>
      <c r="AQ445">
        <v>37.508290946449883</v>
      </c>
      <c r="AR445">
        <v>5.7386959743894597</v>
      </c>
      <c r="AS445">
        <v>96.579777243338796</v>
      </c>
      <c r="AT445" t="e">
        <v>#DIV/0!</v>
      </c>
      <c r="AU445" t="e">
        <v>#DIV/0!</v>
      </c>
      <c r="AV445"/>
      <c r="AW445"/>
      <c r="FY445" s="213">
        <v>440</v>
      </c>
      <c r="FZ445">
        <v>3.7797135260832437</v>
      </c>
      <c r="GA445">
        <v>24.416303412767412</v>
      </c>
      <c r="GB445">
        <v>10.282568641773569</v>
      </c>
      <c r="GC445">
        <v>2.9739915578261473</v>
      </c>
      <c r="GD445">
        <v>3.6890352733173413</v>
      </c>
      <c r="GE445">
        <v>3.4331117858214535</v>
      </c>
      <c r="GF445">
        <v>0.95469624988012047</v>
      </c>
      <c r="GG445">
        <v>1.7866400991329137</v>
      </c>
      <c r="GH445">
        <v>2.5769808871077484</v>
      </c>
      <c r="GI445">
        <v>6.0121672206188501</v>
      </c>
      <c r="GJ445"/>
      <c r="GK445"/>
      <c r="GL445"/>
      <c r="GM445"/>
      <c r="GN445" s="208"/>
      <c r="GO445" s="208"/>
      <c r="GP445" s="208"/>
      <c r="GQ445" s="208"/>
      <c r="GR445" s="208"/>
      <c r="GS445" s="208"/>
      <c r="GT445" s="208"/>
      <c r="GU445" s="213">
        <v>440</v>
      </c>
    </row>
    <row r="446" spans="1:203" s="7" customFormat="1">
      <c r="A446" s="4"/>
      <c r="B446" s="48" t="s">
        <v>118</v>
      </c>
      <c r="C446" s="107">
        <f t="shared" si="388"/>
        <v>2.7892907966578626</v>
      </c>
      <c r="D446" s="191">
        <f>A$410</f>
        <v>0.21</v>
      </c>
      <c r="E446" s="8"/>
      <c r="F446" s="124"/>
      <c r="G446" s="173">
        <f t="shared" si="389"/>
        <v>1.0098375343896204E-3</v>
      </c>
      <c r="H446" s="173">
        <f t="shared" ref="H446:V446" si="399">IF(H428&lt;=0, "0.000", H428)</f>
        <v>6.4029670284250825E-3</v>
      </c>
      <c r="I446" s="173">
        <f t="shared" si="399"/>
        <v>6.0358217734086665E-2</v>
      </c>
      <c r="J446" s="173" t="str">
        <f t="shared" si="399"/>
        <v>0.000</v>
      </c>
      <c r="K446" s="173" t="str">
        <f t="shared" si="399"/>
        <v>0.000</v>
      </c>
      <c r="L446" s="173">
        <f t="shared" si="399"/>
        <v>0.80407030865265239</v>
      </c>
      <c r="M446" s="173">
        <f t="shared" si="399"/>
        <v>1.1707318990290354</v>
      </c>
      <c r="N446" s="173">
        <f t="shared" si="399"/>
        <v>0.7467175666792738</v>
      </c>
      <c r="O446" s="173" t="str">
        <f t="shared" si="399"/>
        <v>0.000</v>
      </c>
      <c r="P446" s="173" t="str">
        <f t="shared" si="399"/>
        <v>0.000</v>
      </c>
      <c r="Q446" s="173" t="str">
        <f t="shared" si="399"/>
        <v>0.000</v>
      </c>
      <c r="R446" s="173" t="str">
        <f t="shared" si="399"/>
        <v>0.000</v>
      </c>
      <c r="S446" s="173" t="str">
        <f t="shared" si="399"/>
        <v>0.000</v>
      </c>
      <c r="T446" s="173" t="str">
        <f t="shared" si="399"/>
        <v>0.000</v>
      </c>
      <c r="U446" s="173" t="str">
        <f t="shared" si="399"/>
        <v>0.000</v>
      </c>
      <c r="V446" s="173" t="str">
        <f t="shared" si="399"/>
        <v>0.000</v>
      </c>
      <c r="W446" s="173" t="str">
        <f t="shared" ref="W446:AK446" si="400">IF(W428&lt;=0, "0.000", W428)</f>
        <v>0.000</v>
      </c>
      <c r="X446" s="173" t="str">
        <f t="shared" si="400"/>
        <v>0.000</v>
      </c>
      <c r="Y446" s="173" t="str">
        <f t="shared" si="400"/>
        <v>0.000</v>
      </c>
      <c r="Z446" s="173" t="str">
        <f t="shared" si="400"/>
        <v>0.000</v>
      </c>
      <c r="AA446" s="173" t="str">
        <f t="shared" si="400"/>
        <v>0.000</v>
      </c>
      <c r="AB446" s="173" t="str">
        <f t="shared" si="400"/>
        <v>0.000</v>
      </c>
      <c r="AC446" s="173" t="str">
        <f t="shared" si="400"/>
        <v>0.000</v>
      </c>
      <c r="AD446" s="173" t="str">
        <f t="shared" si="400"/>
        <v>0.000</v>
      </c>
      <c r="AE446" s="173" t="str">
        <f t="shared" si="400"/>
        <v>0.000</v>
      </c>
      <c r="AF446" s="173" t="str">
        <f t="shared" si="400"/>
        <v>0.000</v>
      </c>
      <c r="AG446" s="173" t="str">
        <f t="shared" si="400"/>
        <v>0.000</v>
      </c>
      <c r="AH446" s="173" t="str">
        <f t="shared" si="400"/>
        <v>0.000</v>
      </c>
      <c r="AI446" s="173" t="str">
        <f t="shared" si="400"/>
        <v>0.000</v>
      </c>
      <c r="AJ446" s="173" t="str">
        <f t="shared" si="400"/>
        <v>0.000</v>
      </c>
      <c r="AK446" s="173" t="str">
        <f t="shared" si="400"/>
        <v>0.000</v>
      </c>
      <c r="AL446" s="4"/>
      <c r="AM446" s="43">
        <v>430</v>
      </c>
      <c r="AN446">
        <v>20.751009580192687</v>
      </c>
      <c r="AO446">
        <v>5.4681229748528475</v>
      </c>
      <c r="AP446">
        <v>252.92987924865682</v>
      </c>
      <c r="AQ446">
        <v>38.091530343897723</v>
      </c>
      <c r="AR446">
        <v>5.0795634279486475</v>
      </c>
      <c r="AS446">
        <v>60.534005408930014</v>
      </c>
      <c r="AT446" t="e">
        <v>#DIV/0!</v>
      </c>
      <c r="AU446" t="e">
        <v>#DIV/0!</v>
      </c>
      <c r="AV446"/>
      <c r="AW446"/>
      <c r="FY446" s="213">
        <v>441</v>
      </c>
      <c r="FZ446">
        <v>0.58716112056924263</v>
      </c>
      <c r="GA446">
        <v>15.467278639461117</v>
      </c>
      <c r="GB446">
        <v>7.8337267721682196</v>
      </c>
      <c r="GC446">
        <v>1.3302638723983682</v>
      </c>
      <c r="GD446">
        <v>3.4847157876985841</v>
      </c>
      <c r="GE446">
        <v>5.5789191169072039</v>
      </c>
      <c r="GF446">
        <v>0.95469624988012047</v>
      </c>
      <c r="GG446">
        <v>5.0380339738105313</v>
      </c>
      <c r="GH446">
        <v>7.1928331357584732</v>
      </c>
      <c r="GI446">
        <v>5.5255075095874089</v>
      </c>
      <c r="GJ446"/>
      <c r="GK446"/>
      <c r="GL446"/>
      <c r="GM446"/>
      <c r="GN446" s="208"/>
      <c r="GO446" s="208"/>
      <c r="GP446" s="208"/>
      <c r="GQ446" s="208"/>
      <c r="GR446" s="208"/>
      <c r="GS446" s="208"/>
      <c r="GT446" s="208"/>
      <c r="GU446" s="213">
        <v>441</v>
      </c>
    </row>
    <row r="447" spans="1:203" s="7" customFormat="1">
      <c r="A447" s="4"/>
      <c r="B447" s="48" t="s">
        <v>119</v>
      </c>
      <c r="C447" s="107">
        <f t="shared" si="388"/>
        <v>0.95469624988012047</v>
      </c>
      <c r="D447" s="191">
        <f>A$411</f>
        <v>1.28</v>
      </c>
      <c r="E447" s="8"/>
      <c r="F447" s="124"/>
      <c r="G447" s="173" t="str">
        <f t="shared" si="389"/>
        <v>0.000</v>
      </c>
      <c r="H447" s="173" t="str">
        <f t="shared" ref="H447:V447" si="401">IF(H429&lt;=0, "0.000", H429)</f>
        <v>0.000</v>
      </c>
      <c r="I447" s="173" t="str">
        <f t="shared" si="401"/>
        <v>0.000</v>
      </c>
      <c r="J447" s="173" t="str">
        <f t="shared" si="401"/>
        <v>0.000</v>
      </c>
      <c r="K447" s="173" t="str">
        <f t="shared" si="401"/>
        <v>0.000</v>
      </c>
      <c r="L447" s="173" t="str">
        <f t="shared" si="401"/>
        <v>0.000</v>
      </c>
      <c r="M447" s="173">
        <f t="shared" si="401"/>
        <v>0.95469624988012047</v>
      </c>
      <c r="N447" s="173" t="str">
        <f t="shared" si="401"/>
        <v>0.000</v>
      </c>
      <c r="O447" s="173" t="str">
        <f t="shared" si="401"/>
        <v>0.000</v>
      </c>
      <c r="P447" s="173" t="str">
        <f t="shared" si="401"/>
        <v>0.000</v>
      </c>
      <c r="Q447" s="173" t="str">
        <f t="shared" si="401"/>
        <v>0.000</v>
      </c>
      <c r="R447" s="173" t="str">
        <f t="shared" si="401"/>
        <v>0.000</v>
      </c>
      <c r="S447" s="173" t="str">
        <f t="shared" si="401"/>
        <v>0.000</v>
      </c>
      <c r="T447" s="173" t="str">
        <f t="shared" si="401"/>
        <v>0.000</v>
      </c>
      <c r="U447" s="173" t="str">
        <f t="shared" si="401"/>
        <v>0.000</v>
      </c>
      <c r="V447" s="173" t="str">
        <f t="shared" si="401"/>
        <v>0.000</v>
      </c>
      <c r="W447" s="173" t="str">
        <f t="shared" ref="W447:AK447" si="402">IF(W429&lt;=0, "0.000", W429)</f>
        <v>0.000</v>
      </c>
      <c r="X447" s="173" t="str">
        <f t="shared" si="402"/>
        <v>0.000</v>
      </c>
      <c r="Y447" s="173" t="str">
        <f t="shared" si="402"/>
        <v>0.000</v>
      </c>
      <c r="Z447" s="173" t="str">
        <f t="shared" si="402"/>
        <v>0.000</v>
      </c>
      <c r="AA447" s="173" t="str">
        <f t="shared" si="402"/>
        <v>0.000</v>
      </c>
      <c r="AB447" s="173" t="str">
        <f t="shared" si="402"/>
        <v>0.000</v>
      </c>
      <c r="AC447" s="173" t="str">
        <f t="shared" si="402"/>
        <v>0.000</v>
      </c>
      <c r="AD447" s="173" t="str">
        <f t="shared" si="402"/>
        <v>0.000</v>
      </c>
      <c r="AE447" s="173" t="str">
        <f t="shared" si="402"/>
        <v>0.000</v>
      </c>
      <c r="AF447" s="173" t="str">
        <f t="shared" si="402"/>
        <v>0.000</v>
      </c>
      <c r="AG447" s="173" t="str">
        <f t="shared" si="402"/>
        <v>0.000</v>
      </c>
      <c r="AH447" s="173" t="str">
        <f t="shared" si="402"/>
        <v>0.000</v>
      </c>
      <c r="AI447" s="173" t="str">
        <f t="shared" si="402"/>
        <v>0.000</v>
      </c>
      <c r="AJ447" s="173" t="str">
        <f t="shared" si="402"/>
        <v>0.000</v>
      </c>
      <c r="AK447" s="173" t="str">
        <f t="shared" si="402"/>
        <v>0.000</v>
      </c>
      <c r="AL447" s="4"/>
      <c r="AM447" s="43">
        <v>431</v>
      </c>
      <c r="AN447">
        <v>36.448926246859358</v>
      </c>
      <c r="AO447">
        <v>8.6913816433903541</v>
      </c>
      <c r="AP447">
        <v>167.13164702538415</v>
      </c>
      <c r="AQ447">
        <v>58.622962748193743</v>
      </c>
      <c r="AR447">
        <v>8.0097985811645636</v>
      </c>
      <c r="AS447">
        <v>101.04721731900212</v>
      </c>
      <c r="AT447" t="e">
        <v>#DIV/0!</v>
      </c>
      <c r="AU447" t="e">
        <v>#DIV/0!</v>
      </c>
      <c r="AV447"/>
      <c r="AW447"/>
      <c r="FY447" s="213">
        <v>442</v>
      </c>
      <c r="FZ447">
        <v>3.7797135260832437</v>
      </c>
      <c r="GA447">
        <v>25.434768815954868</v>
      </c>
      <c r="GB447">
        <v>10.482197834620273</v>
      </c>
      <c r="GC447">
        <v>1.1496359908396288</v>
      </c>
      <c r="GD447">
        <v>1.9774733902932433</v>
      </c>
      <c r="GE447">
        <v>2.2135783533826516</v>
      </c>
      <c r="GF447">
        <v>0</v>
      </c>
      <c r="GG447">
        <v>3.7581495871366699</v>
      </c>
      <c r="GH447">
        <v>5.3997773148724022</v>
      </c>
      <c r="GI447">
        <v>5.318198026198429</v>
      </c>
      <c r="GJ447"/>
      <c r="GK447"/>
      <c r="GL447"/>
      <c r="GM447"/>
      <c r="GN447" s="208"/>
      <c r="GO447" s="208"/>
      <c r="GP447" s="208"/>
      <c r="GQ447" s="208"/>
      <c r="GR447" s="208"/>
      <c r="GS447" s="208"/>
      <c r="GT447" s="208"/>
      <c r="GU447" s="213">
        <v>442</v>
      </c>
    </row>
    <row r="448" spans="1:203" s="7" customFormat="1">
      <c r="A448" s="4"/>
      <c r="B448" s="48" t="s">
        <v>120</v>
      </c>
      <c r="C448" s="107">
        <f t="shared" si="388"/>
        <v>2.1849870012718453</v>
      </c>
      <c r="D448" s="191">
        <f>A$412</f>
        <v>4</v>
      </c>
      <c r="E448" s="8"/>
      <c r="F448" s="124"/>
      <c r="G448" s="173" t="str">
        <f t="shared" si="389"/>
        <v>0.000</v>
      </c>
      <c r="H448" s="173" t="str">
        <f t="shared" ref="H448:V448" si="403">IF(H430&lt;=0, "0.000", H430)</f>
        <v>0.000</v>
      </c>
      <c r="I448" s="173">
        <f t="shared" si="403"/>
        <v>0.1839228633763853</v>
      </c>
      <c r="J448" s="173">
        <f t="shared" si="403"/>
        <v>0.45516098834025354</v>
      </c>
      <c r="K448" s="173" t="str">
        <f t="shared" si="403"/>
        <v>0.000</v>
      </c>
      <c r="L448" s="173" t="str">
        <f t="shared" si="403"/>
        <v>0.000</v>
      </c>
      <c r="M448" s="173" t="str">
        <f t="shared" si="403"/>
        <v>0.000</v>
      </c>
      <c r="N448" s="173" t="str">
        <f t="shared" si="403"/>
        <v>0.000</v>
      </c>
      <c r="O448" s="173">
        <f t="shared" si="403"/>
        <v>1.5459031495552067</v>
      </c>
      <c r="P448" s="173" t="str">
        <f t="shared" si="403"/>
        <v>0.000</v>
      </c>
      <c r="Q448" s="173" t="str">
        <f t="shared" si="403"/>
        <v>0.000</v>
      </c>
      <c r="R448" s="173" t="str">
        <f t="shared" si="403"/>
        <v>0.000</v>
      </c>
      <c r="S448" s="173" t="str">
        <f t="shared" si="403"/>
        <v>0.000</v>
      </c>
      <c r="T448" s="173" t="str">
        <f t="shared" si="403"/>
        <v>0.000</v>
      </c>
      <c r="U448" s="173" t="str">
        <f t="shared" si="403"/>
        <v>0.000</v>
      </c>
      <c r="V448" s="173" t="str">
        <f t="shared" si="403"/>
        <v>0.000</v>
      </c>
      <c r="W448" s="173" t="str">
        <f t="shared" ref="W448:AK448" si="404">IF(W430&lt;=0, "0.000", W430)</f>
        <v>0.000</v>
      </c>
      <c r="X448" s="173" t="str">
        <f t="shared" si="404"/>
        <v>0.000</v>
      </c>
      <c r="Y448" s="173" t="str">
        <f t="shared" si="404"/>
        <v>0.000</v>
      </c>
      <c r="Z448" s="173" t="str">
        <f t="shared" si="404"/>
        <v>0.000</v>
      </c>
      <c r="AA448" s="173" t="str">
        <f t="shared" si="404"/>
        <v>0.000</v>
      </c>
      <c r="AB448" s="173" t="str">
        <f t="shared" si="404"/>
        <v>0.000</v>
      </c>
      <c r="AC448" s="173" t="str">
        <f t="shared" si="404"/>
        <v>0.000</v>
      </c>
      <c r="AD448" s="173" t="str">
        <f t="shared" si="404"/>
        <v>0.000</v>
      </c>
      <c r="AE448" s="173" t="str">
        <f t="shared" si="404"/>
        <v>0.000</v>
      </c>
      <c r="AF448" s="173" t="str">
        <f t="shared" si="404"/>
        <v>0.000</v>
      </c>
      <c r="AG448" s="173" t="str">
        <f t="shared" si="404"/>
        <v>0.000</v>
      </c>
      <c r="AH448" s="173" t="str">
        <f t="shared" si="404"/>
        <v>0.000</v>
      </c>
      <c r="AI448" s="173" t="str">
        <f t="shared" si="404"/>
        <v>0.000</v>
      </c>
      <c r="AJ448" s="173" t="str">
        <f t="shared" si="404"/>
        <v>0.000</v>
      </c>
      <c r="AK448" s="173" t="str">
        <f t="shared" si="404"/>
        <v>0.000</v>
      </c>
      <c r="AL448" s="4"/>
      <c r="AM448" s="43">
        <v>432</v>
      </c>
      <c r="AN448">
        <v>34.896586345381522</v>
      </c>
      <c r="AO448">
        <v>6.8235130284648253</v>
      </c>
      <c r="AP448">
        <v>136.49276667743905</v>
      </c>
      <c r="AQ448">
        <v>45.62248737613902</v>
      </c>
      <c r="AR448">
        <v>6.2574649331001444</v>
      </c>
      <c r="AS448">
        <v>86.895819869870905</v>
      </c>
      <c r="AT448" t="e">
        <v>#DIV/0!</v>
      </c>
      <c r="AU448" t="e">
        <v>#DIV/0!</v>
      </c>
      <c r="AV448"/>
      <c r="AW448"/>
      <c r="FY448" s="213">
        <v>443</v>
      </c>
      <c r="FZ448">
        <v>3.7797135260832437</v>
      </c>
      <c r="GA448">
        <v>16.321674310385063</v>
      </c>
      <c r="GB448">
        <v>6.1844752757449655</v>
      </c>
      <c r="GC448">
        <v>0.75746740119198852</v>
      </c>
      <c r="GD448">
        <v>1.6669340341522658</v>
      </c>
      <c r="GE448">
        <v>2.2039248471433455</v>
      </c>
      <c r="GF448">
        <v>0</v>
      </c>
      <c r="GG448">
        <v>5.5431196325835081</v>
      </c>
      <c r="GH448">
        <v>7.8603959439878439</v>
      </c>
      <c r="GI448">
        <v>4.5074170358205894</v>
      </c>
      <c r="GJ448"/>
      <c r="GK448"/>
      <c r="GL448"/>
      <c r="GM448"/>
      <c r="GN448" s="208"/>
      <c r="GO448" s="208"/>
      <c r="GP448" s="208"/>
      <c r="GQ448" s="208"/>
      <c r="GR448" s="208"/>
      <c r="GS448" s="208"/>
      <c r="GT448" s="208"/>
      <c r="GU448" s="213">
        <v>443</v>
      </c>
    </row>
    <row r="449" spans="1:203" s="7" customFormat="1">
      <c r="A449" s="4"/>
      <c r="B449" s="48" t="s">
        <v>121</v>
      </c>
      <c r="C449" s="107">
        <f t="shared" si="388"/>
        <v>3.1039612728129642</v>
      </c>
      <c r="D449" s="191">
        <f>A$413</f>
        <v>7.33</v>
      </c>
      <c r="E449" s="8"/>
      <c r="F449" s="124"/>
      <c r="G449" s="173" t="str">
        <f t="shared" si="389"/>
        <v>0.000</v>
      </c>
      <c r="H449" s="173" t="str">
        <f t="shared" ref="H449:V449" si="405">IF(H431&lt;=0, "0.000", H431)</f>
        <v>0.000</v>
      </c>
      <c r="I449" s="173">
        <f t="shared" si="405"/>
        <v>0.24223930001058741</v>
      </c>
      <c r="J449" s="173">
        <f t="shared" si="405"/>
        <v>0.60180851864910767</v>
      </c>
      <c r="K449" s="173" t="str">
        <f t="shared" si="405"/>
        <v>0.000</v>
      </c>
      <c r="L449" s="173" t="str">
        <f t="shared" si="405"/>
        <v>0.000</v>
      </c>
      <c r="M449" s="173" t="str">
        <f t="shared" si="405"/>
        <v>0.000</v>
      </c>
      <c r="N449" s="173" t="str">
        <f t="shared" si="405"/>
        <v>0.000</v>
      </c>
      <c r="O449" s="173">
        <f t="shared" si="405"/>
        <v>2.2599134541532693</v>
      </c>
      <c r="P449" s="173" t="str">
        <f t="shared" si="405"/>
        <v>0.000</v>
      </c>
      <c r="Q449" s="173" t="str">
        <f t="shared" si="405"/>
        <v>0.000</v>
      </c>
      <c r="R449" s="173" t="str">
        <f t="shared" si="405"/>
        <v>0.000</v>
      </c>
      <c r="S449" s="173" t="str">
        <f t="shared" si="405"/>
        <v>0.000</v>
      </c>
      <c r="T449" s="173" t="str">
        <f t="shared" si="405"/>
        <v>0.000</v>
      </c>
      <c r="U449" s="173" t="str">
        <f t="shared" si="405"/>
        <v>0.000</v>
      </c>
      <c r="V449" s="173" t="str">
        <f t="shared" si="405"/>
        <v>0.000</v>
      </c>
      <c r="W449" s="173" t="str">
        <f t="shared" ref="W449:AK449" si="406">IF(W431&lt;=0, "0.000", W431)</f>
        <v>0.000</v>
      </c>
      <c r="X449" s="173" t="str">
        <f t="shared" si="406"/>
        <v>0.000</v>
      </c>
      <c r="Y449" s="173" t="str">
        <f t="shared" si="406"/>
        <v>0.000</v>
      </c>
      <c r="Z449" s="173" t="str">
        <f t="shared" si="406"/>
        <v>0.000</v>
      </c>
      <c r="AA449" s="173" t="str">
        <f t="shared" si="406"/>
        <v>0.000</v>
      </c>
      <c r="AB449" s="173" t="str">
        <f t="shared" si="406"/>
        <v>0.000</v>
      </c>
      <c r="AC449" s="173" t="str">
        <f t="shared" si="406"/>
        <v>0.000</v>
      </c>
      <c r="AD449" s="173" t="str">
        <f t="shared" si="406"/>
        <v>0.000</v>
      </c>
      <c r="AE449" s="173" t="str">
        <f t="shared" si="406"/>
        <v>0.000</v>
      </c>
      <c r="AF449" s="173" t="str">
        <f t="shared" si="406"/>
        <v>0.000</v>
      </c>
      <c r="AG449" s="173" t="str">
        <f t="shared" si="406"/>
        <v>0.000</v>
      </c>
      <c r="AH449" s="173" t="str">
        <f t="shared" si="406"/>
        <v>0.000</v>
      </c>
      <c r="AI449" s="173" t="str">
        <f t="shared" si="406"/>
        <v>0.000</v>
      </c>
      <c r="AJ449" s="173" t="str">
        <f t="shared" si="406"/>
        <v>0.000</v>
      </c>
      <c r="AK449" s="173" t="str">
        <f t="shared" si="406"/>
        <v>0.000</v>
      </c>
      <c r="AL449" s="4"/>
      <c r="AM449" s="43">
        <v>433</v>
      </c>
      <c r="AN449">
        <v>40.427272307621287</v>
      </c>
      <c r="AO449">
        <v>7.6161896789859584</v>
      </c>
      <c r="AP449">
        <v>234.89384067543551</v>
      </c>
      <c r="AQ449">
        <v>53.929220832142789</v>
      </c>
      <c r="AR449">
        <v>6.9238087990781425</v>
      </c>
      <c r="AS449">
        <v>103.78339952648366</v>
      </c>
      <c r="AT449" t="e">
        <v>#DIV/0!</v>
      </c>
      <c r="AU449" t="e">
        <v>#DIV/0!</v>
      </c>
      <c r="AV449"/>
      <c r="AW449"/>
      <c r="FY449" s="213">
        <v>444</v>
      </c>
      <c r="FZ449">
        <v>2.1834373233262436</v>
      </c>
      <c r="GA449">
        <v>19.330778641050525</v>
      </c>
      <c r="GB449">
        <v>8.7136692471876316</v>
      </c>
      <c r="GC449">
        <v>1.6180750572514906</v>
      </c>
      <c r="GD449">
        <v>1.903941534086623</v>
      </c>
      <c r="GE449">
        <v>1.9208813957936428</v>
      </c>
      <c r="GF449">
        <v>0.95469624988012047</v>
      </c>
      <c r="GG449">
        <v>3.5153745887199328</v>
      </c>
      <c r="GH449">
        <v>4.860834156844172</v>
      </c>
      <c r="GI449">
        <v>4.5887601815629671</v>
      </c>
      <c r="GJ449"/>
      <c r="GK449"/>
      <c r="GL449"/>
      <c r="GM449"/>
      <c r="GN449" s="208"/>
      <c r="GO449" s="208"/>
      <c r="GP449" s="208"/>
      <c r="GQ449" s="208"/>
      <c r="GR449" s="208"/>
      <c r="GS449" s="208"/>
      <c r="GT449" s="208"/>
      <c r="GU449" s="213">
        <v>444</v>
      </c>
    </row>
    <row r="450" spans="1:203" s="7" customFormat="1">
      <c r="A450" s="13" t="s">
        <v>12</v>
      </c>
      <c r="B450" s="48" t="s">
        <v>122</v>
      </c>
      <c r="C450" s="107">
        <f t="shared" si="388"/>
        <v>4.8563875670878982</v>
      </c>
      <c r="D450" s="191">
        <f>A$414</f>
        <v>10.51</v>
      </c>
      <c r="E450" s="8"/>
      <c r="F450" s="124"/>
      <c r="G450" s="173">
        <f t="shared" si="389"/>
        <v>2.8196420905734712E-4</v>
      </c>
      <c r="H450" s="173">
        <f t="shared" ref="H450:V450" si="407">IF(H432&lt;=0, "0.000", H432)</f>
        <v>1.073829904240505E-2</v>
      </c>
      <c r="I450" s="173">
        <f t="shared" si="407"/>
        <v>0.58417711185504118</v>
      </c>
      <c r="J450" s="173">
        <f t="shared" si="407"/>
        <v>0.83986727636563963</v>
      </c>
      <c r="K450" s="173">
        <f t="shared" si="407"/>
        <v>1.7198307566629232</v>
      </c>
      <c r="L450" s="173">
        <f t="shared" si="407"/>
        <v>0.37281510475243579</v>
      </c>
      <c r="M450" s="173">
        <f t="shared" si="407"/>
        <v>0.39049808621134735</v>
      </c>
      <c r="N450" s="173">
        <f t="shared" si="407"/>
        <v>0.56180665369964411</v>
      </c>
      <c r="O450" s="173">
        <f t="shared" si="407"/>
        <v>0.37637231428940426</v>
      </c>
      <c r="P450" s="173" t="str">
        <f t="shared" si="407"/>
        <v>0.000</v>
      </c>
      <c r="Q450" s="173" t="str">
        <f t="shared" si="407"/>
        <v>0.000</v>
      </c>
      <c r="R450" s="173" t="str">
        <f t="shared" si="407"/>
        <v>0.000</v>
      </c>
      <c r="S450" s="173" t="str">
        <f t="shared" si="407"/>
        <v>0.000</v>
      </c>
      <c r="T450" s="173" t="str">
        <f t="shared" si="407"/>
        <v>0.000</v>
      </c>
      <c r="U450" s="173" t="str">
        <f t="shared" si="407"/>
        <v>0.000</v>
      </c>
      <c r="V450" s="173" t="str">
        <f t="shared" si="407"/>
        <v>0.000</v>
      </c>
      <c r="W450" s="173" t="str">
        <f t="shared" ref="W450:AK450" si="408">IF(W432&lt;=0, "0.000", W432)</f>
        <v>0.000</v>
      </c>
      <c r="X450" s="173" t="str">
        <f t="shared" si="408"/>
        <v>0.000</v>
      </c>
      <c r="Y450" s="173" t="str">
        <f t="shared" si="408"/>
        <v>0.000</v>
      </c>
      <c r="Z450" s="173" t="str">
        <f t="shared" si="408"/>
        <v>0.000</v>
      </c>
      <c r="AA450" s="173" t="str">
        <f t="shared" si="408"/>
        <v>0.000</v>
      </c>
      <c r="AB450" s="173" t="str">
        <f t="shared" si="408"/>
        <v>0.000</v>
      </c>
      <c r="AC450" s="173" t="str">
        <f t="shared" si="408"/>
        <v>0.000</v>
      </c>
      <c r="AD450" s="173" t="str">
        <f t="shared" si="408"/>
        <v>0.000</v>
      </c>
      <c r="AE450" s="173" t="str">
        <f t="shared" si="408"/>
        <v>0.000</v>
      </c>
      <c r="AF450" s="173" t="str">
        <f t="shared" si="408"/>
        <v>0.000</v>
      </c>
      <c r="AG450" s="173" t="str">
        <f t="shared" si="408"/>
        <v>0.000</v>
      </c>
      <c r="AH450" s="173" t="str">
        <f t="shared" si="408"/>
        <v>0.000</v>
      </c>
      <c r="AI450" s="173" t="str">
        <f t="shared" si="408"/>
        <v>0.000</v>
      </c>
      <c r="AJ450" s="173" t="str">
        <f t="shared" si="408"/>
        <v>0.000</v>
      </c>
      <c r="AK450" s="173" t="str">
        <f t="shared" si="408"/>
        <v>0.000</v>
      </c>
      <c r="AL450" s="4"/>
      <c r="AM450" s="43">
        <v>434</v>
      </c>
      <c r="AN450">
        <v>15.425031200335003</v>
      </c>
      <c r="AO450">
        <v>4.5500295925644378</v>
      </c>
      <c r="AP450">
        <v>113.02534121751702</v>
      </c>
      <c r="AQ450">
        <v>30.317846405285021</v>
      </c>
      <c r="AR450">
        <v>4.1363905386949433</v>
      </c>
      <c r="AS450">
        <v>42.876601709080873</v>
      </c>
      <c r="AT450" t="e">
        <v>#DIV/0!</v>
      </c>
      <c r="AU450" t="e">
        <v>#DIV/0!</v>
      </c>
      <c r="AV450"/>
      <c r="AW450"/>
      <c r="FY450" s="213">
        <v>445</v>
      </c>
      <c r="FZ450">
        <v>5.3759897288402456</v>
      </c>
      <c r="GA450">
        <v>23.135575992637918</v>
      </c>
      <c r="GB450">
        <v>8.6457040505751142</v>
      </c>
      <c r="GC450">
        <v>1.3302638723983682</v>
      </c>
      <c r="GD450">
        <v>2.699759853246166</v>
      </c>
      <c r="GE450">
        <v>4.2819471731004439</v>
      </c>
      <c r="GF450">
        <v>1.432044374820181</v>
      </c>
      <c r="GG450">
        <v>4.2322677070749224</v>
      </c>
      <c r="GH450">
        <v>5.6931995521295473</v>
      </c>
      <c r="GI450">
        <v>5.8683082689986783</v>
      </c>
      <c r="GJ450"/>
      <c r="GK450"/>
      <c r="GL450"/>
      <c r="GM450"/>
      <c r="GN450" s="208"/>
      <c r="GO450" s="208"/>
      <c r="GP450" s="208"/>
      <c r="GQ450" s="208"/>
      <c r="GR450" s="208"/>
      <c r="GS450" s="208"/>
      <c r="GT450" s="208"/>
      <c r="GU450" s="213">
        <v>445</v>
      </c>
    </row>
    <row r="451" spans="1:203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34.953133964429142</v>
      </c>
      <c r="AO451">
        <v>8.7644325211590175</v>
      </c>
      <c r="AP451">
        <v>441.18468762541909</v>
      </c>
      <c r="AQ451">
        <v>59.013609704341789</v>
      </c>
      <c r="AR451">
        <v>8.0762084700451684</v>
      </c>
      <c r="AS451">
        <v>97.587232356511905</v>
      </c>
      <c r="AT451" t="e">
        <v>#DIV/0!</v>
      </c>
      <c r="AU451" t="e">
        <v>#DIV/0!</v>
      </c>
      <c r="AV451"/>
      <c r="AW451"/>
      <c r="FY451" s="213">
        <v>446</v>
      </c>
      <c r="FZ451">
        <v>0</v>
      </c>
      <c r="GA451">
        <v>15.295806570709782</v>
      </c>
      <c r="GB451">
        <v>7.5619520356216512</v>
      </c>
      <c r="GC451">
        <v>2.0998415037524634</v>
      </c>
      <c r="GD451">
        <v>3.5514418994789949</v>
      </c>
      <c r="GE451">
        <v>4.218159229726723</v>
      </c>
      <c r="GF451">
        <v>0.47734812494006024</v>
      </c>
      <c r="GG451">
        <v>7.9089465546026432</v>
      </c>
      <c r="GH451">
        <v>10.755019232884587</v>
      </c>
      <c r="GI451">
        <v>5.8420861598609637</v>
      </c>
      <c r="GJ451"/>
      <c r="GK451"/>
      <c r="GL451"/>
      <c r="GM451"/>
      <c r="GN451" s="208"/>
      <c r="GO451" s="208"/>
      <c r="GP451" s="208"/>
      <c r="GQ451" s="208"/>
      <c r="GR451" s="208"/>
      <c r="GS451" s="208"/>
      <c r="GT451" s="208"/>
      <c r="GU451" s="213">
        <v>446</v>
      </c>
    </row>
    <row r="452" spans="1:203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31.288690476190471</v>
      </c>
      <c r="AO452">
        <v>8.7225752120716677</v>
      </c>
      <c r="AP452">
        <v>258.09847307711959</v>
      </c>
      <c r="AQ452">
        <v>60.256172796121035</v>
      </c>
      <c r="AR452">
        <v>7.9838851000154527</v>
      </c>
      <c r="AS452">
        <v>85.585266708764038</v>
      </c>
      <c r="AT452" t="e">
        <v>#DIV/0!</v>
      </c>
      <c r="AU452" t="e">
        <v>#DIV/0!</v>
      </c>
      <c r="AV452"/>
      <c r="AW452"/>
      <c r="FY452" s="213">
        <v>447</v>
      </c>
      <c r="FZ452">
        <v>5.3759897288402456</v>
      </c>
      <c r="GA452">
        <v>19.842160084817777</v>
      </c>
      <c r="GB452">
        <v>7.1132340886709722</v>
      </c>
      <c r="GC452">
        <v>1.426024353295289</v>
      </c>
      <c r="GD452">
        <v>2.247703993677741</v>
      </c>
      <c r="GE452">
        <v>2.628504311162704</v>
      </c>
      <c r="GF452">
        <v>0.47734812494006024</v>
      </c>
      <c r="GG452">
        <v>1.6799013424988689</v>
      </c>
      <c r="GH452">
        <v>2.436398464583593</v>
      </c>
      <c r="GI452">
        <v>4.4321914226747419</v>
      </c>
      <c r="GJ452"/>
      <c r="GK452"/>
      <c r="GL452"/>
      <c r="GM452"/>
      <c r="GN452" s="208"/>
      <c r="GO452" s="208"/>
      <c r="GP452" s="208"/>
      <c r="GQ452" s="208"/>
      <c r="GR452" s="208"/>
      <c r="GS452" s="208"/>
      <c r="GT452" s="208"/>
      <c r="GU452" s="213">
        <v>447</v>
      </c>
    </row>
    <row r="453" spans="1:203" s="7" customFormat="1">
      <c r="A453" s="1">
        <v>1.07207E-2</v>
      </c>
      <c r="B453" s="52" t="s">
        <v>53</v>
      </c>
      <c r="C453" s="53">
        <f>SUM(C441:C452)</f>
        <v>50.576151400294968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31.841868912431334</v>
      </c>
      <c r="AO453">
        <v>8.8310308139012683</v>
      </c>
      <c r="AP453">
        <v>377.55219110234634</v>
      </c>
      <c r="AQ453">
        <v>53.842296633493383</v>
      </c>
      <c r="AR453">
        <v>8.0282098308193355</v>
      </c>
      <c r="AS453">
        <v>93.40555042040917</v>
      </c>
      <c r="AT453" t="e">
        <v>#DIV/0!</v>
      </c>
      <c r="AU453" t="e">
        <v>#DIV/0!</v>
      </c>
      <c r="AV453"/>
      <c r="AW453"/>
      <c r="FY453" s="213">
        <v>448</v>
      </c>
      <c r="FZ453">
        <v>3.192552405514002</v>
      </c>
      <c r="GA453">
        <v>24.889785094929298</v>
      </c>
      <c r="GB453">
        <v>10.663993968676385</v>
      </c>
      <c r="GC453">
        <v>0.53976406905949814</v>
      </c>
      <c r="GD453">
        <v>1.1081902511636035</v>
      </c>
      <c r="GE453">
        <v>1.695969443333285</v>
      </c>
      <c r="GF453">
        <v>0.47734812494006024</v>
      </c>
      <c r="GG453">
        <v>2.7968114166788669</v>
      </c>
      <c r="GH453">
        <v>3.9121065035664904</v>
      </c>
      <c r="GI453">
        <v>4.4957201474391946</v>
      </c>
      <c r="GJ453"/>
      <c r="GK453"/>
      <c r="GL453"/>
      <c r="GM453"/>
      <c r="GN453" s="208"/>
      <c r="GO453" s="208"/>
      <c r="GP453" s="208"/>
      <c r="GQ453" s="208"/>
      <c r="GR453" s="208"/>
      <c r="GS453" s="208"/>
      <c r="GT453" s="208"/>
      <c r="GU453" s="213">
        <v>448</v>
      </c>
    </row>
    <row r="454" spans="1:203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23.30302531966948</v>
      </c>
      <c r="AO454">
        <v>4.3394372263675143</v>
      </c>
      <c r="AP454">
        <v>233.76808560238607</v>
      </c>
      <c r="AQ454">
        <v>31.174557302041777</v>
      </c>
      <c r="AR454">
        <v>3.9992142039207694</v>
      </c>
      <c r="AS454">
        <v>56.848593202428923</v>
      </c>
      <c r="AT454" t="e">
        <v>#DIV/0!</v>
      </c>
      <c r="AU454" t="e">
        <v>#DIV/0!</v>
      </c>
      <c r="AV454"/>
      <c r="AW454"/>
      <c r="FY454" s="213">
        <v>449</v>
      </c>
      <c r="FZ454">
        <v>2.7705984438954863</v>
      </c>
      <c r="GA454">
        <v>10.920196402685285</v>
      </c>
      <c r="GB454">
        <v>4.5818548474327017</v>
      </c>
      <c r="GC454">
        <v>1.6180750572514906</v>
      </c>
      <c r="GD454">
        <v>1.9374097476697032</v>
      </c>
      <c r="GE454">
        <v>1.695969443333285</v>
      </c>
      <c r="GF454">
        <v>0.47734812494006024</v>
      </c>
      <c r="GG454">
        <v>3.5699400908936756</v>
      </c>
      <c r="GH454">
        <v>4.9212372582308834</v>
      </c>
      <c r="GI454">
        <v>3.5457561282789412</v>
      </c>
      <c r="GJ454"/>
      <c r="GK454"/>
      <c r="GL454"/>
      <c r="GM454"/>
      <c r="GN454" s="208"/>
      <c r="GO454" s="208"/>
      <c r="GP454" s="208"/>
      <c r="GQ454" s="208"/>
      <c r="GR454" s="208"/>
      <c r="GS454" s="208"/>
      <c r="GT454" s="208"/>
      <c r="GU454" s="213">
        <v>449</v>
      </c>
    </row>
    <row r="455" spans="1:203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19"/>
      <c r="P455" s="219"/>
      <c r="Q455" s="219"/>
      <c r="R455" s="219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22.564073617952932</v>
      </c>
      <c r="AO455">
        <v>7.1787120450186022</v>
      </c>
      <c r="AP455">
        <v>143.70508590486986</v>
      </c>
      <c r="AQ455">
        <v>50.513841937132248</v>
      </c>
      <c r="AR455">
        <v>6.5261018591078193</v>
      </c>
      <c r="AS455">
        <v>63.051390659657038</v>
      </c>
      <c r="AT455" t="e">
        <v>#DIV/0!</v>
      </c>
      <c r="AU455" t="e">
        <v>#DIV/0!</v>
      </c>
      <c r="AV455"/>
      <c r="AW455"/>
      <c r="FY455" s="213">
        <v>450</v>
      </c>
      <c r="FZ455">
        <v>3.192552405514002</v>
      </c>
      <c r="GA455">
        <v>18.145424733110005</v>
      </c>
      <c r="GB455">
        <v>7.2513497516916097</v>
      </c>
      <c r="GC455">
        <v>0.37267858551494082</v>
      </c>
      <c r="GD455">
        <v>1.9050697510695003</v>
      </c>
      <c r="GE455">
        <v>3.5743382405631321</v>
      </c>
      <c r="GF455">
        <v>0.47734812494006024</v>
      </c>
      <c r="GG455">
        <v>8.8197815242862205</v>
      </c>
      <c r="GH455">
        <v>12.278872981045359</v>
      </c>
      <c r="GI455">
        <v>5.526294629871118</v>
      </c>
      <c r="GJ455"/>
      <c r="GK455"/>
      <c r="GL455"/>
      <c r="GM455"/>
      <c r="GN455" s="208"/>
      <c r="GO455" s="208"/>
      <c r="GP455" s="208"/>
      <c r="GQ455" s="208"/>
      <c r="GR455" s="208"/>
      <c r="GS455" s="208"/>
      <c r="GT455" s="208"/>
      <c r="GU455" s="213">
        <v>450</v>
      </c>
    </row>
    <row r="456" spans="1:203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43.349720309810671</v>
      </c>
      <c r="AO456">
        <v>9.3127064012735747</v>
      </c>
      <c r="AP456">
        <v>178.64507560308653</v>
      </c>
      <c r="AQ456">
        <v>59.905208654328803</v>
      </c>
      <c r="AR456">
        <v>8.5203679992899151</v>
      </c>
      <c r="AS456">
        <v>111.10241361144867</v>
      </c>
      <c r="AT456" t="e">
        <v>#DIV/0!</v>
      </c>
      <c r="AU456" t="e">
        <v>#DIV/0!</v>
      </c>
      <c r="AV456"/>
      <c r="AW456"/>
      <c r="FY456" s="213">
        <v>451</v>
      </c>
      <c r="FZ456">
        <v>2.7705984438954863</v>
      </c>
      <c r="GA456">
        <v>12.976829643544583</v>
      </c>
      <c r="GB456">
        <v>5.6231854945764965</v>
      </c>
      <c r="GC456">
        <v>1.4778593518102259</v>
      </c>
      <c r="GD456">
        <v>2.3797642180700596</v>
      </c>
      <c r="GE456">
        <v>2.5258353417251405</v>
      </c>
      <c r="GF456">
        <v>0</v>
      </c>
      <c r="GG456">
        <v>9.1130597234771837</v>
      </c>
      <c r="GH456">
        <v>12.781633202218728</v>
      </c>
      <c r="GI456">
        <v>5.3718130519880471</v>
      </c>
      <c r="GJ456"/>
      <c r="GK456"/>
      <c r="GL456"/>
      <c r="GM456"/>
      <c r="GN456" s="208"/>
      <c r="GO456" s="208"/>
      <c r="GP456" s="208"/>
      <c r="GQ456" s="208"/>
      <c r="GR456" s="208"/>
      <c r="GS456" s="208"/>
      <c r="GT456" s="208"/>
      <c r="GU456" s="213">
        <v>451</v>
      </c>
    </row>
    <row r="457" spans="1:203" s="7" customFormat="1">
      <c r="A457" s="1">
        <v>1.9354999999999999E-3</v>
      </c>
      <c r="B457" s="4"/>
      <c r="C457" s="100">
        <v>0.5</v>
      </c>
      <c r="D457" s="101">
        <f>SUM($E$228:$E$347)/$A$438</f>
        <v>0.20833333333333331</v>
      </c>
      <c r="E457" s="97">
        <f>+G36</f>
        <v>1.8156463984709309E-3</v>
      </c>
      <c r="F457" s="102">
        <f>+D457-D459</f>
        <v>-1.0416666666666667</v>
      </c>
      <c r="G457" s="101">
        <f>+D457*E457</f>
        <v>3.7825966634811057E-4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36.271586345381522</v>
      </c>
      <c r="AO457">
        <v>8.6142666154738201</v>
      </c>
      <c r="AP457">
        <v>382.70129786779233</v>
      </c>
      <c r="AQ457">
        <v>52.993136178239276</v>
      </c>
      <c r="AR457">
        <v>7.8854227394719567</v>
      </c>
      <c r="AS457">
        <v>93.448870547652206</v>
      </c>
      <c r="AT457" t="e">
        <v>#DIV/0!</v>
      </c>
      <c r="AU457" t="e">
        <v>#DIV/0!</v>
      </c>
      <c r="AV457"/>
      <c r="AW457"/>
      <c r="FY457" s="213">
        <v>452</v>
      </c>
      <c r="FZ457">
        <v>1.7614833617077283</v>
      </c>
      <c r="GA457">
        <v>13.402307320920023</v>
      </c>
      <c r="GB457">
        <v>6.6010075346024824</v>
      </c>
      <c r="GC457">
        <v>1.3046112442220794</v>
      </c>
      <c r="GD457">
        <v>1.8221260509737642</v>
      </c>
      <c r="GE457">
        <v>2.2427918903754382</v>
      </c>
      <c r="GF457">
        <v>0.95469624988012047</v>
      </c>
      <c r="GG457">
        <v>5.0380339738105313</v>
      </c>
      <c r="GH457">
        <v>7.1928331357584732</v>
      </c>
      <c r="GI457">
        <v>4.3681388675076507</v>
      </c>
      <c r="GJ457"/>
      <c r="GK457"/>
      <c r="GL457"/>
      <c r="GM457"/>
      <c r="GN457" s="208"/>
      <c r="GO457" s="208"/>
      <c r="GP457" s="208"/>
      <c r="GQ457" s="208"/>
      <c r="GR457" s="208"/>
      <c r="GS457" s="208"/>
      <c r="GT457" s="208"/>
      <c r="GU457" s="213">
        <v>452</v>
      </c>
    </row>
    <row r="458" spans="1:203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4.5756708048861911E-3</v>
      </c>
      <c r="I458" s="101">
        <f>+H458*F457</f>
        <v>-4.7663237550897826E-3</v>
      </c>
      <c r="J458" s="101">
        <f>+I458*$A$440</f>
        <v>-3.8130590040718261E-2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31.689073617952925</v>
      </c>
      <c r="AO458">
        <v>8.4701922616612038</v>
      </c>
      <c r="AP458">
        <v>140.2809461237309</v>
      </c>
      <c r="AQ458">
        <v>59.513492839381406</v>
      </c>
      <c r="AR458">
        <v>7.7544460541877598</v>
      </c>
      <c r="AS458">
        <v>133.1366251662667</v>
      </c>
      <c r="AT458" t="e">
        <v>#DIV/0!</v>
      </c>
      <c r="AU458" t="e">
        <v>#DIV/0!</v>
      </c>
      <c r="AV458"/>
      <c r="AW458"/>
      <c r="FY458" s="213">
        <v>453</v>
      </c>
      <c r="FZ458">
        <v>3.192552405514002</v>
      </c>
      <c r="GA458">
        <v>21.955315285022429</v>
      </c>
      <c r="GB458">
        <v>8.995007086886055</v>
      </c>
      <c r="GC458">
        <v>0.1475954794118578</v>
      </c>
      <c r="GD458">
        <v>1.057251777958758</v>
      </c>
      <c r="GE458">
        <v>2.5005769179920345</v>
      </c>
      <c r="GF458">
        <v>0.95469624988012047</v>
      </c>
      <c r="GG458">
        <v>6.1549440479905293</v>
      </c>
      <c r="GH458">
        <v>8.668541174741371</v>
      </c>
      <c r="GI458">
        <v>5.0417596288639626</v>
      </c>
      <c r="GJ458"/>
      <c r="GK458"/>
      <c r="GL458"/>
      <c r="GM458"/>
      <c r="GN458" s="208"/>
      <c r="GO458" s="208"/>
      <c r="GP458" s="208"/>
      <c r="GQ458" s="208"/>
      <c r="GR458" s="208"/>
      <c r="GS458" s="208"/>
      <c r="GT458" s="208"/>
      <c r="GU458" s="213">
        <v>453</v>
      </c>
    </row>
    <row r="459" spans="1:203" s="7" customFormat="1">
      <c r="A459" s="4"/>
      <c r="B459" s="4"/>
      <c r="C459" s="63">
        <v>1</v>
      </c>
      <c r="D459" s="101">
        <f>SUM($F$228:$F$347)/$A$438</f>
        <v>1.25</v>
      </c>
      <c r="E459" s="97">
        <f>+H36</f>
        <v>1.15313E-2</v>
      </c>
      <c r="F459" s="102">
        <f>+D459-D461</f>
        <v>-9.4974685276409421</v>
      </c>
      <c r="G459" s="101">
        <f>+D459*E459</f>
        <v>1.4414125E-2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18.331930760810071</v>
      </c>
      <c r="AO459">
        <v>7.2035643398692342</v>
      </c>
      <c r="AP459">
        <v>181.71404603945899</v>
      </c>
      <c r="AQ459">
        <v>48.825122007092816</v>
      </c>
      <c r="AR459">
        <v>6.6029661252859686</v>
      </c>
      <c r="AS459">
        <v>67.671597229468759</v>
      </c>
      <c r="AT459" t="e">
        <v>#DIV/0!</v>
      </c>
      <c r="AU459" t="e">
        <v>#DIV/0!</v>
      </c>
      <c r="AV459"/>
      <c r="AW459"/>
      <c r="FY459" s="213">
        <v>454</v>
      </c>
      <c r="FZ459">
        <v>1.596276202757001</v>
      </c>
      <c r="GA459">
        <v>22.954948375599884</v>
      </c>
      <c r="GB459">
        <v>10.408326752783381</v>
      </c>
      <c r="GC459">
        <v>1.5809996066777399</v>
      </c>
      <c r="GD459">
        <v>2.4004002835707929</v>
      </c>
      <c r="GE459">
        <v>2.4035923587023471</v>
      </c>
      <c r="GF459">
        <v>0</v>
      </c>
      <c r="GG459">
        <v>2.105186315348972</v>
      </c>
      <c r="GH459">
        <v>2.8823658966879071</v>
      </c>
      <c r="GI459">
        <v>4.7902334363420351</v>
      </c>
      <c r="GJ459"/>
      <c r="GK459"/>
      <c r="GL459"/>
      <c r="GM459"/>
      <c r="GN459" s="208"/>
      <c r="GO459" s="208"/>
      <c r="GP459" s="208"/>
      <c r="GQ459" s="208"/>
      <c r="GR459" s="208"/>
      <c r="GS459" s="208"/>
      <c r="GT459" s="208"/>
      <c r="GU459" s="213">
        <v>454</v>
      </c>
    </row>
    <row r="460" spans="1:203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2.9060412201857979E-2</v>
      </c>
      <c r="I460" s="101">
        <f>+H460*F459</f>
        <v>-0.27600035028741898</v>
      </c>
      <c r="J460" s="101">
        <f>+I460*$A$440</f>
        <v>-2.2080028022993519</v>
      </c>
      <c r="K460" s="61">
        <f>IF(AND(J460&lt;0, J458&lt;0), 0, J460)</f>
        <v>0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34.526307199240321</v>
      </c>
      <c r="AO460">
        <v>7.046064355106255</v>
      </c>
      <c r="AP460">
        <v>140.03085696903074</v>
      </c>
      <c r="AQ460">
        <v>49.590448375703346</v>
      </c>
      <c r="AR460">
        <v>6.4597843209559862</v>
      </c>
      <c r="AS460">
        <v>92.83026926528467</v>
      </c>
      <c r="AT460" t="e">
        <v>#DIV/0!</v>
      </c>
      <c r="AU460" t="e">
        <v>#DIV/0!</v>
      </c>
      <c r="AV460"/>
      <c r="AW460"/>
      <c r="FY460" s="213">
        <v>455</v>
      </c>
      <c r="FZ460">
        <v>1.1743222411384853</v>
      </c>
      <c r="GA460">
        <v>14.546754334522545</v>
      </c>
      <c r="GB460">
        <v>7.2294631408162449</v>
      </c>
      <c r="GC460">
        <v>2.2866320093547907</v>
      </c>
      <c r="GD460">
        <v>2.9429046441886273</v>
      </c>
      <c r="GE460">
        <v>2.4035923587023471</v>
      </c>
      <c r="GF460">
        <v>0</v>
      </c>
      <c r="GG460">
        <v>3.5699400908936756</v>
      </c>
      <c r="GH460">
        <v>4.9212372582308834</v>
      </c>
      <c r="GI460">
        <v>4.5457145502856742</v>
      </c>
      <c r="GJ460"/>
      <c r="GK460"/>
      <c r="GL460"/>
      <c r="GM460"/>
      <c r="GN460" s="208"/>
      <c r="GO460" s="208"/>
      <c r="GP460" s="208"/>
      <c r="GQ460" s="208"/>
      <c r="GR460" s="208"/>
      <c r="GS460" s="208"/>
      <c r="GT460" s="208"/>
      <c r="GU460" s="213">
        <v>455</v>
      </c>
    </row>
    <row r="461" spans="1:203" s="7" customFormat="1">
      <c r="A461" s="4"/>
      <c r="B461" s="4"/>
      <c r="C461" s="63">
        <v>2</v>
      </c>
      <c r="D461" s="101">
        <f>SUM($G$228:$G$347)/$A$438</f>
        <v>10.747468527640942</v>
      </c>
      <c r="E461" s="97">
        <f>+I36</f>
        <v>7.3236110182017297E-2</v>
      </c>
      <c r="F461" s="102">
        <f>+D461-D463</f>
        <v>5.4613095238095246</v>
      </c>
      <c r="G461" s="101">
        <f>+D461*E461</f>
        <v>0.7871027892680752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34.101532567049802</v>
      </c>
      <c r="AO461">
        <v>9.0816320157959787</v>
      </c>
      <c r="AP461">
        <v>156.7150274880957</v>
      </c>
      <c r="AQ461">
        <v>62.695060573821578</v>
      </c>
      <c r="AR461">
        <v>8.3103003761284651</v>
      </c>
      <c r="AS461">
        <v>113.06842526923757</v>
      </c>
      <c r="AT461" t="e">
        <v>#DIV/0!</v>
      </c>
      <c r="AU461" t="e">
        <v>#DIV/0!</v>
      </c>
      <c r="AV461"/>
      <c r="AW461"/>
      <c r="FY461" s="213">
        <v>456</v>
      </c>
      <c r="FZ461">
        <v>2.1834373233262436</v>
      </c>
      <c r="GA461">
        <v>19.525459567883999</v>
      </c>
      <c r="GB461">
        <v>8.712933273121692</v>
      </c>
      <c r="GC461">
        <v>1.1752886190159173</v>
      </c>
      <c r="GD461">
        <v>1.5298216739036232</v>
      </c>
      <c r="GE461">
        <v>1.2677444239822235</v>
      </c>
      <c r="GF461">
        <v>0</v>
      </c>
      <c r="GG461">
        <v>3.4648713879457071</v>
      </c>
      <c r="GH461">
        <v>4.8970170936990343</v>
      </c>
      <c r="GI461">
        <v>4.2224702490372064</v>
      </c>
      <c r="GJ461"/>
      <c r="GK461"/>
      <c r="GL461"/>
      <c r="GM461"/>
      <c r="GN461" s="208"/>
      <c r="GO461" s="208"/>
      <c r="GP461" s="208"/>
      <c r="GQ461" s="208"/>
      <c r="GR461" s="208"/>
      <c r="GS461" s="208"/>
      <c r="GT461" s="208"/>
      <c r="GU461" s="213">
        <v>456</v>
      </c>
    </row>
    <row r="462" spans="1:203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0.12576012586186258</v>
      </c>
      <c r="I462" s="101">
        <f>+H462*F461</f>
        <v>0.6868149730848746</v>
      </c>
      <c r="J462" s="101">
        <f>+I462*$A$440</f>
        <v>5.4945197846789968</v>
      </c>
      <c r="K462" s="61">
        <f>IF(AND(J462&lt;0, J460&lt;0), 0, J462)</f>
        <v>5.4945197846789968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47.081452245764659</v>
      </c>
      <c r="AO462">
        <v>9.0699694054861659</v>
      </c>
      <c r="AP462">
        <v>437.14169992905329</v>
      </c>
      <c r="AQ462">
        <v>57.710601311577861</v>
      </c>
      <c r="AR462">
        <v>8.2454267322601513</v>
      </c>
      <c r="AS462">
        <v>111.75710064670923</v>
      </c>
      <c r="AT462" t="e">
        <v>#DIV/0!</v>
      </c>
      <c r="AU462" t="e">
        <v>#DIV/0!</v>
      </c>
      <c r="AV462"/>
      <c r="AW462"/>
      <c r="FY462" s="213">
        <v>457</v>
      </c>
      <c r="FZ462">
        <v>1.596276202757001</v>
      </c>
      <c r="GA462">
        <v>20.727892576635647</v>
      </c>
      <c r="GB462">
        <v>9.4188537815985391</v>
      </c>
      <c r="GC462">
        <v>0.93809528275072762</v>
      </c>
      <c r="GD462">
        <v>2.9319925689464732</v>
      </c>
      <c r="GE462">
        <v>4.4852742228228983</v>
      </c>
      <c r="GF462">
        <v>0</v>
      </c>
      <c r="GG462">
        <v>3.6783489012137967</v>
      </c>
      <c r="GH462">
        <v>5.1781819387473451</v>
      </c>
      <c r="GI462">
        <v>5.2554216770851001</v>
      </c>
      <c r="GJ462"/>
      <c r="GK462"/>
      <c r="GL462"/>
      <c r="GM462"/>
      <c r="GN462" s="208"/>
      <c r="GO462" s="208"/>
      <c r="GP462" s="208"/>
      <c r="GQ462" s="208"/>
      <c r="GR462" s="208"/>
      <c r="GS462" s="208"/>
      <c r="GT462" s="208"/>
      <c r="GU462" s="213">
        <v>457</v>
      </c>
    </row>
    <row r="463" spans="1:203" s="7" customFormat="1">
      <c r="A463" s="4"/>
      <c r="B463" s="4"/>
      <c r="C463" s="63">
        <v>3</v>
      </c>
      <c r="D463" s="101">
        <f>SUM($H$228:$H$347)/$A$438</f>
        <v>5.2861590038314175</v>
      </c>
      <c r="E463" s="97">
        <f>+J36</f>
        <v>0.21595370395129135</v>
      </c>
      <c r="F463" s="102">
        <f>+D463-D465</f>
        <v>0.1819923371647505</v>
      </c>
      <c r="G463" s="101">
        <f>+D463*E463</f>
        <v>1.1415656165528631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27.792419678714861</v>
      </c>
      <c r="AO463">
        <v>6.8425495663272997</v>
      </c>
      <c r="AP463">
        <v>113.81387971882802</v>
      </c>
      <c r="AQ463">
        <v>47.659455915161985</v>
      </c>
      <c r="AR463">
        <v>6.2747708766114858</v>
      </c>
      <c r="AS463">
        <v>70.563867927107779</v>
      </c>
      <c r="AT463" t="e">
        <v>#DIV/0!</v>
      </c>
      <c r="AU463" t="e">
        <v>#DIV/0!</v>
      </c>
      <c r="AV463"/>
      <c r="AW463"/>
      <c r="FY463" s="213">
        <v>458</v>
      </c>
      <c r="FZ463">
        <v>2.1834373233262436</v>
      </c>
      <c r="GA463">
        <v>22.59463596129098</v>
      </c>
      <c r="GB463">
        <v>10.31549030393267</v>
      </c>
      <c r="GC463">
        <v>1.8883007956635618</v>
      </c>
      <c r="GD463">
        <v>2.9783386698597671</v>
      </c>
      <c r="GE463">
        <v>3.6806527653323982</v>
      </c>
      <c r="GF463">
        <v>0.95469624988012047</v>
      </c>
      <c r="GG463">
        <v>6.0734733083815797</v>
      </c>
      <c r="GH463">
        <v>8.3305835406240085</v>
      </c>
      <c r="GI463">
        <v>6.2348786756512862</v>
      </c>
      <c r="GJ463"/>
      <c r="GK463"/>
      <c r="GL463"/>
      <c r="GM463"/>
      <c r="GN463" s="208"/>
      <c r="GO463" s="208"/>
      <c r="GP463" s="208"/>
      <c r="GQ463" s="208"/>
      <c r="GR463" s="208"/>
      <c r="GS463" s="208"/>
      <c r="GT463" s="208"/>
      <c r="GU463" s="213">
        <v>458</v>
      </c>
    </row>
    <row r="464" spans="1:203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0.316932270958458</v>
      </c>
      <c r="I464" s="101">
        <f>+H464*F463</f>
        <v>5.7679244714661751E-2</v>
      </c>
      <c r="J464" s="101">
        <f>+I464*$A$440</f>
        <v>0.46143395771729401</v>
      </c>
      <c r="K464" s="61">
        <f>IF(AND(J464&lt;0, J462&lt;0), 0, J464)</f>
        <v>0.46143395771729401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27.957016283524904</v>
      </c>
      <c r="AO464">
        <v>6.9273853733210569</v>
      </c>
      <c r="AP464">
        <v>133.45216372066048</v>
      </c>
      <c r="AQ464">
        <v>53.772241425300685</v>
      </c>
      <c r="AR464">
        <v>6.2976230666555075</v>
      </c>
      <c r="AS464">
        <v>77.569264095733843</v>
      </c>
      <c r="AT464" t="e">
        <v>#DIV/0!</v>
      </c>
      <c r="AU464" t="e">
        <v>#DIV/0!</v>
      </c>
      <c r="AV464"/>
      <c r="AW464"/>
      <c r="FY464" s="213">
        <v>459</v>
      </c>
      <c r="FZ464">
        <v>0</v>
      </c>
      <c r="GA464">
        <v>14.643259026721772</v>
      </c>
      <c r="GB464">
        <v>7.1878411445737997</v>
      </c>
      <c r="GC464">
        <v>2.1908715284578704</v>
      </c>
      <c r="GD464">
        <v>3.987477456213095</v>
      </c>
      <c r="GE464">
        <v>4.6716426728108909</v>
      </c>
      <c r="GF464">
        <v>0</v>
      </c>
      <c r="GG464">
        <v>7.3785928788045716</v>
      </c>
      <c r="GH464">
        <v>10.284831636248423</v>
      </c>
      <c r="GI464">
        <v>5.9228175235041363</v>
      </c>
      <c r="GJ464"/>
      <c r="GK464"/>
      <c r="GL464"/>
      <c r="GM464"/>
      <c r="GN464" s="208"/>
      <c r="GO464" s="208"/>
      <c r="GP464" s="208"/>
      <c r="GQ464" s="208"/>
      <c r="GR464" s="208"/>
      <c r="GS464" s="208"/>
      <c r="GT464" s="208"/>
      <c r="GU464" s="213">
        <v>459</v>
      </c>
    </row>
    <row r="465" spans="1:203" s="7" customFormat="1">
      <c r="A465" s="4"/>
      <c r="B465" s="4"/>
      <c r="C465" s="63">
        <v>4</v>
      </c>
      <c r="D465" s="101">
        <f>SUM($I$228:$I$347)/$A$438</f>
        <v>5.104166666666667</v>
      </c>
      <c r="E465" s="97">
        <f>+K36</f>
        <v>0.46512776829954805</v>
      </c>
      <c r="F465" s="102">
        <f>+D465-D467</f>
        <v>4.479166666666667</v>
      </c>
      <c r="G465" s="101">
        <f>+D465*E465</f>
        <v>2.37408965069561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28.480654761904766</v>
      </c>
      <c r="AO465">
        <v>5.3190335810554794</v>
      </c>
      <c r="AP465">
        <v>148.43834734533351</v>
      </c>
      <c r="AQ465">
        <v>36.038385544611515</v>
      </c>
      <c r="AR465">
        <v>4.9440276154055853</v>
      </c>
      <c r="AS465">
        <v>65.380729368586529</v>
      </c>
      <c r="AT465" t="e">
        <v>#DIV/0!</v>
      </c>
      <c r="AU465" t="e">
        <v>#DIV/0!</v>
      </c>
      <c r="AV465"/>
      <c r="AW465"/>
      <c r="FY465" s="213">
        <v>460</v>
      </c>
      <c r="FZ465">
        <v>0.58716112056924263</v>
      </c>
      <c r="GA465">
        <v>22.821580478741275</v>
      </c>
      <c r="GB465">
        <v>11.104074979045004</v>
      </c>
      <c r="GC465">
        <v>0.68735954847135594</v>
      </c>
      <c r="GD465">
        <v>1.2131450267545414</v>
      </c>
      <c r="GE465">
        <v>1.6826703817622763</v>
      </c>
      <c r="GF465">
        <v>0.47734812494006024</v>
      </c>
      <c r="GG465">
        <v>0.71856317204106601</v>
      </c>
      <c r="GH465">
        <v>0.94872765327768138</v>
      </c>
      <c r="GI465">
        <v>3.9669068040212352</v>
      </c>
      <c r="GJ465"/>
      <c r="GK465"/>
      <c r="GL465"/>
      <c r="GM465"/>
      <c r="GN465" s="208"/>
      <c r="GO465" s="208"/>
      <c r="GP465" s="208"/>
      <c r="GQ465" s="208"/>
      <c r="GR465" s="208"/>
      <c r="GS465" s="208"/>
      <c r="GT465" s="208"/>
      <c r="GU465" s="213">
        <v>460</v>
      </c>
    </row>
    <row r="466" spans="1:203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0.6263279176488642</v>
      </c>
      <c r="I466" s="101">
        <f>+H466*F465</f>
        <v>2.8054271311355379</v>
      </c>
      <c r="J466" s="101">
        <f>+I466*$A$440</f>
        <v>22.443417049084303</v>
      </c>
      <c r="K466" s="61">
        <f>IF(AND(J466&lt;0, J464&lt;0), 0, J466)</f>
        <v>22.443417049084303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24.609383964429142</v>
      </c>
      <c r="AO466">
        <v>8.712325745214196</v>
      </c>
      <c r="AP466">
        <v>289.63291532131387</v>
      </c>
      <c r="AQ466">
        <v>61.543710727605941</v>
      </c>
      <c r="AR466">
        <v>7.9202961320129051</v>
      </c>
      <c r="AS466">
        <v>72.129940389752051</v>
      </c>
      <c r="AT466" t="e">
        <v>#DIV/0!</v>
      </c>
      <c r="AU466" t="e">
        <v>#DIV/0!</v>
      </c>
      <c r="AV466"/>
      <c r="AW466"/>
      <c r="FY466" s="213">
        <v>461</v>
      </c>
      <c r="FZ466">
        <v>3.3577595644647293</v>
      </c>
      <c r="GA466">
        <v>17.314335639676347</v>
      </c>
      <c r="GB466">
        <v>7.6357597199572531</v>
      </c>
      <c r="GC466">
        <v>2.2474369831643211</v>
      </c>
      <c r="GD466">
        <v>3.6550945407315751</v>
      </c>
      <c r="GE466">
        <v>4.1982616753817652</v>
      </c>
      <c r="GF466">
        <v>0.47734812494006024</v>
      </c>
      <c r="GG466">
        <v>2.7186807844420695</v>
      </c>
      <c r="GH466">
        <v>3.8068733854337395</v>
      </c>
      <c r="GI466">
        <v>5.3115674558209385</v>
      </c>
      <c r="GJ466"/>
      <c r="GK466"/>
      <c r="GL466"/>
      <c r="GM466"/>
      <c r="GN466" s="208"/>
      <c r="GO466" s="208"/>
      <c r="GP466" s="208"/>
      <c r="GQ466" s="208"/>
      <c r="GR466" s="208"/>
      <c r="GS466" s="208"/>
      <c r="GT466" s="208"/>
      <c r="GU466" s="213">
        <v>461</v>
      </c>
    </row>
    <row r="467" spans="1:203" s="7" customFormat="1">
      <c r="A467" s="4"/>
      <c r="B467" s="4"/>
      <c r="C467" s="63">
        <v>5</v>
      </c>
      <c r="D467" s="101">
        <f>SUM($J$228:$J$347)/$A$438</f>
        <v>0.625</v>
      </c>
      <c r="E467" s="97">
        <f>L36</f>
        <v>0.84339548649291773</v>
      </c>
      <c r="F467" s="102">
        <f>+D467-D469</f>
        <v>0.20833333333333337</v>
      </c>
      <c r="G467" s="101">
        <f>+D467*E467</f>
        <v>0.52712217905807357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27.178656951286257</v>
      </c>
      <c r="AO467">
        <v>8.4175734918702965</v>
      </c>
      <c r="AP467">
        <v>287.68650209519546</v>
      </c>
      <c r="AQ467">
        <v>55.020578471305953</v>
      </c>
      <c r="AR467">
        <v>7.7608820797826921</v>
      </c>
      <c r="AS467">
        <v>88.182543686159107</v>
      </c>
      <c r="AT467" t="e">
        <v>#DIV/0!</v>
      </c>
      <c r="AU467" t="e">
        <v>#DIV/0!</v>
      </c>
      <c r="AV467"/>
      <c r="AW467"/>
      <c r="FY467" s="213">
        <v>462</v>
      </c>
      <c r="FZ467">
        <v>1.596276202757001</v>
      </c>
      <c r="GA467">
        <v>16.11992390285727</v>
      </c>
      <c r="GB467">
        <v>7.2155068456709675</v>
      </c>
      <c r="GC467">
        <v>1.0721483641484035</v>
      </c>
      <c r="GD467">
        <v>2.2021072016081731</v>
      </c>
      <c r="GE467">
        <v>3.3786398250955614</v>
      </c>
      <c r="GF467">
        <v>0.95469624988012047</v>
      </c>
      <c r="GG467">
        <v>2.1849870012718453</v>
      </c>
      <c r="GH467">
        <v>3.1039612728129642</v>
      </c>
      <c r="GI467">
        <v>4.0492492295232614</v>
      </c>
      <c r="GJ467"/>
      <c r="GK467"/>
      <c r="GL467"/>
      <c r="GM467"/>
      <c r="GN467" s="208"/>
      <c r="GO467" s="208"/>
      <c r="GP467" s="208"/>
      <c r="GQ467" s="208"/>
      <c r="GR467" s="208"/>
      <c r="GS467" s="208"/>
      <c r="GT467" s="208"/>
      <c r="GU467" s="213">
        <v>462</v>
      </c>
    </row>
    <row r="468" spans="1:203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1.0755224104414585</v>
      </c>
      <c r="I468" s="101">
        <f>+H468*F467</f>
        <v>0.22406716884197056</v>
      </c>
      <c r="J468" s="101">
        <f>+I468*$A$440</f>
        <v>1.7925373507357645</v>
      </c>
      <c r="K468" s="61">
        <f>IF(AND(J468&lt;0, J466&lt;0), 0, J468)</f>
        <v>1.7925373507357645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28.904026821572</v>
      </c>
      <c r="AO468">
        <v>6.7848791958043027</v>
      </c>
      <c r="AP468">
        <v>345.97779526102192</v>
      </c>
      <c r="AQ468">
        <v>44.688029629758304</v>
      </c>
      <c r="AR468">
        <v>6.3308858087639113</v>
      </c>
      <c r="AS468">
        <v>78.113181602748142</v>
      </c>
      <c r="AT468" t="e">
        <v>#DIV/0!</v>
      </c>
      <c r="AU468" t="e">
        <v>#DIV/0!</v>
      </c>
      <c r="AV468"/>
      <c r="AW468"/>
      <c r="FY468" s="213">
        <v>463</v>
      </c>
      <c r="FZ468">
        <v>3.192552405514002</v>
      </c>
      <c r="GA468">
        <v>20.558201349437308</v>
      </c>
      <c r="GB468">
        <v>8.2898225524751492</v>
      </c>
      <c r="GC468">
        <v>1.1752886190159173</v>
      </c>
      <c r="GD468">
        <v>1.6887924423169185</v>
      </c>
      <c r="GE468">
        <v>1.882337893321278</v>
      </c>
      <c r="GF468">
        <v>0.47734812494006024</v>
      </c>
      <c r="GG468">
        <v>3.7581495871366699</v>
      </c>
      <c r="GH468">
        <v>5.3997773148724022</v>
      </c>
      <c r="GI468">
        <v>4.5435552550507401</v>
      </c>
      <c r="GJ468"/>
      <c r="GK468"/>
      <c r="GL468"/>
      <c r="GM468"/>
      <c r="GN468" s="208"/>
      <c r="GO468" s="208"/>
      <c r="GP468" s="208"/>
      <c r="GQ468" s="208"/>
      <c r="GR468" s="208"/>
      <c r="GS468" s="208"/>
      <c r="GT468" s="208"/>
      <c r="GU468" s="213">
        <v>463</v>
      </c>
    </row>
    <row r="469" spans="1:203" s="7" customFormat="1">
      <c r="A469" s="4"/>
      <c r="B469" s="4"/>
      <c r="C469" s="63">
        <v>6</v>
      </c>
      <c r="D469" s="101">
        <f>SUM($K$228:$K$347)/$A$438</f>
        <v>0.41666666666666663</v>
      </c>
      <c r="E469" s="97">
        <f>M36</f>
        <v>1.3715374031368122</v>
      </c>
      <c r="F469" s="102">
        <f>+D469-D471</f>
        <v>0</v>
      </c>
      <c r="G469" s="101">
        <f>+D469*E469</f>
        <v>0.57147391797367164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21.245706759715382</v>
      </c>
      <c r="AO469">
        <v>8.0734699504401988</v>
      </c>
      <c r="AP469">
        <v>209.95902814214818</v>
      </c>
      <c r="AQ469">
        <v>58.668240054261119</v>
      </c>
      <c r="AR469">
        <v>7.339518136763818</v>
      </c>
      <c r="AS469">
        <v>66.169071321131071</v>
      </c>
      <c r="AT469" t="e">
        <v>#DIV/0!</v>
      </c>
      <c r="AU469" t="e">
        <v>#DIV/0!</v>
      </c>
      <c r="AV469"/>
      <c r="AW469"/>
      <c r="FY469" s="213">
        <v>464</v>
      </c>
      <c r="FZ469">
        <v>0.58716112056924263</v>
      </c>
      <c r="GA469">
        <v>12.300231237459283</v>
      </c>
      <c r="GB469">
        <v>6.043438368862784</v>
      </c>
      <c r="GC469">
        <v>0.76484717516258138</v>
      </c>
      <c r="GD469">
        <v>2.1482217324971264</v>
      </c>
      <c r="GE469">
        <v>3.1630578381147822</v>
      </c>
      <c r="GF469">
        <v>0</v>
      </c>
      <c r="GG469">
        <v>5.7549270921655209</v>
      </c>
      <c r="GH469">
        <v>8.0251985310438485</v>
      </c>
      <c r="GI469">
        <v>4.2332395627231243</v>
      </c>
      <c r="GJ469"/>
      <c r="GK469"/>
      <c r="GL469"/>
      <c r="GM469"/>
      <c r="GN469" s="208"/>
      <c r="GO469" s="208"/>
      <c r="GP469" s="208"/>
      <c r="GQ469" s="208"/>
      <c r="GR469" s="208"/>
      <c r="GS469" s="208"/>
      <c r="GT469" s="208"/>
      <c r="GU469" s="213">
        <v>464</v>
      </c>
    </row>
    <row r="470" spans="1:203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1.6845395026771761</v>
      </c>
      <c r="I470" s="101">
        <f>+H470*F469</f>
        <v>0</v>
      </c>
      <c r="J470" s="101">
        <f>+I470*$A$440</f>
        <v>0</v>
      </c>
      <c r="K470" s="61">
        <f>IF(AND(J470&lt;0, J468&lt;0), 0, J470)</f>
        <v>0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31.366842369477911</v>
      </c>
      <c r="AO470">
        <v>7.4601535680221236</v>
      </c>
      <c r="AP470">
        <v>125.98000530466581</v>
      </c>
      <c r="AQ470">
        <v>51.122329228470065</v>
      </c>
      <c r="AR470">
        <v>6.7819577891110212</v>
      </c>
      <c r="AS470">
        <v>91.983500105568936</v>
      </c>
      <c r="AT470" t="e">
        <v>#DIV/0!</v>
      </c>
      <c r="AU470" t="e">
        <v>#DIV/0!</v>
      </c>
      <c r="AV470"/>
      <c r="AW470"/>
      <c r="FY470" s="213">
        <v>465</v>
      </c>
      <c r="FZ470">
        <v>3.7797135260832437</v>
      </c>
      <c r="GA470">
        <v>8.6581559600228193</v>
      </c>
      <c r="GB470">
        <v>2.3969207961451144</v>
      </c>
      <c r="GC470">
        <v>0.68735954847135594</v>
      </c>
      <c r="GD470">
        <v>1.9732285208995812</v>
      </c>
      <c r="GE470">
        <v>2.9251703648431442</v>
      </c>
      <c r="GF470">
        <v>0</v>
      </c>
      <c r="GG470">
        <v>1.9984475587149273</v>
      </c>
      <c r="GH470">
        <v>2.7417834741637517</v>
      </c>
      <c r="GI470">
        <v>2.7480369389629895</v>
      </c>
      <c r="GJ470"/>
      <c r="GK470"/>
      <c r="GL470"/>
      <c r="GM470"/>
      <c r="GN470" s="208"/>
      <c r="GO470" s="208"/>
      <c r="GP470" s="208"/>
      <c r="GQ470" s="208"/>
      <c r="GR470" s="208"/>
      <c r="GS470" s="208"/>
      <c r="GT470" s="208"/>
      <c r="GU470" s="213">
        <v>465</v>
      </c>
    </row>
    <row r="471" spans="1:203" s="7" customFormat="1">
      <c r="A471" s="4"/>
      <c r="B471" s="4"/>
      <c r="C471" s="63">
        <v>7</v>
      </c>
      <c r="D471" s="101">
        <f>SUM($L$228:$L$347)/$A$438</f>
        <v>0.41666666666666663</v>
      </c>
      <c r="E471" s="97">
        <f>+N36</f>
        <v>2.0689726212277471</v>
      </c>
      <c r="F471" s="102">
        <f>+D471-D473</f>
        <v>0.20833333333333331</v>
      </c>
      <c r="G471" s="101">
        <f>+D471*E471</f>
        <v>0.8620719255115612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33.194940476190474</v>
      </c>
      <c r="AO471">
        <v>6.9289116063305043</v>
      </c>
      <c r="AP471">
        <v>336.87195974327244</v>
      </c>
      <c r="AQ471">
        <v>43.620560628133269</v>
      </c>
      <c r="AR471">
        <v>6.4075530929283371</v>
      </c>
      <c r="AS471">
        <v>88.474053362214491</v>
      </c>
      <c r="AT471" t="e">
        <v>#DIV/0!</v>
      </c>
      <c r="AU471" t="e">
        <v>#DIV/0!</v>
      </c>
      <c r="AV471"/>
      <c r="AW471"/>
      <c r="FY471" s="213">
        <v>466</v>
      </c>
      <c r="FZ471">
        <v>4.3668746466524873</v>
      </c>
      <c r="GA471">
        <v>19.844548282105681</v>
      </c>
      <c r="GB471">
        <v>8.0661848764587631</v>
      </c>
      <c r="GC471">
        <v>1.8883007956635618</v>
      </c>
      <c r="GD471">
        <v>2.9448704562766865</v>
      </c>
      <c r="GE471">
        <v>3.0275157935209793</v>
      </c>
      <c r="GF471">
        <v>0</v>
      </c>
      <c r="GG471">
        <v>1.7866400991329137</v>
      </c>
      <c r="GH471">
        <v>2.5769808871077484</v>
      </c>
      <c r="GI471">
        <v>4.8427617433892225</v>
      </c>
      <c r="GJ471"/>
      <c r="GK471"/>
      <c r="GL471"/>
      <c r="GM471"/>
      <c r="GN471" s="208"/>
      <c r="GO471" s="208"/>
      <c r="GP471" s="208"/>
      <c r="GQ471" s="208"/>
      <c r="GR471" s="208"/>
      <c r="GS471" s="208"/>
      <c r="GT471" s="208"/>
      <c r="GU471" s="213">
        <v>466</v>
      </c>
    </row>
    <row r="472" spans="1:203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2.4722193707922098</v>
      </c>
      <c r="I472" s="101">
        <f>+H472*F471</f>
        <v>0.51504570224837698</v>
      </c>
      <c r="J472" s="101">
        <f>+I472*$A$440</f>
        <v>4.1203656179870158</v>
      </c>
      <c r="K472" s="61">
        <f>IF(AND(J472&lt;0, J470&lt;0), 0, J472)</f>
        <v>4.1203656179870158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25.729919678714857</v>
      </c>
      <c r="AO472">
        <v>6.5925574110823746</v>
      </c>
      <c r="AP472">
        <v>127.70500097207994</v>
      </c>
      <c r="AQ472">
        <v>46.97904361191565</v>
      </c>
      <c r="AR472">
        <v>6.0475052809342795</v>
      </c>
      <c r="AS472">
        <v>75.237230677131834</v>
      </c>
      <c r="AT472" t="e">
        <v>#DIV/0!</v>
      </c>
      <c r="AU472" t="e">
        <v>#DIV/0!</v>
      </c>
      <c r="AV472"/>
      <c r="AW472"/>
      <c r="FY472" s="213">
        <v>467</v>
      </c>
      <c r="FZ472">
        <v>1.596276202757001</v>
      </c>
      <c r="GA472">
        <v>19.008984923791729</v>
      </c>
      <c r="GB472">
        <v>8.5017458998313913</v>
      </c>
      <c r="GC472">
        <v>0.75746740119198852</v>
      </c>
      <c r="GD472">
        <v>1.8347260496148587</v>
      </c>
      <c r="GE472">
        <v>2.5354888479644471</v>
      </c>
      <c r="GF472">
        <v>0</v>
      </c>
      <c r="GG472">
        <v>1.7849700454468378</v>
      </c>
      <c r="GH472">
        <v>2.4606186291154417</v>
      </c>
      <c r="GI472">
        <v>3.839827546477188</v>
      </c>
      <c r="GJ472"/>
      <c r="GK472"/>
      <c r="GL472"/>
      <c r="GM472"/>
      <c r="GN472" s="208"/>
      <c r="GO472" s="208"/>
      <c r="GP472" s="208"/>
      <c r="GQ472" s="208"/>
      <c r="GR472" s="208"/>
      <c r="GS472" s="208"/>
      <c r="GT472" s="208"/>
      <c r="GU472" s="213">
        <v>467</v>
      </c>
    </row>
    <row r="473" spans="1:203" s="7" customFormat="1">
      <c r="A473" s="4"/>
      <c r="B473" s="16"/>
      <c r="C473" s="63">
        <v>8</v>
      </c>
      <c r="D473" s="101">
        <f>SUM($M$228:$M$347)/$A$438</f>
        <v>0.20833333333333331</v>
      </c>
      <c r="E473" s="97">
        <f>O36</f>
        <v>2.9540596886648949</v>
      </c>
      <c r="F473" s="102">
        <f>+D473-D475</f>
        <v>0.20833333333333331</v>
      </c>
      <c r="G473" s="101">
        <f>+D473*E473</f>
        <v>0.6154291018051864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30.957616179001718</v>
      </c>
      <c r="AO473">
        <v>8.2298402404541893</v>
      </c>
      <c r="AP473">
        <v>151.03965321466023</v>
      </c>
      <c r="AQ473">
        <v>54.210337152557521</v>
      </c>
      <c r="AR473">
        <v>7.4816729458674436</v>
      </c>
      <c r="AS473">
        <v>102.93129900353787</v>
      </c>
      <c r="AT473" t="e">
        <v>#DIV/0!</v>
      </c>
      <c r="AU473" t="e">
        <v>#DIV/0!</v>
      </c>
      <c r="AV473"/>
      <c r="AW473"/>
      <c r="FY473" s="213">
        <v>468</v>
      </c>
      <c r="FZ473">
        <v>1.596276202757001</v>
      </c>
      <c r="GA473">
        <v>14.345516171560268</v>
      </c>
      <c r="GB473">
        <v>6.1815540318834215</v>
      </c>
      <c r="GC473">
        <v>0.53976406905949814</v>
      </c>
      <c r="GD473">
        <v>2.1925940415528506</v>
      </c>
      <c r="GE473">
        <v>3.8962487351449275</v>
      </c>
      <c r="GF473">
        <v>0.47734812494006024</v>
      </c>
      <c r="GG473">
        <v>0.82530192867511065</v>
      </c>
      <c r="GH473">
        <v>1.0893100758018361</v>
      </c>
      <c r="GI473">
        <v>3.3917739539460334</v>
      </c>
      <c r="GJ473"/>
      <c r="GK473"/>
      <c r="GL473"/>
      <c r="GM473"/>
      <c r="GN473" s="208"/>
      <c r="GO473" s="208"/>
      <c r="GP473" s="208"/>
      <c r="GQ473" s="208"/>
      <c r="GR473" s="208"/>
      <c r="GS473" s="208"/>
      <c r="GT473" s="208"/>
      <c r="GU473" s="213">
        <v>468</v>
      </c>
    </row>
    <row r="474" spans="1:203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3.456456972364053</v>
      </c>
      <c r="I474" s="101">
        <f>+H474*F473</f>
        <v>0.72009520257584436</v>
      </c>
      <c r="J474" s="101">
        <f>+I474*$A$440</f>
        <v>5.7607616206067549</v>
      </c>
      <c r="K474" s="61">
        <f>IF(AND(J474&lt;0, J472&lt;0), 0, J474)</f>
        <v>5.7607616206067549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39.307386153810647</v>
      </c>
      <c r="AO474">
        <v>9.6344982970248658</v>
      </c>
      <c r="AP474">
        <v>222.08600605861</v>
      </c>
      <c r="AQ474">
        <v>65.234487593942617</v>
      </c>
      <c r="AR474">
        <v>8.8129060863365432</v>
      </c>
      <c r="AS474">
        <v>101.78245875862505</v>
      </c>
      <c r="AT474" t="e">
        <v>#DIV/0!</v>
      </c>
      <c r="AU474" t="e">
        <v>#DIV/0!</v>
      </c>
      <c r="AV474"/>
      <c r="AW474"/>
      <c r="FY474" s="213">
        <v>469</v>
      </c>
      <c r="FZ474">
        <v>1.7614833617077283</v>
      </c>
      <c r="GA474">
        <v>19.136305220848293</v>
      </c>
      <c r="GB474">
        <v>9.5598906884807189</v>
      </c>
      <c r="GC474">
        <v>0.38005835948553379</v>
      </c>
      <c r="GD474">
        <v>0.95184604295380015</v>
      </c>
      <c r="GE474">
        <v>1.6281984210363838</v>
      </c>
      <c r="GF474">
        <v>0.47734812494006024</v>
      </c>
      <c r="GG474">
        <v>3.358132631311662</v>
      </c>
      <c r="GH474">
        <v>4.7564346711748797</v>
      </c>
      <c r="GI474">
        <v>4.0888456163141456</v>
      </c>
      <c r="GJ474"/>
      <c r="GK474"/>
      <c r="GL474"/>
      <c r="GM474"/>
      <c r="GN474" s="208"/>
      <c r="GO474" s="208"/>
      <c r="GP474" s="208"/>
      <c r="GQ474" s="208"/>
      <c r="GR474" s="208"/>
      <c r="GS474" s="208"/>
      <c r="GT474" s="208"/>
      <c r="GU474" s="213">
        <v>469</v>
      </c>
    </row>
    <row r="475" spans="1:203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4.0442970220427874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43.129806376573619</v>
      </c>
      <c r="AO475">
        <v>9.3738217888602353</v>
      </c>
      <c r="AP475">
        <v>425.9153947267107</v>
      </c>
      <c r="AQ475">
        <v>56.267333867334557</v>
      </c>
      <c r="AR475">
        <v>8.5216561716911219</v>
      </c>
      <c r="AS475">
        <v>118.60956005729994</v>
      </c>
      <c r="AT475" t="e">
        <v>#DIV/0!</v>
      </c>
      <c r="AU475" t="e">
        <v>#DIV/0!</v>
      </c>
      <c r="AV475"/>
      <c r="AW475"/>
      <c r="FY475" s="213">
        <v>470</v>
      </c>
      <c r="FZ475">
        <v>0</v>
      </c>
      <c r="GA475">
        <v>19.396260709866294</v>
      </c>
      <c r="GB475">
        <v>9.5043757945942851</v>
      </c>
      <c r="GC475">
        <v>0.92455288473654584</v>
      </c>
      <c r="GD475">
        <v>0.74477745318974897</v>
      </c>
      <c r="GE475">
        <v>6.7771022296901365E-2</v>
      </c>
      <c r="GF475">
        <v>0</v>
      </c>
      <c r="GG475">
        <v>4.931295217176487</v>
      </c>
      <c r="GH475">
        <v>7.0522507132343177</v>
      </c>
      <c r="GI475">
        <v>4.0307623733454143</v>
      </c>
      <c r="GJ475"/>
      <c r="GK475"/>
      <c r="GL475"/>
      <c r="GM475"/>
      <c r="GN475" s="208"/>
      <c r="GO475" s="208"/>
      <c r="GP475" s="208"/>
      <c r="GQ475" s="208"/>
      <c r="GR475" s="208"/>
      <c r="GS475" s="208"/>
      <c r="GT475" s="208"/>
      <c r="GU475" s="213">
        <v>470</v>
      </c>
    </row>
    <row r="476" spans="1:203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4.6543673491225954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19.648159963334454</v>
      </c>
      <c r="AO476">
        <v>6.2370348699413229</v>
      </c>
      <c r="AP476">
        <v>325.13107397880975</v>
      </c>
      <c r="AQ476">
        <v>44.20753728962373</v>
      </c>
      <c r="AR476">
        <v>5.7243029708060504</v>
      </c>
      <c r="AS476">
        <v>75.35842152126915</v>
      </c>
      <c r="AT476" t="e">
        <v>#DIV/0!</v>
      </c>
      <c r="AU476" t="e">
        <v>#DIV/0!</v>
      </c>
      <c r="AV476"/>
      <c r="AW476"/>
      <c r="FY476" s="213">
        <v>471</v>
      </c>
      <c r="FZ476">
        <v>4.3668746466524873</v>
      </c>
      <c r="GA476">
        <v>15.785415562444538</v>
      </c>
      <c r="GB476">
        <v>5.8710151454546669</v>
      </c>
      <c r="GC476">
        <v>2.4159546345609537</v>
      </c>
      <c r="GD476">
        <v>2.0504005901202804</v>
      </c>
      <c r="GE476">
        <v>0.38968151687869679</v>
      </c>
      <c r="GF476">
        <v>0</v>
      </c>
      <c r="GG476">
        <v>3.4648713879457071</v>
      </c>
      <c r="GH476">
        <v>4.8970170936990343</v>
      </c>
      <c r="GI476">
        <v>4.1357194124848968</v>
      </c>
      <c r="GJ476"/>
      <c r="GK476"/>
      <c r="GL476"/>
      <c r="GM476"/>
      <c r="GN476" s="208"/>
      <c r="GO476" s="208"/>
      <c r="GP476" s="208"/>
      <c r="GQ476" s="208"/>
      <c r="GR476" s="208"/>
      <c r="GS476" s="208"/>
      <c r="GT476" s="208"/>
      <c r="GU476" s="213">
        <v>471</v>
      </c>
    </row>
    <row r="477" spans="1:203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5.3564649931760897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44.619922011527223</v>
      </c>
      <c r="AO477">
        <v>8.0688793142890205</v>
      </c>
      <c r="AP477">
        <v>165.32048057256071</v>
      </c>
      <c r="AQ477">
        <v>50.7231178740128</v>
      </c>
      <c r="AR477">
        <v>7.4981586437500152</v>
      </c>
      <c r="AS477">
        <v>114.78001990685685</v>
      </c>
      <c r="AT477" t="e">
        <v>#DIV/0!</v>
      </c>
      <c r="AU477" t="e">
        <v>#DIV/0!</v>
      </c>
      <c r="AV477"/>
      <c r="AW477"/>
      <c r="FY477" s="213">
        <v>472</v>
      </c>
      <c r="FZ477">
        <v>2.7705984438954863</v>
      </c>
      <c r="GA477">
        <v>12.301695273263054</v>
      </c>
      <c r="GB477">
        <v>5.2804609200545825</v>
      </c>
      <c r="GC477">
        <v>7.7487626691225331E-2</v>
      </c>
      <c r="GD477">
        <v>1.0854517008801787</v>
      </c>
      <c r="GE477">
        <v>2.3743648388778098</v>
      </c>
      <c r="GF477">
        <v>0.47734812494006024</v>
      </c>
      <c r="GG477">
        <v>2.2917257579058905</v>
      </c>
      <c r="GH477">
        <v>3.2445436953371196</v>
      </c>
      <c r="GI477">
        <v>3.0316373566339072</v>
      </c>
      <c r="GJ477"/>
      <c r="GK477"/>
      <c r="GL477"/>
      <c r="GM477"/>
      <c r="GN477" s="208"/>
      <c r="GO477" s="208"/>
      <c r="GP477" s="208"/>
      <c r="GQ477" s="208"/>
      <c r="GR477" s="208"/>
      <c r="GS477" s="208"/>
      <c r="GT477" s="208"/>
      <c r="GU477" s="213">
        <v>472</v>
      </c>
    </row>
    <row r="478" spans="1:203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6.0824061501897582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30.470323617952925</v>
      </c>
      <c r="AO478">
        <v>6.262931428334551</v>
      </c>
      <c r="AP478">
        <v>132.91939229480832</v>
      </c>
      <c r="AQ478">
        <v>41.877496095625567</v>
      </c>
      <c r="AR478">
        <v>5.6935740257586822</v>
      </c>
      <c r="AS478">
        <v>77.548717033454665</v>
      </c>
      <c r="AT478" t="e">
        <v>#DIV/0!</v>
      </c>
      <c r="AU478" t="e">
        <v>#DIV/0!</v>
      </c>
      <c r="AV478"/>
      <c r="AW478"/>
      <c r="FY478" s="213">
        <v>473</v>
      </c>
      <c r="FZ478">
        <v>2.1834373233262436</v>
      </c>
      <c r="GA478">
        <v>18.244939654385753</v>
      </c>
      <c r="GB478">
        <v>7.921554149150384</v>
      </c>
      <c r="GC478">
        <v>0.44278643823557334</v>
      </c>
      <c r="GD478">
        <v>1.3081486554346533</v>
      </c>
      <c r="GE478">
        <v>2.2521218558550165</v>
      </c>
      <c r="GF478">
        <v>0.47734812494006024</v>
      </c>
      <c r="GG478">
        <v>3.971627100404759</v>
      </c>
      <c r="GH478">
        <v>5.6809421599207131</v>
      </c>
      <c r="GI478">
        <v>4.1719287016588895</v>
      </c>
      <c r="GJ478"/>
      <c r="GK478"/>
      <c r="GL478"/>
      <c r="GM478"/>
      <c r="GN478" s="208"/>
      <c r="GO478" s="208"/>
      <c r="GP478" s="208"/>
      <c r="GQ478" s="208"/>
      <c r="GR478" s="208"/>
      <c r="GS478" s="208"/>
      <c r="GT478" s="208"/>
      <c r="GU478" s="213">
        <v>473</v>
      </c>
    </row>
    <row r="479" spans="1:203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6.9067313280301672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28.587883141762454</v>
      </c>
      <c r="AO479">
        <v>7.2089346546125714</v>
      </c>
      <c r="AP479">
        <v>190.12622302554655</v>
      </c>
      <c r="AQ479">
        <v>50.965825544080445</v>
      </c>
      <c r="AR479">
        <v>6.5535769587387005</v>
      </c>
      <c r="AS479">
        <v>81.986289130765158</v>
      </c>
      <c r="AT479" t="e">
        <v>#DIV/0!</v>
      </c>
      <c r="AU479" t="e">
        <v>#DIV/0!</v>
      </c>
      <c r="AV479"/>
      <c r="AW479"/>
      <c r="FY479" s="213">
        <v>474</v>
      </c>
      <c r="FZ479">
        <v>6.385104811028004</v>
      </c>
      <c r="GA479">
        <v>26.566528836157577</v>
      </c>
      <c r="GB479">
        <v>9.5781200814286045</v>
      </c>
      <c r="GC479">
        <v>2.0176234208697239</v>
      </c>
      <c r="GD479">
        <v>3.1453659658732889</v>
      </c>
      <c r="GE479">
        <v>3.8125492545944986</v>
      </c>
      <c r="GF479">
        <v>0.95469624988012047</v>
      </c>
      <c r="GG479">
        <v>5.5431196325835081</v>
      </c>
      <c r="GH479">
        <v>7.8603959439878439</v>
      </c>
      <c r="GI479">
        <v>6.6243485883180249</v>
      </c>
      <c r="GJ479"/>
      <c r="GK479"/>
      <c r="GL479"/>
      <c r="GM479"/>
      <c r="GN479" s="208"/>
      <c r="GO479" s="208"/>
      <c r="GP479" s="208"/>
      <c r="GQ479" s="208"/>
      <c r="GR479" s="208"/>
      <c r="GS479" s="208"/>
      <c r="GT479" s="208"/>
      <c r="GU479" s="213">
        <v>474</v>
      </c>
    </row>
    <row r="480" spans="1:203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7.7564609115215708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25.501573617952925</v>
      </c>
      <c r="AO480">
        <v>6.6622823084189688</v>
      </c>
      <c r="AP480">
        <v>311.90400124441101</v>
      </c>
      <c r="AQ480">
        <v>43.020322658598289</v>
      </c>
      <c r="AR480">
        <v>6.1108915512402735</v>
      </c>
      <c r="AS480">
        <v>71.326769518402585</v>
      </c>
      <c r="AT480" t="e">
        <v>#DIV/0!</v>
      </c>
      <c r="AU480" t="e">
        <v>#DIV/0!</v>
      </c>
      <c r="AV480"/>
      <c r="AW480"/>
      <c r="FY480" s="213">
        <v>475</v>
      </c>
      <c r="FZ480">
        <v>0.58716112056924263</v>
      </c>
      <c r="GA480">
        <v>17.018883262394599</v>
      </c>
      <c r="GB480">
        <v>8.5747542125997693</v>
      </c>
      <c r="GC480">
        <v>2.6788005990024315</v>
      </c>
      <c r="GD480">
        <v>3.7215350585201943</v>
      </c>
      <c r="GE480">
        <v>3.3693238424477334</v>
      </c>
      <c r="GF480">
        <v>0</v>
      </c>
      <c r="GG480">
        <v>3.785087657847841</v>
      </c>
      <c r="GH480">
        <v>5.3187643612714997</v>
      </c>
      <c r="GI480">
        <v>5.2832805010407995</v>
      </c>
      <c r="GJ480"/>
      <c r="GK480"/>
      <c r="GL480"/>
      <c r="GM480"/>
      <c r="GN480" s="208"/>
      <c r="GO480" s="208"/>
      <c r="GP480" s="208"/>
      <c r="GQ480" s="208"/>
      <c r="GR480" s="208"/>
      <c r="GS480" s="208"/>
      <c r="GT480" s="208"/>
      <c r="GU480" s="213">
        <v>475</v>
      </c>
    </row>
    <row r="481" spans="1:203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8.7107320401763371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25.081863166953525</v>
      </c>
      <c r="AO481">
        <v>4.176165957097699</v>
      </c>
      <c r="AP481">
        <v>68.730322672811127</v>
      </c>
      <c r="AQ481">
        <v>27.908816688306928</v>
      </c>
      <c r="AR481">
        <v>3.8507857773118466</v>
      </c>
      <c r="AS481">
        <v>59.217952174491131</v>
      </c>
      <c r="AT481" t="e">
        <v>#DIV/0!</v>
      </c>
      <c r="AU481" t="e">
        <v>#DIV/0!</v>
      </c>
      <c r="AV481"/>
      <c r="AW481"/>
      <c r="FY481" s="213">
        <v>476</v>
      </c>
      <c r="FZ481">
        <v>1.596276202757001</v>
      </c>
      <c r="GA481">
        <v>18.741008162841158</v>
      </c>
      <c r="GB481">
        <v>8.2715931595272636</v>
      </c>
      <c r="GC481">
        <v>1.2271236175308542</v>
      </c>
      <c r="GD481">
        <v>0.94408786478328022</v>
      </c>
      <c r="GE481">
        <v>0</v>
      </c>
      <c r="GF481">
        <v>0</v>
      </c>
      <c r="GG481">
        <v>0.10673875663404474</v>
      </c>
      <c r="GH481">
        <v>0.14058242252415507</v>
      </c>
      <c r="GI481">
        <v>2.9213204732868818</v>
      </c>
      <c r="GJ481"/>
      <c r="GK481"/>
      <c r="GL481"/>
      <c r="GM481"/>
      <c r="GN481" s="208"/>
      <c r="GO481" s="208"/>
      <c r="GP481" s="208"/>
      <c r="GQ481" s="208"/>
      <c r="GR481" s="208"/>
      <c r="GS481" s="208"/>
      <c r="GT481" s="208"/>
      <c r="GU481" s="213">
        <v>476</v>
      </c>
    </row>
    <row r="482" spans="1:203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9.6919222802179004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35.303589357429715</v>
      </c>
      <c r="AO482">
        <v>7.374615353164347</v>
      </c>
      <c r="AP482">
        <v>119.06194836413407</v>
      </c>
      <c r="AQ482">
        <v>49.344677580308051</v>
      </c>
      <c r="AR482">
        <v>6.8127383173227374</v>
      </c>
      <c r="AS482">
        <v>91.796807976982834</v>
      </c>
      <c r="AT482" t="e">
        <v>#DIV/0!</v>
      </c>
      <c r="AU482" t="e">
        <v>#DIV/0!</v>
      </c>
      <c r="AV482"/>
      <c r="AW482"/>
      <c r="FY482" s="213">
        <v>477</v>
      </c>
      <c r="FZ482">
        <v>0.58716112056924263</v>
      </c>
      <c r="GA482">
        <v>14.94246591768705</v>
      </c>
      <c r="GB482">
        <v>7.4311508084559783</v>
      </c>
      <c r="GC482">
        <v>1.4003717251190004</v>
      </c>
      <c r="GD482">
        <v>2.0444981037208603</v>
      </c>
      <c r="GE482">
        <v>2.2521218558550165</v>
      </c>
      <c r="GF482">
        <v>0.47734812494006024</v>
      </c>
      <c r="GG482">
        <v>2.9035501733129117</v>
      </c>
      <c r="GH482">
        <v>4.0526889260906458</v>
      </c>
      <c r="GI482">
        <v>3.8946407970090346</v>
      </c>
      <c r="GJ482"/>
      <c r="GK482"/>
      <c r="GL482"/>
      <c r="GM482"/>
      <c r="GN482" s="208"/>
      <c r="GO482" s="208"/>
      <c r="GP482" s="208"/>
      <c r="GQ482" s="208"/>
      <c r="GR482" s="208"/>
      <c r="GS482" s="208"/>
      <c r="GT482" s="208"/>
      <c r="GU482" s="213">
        <v>477</v>
      </c>
    </row>
    <row r="483" spans="1:203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10.783635296383494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27.139880952380956</v>
      </c>
      <c r="AO483">
        <v>5.9321659123365906</v>
      </c>
      <c r="AP483">
        <v>90.749967210681064</v>
      </c>
      <c r="AQ483">
        <v>42.320105546190888</v>
      </c>
      <c r="AR483">
        <v>5.3928781021241736</v>
      </c>
      <c r="AS483">
        <v>67.068684314425298</v>
      </c>
      <c r="AT483" t="e">
        <v>#DIV/0!</v>
      </c>
      <c r="AU483" t="e">
        <v>#DIV/0!</v>
      </c>
      <c r="AV483"/>
      <c r="AW483"/>
      <c r="FY483" s="213">
        <v>478</v>
      </c>
      <c r="FZ483">
        <v>1.596276202757001</v>
      </c>
      <c r="GA483">
        <v>14.904361745794317</v>
      </c>
      <c r="GB483">
        <v>6.4636278456477845</v>
      </c>
      <c r="GC483">
        <v>0.68735954847135594</v>
      </c>
      <c r="GD483">
        <v>0.59575563399112053</v>
      </c>
      <c r="GE483">
        <v>0.42822501935106161</v>
      </c>
      <c r="GF483">
        <v>0.47734812494006024</v>
      </c>
      <c r="GG483">
        <v>5.3549101363405134</v>
      </c>
      <c r="GH483">
        <v>7.381855887346326</v>
      </c>
      <c r="GI483">
        <v>3.506202432587453</v>
      </c>
      <c r="GJ483"/>
      <c r="GK483"/>
      <c r="GL483"/>
      <c r="GM483"/>
      <c r="GN483" s="208"/>
      <c r="GO483" s="208"/>
      <c r="GP483" s="208"/>
      <c r="GQ483" s="208"/>
      <c r="GR483" s="208"/>
      <c r="GS483" s="208"/>
      <c r="GT483" s="208"/>
      <c r="GU483" s="213">
        <v>478</v>
      </c>
    </row>
    <row r="484" spans="1:203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11.90374094105222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25.360222499192169</v>
      </c>
      <c r="AO484">
        <v>5.2326184300490786</v>
      </c>
      <c r="AP484">
        <v>78.528693591668102</v>
      </c>
      <c r="AQ484">
        <v>34.535687335321008</v>
      </c>
      <c r="AR484">
        <v>4.756925845499163</v>
      </c>
      <c r="AS484">
        <v>65.100717318498027</v>
      </c>
      <c r="AT484" t="e">
        <v>#DIV/0!</v>
      </c>
      <c r="AU484" t="e">
        <v>#DIV/0!</v>
      </c>
      <c r="AV484"/>
      <c r="AW484"/>
      <c r="FY484" s="213">
        <v>479</v>
      </c>
      <c r="FZ484">
        <v>1.1743222411384853</v>
      </c>
      <c r="GA484">
        <v>15.346820804572737</v>
      </c>
      <c r="GB484">
        <v>7.6773817161996956</v>
      </c>
      <c r="GC484">
        <v>1.0155829094419531</v>
      </c>
      <c r="GD484">
        <v>1.5322227603335199</v>
      </c>
      <c r="GE484">
        <v>1.5255294515988203</v>
      </c>
      <c r="GF484">
        <v>0</v>
      </c>
      <c r="GG484">
        <v>6.7162652626233239</v>
      </c>
      <c r="GH484">
        <v>9.5128693423497594</v>
      </c>
      <c r="GI484">
        <v>4.600333520260584</v>
      </c>
      <c r="GJ484"/>
      <c r="GK484"/>
      <c r="GL484"/>
      <c r="GM484"/>
      <c r="GN484" s="208"/>
      <c r="GO484" s="208"/>
      <c r="GP484" s="208"/>
      <c r="GQ484" s="208"/>
      <c r="GR484" s="208"/>
      <c r="GS484" s="208"/>
      <c r="GT484" s="208"/>
      <c r="GU484" s="213">
        <v>479</v>
      </c>
    </row>
    <row r="485" spans="1:203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13.140192940241995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19.976190476190474</v>
      </c>
      <c r="AO485">
        <v>6.2271790489536274</v>
      </c>
      <c r="AP485">
        <v>327.59932662712765</v>
      </c>
      <c r="AQ485">
        <v>46.098543138253206</v>
      </c>
      <c r="AR485">
        <v>5.8238856752632939</v>
      </c>
      <c r="AS485">
        <v>69.349703254675205</v>
      </c>
      <c r="AT485" t="e">
        <v>#DIV/0!</v>
      </c>
      <c r="AU485" t="e">
        <v>#DIV/0!</v>
      </c>
      <c r="AV485"/>
      <c r="AW485"/>
      <c r="FY485" s="213">
        <v>480</v>
      </c>
      <c r="FZ485">
        <v>0</v>
      </c>
      <c r="GA485">
        <v>13.980936999002324</v>
      </c>
      <c r="GB485">
        <v>6.9853541053668415</v>
      </c>
      <c r="GC485">
        <v>2.8128536804001074</v>
      </c>
      <c r="GD485">
        <v>2.4812691723589264</v>
      </c>
      <c r="GE485">
        <v>0.93650396392084989</v>
      </c>
      <c r="GF485">
        <v>0.47734812494006024</v>
      </c>
      <c r="GG485">
        <v>5.9684046054336104</v>
      </c>
      <c r="GH485">
        <v>8.3063633760921576</v>
      </c>
      <c r="GI485">
        <v>4.6220381650107374</v>
      </c>
      <c r="GJ485"/>
      <c r="GK485"/>
      <c r="GL485"/>
      <c r="GM485"/>
      <c r="GN485" s="208"/>
      <c r="GO485" s="208"/>
      <c r="GP485" s="208"/>
      <c r="GQ485" s="208"/>
      <c r="GR485" s="208"/>
      <c r="GS485" s="208"/>
      <c r="GT485" s="208"/>
      <c r="GU485" s="213">
        <v>480</v>
      </c>
    </row>
    <row r="486" spans="1:203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14.406474023358443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19.250000000000004</v>
      </c>
      <c r="AO486">
        <v>6.5287709741033293</v>
      </c>
      <c r="AP486">
        <v>392.91913046550519</v>
      </c>
      <c r="AQ486">
        <v>46.652046168439995</v>
      </c>
      <c r="AR486">
        <v>5.9352463400939346</v>
      </c>
      <c r="AS486">
        <v>63.594240768080702</v>
      </c>
      <c r="AT486" t="e">
        <v>#DIV/0!</v>
      </c>
      <c r="AU486" t="e">
        <v>#DIV/0!</v>
      </c>
      <c r="AV486"/>
      <c r="AW486"/>
      <c r="FY486" s="213">
        <v>481</v>
      </c>
      <c r="FZ486">
        <v>5.3759897288402456</v>
      </c>
      <c r="GA486">
        <v>25.359512263407659</v>
      </c>
      <c r="GB486">
        <v>9.8631151390545089</v>
      </c>
      <c r="GC486">
        <v>2.1133839017666447</v>
      </c>
      <c r="GD486">
        <v>2.9354939689159969</v>
      </c>
      <c r="GE486">
        <v>2.6577318309872413</v>
      </c>
      <c r="GF486">
        <v>0</v>
      </c>
      <c r="GG486">
        <v>0.61182441540702126</v>
      </c>
      <c r="GH486">
        <v>0.80814523075352618</v>
      </c>
      <c r="GI486">
        <v>5.1439670014429941</v>
      </c>
      <c r="GJ486"/>
      <c r="GK486"/>
      <c r="GL486"/>
      <c r="GM486"/>
      <c r="GN486" s="208"/>
      <c r="GO486" s="208"/>
      <c r="GP486" s="208"/>
      <c r="GQ486" s="208"/>
      <c r="GR486" s="208"/>
      <c r="GS486" s="208"/>
      <c r="GT486" s="208"/>
      <c r="GU486" s="213">
        <v>481</v>
      </c>
    </row>
    <row r="487" spans="1:203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15.794782826216199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30.942717297762481</v>
      </c>
      <c r="AO487">
        <v>6.3994664442880005</v>
      </c>
      <c r="AP487">
        <v>168.35495610416925</v>
      </c>
      <c r="AQ487">
        <v>43.376949990241258</v>
      </c>
      <c r="AR487">
        <v>5.9262393092533339</v>
      </c>
      <c r="AS487">
        <v>83.007121913479693</v>
      </c>
      <c r="AT487" t="e">
        <v>#DIV/0!</v>
      </c>
      <c r="AU487" t="e">
        <v>#DIV/0!</v>
      </c>
      <c r="AV487"/>
      <c r="AW487"/>
      <c r="FY487" s="213">
        <v>482</v>
      </c>
      <c r="FZ487">
        <v>0.58716112056924263</v>
      </c>
      <c r="GA487">
        <v>17.875886216947521</v>
      </c>
      <c r="GB487">
        <v>8.776505277740787</v>
      </c>
      <c r="GC487">
        <v>1.4003717251190004</v>
      </c>
      <c r="GD487">
        <v>2.5449807149297676</v>
      </c>
      <c r="GE487">
        <v>3.8510927570668634</v>
      </c>
      <c r="GF487">
        <v>1.432044374820181</v>
      </c>
      <c r="GG487">
        <v>1.3303875874480875</v>
      </c>
      <c r="GH487">
        <v>1.7568728840312078</v>
      </c>
      <c r="GI487">
        <v>4.3675186532880232</v>
      </c>
      <c r="GJ487"/>
      <c r="GK487"/>
      <c r="GL487"/>
      <c r="GM487"/>
      <c r="GN487" s="208"/>
      <c r="GO487" s="208"/>
      <c r="GP487" s="208"/>
      <c r="GQ487" s="208"/>
      <c r="GR487" s="208"/>
      <c r="GS487" s="208"/>
      <c r="GT487" s="208"/>
      <c r="GU487" s="213">
        <v>482</v>
      </c>
    </row>
    <row r="488" spans="1:203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17.214323563270106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14.630302820477311</v>
      </c>
      <c r="AO488">
        <v>4.6156594361015006</v>
      </c>
      <c r="AP488">
        <v>72.163566304598262</v>
      </c>
      <c r="AQ488">
        <v>32.935313738479316</v>
      </c>
      <c r="AR488">
        <v>4.3045965745383326</v>
      </c>
      <c r="AS488">
        <v>45.518040973762254</v>
      </c>
      <c r="AT488" t="e">
        <v>#DIV/0!</v>
      </c>
      <c r="AU488" t="e">
        <v>#DIV/0!</v>
      </c>
      <c r="AV488"/>
      <c r="AW488"/>
      <c r="FY488" s="213">
        <v>483</v>
      </c>
      <c r="FZ488">
        <v>2.1834373233262436</v>
      </c>
      <c r="GA488">
        <v>9.538697532107518</v>
      </c>
      <c r="GB488">
        <v>3.88324877481082</v>
      </c>
      <c r="GC488">
        <v>1.4003717251190004</v>
      </c>
      <c r="GD488">
        <v>2.0693705440282386</v>
      </c>
      <c r="GE488">
        <v>2.8919597660954266</v>
      </c>
      <c r="GF488">
        <v>1.432044374820181</v>
      </c>
      <c r="GG488">
        <v>5.7565971458515968</v>
      </c>
      <c r="GH488">
        <v>8.1415607890361557</v>
      </c>
      <c r="GI488">
        <v>4.1571881987199735</v>
      </c>
      <c r="GJ488"/>
      <c r="GK488"/>
      <c r="GL488"/>
      <c r="GM488"/>
      <c r="GN488" s="208"/>
      <c r="GO488" s="208"/>
      <c r="GP488" s="208"/>
      <c r="GQ488" s="208"/>
      <c r="GR488" s="208"/>
      <c r="GS488" s="208"/>
      <c r="GT488" s="208"/>
      <c r="GU488" s="213">
        <v>483</v>
      </c>
    </row>
    <row r="489" spans="1:203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18.761444142752168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21.913793927763599</v>
      </c>
      <c r="AO489">
        <v>6.6730179433593788</v>
      </c>
      <c r="AP489">
        <v>127.63099977785626</v>
      </c>
      <c r="AQ489">
        <v>46.654834163312046</v>
      </c>
      <c r="AR489">
        <v>6.1206512193679199</v>
      </c>
      <c r="AS489">
        <v>64.625749674863826</v>
      </c>
      <c r="AT489" t="e">
        <v>#DIV/0!</v>
      </c>
      <c r="AU489" t="e">
        <v>#DIV/0!</v>
      </c>
      <c r="AV489"/>
      <c r="AW489"/>
      <c r="FY489" s="213">
        <v>484</v>
      </c>
      <c r="FZ489">
        <v>1.596276202757001</v>
      </c>
      <c r="GA489">
        <v>8.7316593007711543</v>
      </c>
      <c r="GB489">
        <v>3.4732949777423281</v>
      </c>
      <c r="GC489">
        <v>0.68735954847135594</v>
      </c>
      <c r="GD489">
        <v>1.3721157951678369</v>
      </c>
      <c r="GE489">
        <v>2.0045808763440718</v>
      </c>
      <c r="GF489">
        <v>0.47734812494006024</v>
      </c>
      <c r="GG489">
        <v>5.8616658487995661</v>
      </c>
      <c r="GH489">
        <v>8.165780953568003</v>
      </c>
      <c r="GI489">
        <v>3.3667173570952253</v>
      </c>
      <c r="GJ489"/>
      <c r="GK489"/>
      <c r="GL489"/>
      <c r="GM489"/>
      <c r="GN489" s="208"/>
      <c r="GO489" s="208"/>
      <c r="GP489" s="208"/>
      <c r="GQ489" s="208"/>
      <c r="GR489" s="208"/>
      <c r="GS489" s="208"/>
      <c r="GT489" s="208"/>
      <c r="GU489" s="213">
        <v>484</v>
      </c>
    </row>
    <row r="490" spans="1:203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20.341168832586963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46.970323617952928</v>
      </c>
      <c r="AO490">
        <v>10.317676798454096</v>
      </c>
      <c r="AP490">
        <v>314.94192805178022</v>
      </c>
      <c r="AQ490">
        <v>72.487852784721198</v>
      </c>
      <c r="AR490">
        <v>9.3797061804128123</v>
      </c>
      <c r="AS490">
        <v>133.14177756541315</v>
      </c>
      <c r="AT490" t="e">
        <v>#DIV/0!</v>
      </c>
      <c r="AU490" t="e">
        <v>#DIV/0!</v>
      </c>
      <c r="AV490"/>
      <c r="AW490"/>
      <c r="FY490" s="213">
        <v>485</v>
      </c>
      <c r="FZ490">
        <v>2.1834373233262436</v>
      </c>
      <c r="GA490">
        <v>14.640554023684647</v>
      </c>
      <c r="GB490">
        <v>6.3291694005546288</v>
      </c>
      <c r="GC490">
        <v>0.74535717102988164</v>
      </c>
      <c r="GD490">
        <v>1.5074590670281842</v>
      </c>
      <c r="GE490">
        <v>2.4770338083153738</v>
      </c>
      <c r="GF490">
        <v>0.95469624988012047</v>
      </c>
      <c r="GG490">
        <v>6.0734733083815797</v>
      </c>
      <c r="GH490">
        <v>8.3305835406240085</v>
      </c>
      <c r="GI490">
        <v>4.3312127615388221</v>
      </c>
      <c r="GJ490"/>
      <c r="GK490"/>
      <c r="GL490"/>
      <c r="GM490"/>
      <c r="GN490" s="208"/>
      <c r="GO490" s="208"/>
      <c r="GP490" s="208"/>
      <c r="GQ490" s="208"/>
      <c r="GR490" s="208"/>
      <c r="GS490" s="208"/>
      <c r="GT490" s="208"/>
      <c r="GU490" s="213">
        <v>485</v>
      </c>
    </row>
    <row r="491" spans="1:203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22.053907275344272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46.44051204819278</v>
      </c>
      <c r="AO491">
        <v>8.0931729116587015</v>
      </c>
      <c r="AP491">
        <v>374.50823808944926</v>
      </c>
      <c r="AQ491">
        <v>50.337590615694104</v>
      </c>
      <c r="AR491">
        <v>7.4117011905491221</v>
      </c>
      <c r="AS491">
        <v>110.43224350639002</v>
      </c>
      <c r="AT491" t="e">
        <v>#DIV/0!</v>
      </c>
      <c r="AU491" t="e">
        <v>#DIV/0!</v>
      </c>
      <c r="AV491"/>
      <c r="AW491"/>
      <c r="FY491" s="213">
        <v>486</v>
      </c>
      <c r="FZ491">
        <v>3.7797135260832437</v>
      </c>
      <c r="GA491">
        <v>14.734353712846755</v>
      </c>
      <c r="GB491">
        <v>5.4288756602930146</v>
      </c>
      <c r="GC491">
        <v>1.3302638723983682</v>
      </c>
      <c r="GD491">
        <v>1.4900789818002993</v>
      </c>
      <c r="GE491">
        <v>0.94583392940042799</v>
      </c>
      <c r="GF491">
        <v>0</v>
      </c>
      <c r="GG491">
        <v>0.21347751326808947</v>
      </c>
      <c r="GH491">
        <v>0.28116484504831013</v>
      </c>
      <c r="GI491">
        <v>2.8382799760101314</v>
      </c>
      <c r="GJ491"/>
      <c r="GK491"/>
      <c r="GL491"/>
      <c r="GM491"/>
      <c r="GN491" s="208"/>
      <c r="GO491" s="208"/>
      <c r="GP491" s="208"/>
      <c r="GQ491" s="208"/>
      <c r="GR491" s="208"/>
      <c r="GS491" s="208"/>
      <c r="GT491" s="208"/>
      <c r="GU491" s="213">
        <v>486</v>
      </c>
    </row>
    <row r="492" spans="1:203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23.800593842843387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19.633193488238668</v>
      </c>
      <c r="AO492">
        <v>4.5640600807798251</v>
      </c>
      <c r="AP492">
        <v>63.605540691218877</v>
      </c>
      <c r="AQ492">
        <v>33.948730659884639</v>
      </c>
      <c r="AR492">
        <v>4.14914552798166</v>
      </c>
      <c r="AS492">
        <v>52.330823600531033</v>
      </c>
      <c r="AT492" t="e">
        <v>#DIV/0!</v>
      </c>
      <c r="AU492" t="e">
        <v>#DIV/0!</v>
      </c>
      <c r="AV492"/>
      <c r="AW492"/>
      <c r="FY492" s="213">
        <v>487</v>
      </c>
      <c r="FZ492">
        <v>0</v>
      </c>
      <c r="GA492">
        <v>11.407829114050752</v>
      </c>
      <c r="GB492">
        <v>5.7328360849327433</v>
      </c>
      <c r="GC492">
        <v>1.6375650613841901</v>
      </c>
      <c r="GD492">
        <v>3.8030532910514263</v>
      </c>
      <c r="GE492">
        <v>5.7490355678819416</v>
      </c>
      <c r="GF492">
        <v>0.95469624988012047</v>
      </c>
      <c r="GG492">
        <v>3.8901563607958103</v>
      </c>
      <c r="GH492">
        <v>5.3429845258033488</v>
      </c>
      <c r="GI492">
        <v>4.852764586083441</v>
      </c>
      <c r="GJ492"/>
      <c r="GK492"/>
      <c r="GL492"/>
      <c r="GM492"/>
      <c r="GN492" s="208"/>
      <c r="GO492" s="208"/>
      <c r="GP492" s="208"/>
      <c r="GQ492" s="208"/>
      <c r="GR492" s="208"/>
      <c r="GS492" s="208"/>
      <c r="GT492" s="208"/>
      <c r="GU492" s="213">
        <v>487</v>
      </c>
    </row>
    <row r="493" spans="1:203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25.685619341716023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31.163126438430243</v>
      </c>
      <c r="AO493">
        <v>5.9879839316861663</v>
      </c>
      <c r="AP493">
        <v>295.81175577767476</v>
      </c>
      <c r="AQ493">
        <v>39.985997552759798</v>
      </c>
      <c r="AR493">
        <v>5.4978930269377271</v>
      </c>
      <c r="AS493">
        <v>77.739003510633523</v>
      </c>
      <c r="AT493" t="e">
        <v>#DIV/0!</v>
      </c>
      <c r="AU493" t="e">
        <v>#DIV/0!</v>
      </c>
      <c r="AV493"/>
      <c r="AW493"/>
      <c r="FY493" s="213">
        <v>488</v>
      </c>
      <c r="FZ493">
        <v>6.9722659315972457</v>
      </c>
      <c r="GA493">
        <v>25.732734739686791</v>
      </c>
      <c r="GB493">
        <v>9.103858305675077</v>
      </c>
      <c r="GC493">
        <v>7.7487626691225331E-2</v>
      </c>
      <c r="GD493">
        <v>1.4941254446155465</v>
      </c>
      <c r="GE493">
        <v>3.7833217347699621</v>
      </c>
      <c r="GF493">
        <v>1.432044374820181</v>
      </c>
      <c r="GG493">
        <v>4.7935889217077179</v>
      </c>
      <c r="GH493">
        <v>6.5375277197379358</v>
      </c>
      <c r="GI493">
        <v>5.5246968142312678</v>
      </c>
      <c r="GJ493"/>
      <c r="GK493"/>
      <c r="GL493"/>
      <c r="GM493"/>
      <c r="GN493" s="208"/>
      <c r="GO493" s="208"/>
      <c r="GP493" s="208"/>
      <c r="GQ493" s="208"/>
      <c r="GR493" s="208"/>
      <c r="GS493" s="208"/>
      <c r="GT493" s="208"/>
      <c r="GU493" s="213">
        <v>488</v>
      </c>
    </row>
    <row r="494" spans="1:203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27.605910991890546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16.205357142857142</v>
      </c>
      <c r="AO494">
        <v>5.5247346062573541</v>
      </c>
      <c r="AP494">
        <v>172.9308614074543</v>
      </c>
      <c r="AQ494">
        <v>41.39592257722699</v>
      </c>
      <c r="AR494">
        <v>5.0224860056885037</v>
      </c>
      <c r="AS494">
        <v>56.04317599070086</v>
      </c>
      <c r="AT494" t="e">
        <v>#DIV/0!</v>
      </c>
      <c r="AU494" t="e">
        <v>#DIV/0!</v>
      </c>
      <c r="AV494"/>
      <c r="AW494"/>
      <c r="FY494" s="213">
        <v>489</v>
      </c>
      <c r="FZ494">
        <v>0</v>
      </c>
      <c r="GA494">
        <v>8.1102441673897072</v>
      </c>
      <c r="GB494">
        <v>4.1046718278176311</v>
      </c>
      <c r="GC494">
        <v>1.0229626834125458</v>
      </c>
      <c r="GD494">
        <v>3.1800506827007027</v>
      </c>
      <c r="GE494">
        <v>5.1440956047821933</v>
      </c>
      <c r="GF494">
        <v>0.47734812494006024</v>
      </c>
      <c r="GG494">
        <v>4.5817814621257051</v>
      </c>
      <c r="GH494">
        <v>6.3727251326819321</v>
      </c>
      <c r="GI494">
        <v>4.0363150839365982</v>
      </c>
      <c r="GJ494"/>
      <c r="GK494"/>
      <c r="GL494"/>
      <c r="GM494"/>
      <c r="GN494" s="208"/>
      <c r="GO494" s="208"/>
      <c r="GP494" s="208"/>
      <c r="GQ494" s="208"/>
      <c r="GR494" s="208"/>
      <c r="GS494" s="208"/>
      <c r="GT494" s="208"/>
      <c r="GU494" s="213">
        <v>489</v>
      </c>
    </row>
    <row r="495" spans="1:203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29.669766243653644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21.965773809523807</v>
      </c>
      <c r="AO495">
        <v>7.2218063222465005</v>
      </c>
      <c r="AP495">
        <v>387.42672999163597</v>
      </c>
      <c r="AQ495">
        <v>49.101328008518884</v>
      </c>
      <c r="AR495">
        <v>6.6738210164883327</v>
      </c>
      <c r="AS495">
        <v>69.490596792500398</v>
      </c>
      <c r="AT495" t="e">
        <v>#DIV/0!</v>
      </c>
      <c r="AU495" t="e">
        <v>#DIV/0!</v>
      </c>
      <c r="AV495"/>
      <c r="AW495"/>
      <c r="FY495" s="213">
        <v>490</v>
      </c>
      <c r="FZ495">
        <v>2.1834373233262436</v>
      </c>
      <c r="GA495">
        <v>21.713996669798131</v>
      </c>
      <c r="GB495">
        <v>9.8214931428120646</v>
      </c>
      <c r="GC495">
        <v>0.68735954847135616</v>
      </c>
      <c r="GD495">
        <v>0.75472640240441646</v>
      </c>
      <c r="GE495">
        <v>1.335501463447375</v>
      </c>
      <c r="GF495">
        <v>1.432044374820181</v>
      </c>
      <c r="GG495">
        <v>4.0766958033527283</v>
      </c>
      <c r="GH495">
        <v>5.7051623244525604</v>
      </c>
      <c r="GI495">
        <v>4.472596749718762</v>
      </c>
      <c r="GJ495"/>
      <c r="GK495"/>
      <c r="GL495"/>
      <c r="GM495"/>
      <c r="GN495" s="208"/>
      <c r="GO495" s="208"/>
      <c r="GP495" s="208"/>
      <c r="GQ495" s="208"/>
      <c r="GR495" s="208"/>
      <c r="GS495" s="208"/>
      <c r="GT495" s="208"/>
      <c r="GU495" s="213">
        <v>490</v>
      </c>
    </row>
    <row r="496" spans="1:203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31.770181582395296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39.339389165858833</v>
      </c>
      <c r="AO496">
        <v>7.2082402651035009</v>
      </c>
      <c r="AP496">
        <v>393.88469856732763</v>
      </c>
      <c r="AQ496">
        <v>46.571072192525612</v>
      </c>
      <c r="AR496">
        <v>6.5529456955486358</v>
      </c>
      <c r="AS496">
        <v>90.839547776813347</v>
      </c>
      <c r="AT496" t="e">
        <v>#DIV/0!</v>
      </c>
      <c r="AU496" t="e">
        <v>#DIV/0!</v>
      </c>
      <c r="AV496"/>
      <c r="AW496"/>
      <c r="FY496" s="213">
        <v>491</v>
      </c>
      <c r="FZ496">
        <v>2.1834373233262436</v>
      </c>
      <c r="GA496">
        <v>14.372272036694687</v>
      </c>
      <c r="GB496">
        <v>6.2458620105684561</v>
      </c>
      <c r="GC496">
        <v>2.2609793811785028</v>
      </c>
      <c r="GD496">
        <v>2.9484144032597994</v>
      </c>
      <c r="GE496">
        <v>2.4580643194282397</v>
      </c>
      <c r="GF496">
        <v>0</v>
      </c>
      <c r="GG496">
        <v>1.5438651007161768</v>
      </c>
      <c r="GH496">
        <v>2.0380377290795177</v>
      </c>
      <c r="GI496">
        <v>4.0246418160155555</v>
      </c>
      <c r="GJ496"/>
      <c r="GK496"/>
      <c r="GL496"/>
      <c r="GM496"/>
      <c r="GN496" s="208"/>
      <c r="GO496" s="208"/>
      <c r="GP496" s="208"/>
      <c r="GQ496" s="208"/>
      <c r="GR496" s="208"/>
      <c r="GS496" s="208"/>
      <c r="GT496" s="208"/>
      <c r="GU496" s="213">
        <v>491</v>
      </c>
    </row>
    <row r="497" spans="1:203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34.019291877443351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39.022406951286257</v>
      </c>
      <c r="AO497">
        <v>7.8130227333678874</v>
      </c>
      <c r="AP497">
        <v>91.438254963660896</v>
      </c>
      <c r="AQ497">
        <v>54.869163480575835</v>
      </c>
      <c r="AR497">
        <v>7.1570192102847461</v>
      </c>
      <c r="AS497">
        <v>108.29413789276505</v>
      </c>
      <c r="AT497" t="e">
        <v>#DIV/0!</v>
      </c>
      <c r="AU497" t="e">
        <v>#DIV/0!</v>
      </c>
      <c r="AV497"/>
      <c r="AW497"/>
      <c r="FY497" s="213">
        <v>492</v>
      </c>
      <c r="FZ497">
        <v>3.7797135260832437</v>
      </c>
      <c r="GA497">
        <v>10.303462552710256</v>
      </c>
      <c r="GB497">
        <v>3.2299853138601509</v>
      </c>
      <c r="GC497">
        <v>0.60987192178013072</v>
      </c>
      <c r="GD497">
        <v>2.6798512625336555</v>
      </c>
      <c r="GE497">
        <v>4.7779571975801565</v>
      </c>
      <c r="GF497">
        <v>0.47734812494006024</v>
      </c>
      <c r="GG497">
        <v>1.8354732462210637</v>
      </c>
      <c r="GH497">
        <v>2.4244356922605785</v>
      </c>
      <c r="GI497">
        <v>3.5216431498535306</v>
      </c>
      <c r="GJ497"/>
      <c r="GK497"/>
      <c r="GL497"/>
      <c r="GM497"/>
      <c r="GN497" s="208"/>
      <c r="GO497" s="208"/>
      <c r="GP497" s="208"/>
      <c r="GQ497" s="208"/>
      <c r="GR497" s="208"/>
      <c r="GS497" s="208"/>
      <c r="GT497" s="208"/>
      <c r="GU497" s="213">
        <v>492</v>
      </c>
    </row>
    <row r="498" spans="1:203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36.306233771921285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36.31937643843024</v>
      </c>
      <c r="AO498">
        <v>6.6899941836912546</v>
      </c>
      <c r="AP498">
        <v>303.47238417272774</v>
      </c>
      <c r="AQ498">
        <v>43.922821311960682</v>
      </c>
      <c r="AR498">
        <v>6.1360841651241707</v>
      </c>
      <c r="AS498">
        <v>85.407191310154573</v>
      </c>
      <c r="AT498" t="e">
        <v>#DIV/0!</v>
      </c>
      <c r="AU498" t="e">
        <v>#DIV/0!</v>
      </c>
      <c r="AV498"/>
      <c r="AW498"/>
      <c r="FY498" s="213">
        <v>493</v>
      </c>
      <c r="FZ498">
        <v>0</v>
      </c>
      <c r="GA498">
        <v>11.240526084140313</v>
      </c>
      <c r="GB498">
        <v>5.5567556435971444</v>
      </c>
      <c r="GC498">
        <v>1.0020405114277708</v>
      </c>
      <c r="GD498">
        <v>2.3892778929428897</v>
      </c>
      <c r="GE498">
        <v>3.8670212153203911</v>
      </c>
      <c r="GF498">
        <v>0.95469624988012047</v>
      </c>
      <c r="GG498">
        <v>5.1952759312188022</v>
      </c>
      <c r="GH498">
        <v>7.2972326214277654</v>
      </c>
      <c r="GI498">
        <v>4.2306537818088978</v>
      </c>
      <c r="GJ498"/>
      <c r="GK498"/>
      <c r="GL498"/>
      <c r="GM498"/>
      <c r="GN498" s="208"/>
      <c r="GO498" s="208"/>
      <c r="GP498" s="208"/>
      <c r="GQ498" s="208"/>
      <c r="GR498" s="208"/>
      <c r="GS498" s="208"/>
      <c r="GT498" s="208"/>
      <c r="GU498" s="213">
        <v>493</v>
      </c>
    </row>
    <row r="499" spans="1:203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38.746914998997923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25.367662975382643</v>
      </c>
      <c r="AO499">
        <v>6.5332081716563053</v>
      </c>
      <c r="AP499">
        <v>207.7459522456341</v>
      </c>
      <c r="AQ499">
        <v>41.454476173915147</v>
      </c>
      <c r="AR499">
        <v>5.9935514269105798</v>
      </c>
      <c r="AS499">
        <v>69.882131204677691</v>
      </c>
      <c r="AT499" t="e">
        <v>#DIV/0!</v>
      </c>
      <c r="AU499" t="e">
        <v>#DIV/0!</v>
      </c>
      <c r="AV499"/>
      <c r="AW499"/>
      <c r="FY499" s="213">
        <v>494</v>
      </c>
      <c r="FZ499">
        <v>3.192552405514002</v>
      </c>
      <c r="GA499">
        <v>17.470290362828475</v>
      </c>
      <c r="GB499">
        <v>6.9086251771696956</v>
      </c>
      <c r="GC499">
        <v>3.0635894146794791</v>
      </c>
      <c r="GD499">
        <v>3.3482243529322804</v>
      </c>
      <c r="GE499">
        <v>2.8919597660954266</v>
      </c>
      <c r="GF499">
        <v>1.432044374820181</v>
      </c>
      <c r="GG499">
        <v>3.4648713879457071</v>
      </c>
      <c r="GH499">
        <v>4.8970170936990343</v>
      </c>
      <c r="GI499">
        <v>5.2674135796314729</v>
      </c>
      <c r="GJ499"/>
      <c r="GK499"/>
      <c r="GL499"/>
      <c r="GM499"/>
      <c r="GN499" s="208"/>
      <c r="GO499" s="208"/>
      <c r="GP499" s="208"/>
      <c r="GQ499" s="208"/>
      <c r="GR499" s="208"/>
      <c r="GS499" s="208"/>
      <c r="GT499" s="208"/>
      <c r="GU499" s="213">
        <v>494</v>
      </c>
    </row>
    <row r="500" spans="1:203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41.226678390671516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18.314826630001122</v>
      </c>
      <c r="AO500">
        <v>5.3279618809299745</v>
      </c>
      <c r="AP500">
        <v>194.82319513471271</v>
      </c>
      <c r="AQ500">
        <v>35.736798985656606</v>
      </c>
      <c r="AR500">
        <v>4.8436017099363404</v>
      </c>
      <c r="AS500">
        <v>56.670925872610553</v>
      </c>
      <c r="AT500" t="e">
        <v>#DIV/0!</v>
      </c>
      <c r="AU500" t="e">
        <v>#DIV/0!</v>
      </c>
      <c r="AV500"/>
      <c r="AW500"/>
      <c r="FY500" s="213">
        <v>495</v>
      </c>
      <c r="FZ500">
        <v>3.7797135260832437</v>
      </c>
      <c r="GA500">
        <v>28.829907965461544</v>
      </c>
      <c r="GB500">
        <v>12.392372507998463</v>
      </c>
      <c r="GC500">
        <v>1.9462984182220877</v>
      </c>
      <c r="GD500">
        <v>2.3399260492201153</v>
      </c>
      <c r="GE500">
        <v>2.0045808763440718</v>
      </c>
      <c r="GF500">
        <v>0.47734812494006024</v>
      </c>
      <c r="GG500">
        <v>7.5398971376123587</v>
      </c>
      <c r="GH500">
        <v>10.485817160159291</v>
      </c>
      <c r="GI500">
        <v>6.9160758385975898</v>
      </c>
      <c r="GJ500"/>
      <c r="GK500"/>
      <c r="GL500"/>
      <c r="GM500"/>
      <c r="GN500" s="208"/>
      <c r="GO500" s="208"/>
      <c r="GP500" s="208"/>
      <c r="GQ500" s="208"/>
      <c r="GR500" s="208"/>
      <c r="GS500" s="208"/>
      <c r="GT500" s="208"/>
      <c r="GU500" s="213">
        <v>495</v>
      </c>
    </row>
    <row r="501" spans="1:203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43.865144132683035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23.805898058572545</v>
      </c>
      <c r="AO501">
        <v>6.7073320160691434</v>
      </c>
      <c r="AP501">
        <v>172.95606657218815</v>
      </c>
      <c r="AQ501">
        <v>47.572976654363487</v>
      </c>
      <c r="AR501">
        <v>6.1518458309222517</v>
      </c>
      <c r="AS501">
        <v>71.316253854720301</v>
      </c>
      <c r="AT501" t="e">
        <v>#DIV/0!</v>
      </c>
      <c r="AU501" t="e">
        <v>#DIV/0!</v>
      </c>
      <c r="AV501"/>
      <c r="AW501"/>
      <c r="FY501" s="213">
        <v>496</v>
      </c>
      <c r="FZ501">
        <v>1.7614833617077283</v>
      </c>
      <c r="GA501">
        <v>11.647683693471276</v>
      </c>
      <c r="GB501">
        <v>5.6693274778149343</v>
      </c>
      <c r="GC501">
        <v>0.79049980333886993</v>
      </c>
      <c r="GD501">
        <v>1.6336335889413451</v>
      </c>
      <c r="GE501">
        <v>2.3743648388778098</v>
      </c>
      <c r="GF501">
        <v>0.47734812494006024</v>
      </c>
      <c r="GG501">
        <v>3.785087657847841</v>
      </c>
      <c r="GH501">
        <v>5.3187643612714997</v>
      </c>
      <c r="GI501">
        <v>3.6928311300948029</v>
      </c>
      <c r="GJ501"/>
      <c r="GK501"/>
      <c r="GL501"/>
      <c r="GM501"/>
      <c r="GN501" s="208"/>
      <c r="GO501" s="208"/>
      <c r="GP501" s="208"/>
      <c r="GQ501" s="208"/>
      <c r="GR501" s="208"/>
      <c r="GS501" s="208"/>
      <c r="GT501" s="208"/>
      <c r="GU501" s="213">
        <v>496</v>
      </c>
    </row>
    <row r="502" spans="1:203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46.543922971354753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22.397339357429718</v>
      </c>
      <c r="AO502">
        <v>4.2993680515369119</v>
      </c>
      <c r="AP502">
        <v>50.992558375163632</v>
      </c>
      <c r="AQ502">
        <v>31.042042017148638</v>
      </c>
      <c r="AR502">
        <v>3.9627876813474954</v>
      </c>
      <c r="AS502">
        <v>54.868426372086766</v>
      </c>
      <c r="AT502" t="e">
        <v>#DIV/0!</v>
      </c>
      <c r="AU502" t="e">
        <v>#DIV/0!</v>
      </c>
      <c r="AV502"/>
      <c r="AW502"/>
      <c r="FY502" s="213">
        <v>497</v>
      </c>
      <c r="FZ502">
        <v>3.7797135260832437</v>
      </c>
      <c r="GA502">
        <v>16.942674918609136</v>
      </c>
      <c r="GB502">
        <v>6.6397082869833834</v>
      </c>
      <c r="GC502">
        <v>1.7285950860895976</v>
      </c>
      <c r="GD502">
        <v>1.6805521517086164</v>
      </c>
      <c r="GE502">
        <v>1.2969579609750101</v>
      </c>
      <c r="GF502">
        <v>0.95469624988012047</v>
      </c>
      <c r="GG502">
        <v>3.358132631311662</v>
      </c>
      <c r="GH502">
        <v>4.7564346711748797</v>
      </c>
      <c r="GI502">
        <v>4.1514333482174335</v>
      </c>
      <c r="GJ502"/>
      <c r="GK502"/>
      <c r="GL502"/>
      <c r="GM502"/>
      <c r="GN502" s="208"/>
      <c r="GO502" s="208"/>
      <c r="GP502" s="208"/>
      <c r="GQ502" s="208"/>
      <c r="GR502" s="208"/>
      <c r="GS502" s="208"/>
      <c r="GT502" s="208"/>
      <c r="GU502" s="213">
        <v>497</v>
      </c>
    </row>
    <row r="503" spans="1:203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49.386290832891866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32.627259036144572</v>
      </c>
      <c r="AO503">
        <v>7.5568971079746508</v>
      </c>
      <c r="AP503">
        <v>310.32038347169555</v>
      </c>
      <c r="AQ503">
        <v>43.370920841863764</v>
      </c>
      <c r="AR503">
        <v>6.8699064617951358</v>
      </c>
      <c r="AS503">
        <v>85.966365214084092</v>
      </c>
      <c r="AT503" t="e">
        <v>#DIV/0!</v>
      </c>
      <c r="AU503" t="e">
        <v>#DIV/0!</v>
      </c>
      <c r="AV503"/>
      <c r="AW503"/>
      <c r="FY503" s="213">
        <v>498</v>
      </c>
      <c r="FZ503">
        <v>1.596276202757001</v>
      </c>
      <c r="GA503">
        <v>17.681303009522193</v>
      </c>
      <c r="GB503">
        <v>7.7849104342616249</v>
      </c>
      <c r="GC503">
        <v>2.2548167571349138</v>
      </c>
      <c r="GD503">
        <v>2.6446068392901791</v>
      </c>
      <c r="GE503">
        <v>1.8474399461806157</v>
      </c>
      <c r="GF503">
        <v>0</v>
      </c>
      <c r="GG503">
        <v>3.1153576328949253</v>
      </c>
      <c r="GH503">
        <v>4.2174915131466495</v>
      </c>
      <c r="GI503">
        <v>4.4732696365360365</v>
      </c>
      <c r="GJ503"/>
      <c r="GK503"/>
      <c r="GL503"/>
      <c r="GM503"/>
      <c r="GN503" s="208"/>
      <c r="GO503" s="208"/>
      <c r="GP503" s="208"/>
      <c r="GQ503" s="208"/>
      <c r="GR503" s="208"/>
      <c r="GS503" s="208"/>
      <c r="GT503" s="208"/>
      <c r="GU503" s="213">
        <v>498</v>
      </c>
    </row>
    <row r="504" spans="1:203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52.27018426662152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28.029932950191569</v>
      </c>
      <c r="AO504">
        <v>8.4916152487216898</v>
      </c>
      <c r="AP504">
        <v>126.38465056514079</v>
      </c>
      <c r="AQ504">
        <v>65.451651613532945</v>
      </c>
      <c r="AR504">
        <v>7.7739214969700203</v>
      </c>
      <c r="AS504">
        <v>83.495954387485341</v>
      </c>
      <c r="AT504" t="e">
        <v>#DIV/0!</v>
      </c>
      <c r="AU504" t="e">
        <v>#DIV/0!</v>
      </c>
      <c r="AV504"/>
      <c r="AW504"/>
      <c r="FY504" s="213">
        <v>499</v>
      </c>
      <c r="FZ504">
        <v>1.1743222411384853</v>
      </c>
      <c r="GA504">
        <v>13.030548880444666</v>
      </c>
      <c r="GB504">
        <v>6.5972869191737153</v>
      </c>
      <c r="GC504">
        <v>1.1301459867069295</v>
      </c>
      <c r="GD504">
        <v>1.7462356553508367</v>
      </c>
      <c r="GE504">
        <v>1.7796689238837144</v>
      </c>
      <c r="GF504">
        <v>0</v>
      </c>
      <c r="GG504">
        <v>3.0086188762608805</v>
      </c>
      <c r="GH504">
        <v>4.0769090906224941</v>
      </c>
      <c r="GI504">
        <v>3.5208834566219491</v>
      </c>
      <c r="GJ504"/>
      <c r="GK504"/>
      <c r="GL504"/>
      <c r="GM504"/>
      <c r="GN504" s="208"/>
      <c r="GO504" s="208"/>
      <c r="GP504" s="208"/>
      <c r="GQ504" s="208"/>
      <c r="GR504" s="208"/>
      <c r="GS504" s="208"/>
      <c r="GT504" s="208"/>
      <c r="GU504" s="213">
        <v>499</v>
      </c>
    </row>
    <row r="505" spans="1:203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55.322481546779947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31.509099616858236</v>
      </c>
      <c r="AO505">
        <v>6.2636148358303787</v>
      </c>
      <c r="AP505">
        <v>257.69125380309174</v>
      </c>
      <c r="AQ505">
        <v>37.03019476978708</v>
      </c>
      <c r="AR505">
        <v>5.6941953053003438</v>
      </c>
      <c r="AS505">
        <v>81.684526807333</v>
      </c>
      <c r="AT505" t="e">
        <v>#DIV/0!</v>
      </c>
      <c r="AU505" t="e">
        <v>#DIV/0!</v>
      </c>
      <c r="AV505"/>
      <c r="AW505"/>
      <c r="FY505" s="213">
        <v>500</v>
      </c>
      <c r="FZ505">
        <v>0.58716112056924263</v>
      </c>
      <c r="GA505">
        <v>15.423541392923719</v>
      </c>
      <c r="GB505">
        <v>7.5334869629572587</v>
      </c>
      <c r="GC505">
        <v>2.7232558235467756</v>
      </c>
      <c r="GD505">
        <v>3.4965080050595092</v>
      </c>
      <c r="GE505">
        <v>3.1404288110641954</v>
      </c>
      <c r="GF505">
        <v>0.47734812494006024</v>
      </c>
      <c r="GG505">
        <v>4.7390234195339751</v>
      </c>
      <c r="GH505">
        <v>6.4771246183512243</v>
      </c>
      <c r="GI505">
        <v>5.2923890996818299</v>
      </c>
      <c r="GJ505"/>
      <c r="GK505"/>
      <c r="GL505"/>
      <c r="GM505"/>
      <c r="GN505" s="208"/>
      <c r="GO505" s="208"/>
      <c r="GP505" s="208"/>
      <c r="GQ505" s="208"/>
      <c r="GR505" s="208"/>
      <c r="GS505" s="208"/>
      <c r="GT505" s="208"/>
      <c r="GU505" s="213">
        <v>500</v>
      </c>
    </row>
    <row r="506" spans="1:203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58.417499476770701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22.856493296667786</v>
      </c>
      <c r="AO506">
        <v>7.0067788219133416</v>
      </c>
      <c r="AP506">
        <v>127.16790302297291</v>
      </c>
      <c r="AQ506">
        <v>52.18301380260381</v>
      </c>
      <c r="AR506">
        <v>6.4240701998715215</v>
      </c>
      <c r="AS506">
        <v>73.592310995018906</v>
      </c>
      <c r="AT506" t="e">
        <v>#DIV/0!</v>
      </c>
      <c r="AU506" t="e">
        <v>#DIV/0!</v>
      </c>
      <c r="AV506"/>
      <c r="AW506"/>
      <c r="FY506" s="213">
        <v>501</v>
      </c>
      <c r="FZ506">
        <v>0</v>
      </c>
      <c r="GA506">
        <v>14.962250021535299</v>
      </c>
      <c r="GB506">
        <v>7.5334235654559727</v>
      </c>
      <c r="GC506">
        <v>2.2940117833253839</v>
      </c>
      <c r="GD506">
        <v>2.4232271201156732</v>
      </c>
      <c r="GE506">
        <v>1.335515446279125</v>
      </c>
      <c r="GF506">
        <v>0</v>
      </c>
      <c r="GG506">
        <v>6.7162652626233239</v>
      </c>
      <c r="GH506">
        <v>9.5128693423497594</v>
      </c>
      <c r="GI506">
        <v>4.8266861608441882</v>
      </c>
      <c r="GJ506"/>
      <c r="GK506"/>
      <c r="GL506"/>
      <c r="GM506"/>
      <c r="GN506" s="208"/>
      <c r="GO506" s="208"/>
      <c r="GP506" s="208"/>
      <c r="GQ506" s="208"/>
      <c r="GR506" s="208"/>
      <c r="GS506" s="208"/>
      <c r="GT506" s="208"/>
      <c r="GU506" s="213">
        <v>501</v>
      </c>
    </row>
    <row r="507" spans="1:203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61.685668279953298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32.911656272050429</v>
      </c>
      <c r="AO507">
        <v>6.121539633805229</v>
      </c>
      <c r="AP507">
        <v>124.73500974607875</v>
      </c>
      <c r="AQ507">
        <v>38.075574120267177</v>
      </c>
      <c r="AR507">
        <v>5.6193073015914212</v>
      </c>
      <c r="AS507">
        <v>83.964099158382396</v>
      </c>
      <c r="AT507" t="e">
        <v>#DIV/0!</v>
      </c>
      <c r="AU507" t="e">
        <v>#DIV/0!</v>
      </c>
      <c r="AV507"/>
      <c r="AW507"/>
      <c r="FY507" s="213">
        <v>502</v>
      </c>
      <c r="FZ507">
        <v>3.192552405514002</v>
      </c>
      <c r="GA507">
        <v>13.725979599139967</v>
      </c>
      <c r="GB507">
        <v>4.9633435718368029</v>
      </c>
      <c r="GC507">
        <v>1.8626481674872735</v>
      </c>
      <c r="GD507">
        <v>2.6260599191036507</v>
      </c>
      <c r="GE507">
        <v>3.0022573697878729</v>
      </c>
      <c r="GF507">
        <v>0.95469624988012047</v>
      </c>
      <c r="GG507">
        <v>4.931295217176487</v>
      </c>
      <c r="GH507">
        <v>7.0522507132343177</v>
      </c>
      <c r="GI507">
        <v>4.5858786976203643</v>
      </c>
      <c r="GJ507"/>
      <c r="GK507"/>
      <c r="GL507"/>
      <c r="GM507"/>
      <c r="GN507" s="208"/>
      <c r="GO507" s="208"/>
      <c r="GP507" s="208"/>
      <c r="GQ507" s="208"/>
      <c r="GR507" s="208"/>
      <c r="GS507" s="208"/>
      <c r="GT507" s="208"/>
      <c r="GU507" s="213">
        <v>502</v>
      </c>
    </row>
    <row r="508" spans="1:203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64.99773636959101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26.073173234811161</v>
      </c>
      <c r="AO508">
        <v>5.3874204022314034</v>
      </c>
      <c r="AP508">
        <v>85.038645735219689</v>
      </c>
      <c r="AQ508">
        <v>33.639741987822831</v>
      </c>
      <c r="AR508">
        <v>4.9519261819788518</v>
      </c>
      <c r="AS508">
        <v>70.039662856971731</v>
      </c>
      <c r="AT508" t="e">
        <v>#DIV/0!</v>
      </c>
      <c r="AU508" t="e">
        <v>#DIV/0!</v>
      </c>
      <c r="AV508"/>
      <c r="AW508"/>
      <c r="FY508" s="213">
        <v>503</v>
      </c>
      <c r="FZ508">
        <v>0.58716112056924263</v>
      </c>
      <c r="GA508">
        <v>19.962078045386512</v>
      </c>
      <c r="GB508">
        <v>9.7484848300436866</v>
      </c>
      <c r="GC508">
        <v>1.8626481674872735</v>
      </c>
      <c r="GD508">
        <v>2.9503802153478591</v>
      </c>
      <c r="GE508">
        <v>3.0819877542468719</v>
      </c>
      <c r="GF508">
        <v>0</v>
      </c>
      <c r="GG508">
        <v>4.0766958033527283</v>
      </c>
      <c r="GH508">
        <v>5.7051623244525604</v>
      </c>
      <c r="GI508">
        <v>5.3438626206801905</v>
      </c>
      <c r="GJ508"/>
      <c r="GK508"/>
      <c r="GL508"/>
      <c r="GM508"/>
      <c r="GN508" s="208"/>
      <c r="GO508" s="208"/>
      <c r="GP508" s="208"/>
      <c r="GQ508" s="208"/>
      <c r="GR508" s="208"/>
      <c r="GS508" s="208"/>
      <c r="GT508" s="208"/>
      <c r="GU508" s="213">
        <v>503</v>
      </c>
    </row>
    <row r="509" spans="1:203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68.487638230609974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30.171405449383734</v>
      </c>
      <c r="AO509">
        <v>6.7117468384654755</v>
      </c>
      <c r="AP509">
        <v>307.5491635809006</v>
      </c>
      <c r="AQ509">
        <v>41.733479931764094</v>
      </c>
      <c r="AR509">
        <v>6.1015880349686142</v>
      </c>
      <c r="AS509">
        <v>84.113231987033117</v>
      </c>
      <c r="AT509" t="e">
        <v>#DIV/0!</v>
      </c>
      <c r="AU509" t="e">
        <v>#DIV/0!</v>
      </c>
      <c r="AV509"/>
      <c r="AW509"/>
      <c r="FY509" s="213">
        <v>504</v>
      </c>
      <c r="FZ509">
        <v>1.596276202757001</v>
      </c>
      <c r="GA509">
        <v>16.399346689974294</v>
      </c>
      <c r="GB509">
        <v>7.3565437525531472</v>
      </c>
      <c r="GC509">
        <v>1.5736198327071467</v>
      </c>
      <c r="GD509">
        <v>2.4281909697105415</v>
      </c>
      <c r="GE509">
        <v>2.7640463557565069</v>
      </c>
      <c r="GF509">
        <v>0.47734812494006024</v>
      </c>
      <c r="GG509">
        <v>4.9003276783417631</v>
      </c>
      <c r="GH509">
        <v>6.6781101422620921</v>
      </c>
      <c r="GI509">
        <v>4.6817163785229381</v>
      </c>
      <c r="GJ509"/>
      <c r="GK509"/>
      <c r="GL509"/>
      <c r="GM509"/>
      <c r="GN509" s="208"/>
      <c r="GO509" s="208"/>
      <c r="GP509" s="208"/>
      <c r="GQ509" s="208"/>
      <c r="GR509" s="208"/>
      <c r="GS509" s="208"/>
      <c r="GT509" s="208"/>
      <c r="GU509" s="213">
        <v>504</v>
      </c>
    </row>
    <row r="510" spans="1:203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72.022602442207798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40.552836345381529</v>
      </c>
      <c r="AO510">
        <v>8.1778801170686286</v>
      </c>
      <c r="AP510">
        <v>258.88686422566656</v>
      </c>
      <c r="AQ510">
        <v>51.936587915315755</v>
      </c>
      <c r="AR510">
        <v>7.4344364700623871</v>
      </c>
      <c r="AS510">
        <v>106.27653250412401</v>
      </c>
      <c r="AT510" t="e">
        <v>#DIV/0!</v>
      </c>
      <c r="AU510" t="e">
        <v>#DIV/0!</v>
      </c>
      <c r="AV510"/>
      <c r="AW510"/>
      <c r="FY510" s="213">
        <v>505</v>
      </c>
      <c r="FZ510">
        <v>5.9631508494094883</v>
      </c>
      <c r="GA510">
        <v>20.31147272813876</v>
      </c>
      <c r="GB510">
        <v>7.3989651203628179</v>
      </c>
      <c r="GC510">
        <v>1.6375650613841901</v>
      </c>
      <c r="GD510">
        <v>1.3598957684170763</v>
      </c>
      <c r="GE510">
        <v>0.49599604164796296</v>
      </c>
      <c r="GF510">
        <v>0.47734812494006024</v>
      </c>
      <c r="GG510">
        <v>0.42695502653617895</v>
      </c>
      <c r="GH510">
        <v>0.56232969009662026</v>
      </c>
      <c r="GI510">
        <v>3.6885055412393024</v>
      </c>
      <c r="GJ510"/>
      <c r="GK510"/>
      <c r="GL510"/>
      <c r="GM510"/>
      <c r="GN510" s="208"/>
      <c r="GO510" s="208"/>
      <c r="GP510" s="208"/>
      <c r="GQ510" s="208"/>
      <c r="GR510" s="208"/>
      <c r="GS510" s="208"/>
      <c r="GT510" s="208"/>
      <c r="GU510" s="213">
        <v>505</v>
      </c>
    </row>
    <row r="511" spans="1:203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75.740022529057185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35.79770457033387</v>
      </c>
      <c r="AO511">
        <v>10.854968882490633</v>
      </c>
      <c r="AP511">
        <v>260.5091723252774</v>
      </c>
      <c r="AQ511">
        <v>76.71193760463882</v>
      </c>
      <c r="AR511">
        <v>9.92242480039633</v>
      </c>
      <c r="AS511">
        <v>111.29376813113683</v>
      </c>
      <c r="AT511" t="e">
        <v>#DIV/0!</v>
      </c>
      <c r="AU511" t="e">
        <v>#DIV/0!</v>
      </c>
      <c r="AV511"/>
      <c r="AW511"/>
      <c r="FY511" s="213">
        <v>506</v>
      </c>
      <c r="FZ511">
        <v>2.1834373233262436</v>
      </c>
      <c r="GA511">
        <v>13.426358183017319</v>
      </c>
      <c r="GB511">
        <v>5.806643769268347</v>
      </c>
      <c r="GC511">
        <v>1.2972314702514869</v>
      </c>
      <c r="GD511">
        <v>1.8499167371135128</v>
      </c>
      <c r="GE511">
        <v>1.7251969631578217</v>
      </c>
      <c r="GF511">
        <v>0</v>
      </c>
      <c r="GG511">
        <v>3.7834176041617651</v>
      </c>
      <c r="GH511">
        <v>5.2024021032791943</v>
      </c>
      <c r="GI511">
        <v>3.6704646679837323</v>
      </c>
      <c r="GJ511"/>
      <c r="GK511"/>
      <c r="GL511"/>
      <c r="GM511"/>
      <c r="GN511" s="208"/>
      <c r="GO511" s="208"/>
      <c r="GP511" s="208"/>
      <c r="GQ511" s="208"/>
      <c r="GR511" s="208"/>
      <c r="GS511" s="208"/>
      <c r="GT511" s="208"/>
      <c r="GU511" s="213">
        <v>506</v>
      </c>
    </row>
    <row r="512" spans="1:203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79.503653249471597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18.857178714859437</v>
      </c>
      <c r="AO512">
        <v>5.7232634937294069</v>
      </c>
      <c r="AP512">
        <v>272.92281946970166</v>
      </c>
      <c r="AQ512">
        <v>37.151024038306169</v>
      </c>
      <c r="AR512">
        <v>5.3657806250594575</v>
      </c>
      <c r="AS512">
        <v>61.784781674203998</v>
      </c>
      <c r="AT512" t="e">
        <v>#DIV/0!</v>
      </c>
      <c r="AU512" t="e">
        <v>#DIV/0!</v>
      </c>
      <c r="AV512"/>
      <c r="AW512"/>
      <c r="FY512" s="213">
        <v>507</v>
      </c>
      <c r="FZ512">
        <v>1.596276202757001</v>
      </c>
      <c r="GA512">
        <v>20.25160817202849</v>
      </c>
      <c r="GB512">
        <v>9.1710875282216548</v>
      </c>
      <c r="GC512">
        <v>0.93809528275072762</v>
      </c>
      <c r="GD512">
        <v>1.9979637736948201</v>
      </c>
      <c r="GE512">
        <v>2.5936063640220421</v>
      </c>
      <c r="GF512">
        <v>0</v>
      </c>
      <c r="GG512">
        <v>5.3313121730014954</v>
      </c>
      <c r="GH512">
        <v>7.695593356931842</v>
      </c>
      <c r="GI512">
        <v>5.0866057851833961</v>
      </c>
      <c r="GJ512"/>
      <c r="GK512"/>
      <c r="GL512"/>
      <c r="GM512"/>
      <c r="GN512" s="208"/>
      <c r="GO512" s="208"/>
      <c r="GP512" s="208"/>
      <c r="GQ512" s="208"/>
      <c r="GR512" s="208"/>
      <c r="GS512" s="208"/>
      <c r="GT512" s="208"/>
      <c r="GU512" s="213">
        <v>507</v>
      </c>
    </row>
    <row r="513" spans="1:203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83.454304196797253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27.851190476190474</v>
      </c>
      <c r="AO513">
        <v>6.4004121966643153</v>
      </c>
      <c r="AP513">
        <v>154.36861457289774</v>
      </c>
      <c r="AQ513">
        <v>45.28889883103308</v>
      </c>
      <c r="AR513">
        <v>5.8728278132814973</v>
      </c>
      <c r="AS513">
        <v>84.272393851679311</v>
      </c>
      <c r="AT513" t="e">
        <v>#DIV/0!</v>
      </c>
      <c r="AU513" t="e">
        <v>#DIV/0!</v>
      </c>
      <c r="AV513"/>
      <c r="AW513"/>
      <c r="FY513" s="213">
        <v>508</v>
      </c>
      <c r="FZ513">
        <v>4.9540357672217299</v>
      </c>
      <c r="GA513">
        <v>14.886041677749839</v>
      </c>
      <c r="GB513">
        <v>5.5983776398395877</v>
      </c>
      <c r="GC513">
        <v>1.4003717251190004</v>
      </c>
      <c r="GD513">
        <v>2.3624396405474517</v>
      </c>
      <c r="GE513">
        <v>2.8959428450186073</v>
      </c>
      <c r="GF513">
        <v>0.47734812494006024</v>
      </c>
      <c r="GG513">
        <v>6.2616828046245736</v>
      </c>
      <c r="GH513">
        <v>8.8091235972655255</v>
      </c>
      <c r="GI513">
        <v>5.0201183674857575</v>
      </c>
      <c r="GJ513"/>
      <c r="GK513"/>
      <c r="GL513"/>
      <c r="GM513"/>
      <c r="GN513" s="208"/>
      <c r="GO513" s="208"/>
      <c r="GP513" s="208"/>
      <c r="GQ513" s="208"/>
      <c r="GR513" s="208"/>
      <c r="GS513" s="208"/>
      <c r="GT513" s="208"/>
      <c r="GU513" s="213">
        <v>508</v>
      </c>
    </row>
    <row r="514" spans="1:203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87.452300003164524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37.114019295573101</v>
      </c>
      <c r="AO514">
        <v>6.943111904167135</v>
      </c>
      <c r="AP514">
        <v>165.80795470376609</v>
      </c>
      <c r="AQ514">
        <v>45.615471971724141</v>
      </c>
      <c r="AR514">
        <v>6.3119199128792145</v>
      </c>
      <c r="AS514">
        <v>79.935459821812174</v>
      </c>
      <c r="AT514" t="e">
        <v>#DIV/0!</v>
      </c>
      <c r="AU514" t="e">
        <v>#DIV/0!</v>
      </c>
      <c r="AV514"/>
      <c r="AW514"/>
      <c r="FY514" s="213">
        <v>509</v>
      </c>
      <c r="FZ514">
        <v>3.7797135260832437</v>
      </c>
      <c r="GA514">
        <v>19.115596955515912</v>
      </c>
      <c r="GB514">
        <v>7.741689694884732</v>
      </c>
      <c r="GC514">
        <v>0.53976406905949814</v>
      </c>
      <c r="GD514">
        <v>1.6000770890968086</v>
      </c>
      <c r="GE514">
        <v>2.4035923587023471</v>
      </c>
      <c r="GF514">
        <v>0</v>
      </c>
      <c r="GG514">
        <v>2.2917257579058905</v>
      </c>
      <c r="GH514">
        <v>3.2445436953371196</v>
      </c>
      <c r="GI514">
        <v>3.997568914502958</v>
      </c>
      <c r="GJ514"/>
      <c r="GK514"/>
      <c r="GL514"/>
      <c r="GM514"/>
      <c r="GN514" s="208"/>
      <c r="GO514" s="208"/>
      <c r="GP514" s="208"/>
      <c r="GQ514" s="208"/>
      <c r="GR514" s="208"/>
      <c r="GS514" s="208"/>
      <c r="GT514" s="208"/>
      <c r="GU514" s="213">
        <v>509</v>
      </c>
    </row>
    <row r="515" spans="1:203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91.64182542111466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26.12219485495347</v>
      </c>
      <c r="AO515">
        <v>5.2632776492337205</v>
      </c>
      <c r="AP515">
        <v>246.8646895264674</v>
      </c>
      <c r="AQ515">
        <v>36.06462003020367</v>
      </c>
      <c r="AR515">
        <v>4.8933404046585345</v>
      </c>
      <c r="AS515">
        <v>69.404153738936131</v>
      </c>
      <c r="AT515" t="e">
        <v>#DIV/0!</v>
      </c>
      <c r="AU515" t="e">
        <v>#DIV/0!</v>
      </c>
      <c r="AV515"/>
      <c r="AW515"/>
      <c r="FY515" s="213">
        <v>510</v>
      </c>
      <c r="FZ515">
        <v>3.3577595644647293</v>
      </c>
      <c r="GA515">
        <v>18.48136947957239</v>
      </c>
      <c r="GB515">
        <v>8.2328290096450782</v>
      </c>
      <c r="GC515">
        <v>1.3302638723983682</v>
      </c>
      <c r="GD515">
        <v>3.4748178800845242</v>
      </c>
      <c r="GE515">
        <v>4.9736556130477281</v>
      </c>
      <c r="GF515">
        <v>0</v>
      </c>
      <c r="GG515">
        <v>5.5431196325835081</v>
      </c>
      <c r="GH515">
        <v>7.8603959439878439</v>
      </c>
      <c r="GI515">
        <v>5.9896235733336907</v>
      </c>
      <c r="GJ515"/>
      <c r="GK515"/>
      <c r="GL515"/>
      <c r="GM515"/>
      <c r="GN515" s="208"/>
      <c r="GO515" s="208"/>
      <c r="GP515" s="208"/>
      <c r="GQ515" s="208"/>
      <c r="GR515" s="208"/>
      <c r="GS515" s="208"/>
      <c r="GT515" s="208"/>
      <c r="GU515" s="213">
        <v>510</v>
      </c>
    </row>
    <row r="516" spans="1:203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95.87981652994948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43.298799673241405</v>
      </c>
      <c r="AO516">
        <v>8.247374625445568</v>
      </c>
      <c r="AP516">
        <v>400.05654239226692</v>
      </c>
      <c r="AQ516">
        <v>49.890267378627783</v>
      </c>
      <c r="AR516">
        <v>7.5518845667190009</v>
      </c>
      <c r="AS516">
        <v>107.46635653350077</v>
      </c>
      <c r="AT516" t="e">
        <v>#DIV/0!</v>
      </c>
      <c r="AU516" t="e">
        <v>#DIV/0!</v>
      </c>
      <c r="AV516"/>
      <c r="AW516"/>
      <c r="FY516" s="213">
        <v>511</v>
      </c>
      <c r="FZ516">
        <v>2.7705984438954863</v>
      </c>
      <c r="GA516">
        <v>16.283057893926813</v>
      </c>
      <c r="GB516">
        <v>7.295892991795597</v>
      </c>
      <c r="GC516">
        <v>0.79049980333886993</v>
      </c>
      <c r="GD516">
        <v>1.1417467510081398</v>
      </c>
      <c r="GE516">
        <v>1.6667419235087486</v>
      </c>
      <c r="GF516">
        <v>0.95469624988012047</v>
      </c>
      <c r="GG516">
        <v>7.141550235473427</v>
      </c>
      <c r="GH516">
        <v>9.958836774454074</v>
      </c>
      <c r="GI516">
        <v>4.6876357211978865</v>
      </c>
      <c r="GJ516"/>
      <c r="GK516"/>
      <c r="GL516"/>
      <c r="GM516"/>
      <c r="GN516" s="208"/>
      <c r="GO516" s="208"/>
      <c r="GP516" s="208"/>
      <c r="GQ516" s="208"/>
      <c r="GR516" s="208"/>
      <c r="GS516" s="208"/>
      <c r="GT516" s="208"/>
      <c r="GU516" s="213">
        <v>511</v>
      </c>
    </row>
    <row r="517" spans="1:203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100.31379422630621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34.260416666666664</v>
      </c>
      <c r="AO517">
        <v>7.5930139590189114</v>
      </c>
      <c r="AP517">
        <v>418.4584583021109</v>
      </c>
      <c r="AQ517">
        <v>49.604248702528729</v>
      </c>
      <c r="AR517">
        <v>6.9027399627444632</v>
      </c>
      <c r="AS517">
        <v>95.701977740137721</v>
      </c>
      <c r="AT517" t="e">
        <v>#DIV/0!</v>
      </c>
      <c r="AU517" t="e">
        <v>#DIV/0!</v>
      </c>
      <c r="AV517"/>
      <c r="AW517"/>
      <c r="FY517" s="213">
        <v>512</v>
      </c>
      <c r="FZ517">
        <v>3.7797135260832437</v>
      </c>
      <c r="GA517">
        <v>21.912944354880658</v>
      </c>
      <c r="GB517">
        <v>8.9241206464119927</v>
      </c>
      <c r="GC517">
        <v>1.3302638723983682</v>
      </c>
      <c r="GD517">
        <v>3.007803482458697</v>
      </c>
      <c r="GE517">
        <v>4.0278216836473</v>
      </c>
      <c r="GF517">
        <v>0</v>
      </c>
      <c r="GG517">
        <v>7.4348284346643911</v>
      </c>
      <c r="GH517">
        <v>10.461596995627442</v>
      </c>
      <c r="GI517">
        <v>6.4018442029987526</v>
      </c>
      <c r="GJ517"/>
      <c r="GK517"/>
      <c r="GL517"/>
      <c r="GM517"/>
      <c r="GN517" s="208"/>
      <c r="GO517" s="208"/>
      <c r="GP517" s="208"/>
      <c r="GQ517" s="208"/>
      <c r="GR517" s="208"/>
      <c r="GS517" s="208"/>
      <c r="GT517" s="208"/>
      <c r="GU517" s="213">
        <v>512</v>
      </c>
    </row>
    <row r="518" spans="1:203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100.31379422630621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36.02827380952381</v>
      </c>
      <c r="AO518">
        <v>7.2393239274057253</v>
      </c>
      <c r="AP518">
        <v>255.60037523840413</v>
      </c>
      <c r="AQ518">
        <v>46.896961910780853</v>
      </c>
      <c r="AR518">
        <v>6.5812035703688405</v>
      </c>
      <c r="AS518">
        <v>92.181353222708481</v>
      </c>
      <c r="AT518" t="e">
        <v>#DIV/0!</v>
      </c>
      <c r="AU518" t="e">
        <v>#DIV/0!</v>
      </c>
      <c r="AV518"/>
      <c r="AW518"/>
      <c r="FY518" s="213">
        <v>513</v>
      </c>
      <c r="FZ518">
        <v>3.7797135260832437</v>
      </c>
      <c r="GA518">
        <v>22.040057145305976</v>
      </c>
      <c r="GB518">
        <v>9.1367799678341779</v>
      </c>
      <c r="GC518">
        <v>0.68735954847135594</v>
      </c>
      <c r="GD518">
        <v>2.1471738220061951</v>
      </c>
      <c r="GE518">
        <v>3.2816552658058735</v>
      </c>
      <c r="GF518">
        <v>0</v>
      </c>
      <c r="GG518">
        <v>3.358132631311662</v>
      </c>
      <c r="GH518">
        <v>4.7564346711748797</v>
      </c>
      <c r="GI518">
        <v>4.9291670391961242</v>
      </c>
      <c r="GJ518"/>
      <c r="GK518"/>
      <c r="GL518"/>
      <c r="GM518"/>
      <c r="GN518" s="208"/>
      <c r="GO518" s="208"/>
      <c r="GP518" s="208"/>
      <c r="GQ518" s="208"/>
      <c r="GR518" s="208"/>
      <c r="GS518" s="208"/>
      <c r="GT518" s="208"/>
      <c r="GU518" s="213">
        <v>513</v>
      </c>
    </row>
    <row r="519" spans="1:203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32.137743296667786</v>
      </c>
      <c r="AO519">
        <v>8.4310068839695589</v>
      </c>
      <c r="AP519">
        <v>415.48659192899299</v>
      </c>
      <c r="AQ519">
        <v>53.318460881566921</v>
      </c>
      <c r="AR519">
        <v>7.7188229835589901</v>
      </c>
      <c r="AS519">
        <v>85.854800100381965</v>
      </c>
      <c r="AT519" t="e">
        <v>#DIV/0!</v>
      </c>
      <c r="AU519" t="e">
        <v>#DIV/0!</v>
      </c>
      <c r="AV519"/>
      <c r="AW519"/>
      <c r="FY519" s="213">
        <v>514</v>
      </c>
      <c r="FZ519">
        <v>3.7797135260832437</v>
      </c>
      <c r="GA519">
        <v>18.490427308450947</v>
      </c>
      <c r="GB519">
        <v>7.1907623884353438</v>
      </c>
      <c r="GC519">
        <v>1.9462984182220877</v>
      </c>
      <c r="GD519">
        <v>2.7149061055988066</v>
      </c>
      <c r="GE519">
        <v>2.7640463557565069</v>
      </c>
      <c r="GF519">
        <v>0.47734812494006024</v>
      </c>
      <c r="GG519">
        <v>5.863335902485642</v>
      </c>
      <c r="GH519">
        <v>8.2821432115603102</v>
      </c>
      <c r="GI519">
        <v>5.485517674614826</v>
      </c>
      <c r="GJ519"/>
      <c r="GK519"/>
      <c r="GL519"/>
      <c r="GM519"/>
      <c r="GN519" s="208"/>
      <c r="GO519" s="208"/>
      <c r="GP519" s="208"/>
      <c r="GQ519" s="208"/>
      <c r="GR519" s="208"/>
      <c r="GS519" s="208"/>
      <c r="GT519" s="208"/>
      <c r="GU519" s="213">
        <v>514</v>
      </c>
    </row>
    <row r="520" spans="1:203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6.8936475655313885</v>
      </c>
      <c r="H520" s="63" t="s">
        <v>30</v>
      </c>
      <c r="I520" s="101">
        <f>SUM(K458:K518)</f>
        <v>40.073035380810126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33.267293105096904</v>
      </c>
      <c r="AO520">
        <v>7.1901419858941171</v>
      </c>
      <c r="AP520">
        <v>195.00596665177983</v>
      </c>
      <c r="AQ520">
        <v>48.855526127525479</v>
      </c>
      <c r="AR520">
        <v>6.5364927144491967</v>
      </c>
      <c r="AS520">
        <v>86.590689519047331</v>
      </c>
      <c r="AT520" t="e">
        <v>#DIV/0!</v>
      </c>
      <c r="AU520" t="e">
        <v>#DIV/0!</v>
      </c>
      <c r="AV520"/>
      <c r="AW520"/>
      <c r="FY520" s="213">
        <v>515</v>
      </c>
      <c r="FZ520">
        <v>3.192552405514002</v>
      </c>
      <c r="GA520">
        <v>26.750687898308719</v>
      </c>
      <c r="GB520">
        <v>11.3824281773806</v>
      </c>
      <c r="GC520">
        <v>1.7212153121190044</v>
      </c>
      <c r="GD520">
        <v>3.3850381069200584</v>
      </c>
      <c r="GE520">
        <v>4.4759442573433201</v>
      </c>
      <c r="GF520">
        <v>0.47734812494006024</v>
      </c>
      <c r="GG520">
        <v>6.2616828046245736</v>
      </c>
      <c r="GH520">
        <v>8.8091235972655255</v>
      </c>
      <c r="GI520">
        <v>6.9638799086394672</v>
      </c>
      <c r="GJ520"/>
      <c r="GK520"/>
      <c r="GL520"/>
      <c r="GM520"/>
      <c r="GN520" s="208"/>
      <c r="GO520" s="208"/>
      <c r="GP520" s="208"/>
      <c r="GQ520" s="208"/>
      <c r="GR520" s="208"/>
      <c r="GS520" s="208"/>
      <c r="GT520" s="208"/>
      <c r="GU520" s="213">
        <v>515</v>
      </c>
    </row>
    <row r="521" spans="1:203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29.211345381526108</v>
      </c>
      <c r="AO521">
        <v>5.484078488728926</v>
      </c>
      <c r="AP521">
        <v>66.874034394666054</v>
      </c>
      <c r="AQ521">
        <v>42.322183952172445</v>
      </c>
      <c r="AR521">
        <v>5.094068440563265</v>
      </c>
      <c r="AS521">
        <v>78.020410644449399</v>
      </c>
      <c r="AT521" t="e">
        <v>#DIV/0!</v>
      </c>
      <c r="AU521" t="e">
        <v>#DIV/0!</v>
      </c>
      <c r="AV521"/>
      <c r="AW521"/>
      <c r="FY521" s="213">
        <v>516</v>
      </c>
      <c r="FZ521">
        <v>2.7705984438954863</v>
      </c>
      <c r="GA521">
        <v>12.972660604703686</v>
      </c>
      <c r="GB521">
        <v>5.5274911993655271</v>
      </c>
      <c r="GC521">
        <v>2.6457681968555504</v>
      </c>
      <c r="GD521">
        <v>3.5276261738133003</v>
      </c>
      <c r="GE521">
        <v>3.3201987682782379</v>
      </c>
      <c r="GF521">
        <v>0.47734812494006024</v>
      </c>
      <c r="GG521">
        <v>4.1834345599867726</v>
      </c>
      <c r="GH521">
        <v>5.8457447469767168</v>
      </c>
      <c r="GI521">
        <v>4.9349559530611558</v>
      </c>
      <c r="GJ521"/>
      <c r="GK521"/>
      <c r="GL521"/>
      <c r="GM521"/>
      <c r="GN521" s="208"/>
      <c r="GO521" s="208"/>
      <c r="GP521" s="208"/>
      <c r="GQ521" s="208"/>
      <c r="GR521" s="208"/>
      <c r="GS521" s="208"/>
      <c r="GT521" s="208"/>
      <c r="GU521" s="213">
        <v>516</v>
      </c>
    </row>
    <row r="522" spans="1:203" s="7" customFormat="1">
      <c r="A522" s="4"/>
      <c r="B522" s="4"/>
      <c r="C522" s="63"/>
      <c r="D522" s="63"/>
      <c r="E522" s="63" t="s">
        <v>100</v>
      </c>
      <c r="F522" s="101">
        <f>+I520/G520</f>
        <v>5.8130380179540184</v>
      </c>
      <c r="G522" s="63"/>
      <c r="H522" s="63" t="s">
        <v>101</v>
      </c>
      <c r="I522">
        <v>169.82888793945312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29.828886976477339</v>
      </c>
      <c r="AO522">
        <v>5.5825369836366985</v>
      </c>
      <c r="AP522">
        <v>128.35426032274086</v>
      </c>
      <c r="AQ522">
        <v>38.945068821559424</v>
      </c>
      <c r="AR522">
        <v>5.1293048923473021</v>
      </c>
      <c r="AS522">
        <v>79.372463944251095</v>
      </c>
      <c r="AT522" t="e">
        <v>#DIV/0!</v>
      </c>
      <c r="AU522" t="e">
        <v>#DIV/0!</v>
      </c>
      <c r="AV522"/>
      <c r="AW522"/>
      <c r="FY522" s="213">
        <v>517</v>
      </c>
      <c r="FZ522">
        <v>4.9540357672217299</v>
      </c>
      <c r="GA522">
        <v>13.725979599139967</v>
      </c>
      <c r="GB522">
        <v>4.9633435718368029</v>
      </c>
      <c r="GC522">
        <v>2.1133839017666447</v>
      </c>
      <c r="GD522">
        <v>4.2693752608537201</v>
      </c>
      <c r="GE522">
        <v>6.2413860541982009</v>
      </c>
      <c r="GF522">
        <v>1.432044374820181</v>
      </c>
      <c r="GG522">
        <v>6.504457803041312</v>
      </c>
      <c r="GH522">
        <v>9.3480667552937575</v>
      </c>
      <c r="GI522">
        <v>6.3917073439950602</v>
      </c>
      <c r="GJ522"/>
      <c r="GK522"/>
      <c r="GL522"/>
      <c r="GM522"/>
      <c r="GN522" s="208"/>
      <c r="GO522" s="208"/>
      <c r="GP522" s="208"/>
      <c r="GQ522" s="208"/>
      <c r="GR522" s="208"/>
      <c r="GS522" s="208"/>
      <c r="GT522" s="208"/>
      <c r="GU522" s="213">
        <v>517</v>
      </c>
    </row>
    <row r="523" spans="1:203" s="7" customFormat="1">
      <c r="A523" s="4"/>
      <c r="B523" s="4"/>
      <c r="C523" s="63"/>
      <c r="D523" s="63"/>
      <c r="E523" s="63" t="s">
        <v>102</v>
      </c>
      <c r="F523" s="101">
        <f>+I523/G520</f>
        <v>12.4935098044666</v>
      </c>
      <c r="G523" s="63"/>
      <c r="H523" s="63" t="s">
        <v>103</v>
      </c>
      <c r="I523" s="123">
        <f>+I520*(365/I522)</f>
        <v>86.125853448503705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23.939073617952928</v>
      </c>
      <c r="AO523">
        <v>8.159532375227224</v>
      </c>
      <c r="AP523">
        <v>206.03556750072454</v>
      </c>
      <c r="AQ523">
        <v>54.662148638591468</v>
      </c>
      <c r="AR523">
        <v>7.4177567047520192</v>
      </c>
      <c r="AS523">
        <v>96.710802769644559</v>
      </c>
      <c r="AT523" t="e">
        <v>#DIV/0!</v>
      </c>
      <c r="AU523" t="e">
        <v>#DIV/0!</v>
      </c>
      <c r="AV523"/>
      <c r="AW523"/>
      <c r="FY523" s="213">
        <v>518</v>
      </c>
      <c r="FZ523">
        <v>3.192552405514002</v>
      </c>
      <c r="GA523">
        <v>15.762828736151015</v>
      </c>
      <c r="GB523">
        <v>5.9024014619806024</v>
      </c>
      <c r="GC523">
        <v>1.3107738682656682</v>
      </c>
      <c r="GD523">
        <v>1.4750760085968841</v>
      </c>
      <c r="GE523">
        <v>0.94583392940042799</v>
      </c>
      <c r="GF523">
        <v>0</v>
      </c>
      <c r="GG523">
        <v>0.71856317204106601</v>
      </c>
      <c r="GH523">
        <v>0.94872765327768138</v>
      </c>
      <c r="GI523">
        <v>2.9789838178093913</v>
      </c>
      <c r="GJ523"/>
      <c r="GK523"/>
      <c r="GL523"/>
      <c r="GM523"/>
      <c r="GN523" s="208"/>
      <c r="GO523" s="208"/>
      <c r="GP523" s="208"/>
      <c r="GQ523" s="208"/>
      <c r="GR523" s="208"/>
      <c r="GS523" s="208"/>
      <c r="GT523" s="208"/>
      <c r="GU523" s="213">
        <v>518</v>
      </c>
    </row>
    <row r="524" spans="1:203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35.892293105096897</v>
      </c>
      <c r="AO524">
        <v>7.678112198234774</v>
      </c>
      <c r="AP524">
        <v>212.16259934474587</v>
      </c>
      <c r="AQ524">
        <v>52.665482189812131</v>
      </c>
      <c r="AR524">
        <v>7.1429158109734274</v>
      </c>
      <c r="AS524">
        <v>96.138512776657109</v>
      </c>
      <c r="AT524" t="e">
        <v>#DIV/0!</v>
      </c>
      <c r="AU524" t="e">
        <v>#DIV/0!</v>
      </c>
      <c r="AV524"/>
      <c r="AW524"/>
      <c r="FY524" s="213">
        <v>519</v>
      </c>
      <c r="FZ524">
        <v>1.1743222411384853</v>
      </c>
      <c r="GA524">
        <v>18.834295607437749</v>
      </c>
      <c r="GB524">
        <v>9.4502400981244747</v>
      </c>
      <c r="GC524">
        <v>0.79049980333886993</v>
      </c>
      <c r="GD524">
        <v>1.6186590562480268</v>
      </c>
      <c r="GE524">
        <v>2.6324734072541345</v>
      </c>
      <c r="GF524">
        <v>0.95469624988012047</v>
      </c>
      <c r="GG524">
        <v>0.71856317204106601</v>
      </c>
      <c r="GH524">
        <v>0.94872765327768138</v>
      </c>
      <c r="GI524">
        <v>3.8118165491653659</v>
      </c>
      <c r="GJ524"/>
      <c r="GK524"/>
      <c r="GL524"/>
      <c r="GM524"/>
      <c r="GN524" s="208"/>
      <c r="GO524" s="208"/>
      <c r="GP524" s="208"/>
      <c r="GQ524" s="208"/>
      <c r="GR524" s="208"/>
      <c r="GS524" s="208"/>
      <c r="GT524" s="208"/>
      <c r="GU524" s="213">
        <v>519</v>
      </c>
    </row>
    <row r="525" spans="1:203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23.724052820477308</v>
      </c>
      <c r="AO525">
        <v>6.1471832072769015</v>
      </c>
      <c r="AP525">
        <v>78.922580980367229</v>
      </c>
      <c r="AQ525">
        <v>44.714272061088508</v>
      </c>
      <c r="AR525">
        <v>5.6426196411111214</v>
      </c>
      <c r="AS525">
        <v>68.457867268775601</v>
      </c>
      <c r="AT525" t="e">
        <v>#DIV/0!</v>
      </c>
      <c r="AU525" t="e">
        <v>#DIV/0!</v>
      </c>
      <c r="AV525"/>
      <c r="AW525"/>
      <c r="FY525" s="213">
        <v>520</v>
      </c>
      <c r="FZ525">
        <v>2.7705984438954863</v>
      </c>
      <c r="GA525">
        <v>17.485807708427686</v>
      </c>
      <c r="GB525">
        <v>7.9075344565038215</v>
      </c>
      <c r="GC525">
        <v>2.2609793811785028</v>
      </c>
      <c r="GD525">
        <v>2.8900737493693405</v>
      </c>
      <c r="GE525">
        <v>3.2138702606772216</v>
      </c>
      <c r="GF525">
        <v>1.432044374820181</v>
      </c>
      <c r="GG525">
        <v>1.437126344082132</v>
      </c>
      <c r="GH525">
        <v>1.8974553065553628</v>
      </c>
      <c r="GI525">
        <v>4.6765622870773731</v>
      </c>
      <c r="GJ525"/>
      <c r="GK525"/>
      <c r="GL525"/>
      <c r="GM525"/>
      <c r="GN525" s="208"/>
      <c r="GO525" s="208"/>
      <c r="GP525" s="208"/>
      <c r="GQ525" s="208"/>
      <c r="GR525" s="208"/>
      <c r="GS525" s="208"/>
      <c r="GT525" s="208"/>
      <c r="GU525" s="213">
        <v>520</v>
      </c>
    </row>
    <row r="526" spans="1:203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34.650383141762461</v>
      </c>
      <c r="AO526">
        <v>9.2899845440312578</v>
      </c>
      <c r="AP526">
        <v>197.47577049834416</v>
      </c>
      <c r="AQ526">
        <v>59.243834569117858</v>
      </c>
      <c r="AR526">
        <v>8.6082543071520501</v>
      </c>
      <c r="AS526">
        <v>102.7478361551192</v>
      </c>
      <c r="AT526" t="e">
        <v>#DIV/0!</v>
      </c>
      <c r="AU526" t="e">
        <v>#DIV/0!</v>
      </c>
      <c r="AV526"/>
      <c r="AW526"/>
      <c r="FY526" s="213">
        <v>521</v>
      </c>
      <c r="FZ526">
        <v>3.7797135260832437</v>
      </c>
      <c r="GA526">
        <v>15.68193910895914</v>
      </c>
      <c r="GB526">
        <v>5.9506019200120717</v>
      </c>
      <c r="GC526">
        <v>0.79049980333886993</v>
      </c>
      <c r="GD526">
        <v>2.226150541397387</v>
      </c>
      <c r="GE526">
        <v>3.5743382405631321</v>
      </c>
      <c r="GF526">
        <v>0.47734812494006024</v>
      </c>
      <c r="GG526">
        <v>5.0070664349758074</v>
      </c>
      <c r="GH526">
        <v>6.8186925647862466</v>
      </c>
      <c r="GI526">
        <v>4.5892915744740499</v>
      </c>
      <c r="GJ526"/>
      <c r="GK526"/>
      <c r="GL526"/>
      <c r="GM526"/>
      <c r="GN526" s="208"/>
      <c r="GO526" s="208"/>
      <c r="GP526" s="208"/>
      <c r="GQ526" s="208"/>
      <c r="GR526" s="208"/>
      <c r="GS526" s="208"/>
      <c r="GT526" s="208"/>
      <c r="GU526" s="213">
        <v>521</v>
      </c>
    </row>
    <row r="527" spans="1:203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23.501506024096386</v>
      </c>
      <c r="AO527">
        <v>7.2216803549728521</v>
      </c>
      <c r="AP527">
        <v>207.02441478347868</v>
      </c>
      <c r="AQ527">
        <v>52.691256788479159</v>
      </c>
      <c r="AR527">
        <v>6.6737065007850145</v>
      </c>
      <c r="AS527">
        <v>73.927712292118301</v>
      </c>
      <c r="AT527" t="e">
        <v>#DIV/0!</v>
      </c>
      <c r="AU527" t="e">
        <v>#DIV/0!</v>
      </c>
      <c r="AV527"/>
      <c r="AW527"/>
      <c r="FY527" s="213">
        <v>522</v>
      </c>
      <c r="FZ527">
        <v>1.7614833617077283</v>
      </c>
      <c r="GA527">
        <v>13.875789003081911</v>
      </c>
      <c r="GB527">
        <v>6.9824328615053002</v>
      </c>
      <c r="GC527">
        <v>1.4003717251190004</v>
      </c>
      <c r="GD527">
        <v>2.6953557100673611</v>
      </c>
      <c r="GE527">
        <v>3.2816552658058735</v>
      </c>
      <c r="GF527">
        <v>0</v>
      </c>
      <c r="GG527">
        <v>6.8230040192573682</v>
      </c>
      <c r="GH527">
        <v>9.653451764873914</v>
      </c>
      <c r="GI527">
        <v>5.1902518623680072</v>
      </c>
      <c r="GJ527"/>
      <c r="GK527"/>
      <c r="GL527"/>
      <c r="GM527"/>
      <c r="GN527" s="208"/>
      <c r="GO527" s="208"/>
      <c r="GP527" s="208"/>
      <c r="GQ527" s="208"/>
      <c r="GR527" s="208"/>
      <c r="GS527" s="208"/>
      <c r="GT527" s="208"/>
      <c r="GU527" s="213">
        <v>522</v>
      </c>
    </row>
    <row r="528" spans="1:203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32.661552820477304</v>
      </c>
      <c r="AO528">
        <v>10.148700910571879</v>
      </c>
      <c r="AP528">
        <v>240.02721296996751</v>
      </c>
      <c r="AQ528">
        <v>67.280937199170836</v>
      </c>
      <c r="AR528">
        <v>9.2803630077429204</v>
      </c>
      <c r="AS528">
        <v>104.55099360390867</v>
      </c>
      <c r="AT528" t="e">
        <v>#DIV/0!</v>
      </c>
      <c r="AU528" t="e">
        <v>#DIV/0!</v>
      </c>
      <c r="AV528"/>
      <c r="AW528"/>
      <c r="FY528" s="213">
        <v>523</v>
      </c>
      <c r="FZ528">
        <v>2.7705984438954863</v>
      </c>
      <c r="GA528">
        <v>17.819047451852935</v>
      </c>
      <c r="GB528">
        <v>8.0303419704381191</v>
      </c>
      <c r="GC528">
        <v>2.6788005990024315</v>
      </c>
      <c r="GD528">
        <v>3.7365095912135131</v>
      </c>
      <c r="GE528">
        <v>3.6965812235859268</v>
      </c>
      <c r="GF528">
        <v>0.47734812494006024</v>
      </c>
      <c r="GG528">
        <v>6.9280727222053375</v>
      </c>
      <c r="GH528">
        <v>9.6776719294057649</v>
      </c>
      <c r="GI528">
        <v>6.3469905825229826</v>
      </c>
      <c r="GJ528"/>
      <c r="GK528"/>
      <c r="GL528"/>
      <c r="GM528"/>
      <c r="GN528" s="208"/>
      <c r="GO528" s="208"/>
      <c r="GP528" s="208"/>
      <c r="GQ528" s="208"/>
      <c r="GR528" s="208"/>
      <c r="GS528" s="208"/>
      <c r="GT528" s="208"/>
      <c r="GU528" s="213">
        <v>523</v>
      </c>
    </row>
    <row r="529" spans="1:203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27.049107142857139</v>
      </c>
      <c r="AO529">
        <v>7.6482154321657756</v>
      </c>
      <c r="AP529">
        <v>118.19210627404954</v>
      </c>
      <c r="AQ529">
        <v>54.116473617189492</v>
      </c>
      <c r="AR529">
        <v>7.0071943910100973</v>
      </c>
      <c r="AS529">
        <v>81.763425002140465</v>
      </c>
      <c r="AT529" t="e">
        <v>#DIV/0!</v>
      </c>
      <c r="AU529" t="e">
        <v>#DIV/0!</v>
      </c>
      <c r="AV529"/>
      <c r="AW529"/>
      <c r="FY529" s="213">
        <v>524</v>
      </c>
      <c r="FZ529">
        <v>1.596276202757001</v>
      </c>
      <c r="GA529">
        <v>15.901289833334646</v>
      </c>
      <c r="GB529">
        <v>7.0182757675259406</v>
      </c>
      <c r="GC529">
        <v>1.4003717251190004</v>
      </c>
      <c r="GD529">
        <v>2.2618095260246149</v>
      </c>
      <c r="GE529">
        <v>2.4035923587023471</v>
      </c>
      <c r="GF529">
        <v>0</v>
      </c>
      <c r="GG529">
        <v>5.3565801900265892</v>
      </c>
      <c r="GH529">
        <v>7.4982181453386314</v>
      </c>
      <c r="GI529">
        <v>4.5767501084432238</v>
      </c>
      <c r="GJ529"/>
      <c r="GK529"/>
      <c r="GL529"/>
      <c r="GM529"/>
      <c r="GN529" s="208"/>
      <c r="GO529" s="208"/>
      <c r="GP529" s="208"/>
      <c r="GQ529" s="208"/>
      <c r="GR529" s="208"/>
      <c r="GS529" s="208"/>
      <c r="GT529" s="208"/>
      <c r="GU529" s="213">
        <v>524</v>
      </c>
    </row>
    <row r="530" spans="1:203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34.966630273145121</v>
      </c>
      <c r="AO530">
        <v>8.6814034059085152</v>
      </c>
      <c r="AP530">
        <v>226.75893248874968</v>
      </c>
      <c r="AQ530">
        <v>56.99449901614777</v>
      </c>
      <c r="AR530">
        <v>7.9464561853216793</v>
      </c>
      <c r="AS530">
        <v>103.62713127658344</v>
      </c>
      <c r="AT530" t="e">
        <v>#DIV/0!</v>
      </c>
      <c r="AU530" t="e">
        <v>#DIV/0!</v>
      </c>
      <c r="AV530"/>
      <c r="AW530"/>
      <c r="FY530" s="213">
        <v>525</v>
      </c>
      <c r="FZ530">
        <v>1.1743222411384853</v>
      </c>
      <c r="GA530">
        <v>22.764643994238547</v>
      </c>
      <c r="GB530">
        <v>11.350242489287441</v>
      </c>
      <c r="GC530">
        <v>1.9265933961643169</v>
      </c>
      <c r="GD530">
        <v>2.6670409485068118</v>
      </c>
      <c r="GE530">
        <v>2.4035923587023471</v>
      </c>
      <c r="GF530">
        <v>0</v>
      </c>
      <c r="GG530">
        <v>3.7271820483019464</v>
      </c>
      <c r="GH530">
        <v>5.0256367439001757</v>
      </c>
      <c r="GI530">
        <v>5.4247705105836621</v>
      </c>
      <c r="GJ530"/>
      <c r="GK530"/>
      <c r="GL530"/>
      <c r="GM530"/>
      <c r="GN530" s="208"/>
      <c r="GO530" s="208"/>
      <c r="GP530" s="208"/>
      <c r="GQ530" s="208"/>
      <c r="GR530" s="208"/>
      <c r="GS530" s="208"/>
      <c r="GT530" s="208"/>
      <c r="GU530" s="213">
        <v>525</v>
      </c>
    </row>
    <row r="531" spans="1:203" s="7" customFormat="1">
      <c r="A531" s="4"/>
      <c r="B531" s="4"/>
      <c r="C531" s="116">
        <f>C4</f>
        <v>39646</v>
      </c>
      <c r="D531" s="101">
        <f>D70</f>
        <v>6.2499999999999991</v>
      </c>
      <c r="E531" s="108">
        <f>E405</f>
        <v>0.3687993746144681</v>
      </c>
      <c r="F531" s="102"/>
      <c r="G531" s="101">
        <f>D531*E531</f>
        <v>2.3049960913404255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41.795566914620707</v>
      </c>
      <c r="AO531">
        <v>11.005590051676224</v>
      </c>
      <c r="AP531">
        <v>279.33992860555844</v>
      </c>
      <c r="AQ531">
        <v>73.419900593055331</v>
      </c>
      <c r="AR531">
        <v>10.005081865160204</v>
      </c>
      <c r="AS531">
        <v>116.73914747184982</v>
      </c>
      <c r="AT531" t="e">
        <v>#DIV/0!</v>
      </c>
      <c r="AU531" t="e">
        <v>#DIV/0!</v>
      </c>
      <c r="AV531"/>
      <c r="AW531"/>
      <c r="FY531" s="213">
        <v>526</v>
      </c>
      <c r="FZ531">
        <v>4.3668746466524873</v>
      </c>
      <c r="GA531">
        <v>19.522754564846878</v>
      </c>
      <c r="GB531">
        <v>7.854261529102522</v>
      </c>
      <c r="GC531">
        <v>2.4024122365467719</v>
      </c>
      <c r="GD531">
        <v>3.9916340393453007</v>
      </c>
      <c r="GE531">
        <v>4.3497321782290959</v>
      </c>
      <c r="GF531">
        <v>0</v>
      </c>
      <c r="GG531">
        <v>1.9984475587149273</v>
      </c>
      <c r="GH531">
        <v>2.7417834741637517</v>
      </c>
      <c r="GI531">
        <v>5.4776677593461747</v>
      </c>
      <c r="GJ531"/>
      <c r="GK531"/>
      <c r="GL531"/>
      <c r="GM531"/>
      <c r="GN531" s="208"/>
      <c r="GO531" s="208"/>
      <c r="GP531" s="208"/>
      <c r="GQ531" s="208"/>
      <c r="GR531" s="208"/>
      <c r="GS531" s="208"/>
      <c r="GT531" s="208"/>
      <c r="GU531" s="213">
        <v>526</v>
      </c>
    </row>
    <row r="532" spans="1:203" s="7" customFormat="1">
      <c r="A532" s="4"/>
      <c r="B532" s="4"/>
      <c r="C532" s="63"/>
      <c r="D532" s="101"/>
      <c r="E532" s="63"/>
      <c r="F532" s="63"/>
      <c r="G532" s="101"/>
      <c r="H532" s="101">
        <f>E533-E531</f>
        <v>9.6328393685079949E-2</v>
      </c>
      <c r="I532" s="101">
        <f>AVERAGE(D531:D533)</f>
        <v>6.2499999999999991</v>
      </c>
      <c r="J532" s="101">
        <f>I532*H532</f>
        <v>0.60205246053174954</v>
      </c>
      <c r="K532" s="61">
        <f>J532/(C533-C531)</f>
        <v>2.2298239278953687E-2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41.302186784906453</v>
      </c>
      <c r="AO532">
        <v>7.5561834848237854</v>
      </c>
      <c r="AP532">
        <v>210.51440559415465</v>
      </c>
      <c r="AQ532">
        <v>46.205826771876495</v>
      </c>
      <c r="AR532">
        <v>6.9778002551949525</v>
      </c>
      <c r="AS532">
        <v>111.58623585235421</v>
      </c>
      <c r="AT532" t="e">
        <v>#DIV/0!</v>
      </c>
      <c r="AU532" t="e">
        <v>#DIV/0!</v>
      </c>
      <c r="AV532"/>
      <c r="AW532"/>
      <c r="FY532" s="213">
        <v>527</v>
      </c>
      <c r="FZ532">
        <v>0.58716112056924263</v>
      </c>
      <c r="GA532">
        <v>11.819155762222612</v>
      </c>
      <c r="GB532">
        <v>5.9411022143615027</v>
      </c>
      <c r="GC532">
        <v>2.1908715284578704</v>
      </c>
      <c r="GD532">
        <v>2.4360592681980209</v>
      </c>
      <c r="GE532">
        <v>1.5255294515988203</v>
      </c>
      <c r="GF532">
        <v>0</v>
      </c>
      <c r="GG532">
        <v>4.6885202187597494</v>
      </c>
      <c r="GH532">
        <v>6.5133075552060884</v>
      </c>
      <c r="GI532">
        <v>4.0831688889512776</v>
      </c>
      <c r="GJ532"/>
      <c r="GK532"/>
      <c r="GL532"/>
      <c r="GM532"/>
      <c r="GN532" s="208"/>
      <c r="GO532" s="208"/>
      <c r="GP532" s="208"/>
      <c r="GQ532" s="208"/>
      <c r="GR532" s="208"/>
      <c r="GS532" s="208"/>
      <c r="GT532" s="208"/>
      <c r="GU532" s="213">
        <v>527</v>
      </c>
    </row>
    <row r="533" spans="1:203" s="7" customFormat="1">
      <c r="A533" s="4"/>
      <c r="B533" s="4"/>
      <c r="C533" s="117">
        <f>C5</f>
        <v>39673</v>
      </c>
      <c r="D533" s="101">
        <f>D71</f>
        <v>6.2499999999999991</v>
      </c>
      <c r="E533" s="108">
        <f>E406</f>
        <v>0.46512776829954805</v>
      </c>
      <c r="F533" s="102"/>
      <c r="G533" s="101">
        <f>D533*E533</f>
        <v>2.9070485518721747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41.174107142857139</v>
      </c>
      <c r="AO533">
        <v>9.9803349687422092</v>
      </c>
      <c r="AP533">
        <v>292.0851183491439</v>
      </c>
      <c r="AQ533">
        <v>59.943780432167372</v>
      </c>
      <c r="AR533">
        <v>9.2358456023438258</v>
      </c>
      <c r="AS533">
        <v>128.76190925121657</v>
      </c>
      <c r="AT533" t="e">
        <v>#DIV/0!</v>
      </c>
      <c r="AU533" t="e">
        <v>#DIV/0!</v>
      </c>
      <c r="AV533"/>
      <c r="AW533"/>
      <c r="FY533" s="213">
        <v>528</v>
      </c>
      <c r="FZ533">
        <v>2.1834373233262436</v>
      </c>
      <c r="GA533">
        <v>12.697406856427559</v>
      </c>
      <c r="GB533">
        <v>5.4821485876943159</v>
      </c>
      <c r="GC533">
        <v>2.5756603441349175</v>
      </c>
      <c r="GD533">
        <v>3.5320303169921052</v>
      </c>
      <c r="GE533">
        <v>3.4424417513010317</v>
      </c>
      <c r="GF533">
        <v>0.47734812494006024</v>
      </c>
      <c r="GG533">
        <v>4.3952420195687862</v>
      </c>
      <c r="GH533">
        <v>6.0105473340327205</v>
      </c>
      <c r="GI533">
        <v>4.8900977633282139</v>
      </c>
      <c r="GJ533"/>
      <c r="GK533"/>
      <c r="GL533"/>
      <c r="GM533"/>
      <c r="GN533" s="208"/>
      <c r="GO533" s="208"/>
      <c r="GP533" s="208"/>
      <c r="GQ533" s="208"/>
      <c r="GR533" s="208"/>
      <c r="GS533" s="208"/>
      <c r="GT533" s="208"/>
      <c r="GU533" s="213">
        <v>528</v>
      </c>
    </row>
    <row r="534" spans="1:203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-0.1113979100580289</v>
      </c>
      <c r="I534" s="101">
        <f>AVERAGE(D533:D535)</f>
        <v>45.833333333333329</v>
      </c>
      <c r="J534" s="101">
        <f>I534*H534</f>
        <v>-5.105737544326324</v>
      </c>
      <c r="K534" s="61">
        <f>J534/(C535-C533)</f>
        <v>-0.12453018400795912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22.996374249048738</v>
      </c>
      <c r="AO534">
        <v>4.5978490484947034</v>
      </c>
      <c r="AP534">
        <v>100.88469131872003</v>
      </c>
      <c r="AQ534">
        <v>33.235741053036733</v>
      </c>
      <c r="AR534">
        <v>4.1798627713588203</v>
      </c>
      <c r="AS534">
        <v>59.318182559326054</v>
      </c>
      <c r="AT534" t="e">
        <v>#DIV/0!</v>
      </c>
      <c r="AU534" t="e">
        <v>#DIV/0!</v>
      </c>
      <c r="AV534"/>
      <c r="AW534"/>
      <c r="FY534" s="213">
        <v>529</v>
      </c>
      <c r="FZ534">
        <v>2.1834373233262436</v>
      </c>
      <c r="GA534">
        <v>17.205018604915033</v>
      </c>
      <c r="GB534">
        <v>7.5371441808847406</v>
      </c>
      <c r="GC534">
        <v>1.0155829094419531</v>
      </c>
      <c r="GD534">
        <v>1.9657689443762667</v>
      </c>
      <c r="GE534">
        <v>2.9889583082168647</v>
      </c>
      <c r="GF534">
        <v>0.95469624988012047</v>
      </c>
      <c r="GG534">
        <v>6.9297427758914143</v>
      </c>
      <c r="GH534">
        <v>9.7940341873980685</v>
      </c>
      <c r="GI534">
        <v>5.2398313675679375</v>
      </c>
      <c r="GJ534"/>
      <c r="GK534"/>
      <c r="GL534"/>
      <c r="GM534"/>
      <c r="GN534" s="208"/>
      <c r="GO534" s="208"/>
      <c r="GP534" s="208"/>
      <c r="GQ534" s="208"/>
      <c r="GR534" s="208"/>
      <c r="GS534" s="208"/>
      <c r="GT534" s="208"/>
      <c r="GU534" s="213">
        <v>529</v>
      </c>
    </row>
    <row r="535" spans="1:203" s="7" customFormat="1">
      <c r="A535" s="4"/>
      <c r="B535" s="4"/>
      <c r="C535" s="117">
        <f>C6</f>
        <v>39714</v>
      </c>
      <c r="D535" s="101">
        <f>D72</f>
        <v>85.416666666666657</v>
      </c>
      <c r="E535" s="108">
        <f>E407</f>
        <v>0.35372985824151915</v>
      </c>
      <c r="F535" s="102"/>
      <c r="G535" s="101">
        <f>D535*E535</f>
        <v>30.214425391463092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28.838636153810643</v>
      </c>
      <c r="AO535">
        <v>5.6839729227196418</v>
      </c>
      <c r="AP535">
        <v>265.95191719057664</v>
      </c>
      <c r="AQ535">
        <v>40.934293837905976</v>
      </c>
      <c r="AR535">
        <v>5.2757906532820966</v>
      </c>
      <c r="AS535">
        <v>77.005856935016837</v>
      </c>
      <c r="AT535" t="e">
        <v>#DIV/0!</v>
      </c>
      <c r="AU535" t="e">
        <v>#DIV/0!</v>
      </c>
      <c r="AV535"/>
      <c r="AW535"/>
      <c r="FY535" s="213">
        <v>530</v>
      </c>
      <c r="FZ535">
        <v>0</v>
      </c>
      <c r="GA535">
        <v>23.818508566281608</v>
      </c>
      <c r="GB535">
        <v>11.658722900923163</v>
      </c>
      <c r="GC535">
        <v>0.61725169575072358</v>
      </c>
      <c r="GD535">
        <v>0.63385346452660174</v>
      </c>
      <c r="GE535">
        <v>0.90727644409631325</v>
      </c>
      <c r="GF535">
        <v>0.95469624988012047</v>
      </c>
      <c r="GG535">
        <v>4.8262265142285186</v>
      </c>
      <c r="GH535">
        <v>7.0280305487024703</v>
      </c>
      <c r="GI535">
        <v>4.7269088972045186</v>
      </c>
      <c r="GJ535"/>
      <c r="GK535"/>
      <c r="GL535"/>
      <c r="GM535"/>
      <c r="GN535" s="208"/>
      <c r="GO535" s="208"/>
      <c r="GP535" s="208"/>
      <c r="GQ535" s="208"/>
      <c r="GR535" s="208"/>
      <c r="GS535" s="208"/>
      <c r="GT535" s="208"/>
      <c r="GU535" s="213">
        <v>530</v>
      </c>
    </row>
    <row r="536" spans="1:203" s="7" customFormat="1">
      <c r="A536" s="4"/>
      <c r="B536" s="4"/>
      <c r="C536" s="63"/>
      <c r="D536" s="101"/>
      <c r="E536" s="63"/>
      <c r="F536" s="63"/>
      <c r="G536" s="101"/>
      <c r="H536" s="101" t="e">
        <f>E537-E535</f>
        <v>#DIV/0!</v>
      </c>
      <c r="I536" s="101">
        <f>AVERAGE(D535:D537)</f>
        <v>42.708333333333329</v>
      </c>
      <c r="J536" s="101" t="e">
        <f>I536*H536</f>
        <v>#DIV/0!</v>
      </c>
      <c r="K536" s="61" t="e">
        <f>J536/(C537-C535)</f>
        <v>#DIV/0!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39.067153260002229</v>
      </c>
      <c r="AO536">
        <v>6.9802200483651848</v>
      </c>
      <c r="AP536">
        <v>125.1372181865586</v>
      </c>
      <c r="AQ536">
        <v>45.97205231258711</v>
      </c>
      <c r="AR536">
        <v>6.4541971311416813</v>
      </c>
      <c r="AS536">
        <v>91.575719549471629</v>
      </c>
      <c r="AT536" t="e">
        <v>#DIV/0!</v>
      </c>
      <c r="AU536" t="e">
        <v>#DIV/0!</v>
      </c>
      <c r="AV536"/>
      <c r="AW536"/>
      <c r="FY536" s="213">
        <v>531</v>
      </c>
      <c r="FZ536">
        <v>2.7705984438954863</v>
      </c>
      <c r="GA536">
        <v>20.946526646158269</v>
      </c>
      <c r="GB536">
        <v>9.6160848597435642</v>
      </c>
      <c r="GC536">
        <v>1.1496359908396288</v>
      </c>
      <c r="GD536">
        <v>1.0769128086246702</v>
      </c>
      <c r="GE536">
        <v>0.38968151687869679</v>
      </c>
      <c r="GF536">
        <v>0</v>
      </c>
      <c r="GG536">
        <v>2.1849870012718453</v>
      </c>
      <c r="GH536">
        <v>3.1039612728129642</v>
      </c>
      <c r="GI536">
        <v>3.9284698678259979</v>
      </c>
      <c r="GJ536"/>
      <c r="GK536"/>
      <c r="GL536"/>
      <c r="GM536"/>
      <c r="GN536" s="208"/>
      <c r="GO536" s="208"/>
      <c r="GP536" s="208"/>
      <c r="GQ536" s="208"/>
      <c r="GR536" s="208"/>
      <c r="GS536" s="208"/>
      <c r="GT536" s="208"/>
      <c r="GU536" s="213">
        <v>531</v>
      </c>
    </row>
    <row r="537" spans="1:203" s="7" customFormat="1">
      <c r="A537" s="4"/>
      <c r="B537" s="4"/>
      <c r="C537" s="117">
        <f>C7</f>
        <v>39747</v>
      </c>
      <c r="D537" s="101">
        <f>D73</f>
        <v>0</v>
      </c>
      <c r="E537" s="108" t="e">
        <f>E408</f>
        <v>#DIV/0!</v>
      </c>
      <c r="F537" s="102"/>
      <c r="G537" s="101" t="e">
        <f>D537*E537</f>
        <v>#DIV/0!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27.781438974287955</v>
      </c>
      <c r="AO537">
        <v>7.0570356063537147</v>
      </c>
      <c r="AP537">
        <v>152.48908056534387</v>
      </c>
      <c r="AQ537">
        <v>48.895641839530001</v>
      </c>
      <c r="AR537">
        <v>6.4697581857264064</v>
      </c>
      <c r="AS537">
        <v>88.671603201446729</v>
      </c>
      <c r="AT537" t="e">
        <v>#DIV/0!</v>
      </c>
      <c r="AU537" t="e">
        <v>#DIV/0!</v>
      </c>
      <c r="AV537"/>
      <c r="AW537"/>
      <c r="FY537" s="213">
        <v>532</v>
      </c>
      <c r="FZ537">
        <v>2.1834373233262436</v>
      </c>
      <c r="GA537">
        <v>14.888746680786964</v>
      </c>
      <c r="GB537">
        <v>6.4570493838587586</v>
      </c>
      <c r="GC537">
        <v>0.83495502788321374</v>
      </c>
      <c r="GD537">
        <v>2.352533238346374</v>
      </c>
      <c r="GE537">
        <v>3.7643522458828276</v>
      </c>
      <c r="GF537">
        <v>0.47734812494006024</v>
      </c>
      <c r="GG537">
        <v>3.010288929946956</v>
      </c>
      <c r="GH537">
        <v>4.1932713486148003</v>
      </c>
      <c r="GI537">
        <v>4.2083522102202551</v>
      </c>
      <c r="GJ537"/>
      <c r="GK537"/>
      <c r="GL537"/>
      <c r="GM537"/>
      <c r="GN537" s="208"/>
      <c r="GO537" s="208"/>
      <c r="GP537" s="208"/>
      <c r="GQ537" s="208"/>
      <c r="GR537" s="208"/>
      <c r="GS537" s="208"/>
      <c r="GT537" s="208"/>
      <c r="GU537" s="213">
        <v>532</v>
      </c>
    </row>
    <row r="538" spans="1:203" s="7" customFormat="1">
      <c r="A538" s="4"/>
      <c r="B538" s="4"/>
      <c r="C538" s="63"/>
      <c r="D538" s="101"/>
      <c r="E538" s="63"/>
      <c r="F538" s="63"/>
      <c r="G538" s="101"/>
      <c r="H538" s="101" t="e">
        <f>E539-E537</f>
        <v>#DIV/0!</v>
      </c>
      <c r="I538" s="101">
        <f>AVERAGE(D537:D539)</f>
        <v>55.952380952380949</v>
      </c>
      <c r="J538" s="101" t="e">
        <f>I538*H538</f>
        <v>#DIV/0!</v>
      </c>
      <c r="K538" s="61" t="e">
        <f>J538/(C539-C537)</f>
        <v>#DIV/0!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31.654026821572007</v>
      </c>
      <c r="AO538">
        <v>8.0077204533006334</v>
      </c>
      <c r="AP538">
        <v>382.94544123977983</v>
      </c>
      <c r="AQ538">
        <v>51.663795573786466</v>
      </c>
      <c r="AR538">
        <v>7.4425596792151198</v>
      </c>
      <c r="AS538">
        <v>86.21061017531288</v>
      </c>
      <c r="AT538" t="e">
        <v>#DIV/0!</v>
      </c>
      <c r="AU538" t="e">
        <v>#DIV/0!</v>
      </c>
      <c r="AV538"/>
      <c r="AW538"/>
      <c r="FY538" s="213">
        <v>533</v>
      </c>
      <c r="FZ538">
        <v>0</v>
      </c>
      <c r="GA538">
        <v>18.814511503589497</v>
      </c>
      <c r="GB538">
        <v>9.3479673411244768</v>
      </c>
      <c r="GC538">
        <v>0.38005835948553379</v>
      </c>
      <c r="GD538">
        <v>2.0360243595694523</v>
      </c>
      <c r="GE538">
        <v>3.8321232681797293</v>
      </c>
      <c r="GF538">
        <v>0.47734812494006024</v>
      </c>
      <c r="GG538">
        <v>2.6102719741219484</v>
      </c>
      <c r="GH538">
        <v>3.5499287049172779</v>
      </c>
      <c r="GI538">
        <v>4.323306214168146</v>
      </c>
      <c r="GJ538"/>
      <c r="GK538"/>
      <c r="GL538"/>
      <c r="GM538"/>
      <c r="GN538" s="208"/>
      <c r="GO538" s="208"/>
      <c r="GP538" s="208"/>
      <c r="GQ538" s="208"/>
      <c r="GR538" s="208"/>
      <c r="GS538" s="208"/>
      <c r="GT538" s="208"/>
      <c r="GU538" s="213">
        <v>533</v>
      </c>
    </row>
    <row r="539" spans="1:203" s="7" customFormat="1">
      <c r="A539" s="4"/>
      <c r="B539" s="4"/>
      <c r="C539" s="117">
        <f>C8</f>
        <v>39775</v>
      </c>
      <c r="D539" s="101">
        <f>D74</f>
        <v>111.9047619047619</v>
      </c>
      <c r="E539" s="108">
        <f>E409</f>
        <v>6.877845557290474E-2</v>
      </c>
      <c r="F539" s="102"/>
      <c r="G539" s="101">
        <f>D539*E539</f>
        <v>7.6966366950631491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39.906249999999993</v>
      </c>
      <c r="AO539">
        <v>9.8028344535591554</v>
      </c>
      <c r="AP539">
        <v>293.85498986768016</v>
      </c>
      <c r="AQ539">
        <v>62.161962639062558</v>
      </c>
      <c r="AR539">
        <v>9.0202102267725639</v>
      </c>
      <c r="AS539">
        <v>108.1533892816277</v>
      </c>
      <c r="AT539" t="e">
        <v>#DIV/0!</v>
      </c>
      <c r="AU539" t="e">
        <v>#DIV/0!</v>
      </c>
      <c r="AV539"/>
      <c r="AW539"/>
      <c r="FY539" s="213">
        <v>534</v>
      </c>
      <c r="FZ539">
        <v>0.58716112056924263</v>
      </c>
      <c r="GA539">
        <v>16.645758505523617</v>
      </c>
      <c r="GB539">
        <v>8.3416802284341003</v>
      </c>
      <c r="GC539">
        <v>0.71301217664764449</v>
      </c>
      <c r="GD539">
        <v>2.1577152561931046</v>
      </c>
      <c r="GE539">
        <v>3.5646847343238264</v>
      </c>
      <c r="GF539">
        <v>0.47734812494006024</v>
      </c>
      <c r="GG539">
        <v>1.7866400991329137</v>
      </c>
      <c r="GH539">
        <v>2.5769808871077484</v>
      </c>
      <c r="GI539">
        <v>4.1231534943503094</v>
      </c>
      <c r="GJ539"/>
      <c r="GK539"/>
      <c r="GL539"/>
      <c r="GM539"/>
      <c r="GN539" s="208"/>
      <c r="GO539" s="208"/>
      <c r="GP539" s="208"/>
      <c r="GQ539" s="208"/>
      <c r="GR539" s="208"/>
      <c r="GS539" s="208"/>
      <c r="GT539" s="208"/>
      <c r="GU539" s="213">
        <v>534</v>
      </c>
    </row>
    <row r="540" spans="1:203" s="7" customFormat="1">
      <c r="A540" s="4"/>
      <c r="B540" s="4"/>
      <c r="C540" s="63"/>
      <c r="D540" s="101"/>
      <c r="E540" s="63"/>
      <c r="F540" s="63"/>
      <c r="G540" s="101"/>
      <c r="H540" s="101">
        <f>E541-E539</f>
        <v>0.30002091904156336</v>
      </c>
      <c r="I540" s="101">
        <f>AVERAGE(D539:D541)</f>
        <v>63.764880952380949</v>
      </c>
      <c r="J540" s="101">
        <f>I540*H540</f>
        <v>19.13079818590921</v>
      </c>
      <c r="K540" s="61">
        <f>J540/(C541-C539)</f>
        <v>0.79711659107955046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28.561029833620193</v>
      </c>
      <c r="AO540">
        <v>7.1869794700942817</v>
      </c>
      <c r="AP540">
        <v>204.00703941394482</v>
      </c>
      <c r="AQ540">
        <v>48.013163857271998</v>
      </c>
      <c r="AR540">
        <v>6.5336177000857107</v>
      </c>
      <c r="AS540">
        <v>74.855882590866386</v>
      </c>
      <c r="AT540" t="e">
        <v>#DIV/0!</v>
      </c>
      <c r="AU540" t="e">
        <v>#DIV/0!</v>
      </c>
      <c r="AV540"/>
      <c r="AW540"/>
      <c r="FY540" s="213">
        <v>535</v>
      </c>
      <c r="FZ540">
        <v>3.7797135260832437</v>
      </c>
      <c r="GA540">
        <v>18.145424733110005</v>
      </c>
      <c r="GB540">
        <v>7.2513497516916097</v>
      </c>
      <c r="GC540">
        <v>2.7562882256936567</v>
      </c>
      <c r="GD540">
        <v>3.77125118906112</v>
      </c>
      <c r="GE540">
        <v>3.3494262881027748</v>
      </c>
      <c r="GF540">
        <v>0</v>
      </c>
      <c r="GG540">
        <v>3.22209638952897</v>
      </c>
      <c r="GH540">
        <v>4.3580739356708049</v>
      </c>
      <c r="GI540">
        <v>5.2847195275253922</v>
      </c>
      <c r="GJ540"/>
      <c r="GK540"/>
      <c r="GL540"/>
      <c r="GM540"/>
      <c r="GN540" s="208"/>
      <c r="GO540" s="208"/>
      <c r="GP540" s="208"/>
      <c r="GQ540" s="208"/>
      <c r="GR540" s="208"/>
      <c r="GS540" s="208"/>
      <c r="GT540" s="208"/>
      <c r="GU540" s="213">
        <v>535</v>
      </c>
    </row>
    <row r="541" spans="1:203" s="7" customFormat="1">
      <c r="A541" s="4"/>
      <c r="B541" s="4"/>
      <c r="C541" s="117">
        <f>C9</f>
        <v>39799</v>
      </c>
      <c r="D541" s="101">
        <f>D75</f>
        <v>15.624999999999996</v>
      </c>
      <c r="E541" s="108">
        <f>E410</f>
        <v>0.3687993746144681</v>
      </c>
      <c r="F541" s="102"/>
      <c r="G541" s="101">
        <f>D541*E541</f>
        <v>5.7624902283510631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41.899819104002212</v>
      </c>
      <c r="AO541">
        <v>8.2274791315791855</v>
      </c>
      <c r="AP541">
        <v>404.55209924407984</v>
      </c>
      <c r="AQ541">
        <v>56.464024730823731</v>
      </c>
      <c r="AR541">
        <v>7.5880690249725911</v>
      </c>
      <c r="AS541">
        <v>104.76229658250541</v>
      </c>
      <c r="AT541" t="e">
        <v>#DIV/0!</v>
      </c>
      <c r="AU541" t="e">
        <v>#DIV/0!</v>
      </c>
      <c r="AV541"/>
      <c r="AW541"/>
      <c r="FY541" s="213">
        <v>536</v>
      </c>
      <c r="FZ541">
        <v>3.3577595644647293</v>
      </c>
      <c r="GA541">
        <v>21.177737921857609</v>
      </c>
      <c r="GB541">
        <v>9.5080330125217678</v>
      </c>
      <c r="GC541">
        <v>0.68735954847135594</v>
      </c>
      <c r="GD541">
        <v>1.8142577524862853</v>
      </c>
      <c r="GE541">
        <v>2.6032598702613483</v>
      </c>
      <c r="GF541">
        <v>0</v>
      </c>
      <c r="GG541">
        <v>5.1431026767584997</v>
      </c>
      <c r="GH541">
        <v>7.2170533002903205</v>
      </c>
      <c r="GI541">
        <v>5.1431946145293024</v>
      </c>
      <c r="GJ541"/>
      <c r="GK541"/>
      <c r="GL541"/>
      <c r="GM541"/>
      <c r="GN541" s="208"/>
      <c r="GO541" s="208"/>
      <c r="GP541" s="208"/>
      <c r="GQ541" s="208"/>
      <c r="GR541" s="208"/>
      <c r="GS541" s="208"/>
      <c r="GT541" s="208"/>
      <c r="GU541" s="213">
        <v>536</v>
      </c>
    </row>
    <row r="542" spans="1:203" s="7" customFormat="1">
      <c r="A542" s="4"/>
      <c r="B542" s="4"/>
      <c r="C542" s="63"/>
      <c r="D542" s="101"/>
      <c r="E542" s="63"/>
      <c r="F542" s="63"/>
      <c r="G542" s="101"/>
      <c r="H542" s="101">
        <f>E543-E541</f>
        <v>1.0027380285223439</v>
      </c>
      <c r="I542" s="101">
        <f>AVERAGE(D541:D543)</f>
        <v>8.8541666666666643</v>
      </c>
      <c r="J542" s="101">
        <f>I542*H542</f>
        <v>8.8784096275415845</v>
      </c>
      <c r="K542" s="61">
        <f>J542/(C543-C541)</f>
        <v>0.18496686724044967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42.686029833620196</v>
      </c>
      <c r="AO542">
        <v>8.332123016289076</v>
      </c>
      <c r="AP542">
        <v>141.6439854107544</v>
      </c>
      <c r="AQ542">
        <v>52.705567986947912</v>
      </c>
      <c r="AR542">
        <v>7.6831998292543107</v>
      </c>
      <c r="AS542">
        <v>103.92275012782488</v>
      </c>
      <c r="AT542" t="e">
        <v>#DIV/0!</v>
      </c>
      <c r="AU542" t="e">
        <v>#DIV/0!</v>
      </c>
      <c r="AV542"/>
      <c r="AW542"/>
      <c r="FY542" s="213">
        <v>537</v>
      </c>
      <c r="FZ542">
        <v>0</v>
      </c>
      <c r="GA542">
        <v>22.069725520108765</v>
      </c>
      <c r="GB542">
        <v>10.905245157765529</v>
      </c>
      <c r="GC542">
        <v>0.15497525338245066</v>
      </c>
      <c r="GD542">
        <v>1.8628597725478264</v>
      </c>
      <c r="GE542">
        <v>3.8321232681797293</v>
      </c>
      <c r="GF542">
        <v>0.47734812494006024</v>
      </c>
      <c r="GG542">
        <v>4.5817814621257051</v>
      </c>
      <c r="GH542">
        <v>6.3727251326819321</v>
      </c>
      <c r="GI542">
        <v>5.1013058264680584</v>
      </c>
      <c r="GJ542"/>
      <c r="GK542"/>
      <c r="GL542"/>
      <c r="GM542"/>
      <c r="GN542" s="208"/>
      <c r="GO542" s="208"/>
      <c r="GP542" s="208"/>
      <c r="GQ542" s="208"/>
      <c r="GR542" s="208"/>
      <c r="GS542" s="208"/>
      <c r="GT542" s="208"/>
      <c r="GU542" s="213">
        <v>537</v>
      </c>
    </row>
    <row r="543" spans="1:203" s="7" customFormat="1">
      <c r="A543" s="4"/>
      <c r="B543" s="4"/>
      <c r="C543" s="117">
        <f>C10</f>
        <v>39847</v>
      </c>
      <c r="D543" s="101">
        <f>D76</f>
        <v>2.083333333333333</v>
      </c>
      <c r="E543" s="108">
        <f>E411</f>
        <v>1.3715374031368122</v>
      </c>
      <c r="F543" s="102"/>
      <c r="G543" s="101">
        <f>D543*E543</f>
        <v>2.8573695898683584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32.652709771763568</v>
      </c>
      <c r="AO543">
        <v>6.2958343377552621</v>
      </c>
      <c r="AP543">
        <v>318.63407260243287</v>
      </c>
      <c r="AQ543">
        <v>39.784876008325185</v>
      </c>
      <c r="AR543">
        <v>5.777757032455086</v>
      </c>
      <c r="AS543">
        <v>77.325545915803474</v>
      </c>
      <c r="AT543" t="e">
        <v>#DIV/0!</v>
      </c>
      <c r="AU543" t="e">
        <v>#DIV/0!</v>
      </c>
      <c r="AV543"/>
      <c r="AW543"/>
      <c r="FY543" s="213">
        <v>538</v>
      </c>
      <c r="FZ543">
        <v>6.9722659315972457</v>
      </c>
      <c r="GA543">
        <v>28.451690008265537</v>
      </c>
      <c r="GB543">
        <v>10.347675992025831</v>
      </c>
      <c r="GC543">
        <v>0.37267858551494082</v>
      </c>
      <c r="GD543">
        <v>0.51262233146772174</v>
      </c>
      <c r="GE543">
        <v>0.45745253917559825</v>
      </c>
      <c r="GF543">
        <v>0</v>
      </c>
      <c r="GG543">
        <v>4.9817984179507118</v>
      </c>
      <c r="GH543">
        <v>7.0160677763794546</v>
      </c>
      <c r="GI543">
        <v>5.1072645874599143</v>
      </c>
      <c r="GJ543"/>
      <c r="GK543"/>
      <c r="GL543"/>
      <c r="GM543"/>
      <c r="GN543" s="208"/>
      <c r="GO543" s="208"/>
      <c r="GP543" s="208"/>
      <c r="GQ543" s="208"/>
      <c r="GR543" s="208"/>
      <c r="GS543" s="208"/>
      <c r="GT543" s="208"/>
      <c r="GU543" s="213">
        <v>538</v>
      </c>
    </row>
    <row r="544" spans="1:203" s="7" customFormat="1">
      <c r="A544" s="4"/>
      <c r="B544" s="4"/>
      <c r="C544" s="63"/>
      <c r="D544" s="101"/>
      <c r="E544" s="63"/>
      <c r="F544" s="63"/>
      <c r="G544" s="101"/>
      <c r="H544" s="101" t="e">
        <f>E545-E543</f>
        <v>#DIV/0!</v>
      </c>
      <c r="I544" s="101">
        <f>AVERAGE(D543:D545)</f>
        <v>1.0416666666666665</v>
      </c>
      <c r="J544" s="101" t="e">
        <f>I544*H544</f>
        <v>#DIV/0!</v>
      </c>
      <c r="K544" s="61" t="e">
        <f>J544/(C545-C543)</f>
        <v>#DIV/0!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38.200996308715972</v>
      </c>
      <c r="AO544">
        <v>7.4778157791499495</v>
      </c>
      <c r="AP544">
        <v>211.75789471779174</v>
      </c>
      <c r="AQ544">
        <v>45.68636042174596</v>
      </c>
      <c r="AR544">
        <v>6.8522856155411649</v>
      </c>
      <c r="AS544">
        <v>102.52981194643542</v>
      </c>
      <c r="AT544" t="e">
        <v>#DIV/0!</v>
      </c>
      <c r="AU544" t="e">
        <v>#DIV/0!</v>
      </c>
      <c r="AV544"/>
      <c r="AW544"/>
      <c r="FY544" s="213">
        <v>539</v>
      </c>
      <c r="FZ544">
        <v>0.58716112056924263</v>
      </c>
      <c r="GA544">
        <v>10.864598604824057</v>
      </c>
      <c r="GB544">
        <v>5.4573407329574053</v>
      </c>
      <c r="GC544">
        <v>1.9327560202079057</v>
      </c>
      <c r="GD544">
        <v>2.4540892342358482</v>
      </c>
      <c r="GE544">
        <v>1.9594388810977574</v>
      </c>
      <c r="GF544">
        <v>0</v>
      </c>
      <c r="GG544">
        <v>5.7549270921655209</v>
      </c>
      <c r="GH544">
        <v>8.0251985310438485</v>
      </c>
      <c r="GI544">
        <v>4.1616152336998029</v>
      </c>
      <c r="GJ544"/>
      <c r="GK544"/>
      <c r="GL544"/>
      <c r="GM544"/>
      <c r="GN544" s="208"/>
      <c r="GO544" s="208"/>
      <c r="GP544" s="208"/>
      <c r="GQ544" s="208"/>
      <c r="GR544" s="208"/>
      <c r="GS544" s="208"/>
      <c r="GT544" s="208"/>
      <c r="GU544" s="213">
        <v>539</v>
      </c>
    </row>
    <row r="545" spans="1:203" s="7" customFormat="1">
      <c r="A545" s="4"/>
      <c r="B545" s="4"/>
      <c r="C545" s="117">
        <f>C11</f>
        <v>39910</v>
      </c>
      <c r="D545" s="101">
        <f>D77</f>
        <v>0</v>
      </c>
      <c r="E545" s="108" t="e">
        <f>E412</f>
        <v>#DIV/0!</v>
      </c>
      <c r="F545" s="102"/>
      <c r="G545" s="101" t="e">
        <f>D545*E545</f>
        <v>#DIV/0!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25.196446500286861</v>
      </c>
      <c r="AO545">
        <v>8.3454448389044646</v>
      </c>
      <c r="AP545">
        <v>227.5907006017124</v>
      </c>
      <c r="AQ545">
        <v>55.814214851898647</v>
      </c>
      <c r="AR545">
        <v>7.6410393062270892</v>
      </c>
      <c r="AS545">
        <v>90.973692814538396</v>
      </c>
      <c r="AT545" t="e">
        <v>#DIV/0!</v>
      </c>
      <c r="AU545" t="e">
        <v>#DIV/0!</v>
      </c>
      <c r="AV545"/>
      <c r="AW545"/>
      <c r="FY545" s="213">
        <v>540</v>
      </c>
      <c r="FZ545">
        <v>0.58716112056924263</v>
      </c>
      <c r="GA545">
        <v>12.300231237459283</v>
      </c>
      <c r="GB545">
        <v>6.043438368862784</v>
      </c>
      <c r="GC545">
        <v>7.7487626691225331E-2</v>
      </c>
      <c r="GD545">
        <v>2.2033237048525067</v>
      </c>
      <c r="GE545">
        <v>4.3497321782290959</v>
      </c>
      <c r="GF545">
        <v>0</v>
      </c>
      <c r="GG545">
        <v>5.1447727304445756</v>
      </c>
      <c r="GH545">
        <v>7.3334155582826277</v>
      </c>
      <c r="GI545">
        <v>4.2285663427330178</v>
      </c>
      <c r="GJ545"/>
      <c r="GK545"/>
      <c r="GL545"/>
      <c r="GM545"/>
      <c r="GN545" s="208"/>
      <c r="GO545" s="208"/>
      <c r="GP545" s="208"/>
      <c r="GQ545" s="208"/>
      <c r="GR545" s="208"/>
      <c r="GS545" s="208"/>
      <c r="GT545" s="208"/>
      <c r="GU545" s="213">
        <v>540</v>
      </c>
    </row>
    <row r="546" spans="1:203" s="7" customFormat="1">
      <c r="A546" s="4"/>
      <c r="B546" s="4"/>
      <c r="C546" s="63"/>
      <c r="D546" s="101"/>
      <c r="E546" s="63"/>
      <c r="F546" s="63"/>
      <c r="G546" s="101"/>
      <c r="H546" s="101" t="e">
        <f>E547-E545</f>
        <v>#DIV/0!</v>
      </c>
      <c r="I546" s="101">
        <f>AVERAGE(D545:D547)</f>
        <v>7.5490900383141746</v>
      </c>
      <c r="J546" s="101" t="e">
        <f>I546*H546</f>
        <v>#DIV/0!</v>
      </c>
      <c r="K546" s="61" t="e">
        <f>J546/(C547-C545)</f>
        <v>#DIV/0!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19.011169678714857</v>
      </c>
      <c r="AO546">
        <v>7.7125967553535189</v>
      </c>
      <c r="AP546">
        <v>445.74231125090853</v>
      </c>
      <c r="AQ546">
        <v>55.171475281594034</v>
      </c>
      <c r="AR546">
        <v>7.0114515957759256</v>
      </c>
      <c r="AS546">
        <v>90.658890391994134</v>
      </c>
      <c r="AT546" t="e">
        <v>#DIV/0!</v>
      </c>
      <c r="AU546" t="e">
        <v>#DIV/0!</v>
      </c>
      <c r="AV546"/>
      <c r="AW546"/>
      <c r="FY546" s="213">
        <v>541</v>
      </c>
      <c r="FZ546">
        <v>3.7797135260832437</v>
      </c>
      <c r="GA546">
        <v>25.963433770820611</v>
      </c>
      <c r="GB546">
        <v>11.074747137312103</v>
      </c>
      <c r="GC546">
        <v>0.76484717516258116</v>
      </c>
      <c r="GD546">
        <v>2.1730941728045048</v>
      </c>
      <c r="GE546">
        <v>3.2175297988406744</v>
      </c>
      <c r="GF546">
        <v>0</v>
      </c>
      <c r="GG546">
        <v>6.4734902642065872</v>
      </c>
      <c r="GH546">
        <v>8.9739261843215292</v>
      </c>
      <c r="GI546">
        <v>6.1740639307565299</v>
      </c>
      <c r="GJ546"/>
      <c r="GK546"/>
      <c r="GL546"/>
      <c r="GM546"/>
      <c r="GN546" s="208"/>
      <c r="GO546" s="208"/>
      <c r="GP546" s="208"/>
      <c r="GQ546" s="208"/>
      <c r="GR546" s="208"/>
      <c r="GS546" s="208"/>
      <c r="GT546" s="208"/>
      <c r="GU546" s="213">
        <v>541</v>
      </c>
    </row>
    <row r="547" spans="1:203" s="7" customFormat="1">
      <c r="A547" s="4"/>
      <c r="B547" s="4"/>
      <c r="C547" s="117">
        <f>C12</f>
        <v>39949</v>
      </c>
      <c r="D547" s="101">
        <f>D78</f>
        <v>15.098180076628349</v>
      </c>
      <c r="E547" s="108">
        <f>E413</f>
        <v>0.26177039138252495</v>
      </c>
      <c r="F547" s="102"/>
      <c r="G547" s="101">
        <f>D547*E547</f>
        <v>3.9522565078228435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26.605740284619593</v>
      </c>
      <c r="AO547">
        <v>5.9361284073437615</v>
      </c>
      <c r="AP547">
        <v>91.078489508976162</v>
      </c>
      <c r="AQ547">
        <v>45.16685840805112</v>
      </c>
      <c r="AR547">
        <v>5.505022912031297</v>
      </c>
      <c r="AS547">
        <v>70.540583575671292</v>
      </c>
      <c r="AT547" t="e">
        <v>#DIV/0!</v>
      </c>
      <c r="AU547" t="e">
        <v>#DIV/0!</v>
      </c>
      <c r="AV547"/>
      <c r="AW547"/>
      <c r="FY547" s="213">
        <v>542</v>
      </c>
      <c r="FZ547">
        <v>5.3759897288402456</v>
      </c>
      <c r="GA547">
        <v>20.385390594044466</v>
      </c>
      <c r="GB547">
        <v>7.3887294406463084</v>
      </c>
      <c r="GC547">
        <v>1.8883007956635618</v>
      </c>
      <c r="GD547">
        <v>4.2800538825527692</v>
      </c>
      <c r="GE547">
        <v>6.3250855347486308</v>
      </c>
      <c r="GF547">
        <v>0.95469624988012047</v>
      </c>
      <c r="GG547">
        <v>8.7130427676521762</v>
      </c>
      <c r="GH547">
        <v>12.138290558521204</v>
      </c>
      <c r="GI547">
        <v>7.4534082608440073</v>
      </c>
      <c r="GJ547"/>
      <c r="GK547"/>
      <c r="GL547"/>
      <c r="GM547"/>
      <c r="GN547" s="208"/>
      <c r="GO547" s="208"/>
      <c r="GP547" s="208"/>
      <c r="GQ547" s="208"/>
      <c r="GR547" s="208"/>
      <c r="GS547" s="208"/>
      <c r="GT547" s="208"/>
      <c r="GU547" s="213">
        <v>542</v>
      </c>
    </row>
    <row r="548" spans="1:203" s="7" customFormat="1">
      <c r="A548" s="4"/>
      <c r="B548" s="4"/>
      <c r="C548" s="63"/>
      <c r="D548" s="101"/>
      <c r="E548" s="63"/>
      <c r="F548" s="63"/>
      <c r="G548" s="101"/>
      <c r="H548" s="101" t="e">
        <f>E549-E547</f>
        <v>#DIV/0!</v>
      </c>
      <c r="I548" s="101">
        <f>AVERAGE(D547:D549)</f>
        <v>7.5490900383141746</v>
      </c>
      <c r="J548" s="101" t="e">
        <f>I548*H548</f>
        <v>#DIV/0!</v>
      </c>
      <c r="K548" s="61" t="e">
        <f>J548/(C549-C547)</f>
        <v>#DIV/0!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25.931736593335575</v>
      </c>
      <c r="AO548">
        <v>6.5567667528680404</v>
      </c>
      <c r="AP548">
        <v>120.8952446680195</v>
      </c>
      <c r="AQ548">
        <v>42.370334513806455</v>
      </c>
      <c r="AR548">
        <v>6.0149683189212482</v>
      </c>
      <c r="AS548">
        <v>75.220964023225747</v>
      </c>
      <c r="AT548" t="e">
        <v>#DIV/0!</v>
      </c>
      <c r="AU548" t="e">
        <v>#DIV/0!</v>
      </c>
      <c r="AV548"/>
      <c r="AW548"/>
      <c r="FY548" s="213">
        <v>543</v>
      </c>
      <c r="FZ548">
        <v>3.3577595644647293</v>
      </c>
      <c r="GA548">
        <v>14.888746680786966</v>
      </c>
      <c r="GB548">
        <v>6.4570493838587595</v>
      </c>
      <c r="GC548">
        <v>3.288672520782562</v>
      </c>
      <c r="GD548">
        <v>3.188472870433996</v>
      </c>
      <c r="GE548">
        <v>1.9208813957936428</v>
      </c>
      <c r="GF548">
        <v>0.95469624988012047</v>
      </c>
      <c r="GG548">
        <v>1.2236488308140425</v>
      </c>
      <c r="GH548">
        <v>1.6162904615070524</v>
      </c>
      <c r="GI548">
        <v>4.407444585281624</v>
      </c>
      <c r="GJ548"/>
      <c r="GK548"/>
      <c r="GL548"/>
      <c r="GM548"/>
      <c r="GN548" s="208"/>
      <c r="GO548" s="208"/>
      <c r="GP548" s="208"/>
      <c r="GQ548" s="208"/>
      <c r="GR548" s="208"/>
      <c r="GS548" s="208"/>
      <c r="GT548" s="208"/>
      <c r="GU548" s="213">
        <v>543</v>
      </c>
    </row>
    <row r="549" spans="1:203" s="7" customFormat="1">
      <c r="A549" s="4"/>
      <c r="B549" s="4"/>
      <c r="C549" s="117">
        <f>C13</f>
        <v>39987</v>
      </c>
      <c r="D549" s="101">
        <f>D79</f>
        <v>0</v>
      </c>
      <c r="E549" s="108" t="e">
        <f>E414</f>
        <v>#DIV/0!</v>
      </c>
      <c r="F549" s="102"/>
      <c r="G549" s="101" t="e">
        <f>D549*E549</f>
        <v>#DIV/0!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22.659329642049308</v>
      </c>
      <c r="AO549">
        <v>6.7563773230913382</v>
      </c>
      <c r="AP549">
        <v>308.27354938839773</v>
      </c>
      <c r="AQ549">
        <v>45.371539850096127</v>
      </c>
      <c r="AR549">
        <v>6.1421612028103088</v>
      </c>
      <c r="AS549">
        <v>76.670121105105025</v>
      </c>
      <c r="AT549" t="e">
        <v>#DIV/0!</v>
      </c>
      <c r="AU549" t="e">
        <v>#DIV/0!</v>
      </c>
      <c r="AV549"/>
      <c r="AW549"/>
      <c r="FY549" s="213">
        <v>544</v>
      </c>
      <c r="FZ549">
        <v>0</v>
      </c>
      <c r="GA549">
        <v>9.0804163897956141</v>
      </c>
      <c r="GB549">
        <v>4.5950117710107525</v>
      </c>
      <c r="GC549">
        <v>1.8883007956635618</v>
      </c>
      <c r="GD549">
        <v>2.6616992673715343</v>
      </c>
      <c r="GE549">
        <v>2.4580643194282397</v>
      </c>
      <c r="GF549">
        <v>0</v>
      </c>
      <c r="GG549">
        <v>5.6498583892175525</v>
      </c>
      <c r="GH549">
        <v>8.0009783665119993</v>
      </c>
      <c r="GI549">
        <v>4.0973340226036186</v>
      </c>
      <c r="GJ549"/>
      <c r="GK549"/>
      <c r="GL549"/>
      <c r="GM549"/>
      <c r="GN549" s="208"/>
      <c r="GO549" s="208"/>
      <c r="GP549" s="208"/>
      <c r="GQ549" s="208"/>
      <c r="GR549" s="208"/>
      <c r="GS549" s="208"/>
      <c r="GT549" s="208"/>
      <c r="GU549" s="213">
        <v>544</v>
      </c>
    </row>
    <row r="550" spans="1:203" s="7" customFormat="1">
      <c r="A550" s="4"/>
      <c r="B550" s="4"/>
      <c r="C550" s="63"/>
      <c r="D550" s="101"/>
      <c r="E550" s="63"/>
      <c r="F550" s="63"/>
      <c r="G550" s="101"/>
      <c r="H550" s="101" t="e">
        <f>E551-E549</f>
        <v>#DIV/0!</v>
      </c>
      <c r="I550" s="101">
        <f>AVERAGE(D549:D551)</f>
        <v>0</v>
      </c>
      <c r="J550" s="101" t="e">
        <f>I550*H550</f>
        <v>#DIV/0!</v>
      </c>
      <c r="K550" s="61" t="e">
        <f>J550/(C551-C549)</f>
        <v>#DIV/0!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17.47025602409639</v>
      </c>
      <c r="AO550">
        <v>6.4497865057128276</v>
      </c>
      <c r="AP550">
        <v>286.08137482136584</v>
      </c>
      <c r="AQ550">
        <v>40.974134627222575</v>
      </c>
      <c r="AR550">
        <v>5.9177135487801449</v>
      </c>
      <c r="AS550">
        <v>58.049903038493795</v>
      </c>
      <c r="AT550" t="e">
        <v>#DIV/0!</v>
      </c>
      <c r="AU550" t="e">
        <v>#DIV/0!</v>
      </c>
      <c r="AV550"/>
      <c r="AW550"/>
      <c r="FY550" s="213">
        <v>545</v>
      </c>
      <c r="FZ550">
        <v>1.596276202757001</v>
      </c>
      <c r="GA550">
        <v>17.768033217989977</v>
      </c>
      <c r="GB550">
        <v>7.914912289860073</v>
      </c>
      <c r="GC550">
        <v>0.86060765605950218</v>
      </c>
      <c r="GD550">
        <v>0.85417141892418202</v>
      </c>
      <c r="GE550">
        <v>0.38968151687869679</v>
      </c>
      <c r="GF550">
        <v>0</v>
      </c>
      <c r="GG550">
        <v>2.5035332174879037</v>
      </c>
      <c r="GH550">
        <v>3.4093462823931233</v>
      </c>
      <c r="GI550">
        <v>3.270894424760511</v>
      </c>
      <c r="GJ550"/>
      <c r="GK550"/>
      <c r="GL550"/>
      <c r="GM550"/>
      <c r="GN550" s="208"/>
      <c r="GO550" s="208"/>
      <c r="GP550" s="208"/>
      <c r="GQ550" s="208"/>
      <c r="GR550" s="208"/>
      <c r="GS550" s="208"/>
      <c r="GT550" s="208"/>
      <c r="GU550" s="213">
        <v>545</v>
      </c>
    </row>
    <row r="551" spans="1:203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46.687688974287958</v>
      </c>
      <c r="AO551">
        <v>7.9961972655583393</v>
      </c>
      <c r="AP551">
        <v>165.48347789860458</v>
      </c>
      <c r="AQ551">
        <v>51.91834356646757</v>
      </c>
      <c r="AR551">
        <v>7.3235415122760656</v>
      </c>
      <c r="AS551">
        <v>115.85999882979138</v>
      </c>
      <c r="AT551" t="e">
        <v>#DIV/0!</v>
      </c>
      <c r="AU551" t="e">
        <v>#DIV/0!</v>
      </c>
      <c r="AV551"/>
      <c r="AW551"/>
      <c r="FY551" s="213">
        <v>546</v>
      </c>
      <c r="FZ551">
        <v>3.7797135260832437</v>
      </c>
      <c r="GA551">
        <v>16.046420562108935</v>
      </c>
      <c r="GB551">
        <v>6.1391326640737534</v>
      </c>
      <c r="GC551">
        <v>1.3673393229721194</v>
      </c>
      <c r="GD551">
        <v>2.3957400857583724</v>
      </c>
      <c r="GE551">
        <v>3.0181858280414011</v>
      </c>
      <c r="GF551">
        <v>0.47734812494006024</v>
      </c>
      <c r="GG551">
        <v>6.4734902642065872</v>
      </c>
      <c r="GH551">
        <v>8.9739261843215292</v>
      </c>
      <c r="GI551">
        <v>5.0879058422445844</v>
      </c>
      <c r="GJ551"/>
      <c r="GK551"/>
      <c r="GL551"/>
      <c r="GM551"/>
      <c r="GN551" s="208"/>
      <c r="GO551" s="208"/>
      <c r="GP551" s="208"/>
      <c r="GQ551" s="208"/>
      <c r="GR551" s="208"/>
      <c r="GS551" s="208"/>
      <c r="GT551" s="208"/>
      <c r="GU551" s="213">
        <v>546</v>
      </c>
    </row>
    <row r="552" spans="1:203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29.142857142857146</v>
      </c>
      <c r="AO552">
        <v>7.9329647604262066</v>
      </c>
      <c r="AP552">
        <v>154.3769085804783</v>
      </c>
      <c r="AQ552">
        <v>56.651758261641213</v>
      </c>
      <c r="AR552">
        <v>7.3745999584201849</v>
      </c>
      <c r="AS552">
        <v>89.721742997342574</v>
      </c>
      <c r="AT552" t="e">
        <v>#DIV/0!</v>
      </c>
      <c r="AU552" t="e">
        <v>#DIV/0!</v>
      </c>
      <c r="AV552"/>
      <c r="AW552"/>
      <c r="FY552" s="213">
        <v>547</v>
      </c>
      <c r="FZ552">
        <v>4.3668746466524873</v>
      </c>
      <c r="GA552">
        <v>15.111647508558633</v>
      </c>
      <c r="GB552">
        <v>5.757643939669653</v>
      </c>
      <c r="GC552">
        <v>0.66786954433865642</v>
      </c>
      <c r="GD552">
        <v>3.0239101834220556</v>
      </c>
      <c r="GE552">
        <v>5.9739475203422989</v>
      </c>
      <c r="GF552">
        <v>1.432044374820181</v>
      </c>
      <c r="GG552">
        <v>5.6498583892175525</v>
      </c>
      <c r="GH552">
        <v>8.0009783665119993</v>
      </c>
      <c r="GI552">
        <v>5.5925938392510686</v>
      </c>
      <c r="GJ552"/>
      <c r="GK552"/>
      <c r="GL552"/>
      <c r="GM552"/>
      <c r="GN552" s="208"/>
      <c r="GO552" s="208"/>
      <c r="GP552" s="208"/>
      <c r="GQ552" s="208"/>
      <c r="GR552" s="208"/>
      <c r="GS552" s="208"/>
      <c r="GT552" s="208"/>
      <c r="GU552" s="213">
        <v>547</v>
      </c>
    </row>
    <row r="553" spans="1:203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22.571599616858236</v>
      </c>
      <c r="AO553">
        <v>8.0956008102378227</v>
      </c>
      <c r="AP553">
        <v>390.68075806403283</v>
      </c>
      <c r="AQ553">
        <v>55.358089518200053</v>
      </c>
      <c r="AR553">
        <v>7.3596371002162009</v>
      </c>
      <c r="AS553">
        <v>78.153560512755249</v>
      </c>
      <c r="AT553" t="e">
        <v>#DIV/0!</v>
      </c>
      <c r="AU553" t="e">
        <v>#DIV/0!</v>
      </c>
      <c r="AV553"/>
      <c r="AW553"/>
      <c r="FY553" s="213">
        <v>548</v>
      </c>
      <c r="FZ553">
        <v>0.58716112056924263</v>
      </c>
      <c r="GA553">
        <v>21.336605154678111</v>
      </c>
      <c r="GB553">
        <v>10.485055680980528</v>
      </c>
      <c r="GC553">
        <v>3.1410770413707043</v>
      </c>
      <c r="GD553">
        <v>3.8748527887130924</v>
      </c>
      <c r="GE553">
        <v>3.5451107207385957</v>
      </c>
      <c r="GF553">
        <v>0.95469624988012047</v>
      </c>
      <c r="GG553">
        <v>4.9003276783417631</v>
      </c>
      <c r="GH553">
        <v>6.6781101422620921</v>
      </c>
      <c r="GI553">
        <v>6.3226454445120197</v>
      </c>
      <c r="GJ553"/>
      <c r="GK553"/>
      <c r="GL553"/>
      <c r="GM553"/>
      <c r="GN553" s="208"/>
      <c r="GO553" s="208"/>
      <c r="GP553" s="208"/>
      <c r="GQ553" s="208"/>
      <c r="GR553" s="208"/>
      <c r="GS553" s="208"/>
      <c r="GT553" s="208"/>
      <c r="GU553" s="213">
        <v>548</v>
      </c>
    </row>
    <row r="554" spans="1:203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23.372280377668304</v>
      </c>
      <c r="AO554">
        <v>8.0418147951206649</v>
      </c>
      <c r="AP554">
        <v>128.8908845495117</v>
      </c>
      <c r="AQ554">
        <v>64.21951616983695</v>
      </c>
      <c r="AR554">
        <v>7.3650119936963616</v>
      </c>
      <c r="AS554">
        <v>99.464695017858546</v>
      </c>
      <c r="AT554" t="e">
        <v>#DIV/0!</v>
      </c>
      <c r="AU554" t="e">
        <v>#DIV/0!</v>
      </c>
      <c r="AV554"/>
      <c r="AW554"/>
      <c r="FY554" s="213">
        <v>549</v>
      </c>
      <c r="FZ554">
        <v>1.596276202757001</v>
      </c>
      <c r="GA554">
        <v>16.402149412419565</v>
      </c>
      <c r="GB554">
        <v>7.2228846790272163</v>
      </c>
      <c r="GC554">
        <v>1.5736198327071467</v>
      </c>
      <c r="GD554">
        <v>3.3622197649621954</v>
      </c>
      <c r="GE554">
        <v>4.9483971893146217</v>
      </c>
      <c r="GF554">
        <v>0.95469624988012047</v>
      </c>
      <c r="GG554">
        <v>6.4734902642065872</v>
      </c>
      <c r="GH554">
        <v>8.9739261843215292</v>
      </c>
      <c r="GI554">
        <v>5.7021446703177645</v>
      </c>
      <c r="GJ554"/>
      <c r="GK554"/>
      <c r="GL554"/>
      <c r="GM554"/>
      <c r="GN554" s="208"/>
      <c r="GO554" s="208"/>
      <c r="GP554" s="208"/>
      <c r="GQ554" s="208"/>
      <c r="GR554" s="208"/>
      <c r="GS554" s="208"/>
      <c r="GT554" s="208"/>
      <c r="GU554" s="213">
        <v>549</v>
      </c>
    </row>
    <row r="555" spans="1:203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33.800680760810067</v>
      </c>
      <c r="AO555">
        <v>6.4179642703639761</v>
      </c>
      <c r="AP555">
        <v>324.14853416656825</v>
      </c>
      <c r="AQ555">
        <v>41.197125450801387</v>
      </c>
      <c r="AR555">
        <v>5.8887842439175513</v>
      </c>
      <c r="AS555">
        <v>87.393259815194568</v>
      </c>
      <c r="AT555" t="e">
        <v>#DIV/0!</v>
      </c>
      <c r="AU555" t="e">
        <v>#DIV/0!</v>
      </c>
      <c r="AV555"/>
      <c r="AW555"/>
      <c r="FY555" s="213">
        <v>550</v>
      </c>
      <c r="FZ555">
        <v>0</v>
      </c>
      <c r="GA555">
        <v>19.540976913483213</v>
      </c>
      <c r="GB555">
        <v>9.7118425524558205</v>
      </c>
      <c r="GC555">
        <v>0.23246288007367605</v>
      </c>
      <c r="GD555">
        <v>1.4891531004336613</v>
      </c>
      <c r="GE555">
        <v>2.6577318309872413</v>
      </c>
      <c r="GF555">
        <v>0</v>
      </c>
      <c r="GG555">
        <v>5.1431026767584997</v>
      </c>
      <c r="GH555">
        <v>7.2170533002903205</v>
      </c>
      <c r="GI555">
        <v>4.5503086761761251</v>
      </c>
      <c r="GJ555"/>
      <c r="GK555"/>
      <c r="GL555"/>
      <c r="GM555"/>
      <c r="GN555" s="208"/>
      <c r="GO555" s="208"/>
      <c r="GP555" s="208"/>
      <c r="GQ555" s="208"/>
      <c r="GR555" s="208"/>
      <c r="GS555" s="208"/>
      <c r="GT555" s="208"/>
      <c r="GU555" s="213">
        <v>550</v>
      </c>
    </row>
    <row r="556" spans="1:203" s="7" customFormat="1">
      <c r="A556" s="4"/>
      <c r="B556" s="4"/>
      <c r="C556" s="63"/>
      <c r="D556" s="63"/>
      <c r="E556" s="63" t="s">
        <v>24</v>
      </c>
      <c r="F556" s="18"/>
      <c r="G556" s="123" t="e">
        <f>AVERAGE(G531:G553)</f>
        <v>#DIV/0!</v>
      </c>
      <c r="H556" s="63" t="s">
        <v>103</v>
      </c>
      <c r="I556" s="123" t="e">
        <f>SUM(J532:J552)+G531</f>
        <v>#DIV/0!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18.272339357429715</v>
      </c>
      <c r="AO556">
        <v>6.7654060372886846</v>
      </c>
      <c r="AP556">
        <v>289.32816125245756</v>
      </c>
      <c r="AQ556">
        <v>42.268128868124364</v>
      </c>
      <c r="AR556">
        <v>6.2046403956672886</v>
      </c>
      <c r="AS556">
        <v>64.596278547896532</v>
      </c>
      <c r="AT556" t="e">
        <v>#DIV/0!</v>
      </c>
      <c r="AU556" t="e">
        <v>#DIV/0!</v>
      </c>
      <c r="AV556"/>
      <c r="AW556"/>
      <c r="FY556" s="213">
        <v>551</v>
      </c>
      <c r="FZ556">
        <v>1.596276202757001</v>
      </c>
      <c r="GA556">
        <v>17.481638669586786</v>
      </c>
      <c r="GB556">
        <v>7.8118401612928512</v>
      </c>
      <c r="GC556">
        <v>0.1475954794118578</v>
      </c>
      <c r="GD556">
        <v>0.61403316007554687</v>
      </c>
      <c r="GE556">
        <v>1.0136049516973293</v>
      </c>
      <c r="GF556">
        <v>0</v>
      </c>
      <c r="GG556">
        <v>5.7549270921655209</v>
      </c>
      <c r="GH556">
        <v>8.0251985310438485</v>
      </c>
      <c r="GI556">
        <v>3.8554335119900935</v>
      </c>
      <c r="GJ556"/>
      <c r="GK556"/>
      <c r="GL556"/>
      <c r="GM556"/>
      <c r="GN556" s="208"/>
      <c r="GO556" s="208"/>
      <c r="GP556" s="208"/>
      <c r="GQ556" s="208"/>
      <c r="GR556" s="208"/>
      <c r="GS556" s="208"/>
      <c r="GT556" s="208"/>
      <c r="GU556" s="213">
        <v>551</v>
      </c>
    </row>
    <row r="557" spans="1:203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29.902709771763568</v>
      </c>
      <c r="AO557">
        <v>9.6458986181762292</v>
      </c>
      <c r="AP557">
        <v>183.36677367833985</v>
      </c>
      <c r="AQ557">
        <v>68.594845960308362</v>
      </c>
      <c r="AR557">
        <v>8.8232700146559626</v>
      </c>
      <c r="AS557">
        <v>99.468849201146853</v>
      </c>
      <c r="AT557" t="e">
        <v>#DIV/0!</v>
      </c>
      <c r="AU557" t="e">
        <v>#DIV/0!</v>
      </c>
      <c r="AV557"/>
      <c r="AW557"/>
      <c r="FY557" s="213">
        <v>552</v>
      </c>
      <c r="FZ557">
        <v>1.596276202757001</v>
      </c>
      <c r="GA557">
        <v>22.279814005318354</v>
      </c>
      <c r="GB557">
        <v>10.065602178261466</v>
      </c>
      <c r="GC557">
        <v>0.2951909588237156</v>
      </c>
      <c r="GD557">
        <v>2.2118399960175048</v>
      </c>
      <c r="GE557">
        <v>4.320504658404559</v>
      </c>
      <c r="GF557">
        <v>0.47734812494006024</v>
      </c>
      <c r="GG557">
        <v>6.7667684633975504</v>
      </c>
      <c r="GH557">
        <v>9.4766864054948972</v>
      </c>
      <c r="GI557">
        <v>5.8386854258960428</v>
      </c>
      <c r="GJ557"/>
      <c r="GK557"/>
      <c r="GL557"/>
      <c r="GM557"/>
      <c r="GN557" s="208"/>
      <c r="GO557" s="208"/>
      <c r="GP557" s="208"/>
      <c r="GQ557" s="208"/>
      <c r="GR557" s="208"/>
      <c r="GS557" s="208"/>
      <c r="GT557" s="208"/>
      <c r="GU557" s="213">
        <v>552</v>
      </c>
    </row>
    <row r="558" spans="1:203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40.635416666666671</v>
      </c>
      <c r="AO558">
        <v>11.670652690948105</v>
      </c>
      <c r="AP558">
        <v>322.42971828673257</v>
      </c>
      <c r="AQ558">
        <v>74.90298781339348</v>
      </c>
      <c r="AR558">
        <v>10.663955535357671</v>
      </c>
      <c r="AS558">
        <v>131.97741479944835</v>
      </c>
      <c r="AT558" t="e">
        <v>#DIV/0!</v>
      </c>
      <c r="AU558" t="e">
        <v>#DIV/0!</v>
      </c>
      <c r="AV558"/>
      <c r="AW558"/>
      <c r="FY558" s="213">
        <v>553</v>
      </c>
      <c r="FZ558">
        <v>2.7705984438954863</v>
      </c>
      <c r="GA558">
        <v>15.087279840712108</v>
      </c>
      <c r="GB558">
        <v>6.6462867487724093</v>
      </c>
      <c r="GC558">
        <v>1.0155829094419531</v>
      </c>
      <c r="GD558">
        <v>1.5659164476901961</v>
      </c>
      <c r="GE558">
        <v>2.175020868078537</v>
      </c>
      <c r="GF558">
        <v>0.95469624988012047</v>
      </c>
      <c r="GG558">
        <v>1.5731625858648244</v>
      </c>
      <c r="GH558">
        <v>2.295816042059438</v>
      </c>
      <c r="GI558">
        <v>3.5426399244856812</v>
      </c>
      <c r="GJ558"/>
      <c r="GK558"/>
      <c r="GL558"/>
      <c r="GM558"/>
      <c r="GN558" s="208"/>
      <c r="GO558" s="208"/>
      <c r="GP558" s="208"/>
      <c r="GQ558" s="208"/>
      <c r="GR558" s="208"/>
      <c r="GS558" s="208"/>
      <c r="GT558" s="208"/>
      <c r="GU558" s="213">
        <v>553</v>
      </c>
    </row>
    <row r="559" spans="1:203" s="7" customFormat="1">
      <c r="A559" s="4"/>
      <c r="B559" s="4"/>
      <c r="C559" s="63"/>
      <c r="D559" s="63"/>
      <c r="E559" s="63" t="s">
        <v>102</v>
      </c>
      <c r="F559" s="101" t="e">
        <f>I556/G556</f>
        <v>#DIV/0!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44.724873426382047</v>
      </c>
      <c r="AO559">
        <v>6.5335061895359132</v>
      </c>
      <c r="AP559">
        <v>144.09751482394637</v>
      </c>
      <c r="AQ559">
        <v>41.303662543603494</v>
      </c>
      <c r="AR559">
        <v>6.102364893974463</v>
      </c>
      <c r="AS559">
        <v>113.89371053317875</v>
      </c>
      <c r="AT559" t="e">
        <v>#DIV/0!</v>
      </c>
      <c r="AU559" t="e">
        <v>#DIV/0!</v>
      </c>
      <c r="AV559"/>
      <c r="AW559"/>
      <c r="FY559" s="213">
        <v>554</v>
      </c>
      <c r="FZ559">
        <v>2.7705984438954863</v>
      </c>
      <c r="GA559">
        <v>17.406049261246068</v>
      </c>
      <c r="GB559">
        <v>7.7395678225904145</v>
      </c>
      <c r="GC559">
        <v>2.8263960784142892</v>
      </c>
      <c r="GD559">
        <v>2.7742521229666073</v>
      </c>
      <c r="GE559">
        <v>1.8022839681025511</v>
      </c>
      <c r="GF559">
        <v>0.95469624988012047</v>
      </c>
      <c r="GG559">
        <v>1.7849700454468378</v>
      </c>
      <c r="GH559">
        <v>2.4606186291154417</v>
      </c>
      <c r="GI559">
        <v>4.5430234603470074</v>
      </c>
      <c r="GJ559"/>
      <c r="GK559"/>
      <c r="GL559"/>
      <c r="GM559"/>
      <c r="GN559" s="208"/>
      <c r="GO559" s="208"/>
      <c r="GP559" s="208"/>
      <c r="GQ559" s="208"/>
      <c r="GR559" s="208"/>
      <c r="GS559" s="208"/>
      <c r="GT559" s="208"/>
      <c r="GU559" s="213">
        <v>554</v>
      </c>
    </row>
    <row r="560" spans="1:203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26.515719487143979</v>
      </c>
      <c r="AO560">
        <v>6.5081275754408932</v>
      </c>
      <c r="AP560">
        <v>322.46811347019218</v>
      </c>
      <c r="AQ560">
        <v>38.431663321602869</v>
      </c>
      <c r="AR560">
        <v>5.9164796140371756</v>
      </c>
      <c r="AS560">
        <v>78.640163139498014</v>
      </c>
      <c r="AT560" t="e">
        <v>#DIV/0!</v>
      </c>
      <c r="AU560" t="e">
        <v>#DIV/0!</v>
      </c>
      <c r="AV560"/>
      <c r="AW560"/>
      <c r="FY560" s="213">
        <v>555</v>
      </c>
      <c r="FZ560">
        <v>3.192552405514002</v>
      </c>
      <c r="GA560">
        <v>18.684486203495805</v>
      </c>
      <c r="GB560">
        <v>7.4311508084559783</v>
      </c>
      <c r="GC560">
        <v>1.0930705361331785</v>
      </c>
      <c r="GD560">
        <v>3.0600418923057426</v>
      </c>
      <c r="GE560">
        <v>4.7876107038194631</v>
      </c>
      <c r="GF560">
        <v>0.47734812494006024</v>
      </c>
      <c r="GG560">
        <v>2.9035501733129117</v>
      </c>
      <c r="GH560">
        <v>4.0526889260906458</v>
      </c>
      <c r="GI560">
        <v>4.8614108364550965</v>
      </c>
      <c r="GJ560"/>
      <c r="GK560"/>
      <c r="GL560"/>
      <c r="GM560"/>
      <c r="GN560" s="208"/>
      <c r="GO560" s="208"/>
      <c r="GP560" s="208"/>
      <c r="GQ560" s="208"/>
      <c r="GR560" s="208"/>
      <c r="GS560" s="208"/>
      <c r="GT560" s="208"/>
      <c r="GU560" s="213">
        <v>555</v>
      </c>
    </row>
    <row r="561" spans="1:203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20.148159963334454</v>
      </c>
      <c r="AO561">
        <v>5.0586798447803192</v>
      </c>
      <c r="AP561">
        <v>101.483987968804</v>
      </c>
      <c r="AQ561">
        <v>38.567456227110966</v>
      </c>
      <c r="AR561">
        <v>4.5987998588911978</v>
      </c>
      <c r="AS561">
        <v>55.353481674063133</v>
      </c>
      <c r="AT561" t="e">
        <v>#DIV/0!</v>
      </c>
      <c r="AU561" t="e">
        <v>#DIV/0!</v>
      </c>
      <c r="AV561"/>
      <c r="AW561"/>
      <c r="FY561" s="213">
        <v>556</v>
      </c>
      <c r="FZ561">
        <v>1.7614833617077283</v>
      </c>
      <c r="GA561">
        <v>18.496886825171593</v>
      </c>
      <c r="GB561">
        <v>9.231738288979205</v>
      </c>
      <c r="GC561">
        <v>1.4704795778396331</v>
      </c>
      <c r="GD561">
        <v>1.6314202168066871</v>
      </c>
      <c r="GE561">
        <v>1.0136049516973293</v>
      </c>
      <c r="GF561">
        <v>0</v>
      </c>
      <c r="GG561">
        <v>5.3565801900265892</v>
      </c>
      <c r="GH561">
        <v>7.4982181453386314</v>
      </c>
      <c r="GI561">
        <v>4.7417817315192625</v>
      </c>
      <c r="GJ561"/>
      <c r="GK561"/>
      <c r="GL561"/>
      <c r="GM561"/>
      <c r="GN561" s="208"/>
      <c r="GO561" s="208"/>
      <c r="GP561" s="208"/>
      <c r="GQ561" s="208"/>
      <c r="GR561" s="208"/>
      <c r="GS561" s="208"/>
      <c r="GT561" s="208"/>
      <c r="GU561" s="213">
        <v>556</v>
      </c>
    </row>
    <row r="562" spans="1:203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33.896757390811189</v>
      </c>
      <c r="AO562">
        <v>7.9113000362877912</v>
      </c>
      <c r="AP562">
        <v>212.40539638197703</v>
      </c>
      <c r="AQ562">
        <v>53.759202404750582</v>
      </c>
      <c r="AR562">
        <v>7.2463622129392036</v>
      </c>
      <c r="AS562">
        <v>90.239462516182158</v>
      </c>
      <c r="AT562" t="e">
        <v>#DIV/0!</v>
      </c>
      <c r="AU562" t="e">
        <v>#DIV/0!</v>
      </c>
      <c r="AV562"/>
      <c r="AW562"/>
      <c r="FY562" s="213">
        <v>557</v>
      </c>
      <c r="FZ562">
        <v>2.7705984438954863</v>
      </c>
      <c r="GA562">
        <v>13.786670597326223</v>
      </c>
      <c r="GB562">
        <v>5.8994802181190593</v>
      </c>
      <c r="GC562">
        <v>1.6254548312220838</v>
      </c>
      <c r="GD562">
        <v>2.3008757849403234</v>
      </c>
      <c r="GE562">
        <v>2.1361538248464438</v>
      </c>
      <c r="GF562">
        <v>0</v>
      </c>
      <c r="GG562">
        <v>2.5035332174879037</v>
      </c>
      <c r="GH562">
        <v>3.4093462823931233</v>
      </c>
      <c r="GI562">
        <v>3.8947941267877844</v>
      </c>
      <c r="GJ562"/>
      <c r="GK562"/>
      <c r="GL562"/>
      <c r="GM562"/>
      <c r="GN562" s="208"/>
      <c r="GO562" s="208"/>
      <c r="GP562" s="208"/>
      <c r="GQ562" s="208"/>
      <c r="GR562" s="208"/>
      <c r="GS562" s="208"/>
      <c r="GT562" s="208"/>
      <c r="GU562" s="213">
        <v>557</v>
      </c>
    </row>
    <row r="563" spans="1:203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26.055898058572545</v>
      </c>
      <c r="AO563">
        <v>8.7316775232236505</v>
      </c>
      <c r="AP563">
        <v>201.81282487271045</v>
      </c>
      <c r="AQ563">
        <v>55.577368312784586</v>
      </c>
      <c r="AR563">
        <v>8.0464311991948332</v>
      </c>
      <c r="AS563">
        <v>81.322232993566985</v>
      </c>
      <c r="AT563" t="e">
        <v>#DIV/0!</v>
      </c>
      <c r="AU563" t="e">
        <v>#DIV/0!</v>
      </c>
      <c r="AV563"/>
      <c r="AW563"/>
      <c r="FY563" s="213">
        <v>558</v>
      </c>
      <c r="FZ563">
        <v>3.192552405514002</v>
      </c>
      <c r="GA563">
        <v>12.123043936594303</v>
      </c>
      <c r="GB563">
        <v>4.2011654945958261</v>
      </c>
      <c r="GC563">
        <v>1.3302638723983682</v>
      </c>
      <c r="GD563">
        <v>2.1160641478394213</v>
      </c>
      <c r="GE563">
        <v>2.5062613281399106</v>
      </c>
      <c r="GF563">
        <v>0.47734812494006024</v>
      </c>
      <c r="GG563">
        <v>2.5035332174879037</v>
      </c>
      <c r="GH563">
        <v>3.4093462823931233</v>
      </c>
      <c r="GI563">
        <v>3.3807786624950058</v>
      </c>
      <c r="GJ563"/>
      <c r="GK563"/>
      <c r="GL563"/>
      <c r="GM563"/>
      <c r="GN563" s="208"/>
      <c r="GO563" s="208"/>
      <c r="GP563" s="208"/>
      <c r="GQ563" s="208"/>
      <c r="GR563" s="208"/>
      <c r="GS563" s="208"/>
      <c r="GT563" s="208"/>
      <c r="GU563" s="213">
        <v>558</v>
      </c>
    </row>
    <row r="564" spans="1:203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48.301519295573101</v>
      </c>
      <c r="AO564">
        <v>9.7813324227823344</v>
      </c>
      <c r="AP564">
        <v>486.83396540517481</v>
      </c>
      <c r="AQ564">
        <v>61.825642022046274</v>
      </c>
      <c r="AR564">
        <v>8.9463916552069698</v>
      </c>
      <c r="AS564">
        <v>126.60148712739452</v>
      </c>
      <c r="AT564" t="e">
        <v>#DIV/0!</v>
      </c>
      <c r="AU564" t="e">
        <v>#DIV/0!</v>
      </c>
      <c r="AV564"/>
      <c r="AW564"/>
      <c r="FY564" s="213">
        <v>559</v>
      </c>
      <c r="FZ564">
        <v>0.58716112056924263</v>
      </c>
      <c r="GA564">
        <v>14.713007853786584</v>
      </c>
      <c r="GB564">
        <v>7.0819111696463217</v>
      </c>
      <c r="GC564">
        <v>1.4778593518102259</v>
      </c>
      <c r="GD564">
        <v>2.7549697482223467</v>
      </c>
      <c r="GE564">
        <v>3.2816552658058735</v>
      </c>
      <c r="GF564">
        <v>0</v>
      </c>
      <c r="GG564">
        <v>0.93204068530915563</v>
      </c>
      <c r="GH564">
        <v>1.2298924983259916</v>
      </c>
      <c r="GI564">
        <v>3.7773386291043041</v>
      </c>
      <c r="GJ564"/>
      <c r="GK564"/>
      <c r="GL564"/>
      <c r="GM564"/>
      <c r="GN564" s="208"/>
      <c r="GO564" s="208"/>
      <c r="GP564" s="208"/>
      <c r="GQ564" s="208"/>
      <c r="GR564" s="208"/>
      <c r="GS564" s="208"/>
      <c r="GT564" s="208"/>
      <c r="GU564" s="213">
        <v>559</v>
      </c>
    </row>
    <row r="565" spans="1:203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39.683959771763575</v>
      </c>
      <c r="AO565">
        <v>8.9177487705798804</v>
      </c>
      <c r="AP565">
        <v>249.49861249834703</v>
      </c>
      <c r="AQ565">
        <v>57.209804449913747</v>
      </c>
      <c r="AR565">
        <v>8.1070443368907998</v>
      </c>
      <c r="AS565">
        <v>106.74445763500979</v>
      </c>
      <c r="AT565" t="e">
        <v>#DIV/0!</v>
      </c>
      <c r="AU565" t="e">
        <v>#DIV/0!</v>
      </c>
      <c r="AV565"/>
      <c r="AW565"/>
      <c r="FY565" s="213">
        <v>560</v>
      </c>
      <c r="FZ565">
        <v>4.3668746466524873</v>
      </c>
      <c r="GA565">
        <v>13.629474906940738</v>
      </c>
      <c r="GB565">
        <v>5.0049655680792462</v>
      </c>
      <c r="GC565">
        <v>2.5756603441349175</v>
      </c>
      <c r="GD565">
        <v>3.2239866877795746</v>
      </c>
      <c r="GE565">
        <v>2.8185183164823995</v>
      </c>
      <c r="GF565">
        <v>0.47734812494006024</v>
      </c>
      <c r="GG565">
        <v>6.8230040192573682</v>
      </c>
      <c r="GH565">
        <v>9.653451764873914</v>
      </c>
      <c r="GI565">
        <v>5.5307724947767101</v>
      </c>
      <c r="GJ565"/>
      <c r="GK565"/>
      <c r="GL565"/>
      <c r="GM565"/>
      <c r="GN565" s="208"/>
      <c r="GO565" s="208"/>
      <c r="GP565" s="208"/>
      <c r="GQ565" s="208"/>
      <c r="GR565" s="208"/>
      <c r="GS565" s="208"/>
      <c r="GT565" s="208"/>
      <c r="GU565" s="213">
        <v>560</v>
      </c>
    </row>
    <row r="566" spans="1:203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20.624999999999996</v>
      </c>
      <c r="AO566">
        <v>7.2111847579343289</v>
      </c>
      <c r="AP566">
        <v>365.49374503295212</v>
      </c>
      <c r="AQ566">
        <v>50.542631930658551</v>
      </c>
      <c r="AR566">
        <v>6.555622507213025</v>
      </c>
      <c r="AS566">
        <v>63.402367416292989</v>
      </c>
      <c r="AT566" t="e">
        <v>#DIV/0!</v>
      </c>
      <c r="AU566" t="e">
        <v>#DIV/0!</v>
      </c>
      <c r="AV566"/>
      <c r="AW566"/>
      <c r="FY566" s="213">
        <v>561</v>
      </c>
      <c r="FZ566">
        <v>1.596276202757001</v>
      </c>
      <c r="GA566">
        <v>14.779429646025651</v>
      </c>
      <c r="GB566">
        <v>6.3584338447862461</v>
      </c>
      <c r="GC566">
        <v>1.2527762457071427</v>
      </c>
      <c r="GD566">
        <v>2.3321021858786493</v>
      </c>
      <c r="GE566">
        <v>3.3653407635245527</v>
      </c>
      <c r="GF566">
        <v>0.95469624988012047</v>
      </c>
      <c r="GG566">
        <v>2.3984645145399348</v>
      </c>
      <c r="GH566">
        <v>3.3851261178612746</v>
      </c>
      <c r="GI566">
        <v>4.0666116506314616</v>
      </c>
      <c r="GJ566"/>
      <c r="GK566"/>
      <c r="GL566"/>
      <c r="GM566"/>
      <c r="GN566" s="208"/>
      <c r="GO566" s="208"/>
      <c r="GP566" s="208"/>
      <c r="GQ566" s="208"/>
      <c r="GR566" s="208"/>
      <c r="GS566" s="208"/>
      <c r="GT566" s="208"/>
      <c r="GU566" s="213">
        <v>561</v>
      </c>
    </row>
    <row r="567" spans="1:203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16.949490284619593</v>
      </c>
      <c r="AO567">
        <v>6.0773107719098638</v>
      </c>
      <c r="AP567">
        <v>161.86451088684646</v>
      </c>
      <c r="AQ567">
        <v>46.300547760020834</v>
      </c>
      <c r="AR567">
        <v>5.5248279744635127</v>
      </c>
      <c r="AS567">
        <v>54.843545339185489</v>
      </c>
      <c r="AT567" t="e">
        <v>#DIV/0!</v>
      </c>
      <c r="AU567" t="e">
        <v>#DIV/0!</v>
      </c>
      <c r="AV567"/>
      <c r="AW567"/>
      <c r="FY567" s="213">
        <v>562</v>
      </c>
      <c r="FZ567">
        <v>1.1743222411384853</v>
      </c>
      <c r="GA567">
        <v>14.40340444730125</v>
      </c>
      <c r="GB567">
        <v>7.2513497516916097</v>
      </c>
      <c r="GC567">
        <v>0.68735954847135616</v>
      </c>
      <c r="GD567">
        <v>1.221740800030243</v>
      </c>
      <c r="GE567">
        <v>1.988652418090544</v>
      </c>
      <c r="GF567">
        <v>0.95469624988012047</v>
      </c>
      <c r="GG567">
        <v>8.6584772654784334</v>
      </c>
      <c r="GH567">
        <v>12.077887457134494</v>
      </c>
      <c r="GI567">
        <v>4.84169622309114</v>
      </c>
      <c r="GJ567"/>
      <c r="GK567"/>
      <c r="GL567"/>
      <c r="GM567"/>
      <c r="GN567" s="208"/>
      <c r="GO567" s="208"/>
      <c r="GP567" s="208"/>
      <c r="GQ567" s="208"/>
      <c r="GR567" s="208"/>
      <c r="GS567" s="208"/>
      <c r="GT567" s="208"/>
      <c r="GU567" s="213">
        <v>562</v>
      </c>
    </row>
    <row r="568" spans="1:203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25.591030377668304</v>
      </c>
      <c r="AO568">
        <v>9.3167244489956893</v>
      </c>
      <c r="AP568">
        <v>214.66102434397501</v>
      </c>
      <c r="AQ568">
        <v>63.328716419311142</v>
      </c>
      <c r="AR568">
        <v>8.4697494990869906</v>
      </c>
      <c r="AS568">
        <v>91.40551353588485</v>
      </c>
      <c r="AT568" t="e">
        <v>#DIV/0!</v>
      </c>
      <c r="AU568" t="e">
        <v>#DIV/0!</v>
      </c>
      <c r="AV568"/>
      <c r="AW568"/>
      <c r="FY568" s="213">
        <v>563</v>
      </c>
      <c r="FZ568">
        <v>0</v>
      </c>
      <c r="GA568">
        <v>11.966674688284801</v>
      </c>
      <c r="GB568">
        <v>6.0149098986971063</v>
      </c>
      <c r="GC568">
        <v>0.83495502788321374</v>
      </c>
      <c r="GD568">
        <v>1.2011930207909658</v>
      </c>
      <c r="GE568">
        <v>2.0138968589918997</v>
      </c>
      <c r="GF568">
        <v>1.432044374820181</v>
      </c>
      <c r="GG568">
        <v>2.9035501733129117</v>
      </c>
      <c r="GH568">
        <v>4.0526889260906458</v>
      </c>
      <c r="GI568">
        <v>3.2036884117387436</v>
      </c>
      <c r="GJ568"/>
      <c r="GK568"/>
      <c r="GL568"/>
      <c r="GM568"/>
      <c r="GN568" s="208"/>
      <c r="GO568" s="208"/>
      <c r="GP568" s="208"/>
      <c r="GQ568" s="208"/>
      <c r="GR568" s="208"/>
      <c r="GS568" s="208"/>
      <c r="GT568" s="208"/>
      <c r="GU568" s="213">
        <v>563</v>
      </c>
    </row>
    <row r="569" spans="1:203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23.913690476190474</v>
      </c>
      <c r="AO569">
        <v>5.371407654649575</v>
      </c>
      <c r="AP569">
        <v>93.038014920927012</v>
      </c>
      <c r="AQ569">
        <v>37.627000060880761</v>
      </c>
      <c r="AR569">
        <v>4.9916404095820361</v>
      </c>
      <c r="AS569">
        <v>67.299004898061156</v>
      </c>
      <c r="AT569" t="e">
        <v>#DIV/0!</v>
      </c>
      <c r="AU569" t="e">
        <v>#DIV/0!</v>
      </c>
      <c r="AV569"/>
      <c r="AW569"/>
      <c r="FY569" s="213">
        <v>564</v>
      </c>
      <c r="FZ569">
        <v>0.58716112056924263</v>
      </c>
      <c r="GA569">
        <v>13.987908760288494</v>
      </c>
      <c r="GB569">
        <v>6.9473893270518818</v>
      </c>
      <c r="GC569">
        <v>0.45016621220616626</v>
      </c>
      <c r="GD569">
        <v>0.8468117852521585</v>
      </c>
      <c r="GE569">
        <v>1.5989709012118469</v>
      </c>
      <c r="GF569">
        <v>0.95469624988012047</v>
      </c>
      <c r="GG569">
        <v>3.4648713879457071</v>
      </c>
      <c r="GH569">
        <v>4.8970170936990343</v>
      </c>
      <c r="GI569">
        <v>3.328990409695471</v>
      </c>
      <c r="GJ569"/>
      <c r="GK569"/>
      <c r="GL569"/>
      <c r="GM569"/>
      <c r="GN569" s="208"/>
      <c r="GO569" s="208"/>
      <c r="GP569" s="208"/>
      <c r="GQ569" s="208"/>
      <c r="GR569" s="208"/>
      <c r="GS569" s="208"/>
      <c r="GT569" s="208"/>
      <c r="GU569" s="213">
        <v>564</v>
      </c>
    </row>
    <row r="570" spans="1:203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39.49702380952381</v>
      </c>
      <c r="AO570">
        <v>6.8516915844303155</v>
      </c>
      <c r="AP570">
        <v>147.96739711150695</v>
      </c>
      <c r="AQ570">
        <v>45.062456082004836</v>
      </c>
      <c r="AR570">
        <v>6.3373530730190728</v>
      </c>
      <c r="AS570">
        <v>90.663344227889482</v>
      </c>
      <c r="AT570" t="e">
        <v>#DIV/0!</v>
      </c>
      <c r="AU570" t="e">
        <v>#DIV/0!</v>
      </c>
      <c r="AV570"/>
      <c r="AW570"/>
      <c r="FY570" s="213">
        <v>565</v>
      </c>
      <c r="FZ570">
        <v>3.192552405514002</v>
      </c>
      <c r="GA570">
        <v>16.321674310385063</v>
      </c>
      <c r="GB570">
        <v>6.1844752757449655</v>
      </c>
      <c r="GC570">
        <v>0.60987192178013072</v>
      </c>
      <c r="GD570">
        <v>1.5049407390092271</v>
      </c>
      <c r="GE570">
        <v>2.3942623932227689</v>
      </c>
      <c r="GF570">
        <v>0.47734812494006024</v>
      </c>
      <c r="GG570">
        <v>2.6102719741219484</v>
      </c>
      <c r="GH570">
        <v>3.5499287049172779</v>
      </c>
      <c r="GI570">
        <v>3.6432846986491074</v>
      </c>
      <c r="GJ570"/>
      <c r="GK570"/>
      <c r="GL570"/>
      <c r="GM570"/>
      <c r="GN570" s="208"/>
      <c r="GO570" s="208"/>
      <c r="GP570" s="208"/>
      <c r="GQ570" s="208"/>
      <c r="GR570" s="208"/>
      <c r="GS570" s="208"/>
      <c r="GT570" s="208"/>
      <c r="GU570" s="213">
        <v>565</v>
      </c>
    </row>
    <row r="571" spans="1:203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40.142293105096897</v>
      </c>
      <c r="AO571">
        <v>7.507092729329008</v>
      </c>
      <c r="AP571">
        <v>170.440278586072</v>
      </c>
      <c r="AQ571">
        <v>50.543910610522886</v>
      </c>
      <c r="AR571">
        <v>6.8246297539354615</v>
      </c>
      <c r="AS571">
        <v>101.29720346019421</v>
      </c>
      <c r="AT571" t="e">
        <v>#DIV/0!</v>
      </c>
      <c r="AU571" t="e">
        <v>#DIV/0!</v>
      </c>
      <c r="AV571"/>
      <c r="AW571"/>
      <c r="FY571" s="213">
        <v>566</v>
      </c>
      <c r="FZ571">
        <v>1.1743222411384853</v>
      </c>
      <c r="GA571">
        <v>13.800821626529805</v>
      </c>
      <c r="GB571">
        <v>6.6690361287162858</v>
      </c>
      <c r="GC571">
        <v>0.93809528275072762</v>
      </c>
      <c r="GD571">
        <v>2.2813604363735678</v>
      </c>
      <c r="GE571">
        <v>3.1594122827830793</v>
      </c>
      <c r="GF571">
        <v>0</v>
      </c>
      <c r="GG571">
        <v>3.7834176041617651</v>
      </c>
      <c r="GH571">
        <v>5.2024021032791943</v>
      </c>
      <c r="GI571">
        <v>4.0633250157828771</v>
      </c>
      <c r="GJ571"/>
      <c r="GK571"/>
      <c r="GL571"/>
      <c r="GM571"/>
      <c r="GN571" s="208"/>
      <c r="GO571" s="208"/>
      <c r="GP571" s="208"/>
      <c r="GQ571" s="208"/>
      <c r="GR571" s="208"/>
      <c r="GS571" s="208"/>
      <c r="GT571" s="208"/>
      <c r="GU571" s="213">
        <v>566</v>
      </c>
    </row>
    <row r="572" spans="1:203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29.172636976477339</v>
      </c>
      <c r="AO572">
        <v>7.2421370058373267</v>
      </c>
      <c r="AP572">
        <v>389.13923953161765</v>
      </c>
      <c r="AQ572">
        <v>51.202193289086665</v>
      </c>
      <c r="AR572">
        <v>6.7465747269757506</v>
      </c>
      <c r="AS572">
        <v>85.24223076256051</v>
      </c>
      <c r="AT572" t="e">
        <v>#DIV/0!</v>
      </c>
      <c r="AU572" t="e">
        <v>#DIV/0!</v>
      </c>
      <c r="AV572"/>
      <c r="AW572"/>
      <c r="FY572" s="213">
        <v>567</v>
      </c>
      <c r="FZ572">
        <v>0.58716112056924263</v>
      </c>
      <c r="GA572">
        <v>15.380548430993326</v>
      </c>
      <c r="GB572">
        <v>7.7037249165697705</v>
      </c>
      <c r="GC572">
        <v>0.2951909588237156</v>
      </c>
      <c r="GD572">
        <v>2.6799310542080939</v>
      </c>
      <c r="GE572">
        <v>5.2765826359106391</v>
      </c>
      <c r="GF572">
        <v>0.47734812494006024</v>
      </c>
      <c r="GG572">
        <v>3.6766788475277208</v>
      </c>
      <c r="GH572">
        <v>5.061819680755038</v>
      </c>
      <c r="GI572">
        <v>4.714923077121087</v>
      </c>
      <c r="GJ572"/>
      <c r="GK572"/>
      <c r="GL572"/>
      <c r="GM572"/>
      <c r="GN572" s="208"/>
      <c r="GO572" s="208"/>
      <c r="GP572" s="208"/>
      <c r="GQ572" s="208"/>
      <c r="GR572" s="208"/>
      <c r="GS572" s="208"/>
      <c r="GT572" s="208"/>
      <c r="GU572" s="213">
        <v>567</v>
      </c>
    </row>
    <row r="573" spans="1:203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23.895183772858264</v>
      </c>
      <c r="AO573">
        <v>5.9557194022751645</v>
      </c>
      <c r="AP573">
        <v>134.82991754275548</v>
      </c>
      <c r="AQ573">
        <v>38.326907327018432</v>
      </c>
      <c r="AR573">
        <v>5.5228329074234814</v>
      </c>
      <c r="AS573">
        <v>68.033273117098247</v>
      </c>
      <c r="AT573" t="e">
        <v>#DIV/0!</v>
      </c>
      <c r="AU573" t="e">
        <v>#DIV/0!</v>
      </c>
      <c r="AV573"/>
      <c r="AW573"/>
      <c r="FY573" s="213">
        <v>568</v>
      </c>
      <c r="FZ573">
        <v>0.58716112056924263</v>
      </c>
      <c r="GA573">
        <v>18.453149578634196</v>
      </c>
      <c r="GB573">
        <v>8.931498479768246</v>
      </c>
      <c r="GC573">
        <v>1.9401357941784985</v>
      </c>
      <c r="GD573">
        <v>1.525737966427527</v>
      </c>
      <c r="GE573">
        <v>6.7771022296901365E-2</v>
      </c>
      <c r="GF573">
        <v>0</v>
      </c>
      <c r="GG573">
        <v>3.9699570467186831</v>
      </c>
      <c r="GH573">
        <v>5.5645799019284059</v>
      </c>
      <c r="GI573">
        <v>4.1937752149165437</v>
      </c>
      <c r="GJ573"/>
      <c r="GK573"/>
      <c r="GL573"/>
      <c r="GM573"/>
      <c r="GN573" s="208"/>
      <c r="GO573" s="208"/>
      <c r="GP573" s="208"/>
      <c r="GQ573" s="208"/>
      <c r="GR573" s="208"/>
      <c r="GS573" s="208"/>
      <c r="GT573" s="208"/>
      <c r="GU573" s="213">
        <v>568</v>
      </c>
    </row>
    <row r="574" spans="1:203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28.692802820477311</v>
      </c>
      <c r="AO574">
        <v>5.1686316754973571</v>
      </c>
      <c r="AP574">
        <v>153.97358110159055</v>
      </c>
      <c r="AQ574">
        <v>35.240357472397925</v>
      </c>
      <c r="AR574">
        <v>4.6987560686339602</v>
      </c>
      <c r="AS574">
        <v>80.038298022450959</v>
      </c>
      <c r="AT574" t="e">
        <v>#DIV/0!</v>
      </c>
      <c r="AU574" t="e">
        <v>#DIV/0!</v>
      </c>
      <c r="AV574"/>
      <c r="AW574"/>
      <c r="FY574" s="213">
        <v>569</v>
      </c>
      <c r="FZ574">
        <v>3.3577595644647293</v>
      </c>
      <c r="GA574">
        <v>11.083330393754828</v>
      </c>
      <c r="GB574">
        <v>4.6622409935573312</v>
      </c>
      <c r="GC574">
        <v>0.91244265457443907</v>
      </c>
      <c r="GD574">
        <v>1.2359346186385731</v>
      </c>
      <c r="GE574">
        <v>1.3740589487514896</v>
      </c>
      <c r="GF574">
        <v>0.47734812494006024</v>
      </c>
      <c r="GG574">
        <v>7.4348284346643911</v>
      </c>
      <c r="GH574">
        <v>10.461596995627442</v>
      </c>
      <c r="GI574">
        <v>4.1658854033867296</v>
      </c>
      <c r="GJ574"/>
      <c r="GK574"/>
      <c r="GL574"/>
      <c r="GM574"/>
      <c r="GN574" s="208"/>
      <c r="GO574" s="208"/>
      <c r="GP574" s="208"/>
      <c r="GQ574" s="208"/>
      <c r="GR574" s="208"/>
      <c r="GS574" s="208"/>
      <c r="GT574" s="208"/>
      <c r="GU574" s="213">
        <v>569</v>
      </c>
    </row>
    <row r="575" spans="1:203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30.628832654097504</v>
      </c>
      <c r="AO575">
        <v>5.8692037480483865</v>
      </c>
      <c r="AP575">
        <v>255.49757901749899</v>
      </c>
      <c r="AQ575">
        <v>35.83583632258005</v>
      </c>
      <c r="AR575">
        <v>5.3899110418124723</v>
      </c>
      <c r="AS575">
        <v>73.898447820482218</v>
      </c>
      <c r="AT575" t="e">
        <v>#DIV/0!</v>
      </c>
      <c r="AU575" t="e">
        <v>#DIV/0!</v>
      </c>
      <c r="AV575"/>
      <c r="AW575"/>
      <c r="FY575" s="213">
        <v>570</v>
      </c>
      <c r="FZ575">
        <v>2.7705984438954863</v>
      </c>
      <c r="GA575">
        <v>14.074736688164432</v>
      </c>
      <c r="GB575">
        <v>6.0850603651052273</v>
      </c>
      <c r="GC575">
        <v>1.8883007956635618</v>
      </c>
      <c r="GD575">
        <v>3.9621123457261782</v>
      </c>
      <c r="GE575">
        <v>5.0958985960705219</v>
      </c>
      <c r="GF575">
        <v>0</v>
      </c>
      <c r="GG575">
        <v>2.9035501733129117</v>
      </c>
      <c r="GH575">
        <v>4.0526889260906458</v>
      </c>
      <c r="GI575">
        <v>5.0569544505519506</v>
      </c>
      <c r="GJ575"/>
      <c r="GK575"/>
      <c r="GL575"/>
      <c r="GM575"/>
      <c r="GN575" s="208"/>
      <c r="GO575" s="208"/>
      <c r="GP575" s="208"/>
      <c r="GQ575" s="208"/>
      <c r="GR575" s="208"/>
      <c r="GS575" s="208"/>
      <c r="GT575" s="208"/>
      <c r="GU575" s="213">
        <v>570</v>
      </c>
    </row>
    <row r="576" spans="1:203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35.476943488238668</v>
      </c>
      <c r="AO576">
        <v>8.6163310502321515</v>
      </c>
      <c r="AP576">
        <v>290.95478350384911</v>
      </c>
      <c r="AQ576">
        <v>54.104056873917422</v>
      </c>
      <c r="AR576">
        <v>7.9415707692025617</v>
      </c>
      <c r="AS576">
        <v>97.932671727871394</v>
      </c>
      <c r="AT576" t="e">
        <v>#DIV/0!</v>
      </c>
      <c r="AU576" t="e">
        <v>#DIV/0!</v>
      </c>
      <c r="AV576"/>
      <c r="AW576"/>
      <c r="FY576" s="213">
        <v>571</v>
      </c>
      <c r="FZ576">
        <v>0.58716112056924263</v>
      </c>
      <c r="GA576">
        <v>12.458890963648537</v>
      </c>
      <c r="GB576">
        <v>6.1749755700943965</v>
      </c>
      <c r="GC576">
        <v>0.53976406905949814</v>
      </c>
      <c r="GD576">
        <v>1.7925160710931847</v>
      </c>
      <c r="GE576">
        <v>3.0859568503383024</v>
      </c>
      <c r="GF576">
        <v>0.47734812494006024</v>
      </c>
      <c r="GG576">
        <v>2.9035501733129117</v>
      </c>
      <c r="GH576">
        <v>4.0526889260906458</v>
      </c>
      <c r="GI576">
        <v>3.4986400573587804</v>
      </c>
      <c r="GJ576"/>
      <c r="GK576"/>
      <c r="GL576"/>
      <c r="GM576"/>
      <c r="GN576" s="208"/>
      <c r="GO576" s="208"/>
      <c r="GP576" s="208"/>
      <c r="GQ576" s="208"/>
      <c r="GR576" s="208"/>
      <c r="GS576" s="208"/>
      <c r="GT576" s="208"/>
      <c r="GU576" s="213">
        <v>571</v>
      </c>
    </row>
    <row r="577" spans="1:203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24.328972499192172</v>
      </c>
      <c r="AO577">
        <v>6.439462175316609</v>
      </c>
      <c r="AP577">
        <v>144.73003476762173</v>
      </c>
      <c r="AQ577">
        <v>40.489257421592043</v>
      </c>
      <c r="AR577">
        <v>5.8540565230150996</v>
      </c>
      <c r="AS577">
        <v>72.620368938621965</v>
      </c>
      <c r="AT577" t="e">
        <v>#DIV/0!</v>
      </c>
      <c r="AU577" t="e">
        <v>#DIV/0!</v>
      </c>
      <c r="AV577"/>
      <c r="AW577"/>
      <c r="FY577" s="213">
        <v>572</v>
      </c>
      <c r="FZ577">
        <v>1.7614833617077283</v>
      </c>
      <c r="GA577">
        <v>16.196229966050876</v>
      </c>
      <c r="GB577">
        <v>8.1582219537422489</v>
      </c>
      <c r="GC577">
        <v>0.75746740119198852</v>
      </c>
      <c r="GD577">
        <v>2.1425442050537944</v>
      </c>
      <c r="GE577">
        <v>3.4557408128720408</v>
      </c>
      <c r="GF577">
        <v>0.47734812494006024</v>
      </c>
      <c r="GG577">
        <v>2.2917257579058905</v>
      </c>
      <c r="GH577">
        <v>3.2445436953371196</v>
      </c>
      <c r="GI577">
        <v>4.2127820571491172</v>
      </c>
      <c r="GJ577"/>
      <c r="GK577"/>
      <c r="GL577"/>
      <c r="GM577"/>
      <c r="GN577" s="208"/>
      <c r="GO577" s="208"/>
      <c r="GP577" s="208"/>
      <c r="GQ577" s="208"/>
      <c r="GR577" s="208"/>
      <c r="GS577" s="208"/>
      <c r="GT577" s="208"/>
      <c r="GU577" s="213">
        <v>572</v>
      </c>
    </row>
    <row r="578" spans="1:203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27.855176246859354</v>
      </c>
      <c r="AO578">
        <v>7.524299512351118</v>
      </c>
      <c r="AP578">
        <v>392.06092733606033</v>
      </c>
      <c r="AQ578">
        <v>53.259586402307683</v>
      </c>
      <c r="AR578">
        <v>6.9488148256743463</v>
      </c>
      <c r="AS578">
        <v>80.765431762342544</v>
      </c>
      <c r="AT578" t="e">
        <v>#DIV/0!</v>
      </c>
      <c r="AU578" t="e">
        <v>#DIV/0!</v>
      </c>
      <c r="AV578"/>
      <c r="AW578"/>
      <c r="FY578" s="213">
        <v>573</v>
      </c>
      <c r="FZ578">
        <v>2.1834373233262436</v>
      </c>
      <c r="GA578">
        <v>23.983106593154915</v>
      </c>
      <c r="GB578">
        <v>10.97613159823959</v>
      </c>
      <c r="GC578">
        <v>1.2527762457071427</v>
      </c>
      <c r="GD578">
        <v>3.0488195588265485</v>
      </c>
      <c r="GE578">
        <v>4.5201721699635602</v>
      </c>
      <c r="GF578">
        <v>0.47734812494006024</v>
      </c>
      <c r="GG578">
        <v>6.4734902642065872</v>
      </c>
      <c r="GH578">
        <v>8.9739261843215292</v>
      </c>
      <c r="GI578">
        <v>6.4656898420805415</v>
      </c>
      <c r="GJ578"/>
      <c r="GK578"/>
      <c r="GL578"/>
      <c r="GM578"/>
      <c r="GN578" s="208"/>
      <c r="GO578" s="208"/>
      <c r="GP578" s="208"/>
      <c r="GQ578" s="208"/>
      <c r="GR578" s="208"/>
      <c r="GS578" s="208"/>
      <c r="GT578" s="208"/>
      <c r="GU578" s="213">
        <v>573</v>
      </c>
    </row>
    <row r="579" spans="1:203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18.878900247954043</v>
      </c>
      <c r="AO579">
        <v>5.0272578406562278</v>
      </c>
      <c r="AP579">
        <v>240.61727841058774</v>
      </c>
      <c r="AQ579">
        <v>33.623601380610467</v>
      </c>
      <c r="AR579">
        <v>4.5702344005965703</v>
      </c>
      <c r="AS579">
        <v>56.252184692531458</v>
      </c>
      <c r="AT579" t="e">
        <v>#DIV/0!</v>
      </c>
      <c r="AU579" t="e">
        <v>#DIV/0!</v>
      </c>
      <c r="AV579"/>
      <c r="AW579"/>
      <c r="FY579" s="213">
        <v>574</v>
      </c>
      <c r="FZ579">
        <v>0.58716112056924263</v>
      </c>
      <c r="GA579">
        <v>8.0592299335267494</v>
      </c>
      <c r="GB579">
        <v>3.989242147239584</v>
      </c>
      <c r="GC579">
        <v>1.2972314702514867</v>
      </c>
      <c r="GD579">
        <v>1.3494341259046057</v>
      </c>
      <c r="GE579">
        <v>0.71159201146049245</v>
      </c>
      <c r="GF579">
        <v>0</v>
      </c>
      <c r="GG579">
        <v>5.3313121730014954</v>
      </c>
      <c r="GH579">
        <v>7.695593356931842</v>
      </c>
      <c r="GI579">
        <v>3.1439841889528268</v>
      </c>
      <c r="GJ579"/>
      <c r="GK579"/>
      <c r="GL579"/>
      <c r="GM579"/>
      <c r="GN579" s="208"/>
      <c r="GO579" s="208"/>
      <c r="GP579" s="208"/>
      <c r="GQ579" s="208"/>
      <c r="GR579" s="208"/>
      <c r="GS579" s="208"/>
      <c r="GT579" s="208"/>
      <c r="GU579" s="213">
        <v>574</v>
      </c>
    </row>
    <row r="580" spans="1:203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16.546883964429142</v>
      </c>
      <c r="AO580">
        <v>5.2120436491973035</v>
      </c>
      <c r="AP580">
        <v>272.5451713330549</v>
      </c>
      <c r="AQ580">
        <v>37.063983247800124</v>
      </c>
      <c r="AR580">
        <v>4.7924927701296687</v>
      </c>
      <c r="AS580">
        <v>50.509409374283166</v>
      </c>
      <c r="AT580" t="e">
        <v>#DIV/0!</v>
      </c>
      <c r="AU580" t="e">
        <v>#DIV/0!</v>
      </c>
      <c r="AV580"/>
      <c r="AW580"/>
      <c r="FY580" s="213">
        <v>575</v>
      </c>
      <c r="FZ580">
        <v>0</v>
      </c>
      <c r="GA580">
        <v>14.271500586246416</v>
      </c>
      <c r="GB580">
        <v>7.1841205291450336</v>
      </c>
      <c r="GC580">
        <v>0.22508310610308313</v>
      </c>
      <c r="GD580">
        <v>1.5169437865734099</v>
      </c>
      <c r="GE580">
        <v>3.3108688027986601</v>
      </c>
      <c r="GF580">
        <v>0.95469624988012047</v>
      </c>
      <c r="GG580">
        <v>3.9968951174298546</v>
      </c>
      <c r="GH580">
        <v>5.4835669483275034</v>
      </c>
      <c r="GI580">
        <v>3.8023672139474125</v>
      </c>
      <c r="GJ580"/>
      <c r="GK580"/>
      <c r="GL580"/>
      <c r="GM580"/>
      <c r="GN580" s="208"/>
      <c r="GO580" s="208"/>
      <c r="GP580" s="208"/>
      <c r="GQ580" s="208"/>
      <c r="GR580" s="208"/>
      <c r="GS580" s="208"/>
      <c r="GT580" s="208"/>
      <c r="GU580" s="213">
        <v>575</v>
      </c>
    </row>
    <row r="581" spans="1:203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22.200996308715979</v>
      </c>
      <c r="AO581">
        <v>5.7034628713286244</v>
      </c>
      <c r="AP581">
        <v>132.63482664139366</v>
      </c>
      <c r="AQ581">
        <v>40.488610548284548</v>
      </c>
      <c r="AR581">
        <v>5.1849662466623849</v>
      </c>
      <c r="AS581">
        <v>63.194467877759386</v>
      </c>
      <c r="AT581" t="e">
        <v>#DIV/0!</v>
      </c>
      <c r="AU581" t="e">
        <v>#DIV/0!</v>
      </c>
      <c r="AV581"/>
      <c r="AW581"/>
      <c r="FY581" s="213">
        <v>576</v>
      </c>
      <c r="FZ581">
        <v>2.7705984438954863</v>
      </c>
      <c r="GA581">
        <v>16.958192264208343</v>
      </c>
      <c r="GB581">
        <v>7.6386175663175102</v>
      </c>
      <c r="GC581">
        <v>2.1133839017666447</v>
      </c>
      <c r="GD581">
        <v>2.1591338077392801</v>
      </c>
      <c r="GE581">
        <v>1.3740589487514896</v>
      </c>
      <c r="GF581">
        <v>0.47734812494006024</v>
      </c>
      <c r="GG581">
        <v>4.4767127591777358</v>
      </c>
      <c r="GH581">
        <v>6.3485049681500838</v>
      </c>
      <c r="GI581">
        <v>4.6774789448726262</v>
      </c>
      <c r="GJ581"/>
      <c r="GK581"/>
      <c r="GL581"/>
      <c r="GM581"/>
      <c r="GN581" s="208"/>
      <c r="GO581" s="208"/>
      <c r="GP581" s="208"/>
      <c r="GQ581" s="208"/>
      <c r="GR581" s="208"/>
      <c r="GS581" s="208"/>
      <c r="GT581" s="208"/>
      <c r="GU581" s="213">
        <v>576</v>
      </c>
    </row>
    <row r="582" spans="1:203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27.5610298336202</v>
      </c>
      <c r="AO582">
        <v>6.2705718120370504</v>
      </c>
      <c r="AP582">
        <v>287.8208686878715</v>
      </c>
      <c r="AQ582">
        <v>41.07219272151579</v>
      </c>
      <c r="AR582">
        <v>5.8090623708433791</v>
      </c>
      <c r="AS582">
        <v>79.42822365562543</v>
      </c>
      <c r="AT582" t="e">
        <v>#DIV/0!</v>
      </c>
      <c r="AU582" t="e">
        <v>#DIV/0!</v>
      </c>
      <c r="AV582"/>
      <c r="AW582"/>
      <c r="FY582" s="213">
        <v>577</v>
      </c>
      <c r="FZ582">
        <v>3.192552405514002</v>
      </c>
      <c r="GA582">
        <v>20.461696657238075</v>
      </c>
      <c r="GB582">
        <v>8.3314445487175899</v>
      </c>
      <c r="GC582">
        <v>1.6375650613841901</v>
      </c>
      <c r="GD582">
        <v>3.3111664531182203</v>
      </c>
      <c r="GE582">
        <v>5.0414126525128786</v>
      </c>
      <c r="GF582">
        <v>1.432044374820181</v>
      </c>
      <c r="GG582">
        <v>4.9817984179507118</v>
      </c>
      <c r="GH582">
        <v>7.0160677763794546</v>
      </c>
      <c r="GI582">
        <v>6.0319816565869768</v>
      </c>
      <c r="GJ582"/>
      <c r="GK582"/>
      <c r="GL582"/>
      <c r="GM582"/>
      <c r="GN582" s="208"/>
      <c r="GO582" s="208"/>
      <c r="GP582" s="208"/>
      <c r="GQ582" s="208"/>
      <c r="GR582" s="208"/>
      <c r="GS582" s="208"/>
      <c r="GT582" s="208"/>
      <c r="GU582" s="213">
        <v>577</v>
      </c>
    </row>
    <row r="583" spans="1:203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18.151050631095814</v>
      </c>
      <c r="AO583">
        <v>7.3677173279558774</v>
      </c>
      <c r="AP583">
        <v>304.65540540455424</v>
      </c>
      <c r="AQ583">
        <v>45.853908847418687</v>
      </c>
      <c r="AR583">
        <v>6.7521961144556464</v>
      </c>
      <c r="AS583">
        <v>63.240009818860962</v>
      </c>
      <c r="AT583" t="e">
        <v>#DIV/0!</v>
      </c>
      <c r="AU583" t="e">
        <v>#DIV/0!</v>
      </c>
      <c r="AV583"/>
      <c r="AW583"/>
      <c r="FY583" s="213">
        <v>578</v>
      </c>
      <c r="FZ583">
        <v>2.7705984438954863</v>
      </c>
      <c r="GA583">
        <v>15.711399977130684</v>
      </c>
      <c r="GB583">
        <v>6.8735816427162773</v>
      </c>
      <c r="GC583">
        <v>1.7851605407960478</v>
      </c>
      <c r="GD583">
        <v>2.9913962917157093</v>
      </c>
      <c r="GE583">
        <v>3.5743382405631321</v>
      </c>
      <c r="GF583">
        <v>0.47734812494006024</v>
      </c>
      <c r="GG583">
        <v>5.4380509296355397</v>
      </c>
      <c r="GH583">
        <v>7.8361757794559974</v>
      </c>
      <c r="GI583">
        <v>5.3171879116726952</v>
      </c>
      <c r="GJ583"/>
      <c r="GK583"/>
      <c r="GL583"/>
      <c r="GM583"/>
      <c r="GN583" s="208"/>
      <c r="GO583" s="208"/>
      <c r="GP583" s="208"/>
      <c r="GQ583" s="208"/>
      <c r="GR583" s="208"/>
      <c r="GS583" s="208"/>
      <c r="GT583" s="208"/>
      <c r="GU583" s="213">
        <v>578</v>
      </c>
    </row>
    <row r="584" spans="1:203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27.220323617952932</v>
      </c>
      <c r="AO584">
        <v>6.6497456260676966</v>
      </c>
      <c r="AP584">
        <v>384.48259485896835</v>
      </c>
      <c r="AQ584">
        <v>45.233766125438244</v>
      </c>
      <c r="AR584">
        <v>6.0994945672845713</v>
      </c>
      <c r="AS584">
        <v>74.833746197898748</v>
      </c>
      <c r="AT584" t="e">
        <v>#DIV/0!</v>
      </c>
      <c r="AU584" t="e">
        <v>#DIV/0!</v>
      </c>
      <c r="AV584"/>
      <c r="AW584"/>
      <c r="FY584" s="213">
        <v>579</v>
      </c>
      <c r="FZ584">
        <v>0</v>
      </c>
      <c r="GA584">
        <v>15.845692035473421</v>
      </c>
      <c r="GB584">
        <v>7.8937616530506478</v>
      </c>
      <c r="GC584">
        <v>2.6788005990024315</v>
      </c>
      <c r="GD584">
        <v>2.7192677017640219</v>
      </c>
      <c r="GE584">
        <v>1.9208813957936428</v>
      </c>
      <c r="GF584">
        <v>0.95469624988012047</v>
      </c>
      <c r="GG584">
        <v>5.0397040274966081</v>
      </c>
      <c r="GH584">
        <v>7.3091953937507803</v>
      </c>
      <c r="GI584">
        <v>4.9568830198775382</v>
      </c>
      <c r="GJ584"/>
      <c r="GK584"/>
      <c r="GL584"/>
      <c r="GM584"/>
      <c r="GN584" s="208"/>
      <c r="GO584" s="208"/>
      <c r="GP584" s="208"/>
      <c r="GQ584" s="208"/>
      <c r="GR584" s="208"/>
      <c r="GS584" s="208"/>
      <c r="GT584" s="208"/>
      <c r="GU584" s="213">
        <v>579</v>
      </c>
    </row>
    <row r="585" spans="1:203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23.5097671061916</v>
      </c>
      <c r="AO585">
        <v>6.4215877333093534</v>
      </c>
      <c r="AP585">
        <v>219.36601062576514</v>
      </c>
      <c r="AQ585">
        <v>45.165426132360018</v>
      </c>
      <c r="AR585">
        <v>6.0006208428594103</v>
      </c>
      <c r="AS585">
        <v>66.237044663689261</v>
      </c>
      <c r="AT585" t="e">
        <v>#DIV/0!</v>
      </c>
      <c r="AU585" t="e">
        <v>#DIV/0!</v>
      </c>
      <c r="AV585"/>
      <c r="AW585"/>
      <c r="FY585" s="213">
        <v>580</v>
      </c>
      <c r="FZ585">
        <v>3.944920685033972</v>
      </c>
      <c r="GA585">
        <v>15.463207320028367</v>
      </c>
      <c r="GB585">
        <v>6.7457016594121475</v>
      </c>
      <c r="GC585">
        <v>0</v>
      </c>
      <c r="GD585">
        <v>1.0507101030325714</v>
      </c>
      <c r="GE585">
        <v>2.1361538248464438</v>
      </c>
      <c r="GF585">
        <v>0</v>
      </c>
      <c r="GG585">
        <v>8.5012353080701626</v>
      </c>
      <c r="GH585">
        <v>11.973487971465204</v>
      </c>
      <c r="GI585">
        <v>4.9750901591022263</v>
      </c>
      <c r="GJ585"/>
      <c r="GK585"/>
      <c r="GL585"/>
      <c r="GM585"/>
      <c r="GN585" s="208"/>
      <c r="GO585" s="208"/>
      <c r="GP585" s="208"/>
      <c r="GQ585" s="208"/>
      <c r="GR585" s="208"/>
      <c r="GS585" s="208"/>
      <c r="GT585" s="208"/>
      <c r="GU585" s="213">
        <v>580</v>
      </c>
    </row>
    <row r="586" spans="1:203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35.082769295573094</v>
      </c>
      <c r="AO586">
        <v>7.772615829920686</v>
      </c>
      <c r="AP586">
        <v>150.4074173134934</v>
      </c>
      <c r="AQ586">
        <v>45.889900784580917</v>
      </c>
      <c r="AR586">
        <v>7.1745569325557739</v>
      </c>
      <c r="AS586">
        <v>82.959123910251293</v>
      </c>
      <c r="AT586" t="e">
        <v>#DIV/0!</v>
      </c>
      <c r="AU586" t="e">
        <v>#DIV/0!</v>
      </c>
      <c r="AV586"/>
      <c r="AW586"/>
      <c r="FY586" s="213">
        <v>581</v>
      </c>
      <c r="FZ586">
        <v>0</v>
      </c>
      <c r="GA586">
        <v>18.627424369830806</v>
      </c>
      <c r="GB586">
        <v>9.0696141427888843</v>
      </c>
      <c r="GC586">
        <v>2.4981727174436923</v>
      </c>
      <c r="GD586">
        <v>2.9234909213518137</v>
      </c>
      <c r="GE586">
        <v>2.0338083961686086</v>
      </c>
      <c r="GF586">
        <v>0</v>
      </c>
      <c r="GG586">
        <v>5.7549270921655209</v>
      </c>
      <c r="GH586">
        <v>8.0251985310438485</v>
      </c>
      <c r="GI586">
        <v>5.3861528542932451</v>
      </c>
      <c r="GJ586"/>
      <c r="GK586"/>
      <c r="GL586"/>
      <c r="GM586"/>
      <c r="GN586" s="208"/>
      <c r="GO586" s="208"/>
      <c r="GP586" s="208"/>
      <c r="GQ586" s="208"/>
      <c r="GR586" s="208"/>
      <c r="GS586" s="208"/>
      <c r="GT586" s="208"/>
      <c r="GU586" s="213">
        <v>581</v>
      </c>
    </row>
    <row r="587" spans="1:203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24.124435962239758</v>
      </c>
      <c r="AO587">
        <v>5.4389464011192441</v>
      </c>
      <c r="AP587">
        <v>246.20065371088816</v>
      </c>
      <c r="AQ587">
        <v>35.571491926505558</v>
      </c>
      <c r="AR587">
        <v>4.9987679991496154</v>
      </c>
      <c r="AS587">
        <v>63.729385389817253</v>
      </c>
      <c r="AT587" t="e">
        <v>#DIV/0!</v>
      </c>
      <c r="AU587" t="e">
        <v>#DIV/0!</v>
      </c>
      <c r="AV587"/>
      <c r="AW587"/>
      <c r="FY587" s="213">
        <v>582</v>
      </c>
      <c r="FZ587">
        <v>1.596276202757001</v>
      </c>
      <c r="GA587">
        <v>17.787817321838226</v>
      </c>
      <c r="GB587">
        <v>8.0171850468600674</v>
      </c>
      <c r="GC587">
        <v>1.8883007956635618</v>
      </c>
      <c r="GD587">
        <v>2.9448704562766865</v>
      </c>
      <c r="GE587">
        <v>3.3201987682782379</v>
      </c>
      <c r="GF587">
        <v>0.47734812494006024</v>
      </c>
      <c r="GG587">
        <v>4.2885032629347419</v>
      </c>
      <c r="GH587">
        <v>5.8699649115085659</v>
      </c>
      <c r="GI587">
        <v>5.0261847829623587</v>
      </c>
      <c r="GJ587"/>
      <c r="GK587"/>
      <c r="GL587"/>
      <c r="GM587"/>
      <c r="GN587" s="208"/>
      <c r="GO587" s="208"/>
      <c r="GP587" s="208"/>
      <c r="GQ587" s="208"/>
      <c r="GR587" s="208"/>
      <c r="GS587" s="208"/>
      <c r="GT587" s="208"/>
      <c r="GU587" s="213">
        <v>582</v>
      </c>
    </row>
    <row r="588" spans="1:203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28.6660171061916</v>
      </c>
      <c r="AO588">
        <v>6.3435978533027244</v>
      </c>
      <c r="AP588">
        <v>282.30260484930972</v>
      </c>
      <c r="AQ588">
        <v>42.698087335950873</v>
      </c>
      <c r="AR588">
        <v>5.9297209519442928</v>
      </c>
      <c r="AS588">
        <v>81.813015937300747</v>
      </c>
      <c r="AT588" t="e">
        <v>#DIV/0!</v>
      </c>
      <c r="AU588" t="e">
        <v>#DIV/0!</v>
      </c>
      <c r="AV588"/>
      <c r="AW588"/>
      <c r="FY588" s="213">
        <v>583</v>
      </c>
      <c r="FZ588">
        <v>2.1834373233262436</v>
      </c>
      <c r="GA588">
        <v>18.98222905865731</v>
      </c>
      <c r="GB588">
        <v>8.4374379211463548</v>
      </c>
      <c r="GC588">
        <v>2.4159546345609537</v>
      </c>
      <c r="GD588">
        <v>2.8837992708490972</v>
      </c>
      <c r="GE588">
        <v>2.3743648388778098</v>
      </c>
      <c r="GF588">
        <v>0.47734812494006024</v>
      </c>
      <c r="GG588">
        <v>4.3699740025436906</v>
      </c>
      <c r="GH588">
        <v>6.2079225456259284</v>
      </c>
      <c r="GI588">
        <v>5.3050827383083208</v>
      </c>
      <c r="GJ588"/>
      <c r="GK588"/>
      <c r="GL588"/>
      <c r="GM588"/>
      <c r="GN588" s="208"/>
      <c r="GO588" s="208"/>
      <c r="GP588" s="208"/>
      <c r="GQ588" s="208"/>
      <c r="GR588" s="208"/>
      <c r="GS588" s="208"/>
      <c r="GT588" s="208"/>
      <c r="GU588" s="213">
        <v>583</v>
      </c>
    </row>
    <row r="589" spans="1:203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39.47860262890643</v>
      </c>
      <c r="AO589">
        <v>10.057001744258576</v>
      </c>
      <c r="AP589">
        <v>215.80514738756972</v>
      </c>
      <c r="AQ589">
        <v>68.354897904766716</v>
      </c>
      <c r="AR589">
        <v>9.1970001292762795</v>
      </c>
      <c r="AS589">
        <v>117.33813282876342</v>
      </c>
      <c r="AT589" t="e">
        <v>#DIV/0!</v>
      </c>
      <c r="AU589" t="e">
        <v>#DIV/0!</v>
      </c>
      <c r="AV589"/>
      <c r="AW589"/>
      <c r="FY589" s="213">
        <v>584</v>
      </c>
      <c r="FZ589">
        <v>3.7797135260832437</v>
      </c>
      <c r="GA589">
        <v>18.51301413474447</v>
      </c>
      <c r="GB589">
        <v>7.1593760719094082</v>
      </c>
      <c r="GC589">
        <v>1.3228840984277752</v>
      </c>
      <c r="GD589">
        <v>1.6431467489966671</v>
      </c>
      <c r="GE589">
        <v>1.2713899793139261</v>
      </c>
      <c r="GF589">
        <v>0</v>
      </c>
      <c r="GG589">
        <v>9.8316228955182492</v>
      </c>
      <c r="GH589">
        <v>13.730360855496411</v>
      </c>
      <c r="GI589">
        <v>5.6566655946023623</v>
      </c>
      <c r="GJ589"/>
      <c r="GK589"/>
      <c r="GL589"/>
      <c r="GM589"/>
      <c r="GN589" s="208"/>
      <c r="GO589" s="208"/>
      <c r="GP589" s="208"/>
      <c r="GQ589" s="208"/>
      <c r="GR589" s="208"/>
      <c r="GS589" s="208"/>
      <c r="GT589" s="208"/>
      <c r="GU589" s="213">
        <v>584</v>
      </c>
    </row>
    <row r="590" spans="1:203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23.259014094143403</v>
      </c>
      <c r="AO590">
        <v>5.0448553523156408</v>
      </c>
      <c r="AP590">
        <v>276.63275589625823</v>
      </c>
      <c r="AQ590">
        <v>32.164780527838325</v>
      </c>
      <c r="AR590">
        <v>4.6405034093281579</v>
      </c>
      <c r="AS590">
        <v>63.084546511866606</v>
      </c>
      <c r="AT590" t="e">
        <v>#DIV/0!</v>
      </c>
      <c r="AU590" t="e">
        <v>#DIV/0!</v>
      </c>
      <c r="AV590"/>
      <c r="AW590"/>
      <c r="FY590" s="213">
        <v>585</v>
      </c>
      <c r="FZ590">
        <v>0.58716112056924263</v>
      </c>
      <c r="GA590">
        <v>10.154065065686924</v>
      </c>
      <c r="GB590">
        <v>5.0057649396464701</v>
      </c>
      <c r="GC590">
        <v>1.6375650613841901</v>
      </c>
      <c r="GD590">
        <v>2.4541974664203843</v>
      </c>
      <c r="GE590">
        <v>3.3015388373190819</v>
      </c>
      <c r="GF590">
        <v>1.432044374820181</v>
      </c>
      <c r="GG590">
        <v>4.1817645063006967</v>
      </c>
      <c r="GH590">
        <v>5.7293824889844096</v>
      </c>
      <c r="GI590">
        <v>4.0445697197586448</v>
      </c>
      <c r="GJ590"/>
      <c r="GK590"/>
      <c r="GL590"/>
      <c r="GM590"/>
      <c r="GN590" s="208"/>
      <c r="GO590" s="208"/>
      <c r="GP590" s="208"/>
      <c r="GQ590" s="208"/>
      <c r="GR590" s="208"/>
      <c r="GS590" s="208"/>
      <c r="GT590" s="208"/>
      <c r="GU590" s="213">
        <v>585</v>
      </c>
    </row>
    <row r="591" spans="1:203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20.979202524383247</v>
      </c>
      <c r="AO591">
        <v>5.9060338072922107</v>
      </c>
      <c r="AP591">
        <v>272.92140269070848</v>
      </c>
      <c r="AQ591">
        <v>40.746042340451496</v>
      </c>
      <c r="AR591">
        <v>5.3691216429929192</v>
      </c>
      <c r="AS591">
        <v>60.094841619954046</v>
      </c>
      <c r="AT591" t="e">
        <v>#DIV/0!</v>
      </c>
      <c r="AU591" t="e">
        <v>#DIV/0!</v>
      </c>
      <c r="AV591"/>
      <c r="AW591"/>
      <c r="FY591" s="213">
        <v>586</v>
      </c>
      <c r="FZ591">
        <v>3.3577595644647293</v>
      </c>
      <c r="GA591">
        <v>10.62098951172001</v>
      </c>
      <c r="GB591">
        <v>4.338545183550524</v>
      </c>
      <c r="GC591">
        <v>0.5903819176474312</v>
      </c>
      <c r="GD591">
        <v>1.3309669973925164</v>
      </c>
      <c r="GE591">
        <v>1.7796689238837144</v>
      </c>
      <c r="GF591">
        <v>0</v>
      </c>
      <c r="GG591">
        <v>5.0380339738105313</v>
      </c>
      <c r="GH591">
        <v>7.1928331357584732</v>
      </c>
      <c r="GI591">
        <v>3.60227901129092</v>
      </c>
      <c r="GJ591"/>
      <c r="GK591"/>
      <c r="GL591"/>
      <c r="GM591"/>
      <c r="GN591" s="208"/>
      <c r="GO591" s="208"/>
      <c r="GP591" s="208"/>
      <c r="GQ591" s="208"/>
      <c r="GR591" s="208"/>
      <c r="GS591" s="208"/>
      <c r="GT591" s="208"/>
      <c r="GU591" s="213">
        <v>586</v>
      </c>
    </row>
    <row r="592" spans="1:203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36.621459771763568</v>
      </c>
      <c r="AO592">
        <v>7.143592394600164</v>
      </c>
      <c r="AP592">
        <v>186.08815790324689</v>
      </c>
      <c r="AQ592">
        <v>48.994029729819253</v>
      </c>
      <c r="AR592">
        <v>6.6027174459007529</v>
      </c>
      <c r="AS592">
        <v>89.515565798459932</v>
      </c>
      <c r="AT592" t="e">
        <v>#DIV/0!</v>
      </c>
      <c r="AU592" t="e">
        <v>#DIV/0!</v>
      </c>
      <c r="AV592"/>
      <c r="AW592"/>
      <c r="FY592" s="213">
        <v>587</v>
      </c>
      <c r="FZ592">
        <v>0</v>
      </c>
      <c r="GA592">
        <v>17.401782502997023</v>
      </c>
      <c r="GB592">
        <v>8.6362043449245451</v>
      </c>
      <c r="GC592">
        <v>0.86060765605950218</v>
      </c>
      <c r="GD592">
        <v>0.69520065051088653</v>
      </c>
      <c r="GE592">
        <v>6.7771022296901365E-2</v>
      </c>
      <c r="GF592">
        <v>0</v>
      </c>
      <c r="GG592">
        <v>1.8917088020808825</v>
      </c>
      <c r="GH592">
        <v>2.6012010516395971</v>
      </c>
      <c r="GI592">
        <v>3.0075201406506236</v>
      </c>
      <c r="GJ592"/>
      <c r="GK592"/>
      <c r="GL592"/>
      <c r="GM592"/>
      <c r="GN592" s="208"/>
      <c r="GO592" s="208"/>
      <c r="GP592" s="208"/>
      <c r="GQ592" s="208"/>
      <c r="GR592" s="208"/>
      <c r="GS592" s="208"/>
      <c r="GT592" s="208"/>
      <c r="GU592" s="213">
        <v>587</v>
      </c>
    </row>
    <row r="593" spans="1:203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39.128232758620683</v>
      </c>
      <c r="AO593">
        <v>9.4909215503001594</v>
      </c>
      <c r="AP593">
        <v>248.19891340730595</v>
      </c>
      <c r="AQ593">
        <v>61.437730004222288</v>
      </c>
      <c r="AR593">
        <v>8.6281105002728751</v>
      </c>
      <c r="AS593">
        <v>95.944469713321283</v>
      </c>
      <c r="AT593" t="e">
        <v>#DIV/0!</v>
      </c>
      <c r="AU593" t="e">
        <v>#DIV/0!</v>
      </c>
      <c r="AV593"/>
      <c r="AW593"/>
      <c r="FY593" s="213">
        <v>588</v>
      </c>
      <c r="FZ593">
        <v>1.596276202757001</v>
      </c>
      <c r="GA593">
        <v>19.169316192415998</v>
      </c>
      <c r="GB593">
        <v>8.7157911194819508</v>
      </c>
      <c r="GC593">
        <v>0.46227644236827292</v>
      </c>
      <c r="GD593">
        <v>0.85613723101224148</v>
      </c>
      <c r="GE593">
        <v>1.8916538759691059</v>
      </c>
      <c r="GF593">
        <v>1.432044374820181</v>
      </c>
      <c r="GG593">
        <v>2.1849870012718453</v>
      </c>
      <c r="GH593">
        <v>3.1039612728129642</v>
      </c>
      <c r="GI593">
        <v>3.7010775095332038</v>
      </c>
      <c r="GJ593"/>
      <c r="GK593"/>
      <c r="GL593"/>
      <c r="GM593"/>
      <c r="GN593" s="208"/>
      <c r="GO593" s="208"/>
      <c r="GP593" s="208"/>
      <c r="GQ593" s="208"/>
      <c r="GR593" s="208"/>
      <c r="GS593" s="208"/>
      <c r="GT593" s="208"/>
      <c r="GU593" s="213">
        <v>588</v>
      </c>
    </row>
    <row r="594" spans="1:203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36.221076630001122</v>
      </c>
      <c r="AO594">
        <v>8.3355908115202446</v>
      </c>
      <c r="AP594">
        <v>227.11682682546547</v>
      </c>
      <c r="AQ594">
        <v>52.77523788252163</v>
      </c>
      <c r="AR594">
        <v>7.6863523703735535</v>
      </c>
      <c r="AS594">
        <v>109.61325268152839</v>
      </c>
      <c r="AT594" t="e">
        <v>#DIV/0!</v>
      </c>
      <c r="AU594" t="e">
        <v>#DIV/0!</v>
      </c>
      <c r="AV594"/>
      <c r="AW594"/>
      <c r="FY594" s="213">
        <v>589</v>
      </c>
      <c r="FZ594">
        <v>3.192552405514002</v>
      </c>
      <c r="GA594">
        <v>19.902851083004027</v>
      </c>
      <c r="GB594">
        <v>8.0493707349532286</v>
      </c>
      <c r="GC594">
        <v>2.5055524914142855</v>
      </c>
      <c r="GD594">
        <v>3.762567129523962</v>
      </c>
      <c r="GE594">
        <v>4.3111746929249808</v>
      </c>
      <c r="GF594">
        <v>0.95469624988012047</v>
      </c>
      <c r="GG594">
        <v>3.5716101445797515</v>
      </c>
      <c r="GH594">
        <v>5.0375995162231906</v>
      </c>
      <c r="GI594">
        <v>5.7977640911514516</v>
      </c>
      <c r="GJ594"/>
      <c r="GK594"/>
      <c r="GL594"/>
      <c r="GM594"/>
      <c r="GN594" s="208"/>
      <c r="GO594" s="208"/>
      <c r="GP594" s="208"/>
      <c r="GQ594" s="208"/>
      <c r="GR594" s="208"/>
      <c r="GS594" s="208"/>
      <c r="GT594" s="208"/>
      <c r="GU594" s="213">
        <v>589</v>
      </c>
    </row>
    <row r="595" spans="1:203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38.356425702811251</v>
      </c>
      <c r="AO595">
        <v>7.8680758005108897</v>
      </c>
      <c r="AP595">
        <v>418.66480509947758</v>
      </c>
      <c r="AQ595">
        <v>49.31888207608921</v>
      </c>
      <c r="AR595">
        <v>7.1527961822826249</v>
      </c>
      <c r="AS595">
        <v>107.85179253934872</v>
      </c>
      <c r="AT595" t="e">
        <v>#DIV/0!</v>
      </c>
      <c r="AU595" t="e">
        <v>#DIV/0!</v>
      </c>
      <c r="AV595"/>
      <c r="AW595"/>
      <c r="FY595" s="213">
        <v>590</v>
      </c>
      <c r="FZ595">
        <v>1.7614833617077283</v>
      </c>
      <c r="GA595">
        <v>14.224960617263744</v>
      </c>
      <c r="GB595">
        <v>7.0175397934600019</v>
      </c>
      <c r="GC595">
        <v>1.0795281381189963</v>
      </c>
      <c r="GD595">
        <v>3.1915584049179162</v>
      </c>
      <c r="GE595">
        <v>5.3792516053482036</v>
      </c>
      <c r="GF595">
        <v>0.95469624988012047</v>
      </c>
      <c r="GG595">
        <v>0.21347751326808947</v>
      </c>
      <c r="GH595">
        <v>0.28116484504831013</v>
      </c>
      <c r="GI595">
        <v>4.3010074987981897</v>
      </c>
      <c r="GJ595"/>
      <c r="GK595"/>
      <c r="GL595"/>
      <c r="GM595"/>
      <c r="GN595" s="208"/>
      <c r="GO595" s="208"/>
      <c r="GP595" s="208"/>
      <c r="GQ595" s="208"/>
      <c r="GR595" s="208"/>
      <c r="GS595" s="208"/>
      <c r="GT595" s="208"/>
      <c r="GU595" s="213">
        <v>590</v>
      </c>
    </row>
    <row r="596" spans="1:203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10.489583333333334</v>
      </c>
      <c r="AO596">
        <v>7.8034219242011265</v>
      </c>
      <c r="AP596">
        <v>291.71211340791933</v>
      </c>
      <c r="AQ596">
        <v>54.790507030991094</v>
      </c>
      <c r="AR596">
        <v>7.311105014529506</v>
      </c>
      <c r="AS596">
        <v>73.325077545699941</v>
      </c>
      <c r="AT596" t="e">
        <v>#DIV/0!</v>
      </c>
      <c r="AU596" t="e">
        <v>#DIV/0!</v>
      </c>
      <c r="AV596"/>
      <c r="AW596"/>
      <c r="FY596" s="213">
        <v>591</v>
      </c>
      <c r="FZ596">
        <v>0</v>
      </c>
      <c r="GA596">
        <v>12.905616780676</v>
      </c>
      <c r="GB596">
        <v>6.4920929183121769</v>
      </c>
      <c r="GC596">
        <v>1.79870293881023</v>
      </c>
      <c r="GD596">
        <v>1.73448866242027</v>
      </c>
      <c r="GE596">
        <v>1.0042749862177514</v>
      </c>
      <c r="GF596">
        <v>0.47734812494006024</v>
      </c>
      <c r="GG596">
        <v>4.9817984179507118</v>
      </c>
      <c r="GH596">
        <v>7.0160677763794546</v>
      </c>
      <c r="GI596">
        <v>3.857405464443374</v>
      </c>
      <c r="GJ596"/>
      <c r="GK596"/>
      <c r="GL596"/>
      <c r="GM596"/>
      <c r="GN596" s="208"/>
      <c r="GO596" s="208"/>
      <c r="GP596" s="208"/>
      <c r="GQ596" s="208"/>
      <c r="GR596" s="208"/>
      <c r="GS596" s="208"/>
      <c r="GT596" s="208"/>
      <c r="GU596" s="213">
        <v>591</v>
      </c>
    </row>
    <row r="597" spans="1:203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37.345323617952928</v>
      </c>
      <c r="AO597">
        <v>8.554860164094972</v>
      </c>
      <c r="AP597">
        <v>453.38431343493301</v>
      </c>
      <c r="AQ597">
        <v>54.318789025086424</v>
      </c>
      <c r="AR597">
        <v>7.777145603722702</v>
      </c>
      <c r="AS597">
        <v>103.32514479659457</v>
      </c>
      <c r="AT597" t="e">
        <v>#DIV/0!</v>
      </c>
      <c r="AU597" t="e">
        <v>#DIV/0!</v>
      </c>
      <c r="AV597"/>
      <c r="AW597"/>
      <c r="FY597" s="213">
        <v>592</v>
      </c>
      <c r="FZ597">
        <v>0</v>
      </c>
      <c r="GA597">
        <v>15.47008136190639</v>
      </c>
      <c r="GB597">
        <v>7.7000676986422887</v>
      </c>
      <c r="GC597">
        <v>0.93809528275072762</v>
      </c>
      <c r="GD597">
        <v>0.72134647508279204</v>
      </c>
      <c r="GE597">
        <v>0.87804892427177672</v>
      </c>
      <c r="GF597">
        <v>1.432044374820181</v>
      </c>
      <c r="GG597">
        <v>5.8054302929397466</v>
      </c>
      <c r="GH597">
        <v>7.9890155941889844</v>
      </c>
      <c r="GI597">
        <v>3.9420438496337749</v>
      </c>
      <c r="GJ597"/>
      <c r="GK597"/>
      <c r="GL597"/>
      <c r="GM597"/>
      <c r="GN597" s="208"/>
      <c r="GO597" s="208"/>
      <c r="GP597" s="208"/>
      <c r="GQ597" s="208"/>
      <c r="GR597" s="208"/>
      <c r="GS597" s="208"/>
      <c r="GT597" s="208"/>
      <c r="GU597" s="213">
        <v>592</v>
      </c>
    </row>
    <row r="598" spans="1:203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36.484469487143969</v>
      </c>
      <c r="AO598">
        <v>7.7313353965735088</v>
      </c>
      <c r="AP598">
        <v>200.45900439367293</v>
      </c>
      <c r="AQ598">
        <v>51.216649674019507</v>
      </c>
      <c r="AR598">
        <v>7.0284867241577356</v>
      </c>
      <c r="AS598">
        <v>92.859364863564238</v>
      </c>
      <c r="AT598" t="e">
        <v>#DIV/0!</v>
      </c>
      <c r="AU598" t="e">
        <v>#DIV/0!</v>
      </c>
      <c r="AV598"/>
      <c r="AW598"/>
      <c r="FY598" s="213">
        <v>593</v>
      </c>
      <c r="FZ598">
        <v>4.7888286082710039</v>
      </c>
      <c r="GA598">
        <v>28.618895318767823</v>
      </c>
      <c r="GB598">
        <v>11.516087250906532</v>
      </c>
      <c r="GC598">
        <v>0.76484717516258116</v>
      </c>
      <c r="GD598">
        <v>0.97331120897269785</v>
      </c>
      <c r="GE598">
        <v>0.77936303375739358</v>
      </c>
      <c r="GF598">
        <v>0</v>
      </c>
      <c r="GG598">
        <v>2.5035332174879037</v>
      </c>
      <c r="GH598">
        <v>3.4093462823931233</v>
      </c>
      <c r="GI598">
        <v>4.7004641083911025</v>
      </c>
      <c r="GJ598"/>
      <c r="GK598"/>
      <c r="GL598"/>
      <c r="GM598"/>
      <c r="GN598" s="208"/>
      <c r="GO598" s="208"/>
      <c r="GP598" s="208"/>
      <c r="GQ598" s="208"/>
      <c r="GR598" s="208"/>
      <c r="GS598" s="208"/>
      <c r="GT598" s="208"/>
      <c r="GU598" s="213">
        <v>593</v>
      </c>
    </row>
    <row r="599" spans="1:203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37.409397235905864</v>
      </c>
      <c r="AO599">
        <v>8.3226145920487831</v>
      </c>
      <c r="AP599">
        <v>207.92556522282493</v>
      </c>
      <c r="AQ599">
        <v>53.637550458835769</v>
      </c>
      <c r="AR599">
        <v>7.6202845363582856</v>
      </c>
      <c r="AS599">
        <v>102.07711382353204</v>
      </c>
      <c r="AT599" t="e">
        <v>#DIV/0!</v>
      </c>
      <c r="AU599" t="e">
        <v>#DIV/0!</v>
      </c>
      <c r="AV599"/>
      <c r="AW599"/>
      <c r="FY599" s="213">
        <v>594</v>
      </c>
      <c r="FZ599">
        <v>1.596276202757001</v>
      </c>
      <c r="GA599">
        <v>16.817645099432323</v>
      </c>
      <c r="GB599">
        <v>7.5268451036669468</v>
      </c>
      <c r="GC599">
        <v>1.1752886190159173</v>
      </c>
      <c r="GD599">
        <v>1.9880148244801528</v>
      </c>
      <c r="GE599">
        <v>2.4966078219006045</v>
      </c>
      <c r="GF599">
        <v>0.47734812494006024</v>
      </c>
      <c r="GG599">
        <v>1.6506038573502213</v>
      </c>
      <c r="GH599">
        <v>2.1786201516036723</v>
      </c>
      <c r="GI599">
        <v>3.8149018949531786</v>
      </c>
      <c r="GJ599"/>
      <c r="GK599"/>
      <c r="GL599"/>
      <c r="GM599"/>
      <c r="GN599" s="208"/>
      <c r="GO599" s="208"/>
      <c r="GP599" s="208"/>
      <c r="GQ599" s="208"/>
      <c r="GR599" s="208"/>
      <c r="GS599" s="208"/>
      <c r="GT599" s="208"/>
      <c r="GU599" s="213">
        <v>594</v>
      </c>
    </row>
    <row r="600" spans="1:203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26.465209771763568</v>
      </c>
      <c r="AO600">
        <v>9.0632775195299722</v>
      </c>
      <c r="AP600">
        <v>283.27939805877941</v>
      </c>
      <c r="AQ600">
        <v>62.908173905092511</v>
      </c>
      <c r="AR600">
        <v>8.2936144704320949</v>
      </c>
      <c r="AS600">
        <v>89.81134275888941</v>
      </c>
      <c r="AT600" t="e">
        <v>#DIV/0!</v>
      </c>
      <c r="AU600" t="e">
        <v>#DIV/0!</v>
      </c>
      <c r="AV600"/>
      <c r="AW600"/>
      <c r="FY600" s="213">
        <v>595</v>
      </c>
      <c r="FZ600">
        <v>2.1834373233262436</v>
      </c>
      <c r="GA600">
        <v>17.356706569818119</v>
      </c>
      <c r="GB600">
        <v>7.7066461604313137</v>
      </c>
      <c r="GC600">
        <v>1.2527762457071427</v>
      </c>
      <c r="GD600">
        <v>2.4563026063705062</v>
      </c>
      <c r="GE600">
        <v>3.0275157935209793</v>
      </c>
      <c r="GF600">
        <v>0</v>
      </c>
      <c r="GG600">
        <v>7.8348453904893987</v>
      </c>
      <c r="GH600">
        <v>11.104939639324964</v>
      </c>
      <c r="GI600">
        <v>5.5599892189340832</v>
      </c>
      <c r="GJ600"/>
      <c r="GK600"/>
      <c r="GL600"/>
      <c r="GM600"/>
      <c r="GN600" s="208"/>
      <c r="GO600" s="208"/>
      <c r="GP600" s="208"/>
      <c r="GQ600" s="208"/>
      <c r="GR600" s="208"/>
      <c r="GS600" s="208"/>
      <c r="GT600" s="208"/>
      <c r="GU600" s="213">
        <v>595</v>
      </c>
    </row>
    <row r="601" spans="1:203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30.49413314176245</v>
      </c>
      <c r="AO601">
        <v>6.2616504443884589</v>
      </c>
      <c r="AP601">
        <v>287.86502666985763</v>
      </c>
      <c r="AQ601">
        <v>38.528053580890216</v>
      </c>
      <c r="AR601">
        <v>5.7466807657579926</v>
      </c>
      <c r="AS601">
        <v>73.870483402562471</v>
      </c>
      <c r="AT601" t="e">
        <v>#DIV/0!</v>
      </c>
      <c r="AU601" t="e">
        <v>#DIV/0!</v>
      </c>
      <c r="AV601"/>
      <c r="AW601"/>
      <c r="FY601" s="213">
        <v>596</v>
      </c>
      <c r="FZ601">
        <v>5.3759897288402456</v>
      </c>
      <c r="GA601">
        <v>14.533115549884482</v>
      </c>
      <c r="GB601">
        <v>4.3809665513601939</v>
      </c>
      <c r="GC601">
        <v>1.4852391257808188</v>
      </c>
      <c r="GD601">
        <v>1.401668069646981</v>
      </c>
      <c r="GE601">
        <v>0.81790653622975862</v>
      </c>
      <c r="GF601">
        <v>0.47734812494006024</v>
      </c>
      <c r="GG601">
        <v>0.61182441540702126</v>
      </c>
      <c r="GH601">
        <v>0.80814523075352618</v>
      </c>
      <c r="GI601">
        <v>2.9416270215676192</v>
      </c>
      <c r="GJ601"/>
      <c r="GK601"/>
      <c r="GL601"/>
      <c r="GM601"/>
      <c r="GN601" s="208"/>
      <c r="GO601" s="208"/>
      <c r="GP601" s="208"/>
      <c r="GQ601" s="208"/>
      <c r="GR601" s="208"/>
      <c r="GS601" s="208"/>
      <c r="GT601" s="208"/>
      <c r="GU601" s="213">
        <v>596</v>
      </c>
    </row>
    <row r="602" spans="1:203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17.134681583476763</v>
      </c>
      <c r="AO602">
        <v>5.6144360933501574</v>
      </c>
      <c r="AP602">
        <v>156.98196501616073</v>
      </c>
      <c r="AQ602">
        <v>37.851458219518847</v>
      </c>
      <c r="AR602">
        <v>5.2668466247146863</v>
      </c>
      <c r="AS602">
        <v>47.737337071756556</v>
      </c>
      <c r="AT602" t="e">
        <v>#DIV/0!</v>
      </c>
      <c r="AU602" t="e">
        <v>#DIV/0!</v>
      </c>
      <c r="AV602"/>
      <c r="AW602"/>
      <c r="FY602" s="213">
        <v>597</v>
      </c>
      <c r="FZ602">
        <v>5.3759897288402456</v>
      </c>
      <c r="GA602">
        <v>25.813209841721292</v>
      </c>
      <c r="GB602">
        <v>10.142267708957329</v>
      </c>
      <c r="GC602">
        <v>0.53976406905949814</v>
      </c>
      <c r="GD602">
        <v>2.751417306652217</v>
      </c>
      <c r="GE602">
        <v>5.0320966698650507</v>
      </c>
      <c r="GF602">
        <v>0.47734812494006024</v>
      </c>
      <c r="GG602">
        <v>5.3313121730014954</v>
      </c>
      <c r="GH602">
        <v>7.695593356931842</v>
      </c>
      <c r="GI602">
        <v>6.4008357558232811</v>
      </c>
      <c r="GJ602"/>
      <c r="GK602"/>
      <c r="GL602"/>
      <c r="GM602"/>
      <c r="GN602" s="208"/>
      <c r="GO602" s="208"/>
      <c r="GP602" s="208"/>
      <c r="GQ602" s="208"/>
      <c r="GR602" s="208"/>
      <c r="GS602" s="208"/>
      <c r="GT602" s="208"/>
      <c r="GU602" s="213">
        <v>597</v>
      </c>
    </row>
    <row r="603" spans="1:203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16.768610154905339</v>
      </c>
      <c r="AO603">
        <v>4.6837213730776384</v>
      </c>
      <c r="AP603">
        <v>271.75457933345183</v>
      </c>
      <c r="AQ603">
        <v>35.161996171159963</v>
      </c>
      <c r="AR603">
        <v>4.2579285209796724</v>
      </c>
      <c r="AS603">
        <v>48.30124793418247</v>
      </c>
      <c r="AT603" t="e">
        <v>#DIV/0!</v>
      </c>
      <c r="AU603" t="e">
        <v>#DIV/0!</v>
      </c>
      <c r="AV603"/>
      <c r="AW603"/>
      <c r="FY603" s="213">
        <v>598</v>
      </c>
      <c r="FZ603">
        <v>0.58716112056924263</v>
      </c>
      <c r="GA603">
        <v>14.231932378549914</v>
      </c>
      <c r="GB603">
        <v>6.9795750151450404</v>
      </c>
      <c r="GC603">
        <v>2.1133839017666447</v>
      </c>
      <c r="GD603">
        <v>1.6251829829472926</v>
      </c>
      <c r="GE603">
        <v>0</v>
      </c>
      <c r="GF603">
        <v>0</v>
      </c>
      <c r="GG603">
        <v>4.3699740025436906</v>
      </c>
      <c r="GH603">
        <v>6.2079225456259284</v>
      </c>
      <c r="GI603">
        <v>3.8283436569486504</v>
      </c>
      <c r="GJ603"/>
      <c r="GK603"/>
      <c r="GL603"/>
      <c r="GM603"/>
      <c r="GN603" s="208"/>
      <c r="GO603" s="208"/>
      <c r="GP603" s="208"/>
      <c r="GQ603" s="208"/>
      <c r="GR603" s="208"/>
      <c r="GS603" s="208"/>
      <c r="GT603" s="208"/>
      <c r="GU603" s="213">
        <v>598</v>
      </c>
    </row>
    <row r="604" spans="1:203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20.796216475095783</v>
      </c>
      <c r="AO604">
        <v>5.7459338142815266</v>
      </c>
      <c r="AP604">
        <v>101.3726110122531</v>
      </c>
      <c r="AQ604">
        <v>43.11352122244277</v>
      </c>
      <c r="AR604">
        <v>5.2235761948013879</v>
      </c>
      <c r="AS604">
        <v>69.398652789674728</v>
      </c>
      <c r="AT604" t="e">
        <v>#DIV/0!</v>
      </c>
      <c r="AU604" t="e">
        <v>#DIV/0!</v>
      </c>
      <c r="AV604"/>
      <c r="AW604"/>
      <c r="FY604" s="213">
        <v>599</v>
      </c>
      <c r="FZ604">
        <v>1.1743222411384853</v>
      </c>
      <c r="GA604">
        <v>12.746957054486746</v>
      </c>
      <c r="GB604">
        <v>6.3605557170805653</v>
      </c>
      <c r="GC604">
        <v>1.2527762457071427</v>
      </c>
      <c r="GD604">
        <v>1.2228259551820233</v>
      </c>
      <c r="GE604">
        <v>1.1105895109870174</v>
      </c>
      <c r="GF604">
        <v>0.95469624988012047</v>
      </c>
      <c r="GG604">
        <v>1.3303875874480875</v>
      </c>
      <c r="GH604">
        <v>1.7568728840312078</v>
      </c>
      <c r="GI604">
        <v>2.9475526312168525</v>
      </c>
      <c r="GJ604"/>
      <c r="GK604"/>
      <c r="GL604"/>
      <c r="GM604"/>
      <c r="GN604" s="208"/>
      <c r="GO604" s="208"/>
      <c r="GP604" s="208"/>
      <c r="GQ604" s="208"/>
      <c r="GR604" s="208"/>
      <c r="GS604" s="208"/>
      <c r="GT604" s="208"/>
      <c r="GU604" s="213">
        <v>599</v>
      </c>
    </row>
    <row r="605" spans="1:203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41.345256024096393</v>
      </c>
      <c r="AO605">
        <v>9.0636353232123774</v>
      </c>
      <c r="AP605">
        <v>248.3848606119636</v>
      </c>
      <c r="AQ605">
        <v>57.085738539169</v>
      </c>
      <c r="AR605">
        <v>8.2396684756476155</v>
      </c>
      <c r="AS605">
        <v>101.25816640648894</v>
      </c>
      <c r="AT605" t="e">
        <v>#DIV/0!</v>
      </c>
      <c r="AU605" t="e">
        <v>#DIV/0!</v>
      </c>
      <c r="AV605"/>
      <c r="AW605"/>
      <c r="FY605" s="213">
        <v>600</v>
      </c>
      <c r="FZ605">
        <v>3.192552405514002</v>
      </c>
      <c r="GA605">
        <v>20.685936171651242</v>
      </c>
      <c r="GB605">
        <v>8.2613574798107567</v>
      </c>
      <c r="GC605">
        <v>2.0358962750754199</v>
      </c>
      <c r="GD605">
        <v>3.0683189127573867</v>
      </c>
      <c r="GE605">
        <v>3.340096322623197</v>
      </c>
      <c r="GF605">
        <v>0.47734812494006024</v>
      </c>
      <c r="GG605">
        <v>2.3967944608538589</v>
      </c>
      <c r="GH605">
        <v>3.2687638598689679</v>
      </c>
      <c r="GI605">
        <v>5.046420104246172</v>
      </c>
      <c r="GJ605"/>
      <c r="GK605"/>
      <c r="GL605"/>
      <c r="GM605"/>
      <c r="GN605" s="208"/>
      <c r="GO605" s="208"/>
      <c r="GP605" s="208"/>
      <c r="GQ605" s="208"/>
      <c r="GR605" s="208"/>
      <c r="GS605" s="208"/>
      <c r="GT605" s="208"/>
      <c r="GU605" s="213">
        <v>600</v>
      </c>
    </row>
    <row r="606" spans="1:203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27.241089357429718</v>
      </c>
      <c r="AO606">
        <v>6.5430942627682596</v>
      </c>
      <c r="AP606">
        <v>245.57812167299161</v>
      </c>
      <c r="AQ606">
        <v>38.404668027811304</v>
      </c>
      <c r="AR606">
        <v>6.1110813241856894</v>
      </c>
      <c r="AS606">
        <v>87.046475492135983</v>
      </c>
      <c r="AT606" t="e">
        <v>#DIV/0!</v>
      </c>
      <c r="AU606" t="e">
        <v>#DIV/0!</v>
      </c>
      <c r="AV606"/>
      <c r="AW606"/>
      <c r="FY606" s="213">
        <v>601</v>
      </c>
      <c r="FZ606">
        <v>2.7705984438954863</v>
      </c>
      <c r="GA606">
        <v>19.172118914861269</v>
      </c>
      <c r="GB606">
        <v>8.5821320459560173</v>
      </c>
      <c r="GC606">
        <v>0.68735954847135594</v>
      </c>
      <c r="GD606">
        <v>2.1806420355892753</v>
      </c>
      <c r="GE606">
        <v>3.3494262881027748</v>
      </c>
      <c r="GF606">
        <v>0</v>
      </c>
      <c r="GG606">
        <v>3.5699400908936756</v>
      </c>
      <c r="GH606">
        <v>4.9212372582308834</v>
      </c>
      <c r="GI606">
        <v>4.6917832338708578</v>
      </c>
      <c r="GJ606"/>
      <c r="GK606"/>
      <c r="GL606"/>
      <c r="GM606"/>
      <c r="GN606" s="208"/>
      <c r="GO606" s="208"/>
      <c r="GP606" s="208"/>
      <c r="GQ606" s="208"/>
      <c r="GR606" s="208"/>
      <c r="GS606" s="208"/>
      <c r="GT606" s="208"/>
      <c r="GU606" s="213">
        <v>601</v>
      </c>
    </row>
    <row r="607" spans="1:203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30.632697044334975</v>
      </c>
      <c r="AO607">
        <v>6.0456163585970035</v>
      </c>
      <c r="AP607">
        <v>325.0833995988001</v>
      </c>
      <c r="AQ607">
        <v>40.267796070150027</v>
      </c>
      <c r="AR607">
        <v>5.4960148714518215</v>
      </c>
      <c r="AS607">
        <v>74.628529514117105</v>
      </c>
      <c r="AT607" t="e">
        <v>#DIV/0!</v>
      </c>
      <c r="AU607" t="e">
        <v>#DIV/0!</v>
      </c>
      <c r="AV607"/>
      <c r="AW607"/>
      <c r="FY607" s="213">
        <v>602</v>
      </c>
      <c r="FZ607">
        <v>0</v>
      </c>
      <c r="GA607">
        <v>17.104247154466758</v>
      </c>
      <c r="GB607">
        <v>8.4754026994613145</v>
      </c>
      <c r="GC607">
        <v>2.2165241566341582</v>
      </c>
      <c r="GD607">
        <v>2.2381105271304724</v>
      </c>
      <c r="GE607">
        <v>1.3740589487514896</v>
      </c>
      <c r="GF607">
        <v>0.47734812494006024</v>
      </c>
      <c r="GG607">
        <v>2.3984645145399348</v>
      </c>
      <c r="GH607">
        <v>3.3851261178612746</v>
      </c>
      <c r="GI607">
        <v>4.0861112970101665</v>
      </c>
      <c r="GJ607"/>
      <c r="GK607"/>
      <c r="GL607"/>
      <c r="GM607"/>
      <c r="GN607" s="208"/>
      <c r="GO607" s="208"/>
      <c r="GP607" s="208"/>
      <c r="GQ607" s="208"/>
      <c r="GR607" s="208"/>
      <c r="GS607" s="208"/>
      <c r="GT607" s="208"/>
      <c r="GU607" s="213">
        <v>602</v>
      </c>
    </row>
    <row r="608" spans="1:203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21.588139709906951</v>
      </c>
      <c r="AO608">
        <v>6.1984122490177302</v>
      </c>
      <c r="AP608">
        <v>360.34581740939893</v>
      </c>
      <c r="AQ608">
        <v>44.876173854236661</v>
      </c>
      <c r="AR608">
        <v>5.6349202263797542</v>
      </c>
      <c r="AS608">
        <v>71.537715769326795</v>
      </c>
      <c r="AT608" t="e">
        <v>#DIV/0!</v>
      </c>
      <c r="AU608" t="e">
        <v>#DIV/0!</v>
      </c>
      <c r="AV608"/>
      <c r="AW608"/>
      <c r="FY608" s="213">
        <v>603</v>
      </c>
      <c r="FZ608">
        <v>2.1834373233262436</v>
      </c>
      <c r="GA608">
        <v>16.402149412419568</v>
      </c>
      <c r="GB608">
        <v>7.2228846790272172</v>
      </c>
      <c r="GC608">
        <v>1.4003717251190004</v>
      </c>
      <c r="GD608">
        <v>2.2369370857172362</v>
      </c>
      <c r="GE608">
        <v>3.2271693222482307</v>
      </c>
      <c r="GF608">
        <v>1.432044374820181</v>
      </c>
      <c r="GG608">
        <v>1.7849700454468378</v>
      </c>
      <c r="GH608">
        <v>2.4606186291154417</v>
      </c>
      <c r="GI608">
        <v>4.1214411094515713</v>
      </c>
      <c r="GJ608"/>
      <c r="GK608"/>
      <c r="GL608"/>
      <c r="GM608"/>
      <c r="GN608" s="208"/>
      <c r="GO608" s="208"/>
      <c r="GP608" s="208"/>
      <c r="GQ608" s="208"/>
      <c r="GR608" s="208"/>
      <c r="GS608" s="208"/>
      <c r="GT608" s="208"/>
      <c r="GU608" s="213">
        <v>603</v>
      </c>
    </row>
    <row r="609" spans="1:203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28.512743296667786</v>
      </c>
      <c r="AO609">
        <v>7.2269406493945869</v>
      </c>
      <c r="AP609">
        <v>141.09767798113225</v>
      </c>
      <c r="AQ609">
        <v>58.054676204110159</v>
      </c>
      <c r="AR609">
        <v>6.5699460449041682</v>
      </c>
      <c r="AS609">
        <v>80.327446578239844</v>
      </c>
      <c r="AT609" t="e">
        <v>#DIV/0!</v>
      </c>
      <c r="AU609" t="e">
        <v>#DIV/0!</v>
      </c>
      <c r="AV609"/>
      <c r="AW609"/>
      <c r="FY609" s="213">
        <v>604</v>
      </c>
      <c r="FZ609">
        <v>2.1834373233262436</v>
      </c>
      <c r="GA609">
        <v>10.784123502789553</v>
      </c>
      <c r="GB609">
        <v>4.4189313296751536</v>
      </c>
      <c r="GC609">
        <v>1.5035119799865142</v>
      </c>
      <c r="GD609">
        <v>1.6564604254862259</v>
      </c>
      <c r="GE609">
        <v>1.0136049516973293</v>
      </c>
      <c r="GF609">
        <v>0</v>
      </c>
      <c r="GG609">
        <v>3.0086188762608805</v>
      </c>
      <c r="GH609">
        <v>4.0769090906224941</v>
      </c>
      <c r="GI609">
        <v>3.0457052546199499</v>
      </c>
      <c r="GJ609"/>
      <c r="GK609"/>
      <c r="GL609"/>
      <c r="GM609"/>
      <c r="GN609" s="208"/>
      <c r="GO609" s="208"/>
      <c r="GP609" s="208"/>
      <c r="GQ609" s="208"/>
      <c r="GR609" s="208"/>
      <c r="GS609" s="208"/>
      <c r="GT609" s="208"/>
      <c r="GU609" s="213">
        <v>604</v>
      </c>
    </row>
    <row r="610" spans="1:203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25.168361665051009</v>
      </c>
      <c r="AO610">
        <v>5.862473244768065</v>
      </c>
      <c r="AP610">
        <v>112.10440581479106</v>
      </c>
      <c r="AQ610">
        <v>39.722151700100078</v>
      </c>
      <c r="AR610">
        <v>5.3295211316073319</v>
      </c>
      <c r="AS610">
        <v>71.988558403707358</v>
      </c>
      <c r="AT610" t="e">
        <v>#DIV/0!</v>
      </c>
      <c r="AU610" t="e">
        <v>#DIV/0!</v>
      </c>
      <c r="AV610"/>
      <c r="AW610"/>
      <c r="FY610" s="213">
        <v>605</v>
      </c>
      <c r="FZ610">
        <v>3.192552405514002</v>
      </c>
      <c r="GA610">
        <v>18.463049411527908</v>
      </c>
      <c r="GB610">
        <v>7.3675788038368832</v>
      </c>
      <c r="GC610">
        <v>1.4704795778396331</v>
      </c>
      <c r="GD610">
        <v>1.9493617536332786</v>
      </c>
      <c r="GE610">
        <v>3.1208408146472149</v>
      </c>
      <c r="GF610">
        <v>2.3867406247003013</v>
      </c>
      <c r="GG610">
        <v>0.71856317204106601</v>
      </c>
      <c r="GH610">
        <v>0.94872765327768138</v>
      </c>
      <c r="GI610">
        <v>4.0736067771048532</v>
      </c>
      <c r="GJ610"/>
      <c r="GK610"/>
      <c r="GL610"/>
      <c r="GM610"/>
      <c r="GN610" s="208"/>
      <c r="GO610" s="208"/>
      <c r="GP610" s="208"/>
      <c r="GQ610" s="208"/>
      <c r="GR610" s="208"/>
      <c r="GS610" s="208"/>
      <c r="GT610" s="208"/>
      <c r="GU610" s="213">
        <v>605</v>
      </c>
    </row>
    <row r="611" spans="1:203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32.374435962239765</v>
      </c>
      <c r="AO611">
        <v>8.8055169342119601</v>
      </c>
      <c r="AP611">
        <v>240.78869652871094</v>
      </c>
      <c r="AQ611">
        <v>58.483158947922753</v>
      </c>
      <c r="AR611">
        <v>8.0592866655975381</v>
      </c>
      <c r="AS611">
        <v>82.521751741745803</v>
      </c>
      <c r="AT611" t="e">
        <v>#DIV/0!</v>
      </c>
      <c r="AU611" t="e">
        <v>#DIV/0!</v>
      </c>
      <c r="AV611"/>
      <c r="AW611"/>
      <c r="FY611" s="213">
        <v>606</v>
      </c>
      <c r="FZ611">
        <v>1.596276202757001</v>
      </c>
      <c r="GA611">
        <v>23.288504924774365</v>
      </c>
      <c r="GB611">
        <v>10.436855222949058</v>
      </c>
      <c r="GC611">
        <v>1.5479672045308583</v>
      </c>
      <c r="GD611">
        <v>1.8165368097918888</v>
      </c>
      <c r="GE611">
        <v>1.2677444239822235</v>
      </c>
      <c r="GF611">
        <v>0</v>
      </c>
      <c r="GG611">
        <v>8.7961835609472008</v>
      </c>
      <c r="GH611">
        <v>12.592610450630875</v>
      </c>
      <c r="GI611">
        <v>6.0505402921807594</v>
      </c>
      <c r="GJ611"/>
      <c r="GK611"/>
      <c r="GL611"/>
      <c r="GM611"/>
      <c r="GN611" s="208"/>
      <c r="GO611" s="208"/>
      <c r="GP611" s="208"/>
      <c r="GQ611" s="208"/>
      <c r="GR611" s="208"/>
      <c r="GS611" s="208"/>
      <c r="GT611" s="208"/>
      <c r="GU611" s="213">
        <v>606</v>
      </c>
    </row>
    <row r="612" spans="1:203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24.535799808429118</v>
      </c>
      <c r="AO612">
        <v>4.4691021962592377</v>
      </c>
      <c r="AP612">
        <v>66.979604310623799</v>
      </c>
      <c r="AQ612">
        <v>32.833830354410708</v>
      </c>
      <c r="AR612">
        <v>4.1170914492768826</v>
      </c>
      <c r="AS612">
        <v>61.566287503862632</v>
      </c>
      <c r="AT612" t="e">
        <v>#DIV/0!</v>
      </c>
      <c r="AU612" t="e">
        <v>#DIV/0!</v>
      </c>
      <c r="AV612"/>
      <c r="AW612"/>
      <c r="FY612" s="213">
        <v>607</v>
      </c>
      <c r="FZ612">
        <v>2.1834373233262436</v>
      </c>
      <c r="GA612">
        <v>15.192427836632524</v>
      </c>
      <c r="GB612">
        <v>6.6492079926339525</v>
      </c>
      <c r="GC612">
        <v>2.3641196360460164</v>
      </c>
      <c r="GD612">
        <v>2.636134399240623</v>
      </c>
      <c r="GE612">
        <v>2.8281578398899558</v>
      </c>
      <c r="GF612">
        <v>1.9093924997602409</v>
      </c>
      <c r="GG612">
        <v>3.0086188762608805</v>
      </c>
      <c r="GH612">
        <v>4.0769090906224941</v>
      </c>
      <c r="GI612">
        <v>4.5493808605182737</v>
      </c>
      <c r="GJ612"/>
      <c r="GK612"/>
      <c r="GL612"/>
      <c r="GM612"/>
      <c r="GN612" s="208"/>
      <c r="GO612" s="208"/>
      <c r="GP612" s="208"/>
      <c r="GQ612" s="208"/>
      <c r="GR612" s="208"/>
      <c r="GS612" s="208"/>
      <c r="GT612" s="208"/>
      <c r="GU612" s="213">
        <v>607</v>
      </c>
    </row>
    <row r="613" spans="1:203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32.785799808429111</v>
      </c>
      <c r="AO613">
        <v>10.068132305853883</v>
      </c>
      <c r="AP613">
        <v>194.35167379369827</v>
      </c>
      <c r="AQ613">
        <v>69.559834735792307</v>
      </c>
      <c r="AR613">
        <v>9.2071188216356514</v>
      </c>
      <c r="AS613">
        <v>116.27411565067194</v>
      </c>
      <c r="AT613" t="e">
        <v>#DIV/0!</v>
      </c>
      <c r="AU613" t="e">
        <v>#DIV/0!</v>
      </c>
      <c r="AV613"/>
      <c r="AW613"/>
      <c r="FY613" s="213">
        <v>608</v>
      </c>
      <c r="FZ613">
        <v>1.1743222411384853</v>
      </c>
      <c r="GA613">
        <v>13.122884533802999</v>
      </c>
      <c r="GB613">
        <v>6.4599706277203017</v>
      </c>
      <c r="GC613">
        <v>1.9401357941784985</v>
      </c>
      <c r="GD613">
        <v>3.1106243680256815</v>
      </c>
      <c r="GE613">
        <v>3.2816552658058735</v>
      </c>
      <c r="GF613">
        <v>0</v>
      </c>
      <c r="GG613">
        <v>0.71856317204106601</v>
      </c>
      <c r="GH613">
        <v>0.94872765327768138</v>
      </c>
      <c r="GI613">
        <v>3.8175118350038719</v>
      </c>
      <c r="GJ613"/>
      <c r="GK613"/>
      <c r="GL613"/>
      <c r="GM613"/>
      <c r="GN613" s="208"/>
      <c r="GO613" s="208"/>
      <c r="GP613" s="208"/>
      <c r="GQ613" s="208"/>
      <c r="GR613" s="208"/>
      <c r="GS613" s="208"/>
      <c r="GT613" s="208"/>
      <c r="GU613" s="213">
        <v>608</v>
      </c>
    </row>
    <row r="614" spans="1:203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27.391540093048711</v>
      </c>
      <c r="AO614">
        <v>6.0459199529446597</v>
      </c>
      <c r="AP614">
        <v>344.6537966810269</v>
      </c>
      <c r="AQ614">
        <v>39.943475604096406</v>
      </c>
      <c r="AR614">
        <v>5.5505621371727196</v>
      </c>
      <c r="AS614">
        <v>93.085773117864534</v>
      </c>
      <c r="AT614" t="e">
        <v>#DIV/0!</v>
      </c>
      <c r="AU614" t="e">
        <v>#DIV/0!</v>
      </c>
      <c r="AV614"/>
      <c r="AW614"/>
      <c r="FY614" s="213">
        <v>609</v>
      </c>
      <c r="FZ614">
        <v>2.7705984438954863</v>
      </c>
      <c r="GA614">
        <v>19.867037388991054</v>
      </c>
      <c r="GB614">
        <v>9.0271293774779284</v>
      </c>
      <c r="GC614">
        <v>1.1570157648102217</v>
      </c>
      <c r="GD614">
        <v>2.56684662314332</v>
      </c>
      <c r="GE614">
        <v>3.9892641983431849</v>
      </c>
      <c r="GF614">
        <v>0.95469624988012047</v>
      </c>
      <c r="GG614">
        <v>3.7581495871366699</v>
      </c>
      <c r="GH614">
        <v>5.3997773148724022</v>
      </c>
      <c r="GI614">
        <v>5.3485727601193398</v>
      </c>
      <c r="GJ614"/>
      <c r="GK614"/>
      <c r="GL614"/>
      <c r="GM614"/>
      <c r="GN614" s="208"/>
      <c r="GO614" s="208"/>
      <c r="GP614" s="208"/>
      <c r="GQ614" s="208"/>
      <c r="GR614" s="208"/>
      <c r="GS614" s="208"/>
      <c r="GT614" s="208"/>
      <c r="GU614" s="213">
        <v>609</v>
      </c>
    </row>
    <row r="615" spans="1:203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25.114019295573094</v>
      </c>
      <c r="AO615">
        <v>4.3848885645950064</v>
      </c>
      <c r="AP615">
        <v>217.08688436544045</v>
      </c>
      <c r="AQ615">
        <v>30.857536077158251</v>
      </c>
      <c r="AR615">
        <v>4.094804873168794</v>
      </c>
      <c r="AS615">
        <v>68.857667257694104</v>
      </c>
      <c r="AT615" t="e">
        <v>#DIV/0!</v>
      </c>
      <c r="AU615" t="e">
        <v>#DIV/0!</v>
      </c>
      <c r="AV615"/>
      <c r="AW615"/>
      <c r="FY615" s="213">
        <v>610</v>
      </c>
      <c r="FZ615">
        <v>2.1834373233262436</v>
      </c>
      <c r="GA615">
        <v>14.830760685637834</v>
      </c>
      <c r="GB615">
        <v>6.379584481595673</v>
      </c>
      <c r="GC615">
        <v>1.6254548312220838</v>
      </c>
      <c r="GD615">
        <v>3.1192999329758218</v>
      </c>
      <c r="GE615">
        <v>3.7935797657073644</v>
      </c>
      <c r="GF615">
        <v>0</v>
      </c>
      <c r="GG615">
        <v>2.3967944608538589</v>
      </c>
      <c r="GH615">
        <v>3.2687638598689679</v>
      </c>
      <c r="GI615">
        <v>4.3868877225605161</v>
      </c>
      <c r="GJ615"/>
      <c r="GK615"/>
      <c r="GL615"/>
      <c r="GM615"/>
      <c r="GN615" s="208"/>
      <c r="GO615" s="208"/>
      <c r="GP615" s="208"/>
      <c r="GQ615" s="208"/>
      <c r="GR615" s="208"/>
      <c r="GS615" s="208"/>
      <c r="GT615" s="208"/>
      <c r="GU615" s="213">
        <v>610</v>
      </c>
    </row>
    <row r="616" spans="1:203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37.689073617952928</v>
      </c>
      <c r="AO616">
        <v>7.8815558247970712</v>
      </c>
      <c r="AP616">
        <v>184.70417588197313</v>
      </c>
      <c r="AQ616">
        <v>51.773484117341063</v>
      </c>
      <c r="AR616">
        <v>7.1650507498155189</v>
      </c>
      <c r="AS616">
        <v>96.964722686837987</v>
      </c>
      <c r="AT616" t="e">
        <v>#DIV/0!</v>
      </c>
      <c r="AU616" t="e">
        <v>#DIV/0!</v>
      </c>
      <c r="AV616"/>
      <c r="AW616"/>
      <c r="FY616" s="213">
        <v>611</v>
      </c>
      <c r="FZ616">
        <v>2.1834373233262436</v>
      </c>
      <c r="GA616">
        <v>20.126676072259826</v>
      </c>
      <c r="GB616">
        <v>9.0658935273601138</v>
      </c>
      <c r="GC616">
        <v>2.4981727174436923</v>
      </c>
      <c r="GD616">
        <v>3.2898752044548041</v>
      </c>
      <c r="GE616">
        <v>3.3653407635245527</v>
      </c>
      <c r="GF616">
        <v>0.95469624988012047</v>
      </c>
      <c r="GG616">
        <v>1.3303875874480875</v>
      </c>
      <c r="GH616">
        <v>1.7568728840312078</v>
      </c>
      <c r="GI616">
        <v>5.0953242161843812</v>
      </c>
      <c r="GJ616"/>
      <c r="GK616"/>
      <c r="GL616"/>
      <c r="GM616"/>
      <c r="GN616" s="208"/>
      <c r="GO616" s="208"/>
      <c r="GP616" s="208"/>
      <c r="GQ616" s="208"/>
      <c r="GR616" s="208"/>
      <c r="GS616" s="208"/>
      <c r="GT616" s="208"/>
      <c r="GU616" s="213">
        <v>611</v>
      </c>
    </row>
    <row r="617" spans="1:203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26.663690476190471</v>
      </c>
      <c r="AO617">
        <v>7.1917352835899191</v>
      </c>
      <c r="AP617">
        <v>114.021705918045</v>
      </c>
      <c r="AQ617">
        <v>49.925237859871594</v>
      </c>
      <c r="AR617">
        <v>6.646483708618713</v>
      </c>
      <c r="AS617">
        <v>78.416918957892747</v>
      </c>
      <c r="AT617" t="e">
        <v>#DIV/0!</v>
      </c>
      <c r="AU617" t="e">
        <v>#DIV/0!</v>
      </c>
      <c r="AV617"/>
      <c r="AW617"/>
      <c r="FY617" s="213">
        <v>612</v>
      </c>
      <c r="FZ617">
        <v>0.58716112056924263</v>
      </c>
      <c r="GA617">
        <v>17.452796736859977</v>
      </c>
      <c r="GB617">
        <v>8.7516340255025913</v>
      </c>
      <c r="GC617">
        <v>1.5479672045308583</v>
      </c>
      <c r="GD617">
        <v>3.3093888701429082</v>
      </c>
      <c r="GE617">
        <v>4.8806261670177209</v>
      </c>
      <c r="GF617">
        <v>0.95469624988012047</v>
      </c>
      <c r="GG617">
        <v>5.9667345517475345</v>
      </c>
      <c r="GH617">
        <v>8.1900011180998522</v>
      </c>
      <c r="GI617">
        <v>5.7536560620565531</v>
      </c>
      <c r="GJ617"/>
      <c r="GK617"/>
      <c r="GL617"/>
      <c r="GM617"/>
      <c r="GN617" s="208"/>
      <c r="GO617" s="208"/>
      <c r="GP617" s="208"/>
      <c r="GQ617" s="208"/>
      <c r="GR617" s="208"/>
      <c r="GS617" s="208"/>
      <c r="GT617" s="208"/>
      <c r="GU617" s="213">
        <v>612</v>
      </c>
    </row>
    <row r="618" spans="1:203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33.724805832525504</v>
      </c>
      <c r="AO618">
        <v>6.3655451569879817</v>
      </c>
      <c r="AP618">
        <v>335.62401984182617</v>
      </c>
      <c r="AQ618">
        <v>41.755393540795637</v>
      </c>
      <c r="AR618">
        <v>5.7868592336254379</v>
      </c>
      <c r="AS618">
        <v>83.835619640157802</v>
      </c>
      <c r="AT618" t="e">
        <v>#DIV/0!</v>
      </c>
      <c r="AU618" t="e">
        <v>#DIV/0!</v>
      </c>
      <c r="AV618"/>
      <c r="AW618"/>
      <c r="FY618" s="213">
        <v>613</v>
      </c>
      <c r="FZ618">
        <v>5.9631508494094883</v>
      </c>
      <c r="GA618">
        <v>21.901596048122347</v>
      </c>
      <c r="GB618">
        <v>8.0209056622888379</v>
      </c>
      <c r="GC618">
        <v>1.8626481674872735</v>
      </c>
      <c r="GD618">
        <v>3.1093509837611544</v>
      </c>
      <c r="GE618">
        <v>3.9892641983431849</v>
      </c>
      <c r="GF618">
        <v>0.95469624988012047</v>
      </c>
      <c r="GG618">
        <v>2.6102719741219484</v>
      </c>
      <c r="GH618">
        <v>3.5499287049172779</v>
      </c>
      <c r="GI618">
        <v>5.5972394757924997</v>
      </c>
      <c r="GJ618"/>
      <c r="GK618"/>
      <c r="GL618"/>
      <c r="GM618"/>
      <c r="GN618" s="208"/>
      <c r="GO618" s="208"/>
      <c r="GP618" s="208"/>
      <c r="GQ618" s="208"/>
      <c r="GR618" s="208"/>
      <c r="GS618" s="208"/>
      <c r="GT618" s="208"/>
      <c r="GU618" s="213">
        <v>613</v>
      </c>
    </row>
    <row r="619" spans="1:203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31.517857142857132</v>
      </c>
      <c r="AO619">
        <v>6.2972308712221468</v>
      </c>
      <c r="AP619">
        <v>108.75011552797433</v>
      </c>
      <c r="AQ619">
        <v>42.472023706691537</v>
      </c>
      <c r="AR619">
        <v>5.7790266083340711</v>
      </c>
      <c r="AS619">
        <v>92.59943365618291</v>
      </c>
      <c r="AT619" t="e">
        <v>#DIV/0!</v>
      </c>
      <c r="AU619" t="e">
        <v>#DIV/0!</v>
      </c>
      <c r="AV619"/>
      <c r="AW619"/>
      <c r="FY619" s="213">
        <v>614</v>
      </c>
      <c r="FZ619">
        <v>3.7797135260832437</v>
      </c>
      <c r="GA619">
        <v>15.422300425690365</v>
      </c>
      <c r="GB619">
        <v>5.9118377701298854</v>
      </c>
      <c r="GC619">
        <v>0.91244265457443907</v>
      </c>
      <c r="GD619">
        <v>1.5787485957725431</v>
      </c>
      <c r="GE619">
        <v>1.7796689238837144</v>
      </c>
      <c r="GF619">
        <v>0</v>
      </c>
      <c r="GG619">
        <v>1.6799013424988689</v>
      </c>
      <c r="GH619">
        <v>2.436398464583593</v>
      </c>
      <c r="GI619">
        <v>3.3907107007192971</v>
      </c>
      <c r="GJ619"/>
      <c r="GK619"/>
      <c r="GL619"/>
      <c r="GM619"/>
      <c r="GN619" s="208"/>
      <c r="GO619" s="208"/>
      <c r="GP619" s="208"/>
      <c r="GQ619" s="208"/>
      <c r="GR619" s="208"/>
      <c r="GS619" s="208"/>
      <c r="GT619" s="208"/>
      <c r="GU619" s="213">
        <v>614</v>
      </c>
    </row>
    <row r="620" spans="1:203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24.592432950191572</v>
      </c>
      <c r="AO620">
        <v>4.6228531386274039</v>
      </c>
      <c r="AP620">
        <v>111.71868922688017</v>
      </c>
      <c r="AQ620">
        <v>31.69130273446434</v>
      </c>
      <c r="AR620">
        <v>4.2568650332479425</v>
      </c>
      <c r="AS620">
        <v>57.710312334071965</v>
      </c>
      <c r="AT620" t="e">
        <v>#DIV/0!</v>
      </c>
      <c r="AU620" t="e">
        <v>#DIV/0!</v>
      </c>
      <c r="AV620"/>
      <c r="AW620"/>
      <c r="FY620" s="213">
        <v>615</v>
      </c>
      <c r="FZ620">
        <v>3.3577595644647293</v>
      </c>
      <c r="GA620">
        <v>12.118777178345258</v>
      </c>
      <c r="GB620">
        <v>5.0978020169299576</v>
      </c>
      <c r="GC620">
        <v>1.0600381339862968</v>
      </c>
      <c r="GD620">
        <v>2.3083864030642451</v>
      </c>
      <c r="GE620">
        <v>3.0275157935209793</v>
      </c>
      <c r="GF620">
        <v>0</v>
      </c>
      <c r="GG620">
        <v>5.1447727304445756</v>
      </c>
      <c r="GH620">
        <v>7.3334155582826277</v>
      </c>
      <c r="GI620">
        <v>4.373765955287789</v>
      </c>
      <c r="GJ620"/>
      <c r="GK620"/>
      <c r="GL620"/>
      <c r="GM620"/>
      <c r="GN620" s="208"/>
      <c r="GO620" s="208"/>
      <c r="GP620" s="208"/>
      <c r="GQ620" s="208"/>
      <c r="GR620" s="208"/>
      <c r="GS620" s="208"/>
      <c r="GT620" s="208"/>
      <c r="GU620" s="213">
        <v>615</v>
      </c>
    </row>
    <row r="621" spans="1:203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31.770183772858267</v>
      </c>
      <c r="AO621">
        <v>6.234144811949708</v>
      </c>
      <c r="AP621">
        <v>123.82606976008086</v>
      </c>
      <c r="AQ621">
        <v>43.691500994122819</v>
      </c>
      <c r="AR621">
        <v>5.6674043744997347</v>
      </c>
      <c r="AS621">
        <v>87.132911038539859</v>
      </c>
      <c r="AT621" t="e">
        <v>#DIV/0!</v>
      </c>
      <c r="AU621" t="e">
        <v>#DIV/0!</v>
      </c>
      <c r="AV621"/>
      <c r="AW621"/>
      <c r="FY621" s="213">
        <v>616</v>
      </c>
      <c r="FZ621">
        <v>0.58716112056924263</v>
      </c>
      <c r="GA621">
        <v>13.422091424768276</v>
      </c>
      <c r="GB621">
        <v>6.7032802916024785</v>
      </c>
      <c r="GC621">
        <v>1.2271236175308542</v>
      </c>
      <c r="GD621">
        <v>1.9699255275084731</v>
      </c>
      <c r="GE621">
        <v>2.3743648388778098</v>
      </c>
      <c r="GF621">
        <v>0.47734812494006024</v>
      </c>
      <c r="GG621">
        <v>2.5035332174879037</v>
      </c>
      <c r="GH621">
        <v>3.4093462823931233</v>
      </c>
      <c r="GI621">
        <v>3.6076596594607322</v>
      </c>
      <c r="GJ621"/>
      <c r="GK621"/>
      <c r="GL621"/>
      <c r="GM621"/>
      <c r="GN621" s="208"/>
      <c r="GO621" s="208"/>
      <c r="GP621" s="208"/>
      <c r="GQ621" s="208"/>
      <c r="GR621" s="208"/>
      <c r="GS621" s="208"/>
      <c r="GT621" s="208"/>
      <c r="GU621" s="213">
        <v>616</v>
      </c>
    </row>
    <row r="622" spans="1:203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31.999350439524925</v>
      </c>
      <c r="AO622">
        <v>9.8388543458638171</v>
      </c>
      <c r="AP622">
        <v>301.87685185313819</v>
      </c>
      <c r="AQ622">
        <v>67.393219092544228</v>
      </c>
      <c r="AR622">
        <v>8.9444130416943786</v>
      </c>
      <c r="AS622">
        <v>93.835325942693572</v>
      </c>
      <c r="AT622" t="e">
        <v>#DIV/0!</v>
      </c>
      <c r="AU622" t="e">
        <v>#DIV/0!</v>
      </c>
      <c r="AV622"/>
      <c r="AW622"/>
      <c r="FY622" s="213">
        <v>617</v>
      </c>
      <c r="FZ622">
        <v>0.58716112056924263</v>
      </c>
      <c r="GA622">
        <v>13.316943428847861</v>
      </c>
      <c r="GB622">
        <v>6.7003590477409354</v>
      </c>
      <c r="GC622">
        <v>1.4704795778396331</v>
      </c>
      <c r="GD622">
        <v>2.7827604343620957</v>
      </c>
      <c r="GE622">
        <v>3.3494262881027748</v>
      </c>
      <c r="GF622">
        <v>0</v>
      </c>
      <c r="GG622">
        <v>4.0766958033527283</v>
      </c>
      <c r="GH622">
        <v>5.7051623244525604</v>
      </c>
      <c r="GI622">
        <v>4.3441385952693903</v>
      </c>
      <c r="GJ622"/>
      <c r="GK622"/>
      <c r="GL622"/>
      <c r="GM622"/>
      <c r="GN622" s="208"/>
      <c r="GO622" s="208"/>
      <c r="GP622" s="208"/>
      <c r="GQ622" s="208"/>
      <c r="GR622" s="208"/>
      <c r="GS622" s="208"/>
      <c r="GT622" s="208"/>
      <c r="GU622" s="213">
        <v>617</v>
      </c>
    </row>
    <row r="623" spans="1:203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38.047790093048704</v>
      </c>
      <c r="AO623">
        <v>6.9194149809480008</v>
      </c>
      <c r="AP623">
        <v>156.79942503464457</v>
      </c>
      <c r="AQ623">
        <v>45.397786354931206</v>
      </c>
      <c r="AR623">
        <v>6.3446485262666679</v>
      </c>
      <c r="AS623">
        <v>97.575766083032804</v>
      </c>
      <c r="AT623" t="e">
        <v>#DIV/0!</v>
      </c>
      <c r="AU623" t="e">
        <v>#DIV/0!</v>
      </c>
      <c r="AV623"/>
      <c r="AW623"/>
      <c r="FY623" s="213">
        <v>618</v>
      </c>
      <c r="FZ623">
        <v>0.58716112056924263</v>
      </c>
      <c r="GA623">
        <v>17.933872212096649</v>
      </c>
      <c r="GB623">
        <v>8.8539701800038717</v>
      </c>
      <c r="GC623">
        <v>1.79870293881023</v>
      </c>
      <c r="GD623">
        <v>3.3429453699874454</v>
      </c>
      <c r="GE623">
        <v>3.9733497229214074</v>
      </c>
      <c r="GF623">
        <v>0</v>
      </c>
      <c r="GG623">
        <v>3.4648713879457071</v>
      </c>
      <c r="GH623">
        <v>4.8970170936990343</v>
      </c>
      <c r="GI623">
        <v>5.1241766231243897</v>
      </c>
      <c r="GJ623"/>
      <c r="GK623"/>
      <c r="GL623"/>
      <c r="GM623"/>
      <c r="GN623" s="208"/>
      <c r="GO623" s="208"/>
      <c r="GP623" s="208"/>
      <c r="GQ623" s="208"/>
      <c r="GR623" s="208"/>
      <c r="GS623" s="208"/>
      <c r="GT623" s="208"/>
      <c r="GU623" s="213">
        <v>618</v>
      </c>
    </row>
    <row r="624" spans="1:203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35.075243296667793</v>
      </c>
      <c r="AO624">
        <v>5.7573324117104736</v>
      </c>
      <c r="AP624">
        <v>240.48693552869784</v>
      </c>
      <c r="AQ624">
        <v>34.574395490994462</v>
      </c>
      <c r="AR624">
        <v>5.342481097819217</v>
      </c>
      <c r="AS624">
        <v>83.52849619113023</v>
      </c>
      <c r="AT624" t="e">
        <v>#DIV/0!</v>
      </c>
      <c r="AU624" t="e">
        <v>#DIV/0!</v>
      </c>
      <c r="AV624"/>
      <c r="AW624"/>
      <c r="FY624" s="213">
        <v>619</v>
      </c>
      <c r="FZ624">
        <v>0.58716112056924263</v>
      </c>
      <c r="GA624">
        <v>13.56096704710928</v>
      </c>
      <c r="GB624">
        <v>6.7325447358340957</v>
      </c>
      <c r="GC624">
        <v>1.9401357941784985</v>
      </c>
      <c r="GD624">
        <v>2.4025027683534836</v>
      </c>
      <c r="GE624">
        <v>1.8474399461806157</v>
      </c>
      <c r="GF624">
        <v>0</v>
      </c>
      <c r="GG624">
        <v>3.5716101445797515</v>
      </c>
      <c r="GH624">
        <v>5.0375995162231906</v>
      </c>
      <c r="GI624">
        <v>4.0508463942659567</v>
      </c>
      <c r="GJ624"/>
      <c r="GK624"/>
      <c r="GL624"/>
      <c r="GM624"/>
      <c r="GN624" s="208"/>
      <c r="GO624" s="208"/>
      <c r="GP624" s="208"/>
      <c r="GQ624" s="208"/>
      <c r="GR624" s="208"/>
      <c r="GS624" s="208"/>
      <c r="GT624" s="208"/>
      <c r="GU624" s="213">
        <v>619</v>
      </c>
    </row>
    <row r="625" spans="1:203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29.879549808429111</v>
      </c>
      <c r="AO625">
        <v>8.3088498462248843</v>
      </c>
      <c r="AP625">
        <v>165.64883048330046</v>
      </c>
      <c r="AQ625">
        <v>54.83908770866973</v>
      </c>
      <c r="AR625">
        <v>7.6620424019232267</v>
      </c>
      <c r="AS625">
        <v>93.835434762004468</v>
      </c>
      <c r="AT625" t="e">
        <v>#DIV/0!</v>
      </c>
      <c r="AU625" t="e">
        <v>#DIV/0!</v>
      </c>
      <c r="AV625"/>
      <c r="AW625"/>
      <c r="FY625" s="213">
        <v>620</v>
      </c>
      <c r="FZ625">
        <v>3.192552405514002</v>
      </c>
      <c r="GA625">
        <v>23.844645495971285</v>
      </c>
      <c r="GB625">
        <v>9.8602572926942518</v>
      </c>
      <c r="GC625">
        <v>1.0020405114277708</v>
      </c>
      <c r="GD625">
        <v>2.206511344786978</v>
      </c>
      <c r="GE625">
        <v>3.7935657828756142</v>
      </c>
      <c r="GF625">
        <v>1.432044374820181</v>
      </c>
      <c r="GG625">
        <v>5.3313121730014954</v>
      </c>
      <c r="GH625">
        <v>7.695593356931842</v>
      </c>
      <c r="GI625">
        <v>5.9536014456399453</v>
      </c>
      <c r="GJ625"/>
      <c r="GK625"/>
      <c r="GL625"/>
      <c r="GM625"/>
      <c r="GN625" s="208"/>
      <c r="GO625" s="208"/>
      <c r="GP625" s="208"/>
      <c r="GQ625" s="208"/>
      <c r="GR625" s="208"/>
      <c r="GS625" s="208"/>
      <c r="GT625" s="208"/>
      <c r="GU625" s="213">
        <v>620</v>
      </c>
    </row>
    <row r="626" spans="1:203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31.852764094143406</v>
      </c>
      <c r="AO626">
        <v>6.7762915620911697</v>
      </c>
      <c r="AP626">
        <v>118.14993849446563</v>
      </c>
      <c r="AQ626">
        <v>41.984563063748361</v>
      </c>
      <c r="AR626">
        <v>6.2145363273059129</v>
      </c>
      <c r="AS626">
        <v>87.056017991431901</v>
      </c>
      <c r="AT626" t="e">
        <v>#DIV/0!</v>
      </c>
      <c r="AU626" t="e">
        <v>#DIV/0!</v>
      </c>
      <c r="AV626"/>
      <c r="AW626"/>
      <c r="FY626" s="213">
        <v>621</v>
      </c>
      <c r="FZ626">
        <v>1.596276202757001</v>
      </c>
      <c r="GA626">
        <v>11.175666047113165</v>
      </c>
      <c r="GB626">
        <v>4.5249247021039176</v>
      </c>
      <c r="GC626">
        <v>1.2972314702514867</v>
      </c>
      <c r="GD626">
        <v>2.3418035750467179</v>
      </c>
      <c r="GE626">
        <v>3.0181858280414011</v>
      </c>
      <c r="GF626">
        <v>0.47734812494006024</v>
      </c>
      <c r="GG626">
        <v>3.2530639283636935</v>
      </c>
      <c r="GH626">
        <v>4.7322145066430314</v>
      </c>
      <c r="GI626">
        <v>3.6922902005903513</v>
      </c>
      <c r="GJ626"/>
      <c r="GK626"/>
      <c r="GL626"/>
      <c r="GM626"/>
      <c r="GN626" s="208"/>
      <c r="GO626" s="208"/>
      <c r="GP626" s="208"/>
      <c r="GQ626" s="208"/>
      <c r="GR626" s="208"/>
      <c r="GS626" s="208"/>
      <c r="GT626" s="208"/>
      <c r="GU626" s="213">
        <v>621</v>
      </c>
    </row>
    <row r="627" spans="1:203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38.954793105096904</v>
      </c>
      <c r="AO627">
        <v>7.8097079358391284</v>
      </c>
      <c r="AP627">
        <v>137.8735654337593</v>
      </c>
      <c r="AQ627">
        <v>49.666676545913027</v>
      </c>
      <c r="AR627">
        <v>7.1540057579858729</v>
      </c>
      <c r="AS627">
        <v>103.72184990922277</v>
      </c>
      <c r="AT627" t="e">
        <v>#DIV/0!</v>
      </c>
      <c r="AU627" t="e">
        <v>#DIV/0!</v>
      </c>
      <c r="AV627"/>
      <c r="AW627"/>
      <c r="FY627" s="213">
        <v>622</v>
      </c>
      <c r="FZ627">
        <v>1.596276202757001</v>
      </c>
      <c r="GA627">
        <v>13.95397362723666</v>
      </c>
      <c r="GB627">
        <v>6.0755606594546583</v>
      </c>
      <c r="GC627">
        <v>1.619292207178495</v>
      </c>
      <c r="GD627">
        <v>2.189507202967079</v>
      </c>
      <c r="GE627">
        <v>2.2078939432347759</v>
      </c>
      <c r="GF627">
        <v>0.47734812494006024</v>
      </c>
      <c r="GG627">
        <v>2.5035332174879037</v>
      </c>
      <c r="GH627">
        <v>3.4093462823931233</v>
      </c>
      <c r="GI627">
        <v>3.7094787211305094</v>
      </c>
      <c r="GJ627"/>
      <c r="GK627"/>
      <c r="GL627"/>
      <c r="GM627"/>
      <c r="GN627" s="208"/>
      <c r="GO627" s="208"/>
      <c r="GP627" s="208"/>
      <c r="GQ627" s="208"/>
      <c r="GR627" s="208"/>
      <c r="GS627" s="208"/>
      <c r="GT627" s="208"/>
      <c r="GU627" s="213">
        <v>622</v>
      </c>
    </row>
    <row r="628" spans="1:203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39.41526409414341</v>
      </c>
      <c r="AO628">
        <v>8.8424352018196899</v>
      </c>
      <c r="AP628">
        <v>412.1758017353261</v>
      </c>
      <c r="AQ628">
        <v>57.394662106407367</v>
      </c>
      <c r="AR628">
        <v>8.0928487270591116</v>
      </c>
      <c r="AS628">
        <v>109.05996271005924</v>
      </c>
      <c r="AT628" t="e">
        <v>#DIV/0!</v>
      </c>
      <c r="AU628" t="e">
        <v>#DIV/0!</v>
      </c>
      <c r="AV628"/>
      <c r="AW628"/>
      <c r="FY628" s="213">
        <v>623</v>
      </c>
      <c r="FZ628">
        <v>5.3759897288402456</v>
      </c>
      <c r="GA628">
        <v>28.303756557045975</v>
      </c>
      <c r="GB628">
        <v>11.360478169003951</v>
      </c>
      <c r="GC628">
        <v>1.233286241574443</v>
      </c>
      <c r="GD628">
        <v>2.0414471364810205</v>
      </c>
      <c r="GE628">
        <v>2.7989443028971692</v>
      </c>
      <c r="GF628">
        <v>0.95469624988012047</v>
      </c>
      <c r="GG628">
        <v>1.8917088020808825</v>
      </c>
      <c r="GH628">
        <v>2.6012010516395971</v>
      </c>
      <c r="GI628">
        <v>5.4294949776885923</v>
      </c>
      <c r="GJ628"/>
      <c r="GK628"/>
      <c r="GL628"/>
      <c r="GM628"/>
      <c r="GN628" s="208"/>
      <c r="GO628" s="208"/>
      <c r="GP628" s="208"/>
      <c r="GQ628" s="208"/>
      <c r="GR628" s="208"/>
      <c r="GS628" s="208"/>
      <c r="GT628" s="208"/>
      <c r="GU628" s="213">
        <v>623</v>
      </c>
    </row>
    <row r="629" spans="1:203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35.638496308715979</v>
      </c>
      <c r="AO629">
        <v>8.6022629649811453</v>
      </c>
      <c r="AP629">
        <v>148.40528925520817</v>
      </c>
      <c r="AQ629">
        <v>57.559052314124131</v>
      </c>
      <c r="AR629">
        <v>7.9287816007925533</v>
      </c>
      <c r="AS629">
        <v>104.86450731481861</v>
      </c>
      <c r="AT629" t="e">
        <v>#DIV/0!</v>
      </c>
      <c r="AU629" t="e">
        <v>#DIV/0!</v>
      </c>
      <c r="AV629"/>
      <c r="AW629"/>
      <c r="FY629" s="213">
        <v>624</v>
      </c>
      <c r="FZ629">
        <v>1.596276202757001</v>
      </c>
      <c r="GA629">
        <v>13.131320330892942</v>
      </c>
      <c r="GB629">
        <v>5.6590284005971405</v>
      </c>
      <c r="GC629">
        <v>0.37267858551494082</v>
      </c>
      <c r="GD629">
        <v>2.1223811733732547</v>
      </c>
      <c r="GE629">
        <v>4.3111746929249808</v>
      </c>
      <c r="GF629">
        <v>0.95469624988012047</v>
      </c>
      <c r="GG629">
        <v>1.9984475587149273</v>
      </c>
      <c r="GH629">
        <v>2.7417834741637517</v>
      </c>
      <c r="GI629">
        <v>3.62532739911292</v>
      </c>
      <c r="GJ629"/>
      <c r="GK629"/>
      <c r="GL629"/>
      <c r="GM629"/>
      <c r="GN629" s="208"/>
      <c r="GO629" s="208"/>
      <c r="GP629" s="208"/>
      <c r="GQ629" s="208"/>
      <c r="GR629" s="208"/>
      <c r="GS629" s="208"/>
      <c r="GT629" s="208"/>
      <c r="GU629" s="213">
        <v>624</v>
      </c>
    </row>
    <row r="630" spans="1:203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22.161467297762478</v>
      </c>
      <c r="AO630">
        <v>5.2075610481163306</v>
      </c>
      <c r="AP630">
        <v>82.457487549153797</v>
      </c>
      <c r="AQ630">
        <v>36.891722403935944</v>
      </c>
      <c r="AR630">
        <v>4.7884176782378773</v>
      </c>
      <c r="AS630">
        <v>63.660512500542865</v>
      </c>
      <c r="AT630" t="e">
        <v>#DIV/0!</v>
      </c>
      <c r="AU630" t="e">
        <v>#DIV/0!</v>
      </c>
      <c r="AV630"/>
      <c r="AW630"/>
      <c r="FY630" s="213">
        <v>625</v>
      </c>
      <c r="FZ630">
        <v>1.596276202757001</v>
      </c>
      <c r="GA630">
        <v>12.545718891524475</v>
      </c>
      <c r="GB630">
        <v>5.3126466081477428</v>
      </c>
      <c r="GC630">
        <v>1.0082031354713601</v>
      </c>
      <c r="GD630">
        <v>1.7676524349365583</v>
      </c>
      <c r="GE630">
        <v>2.5992767913381676</v>
      </c>
      <c r="GF630">
        <v>0.95469624988012047</v>
      </c>
      <c r="GG630">
        <v>7.646635894246403</v>
      </c>
      <c r="GH630">
        <v>10.626399582683446</v>
      </c>
      <c r="GI630">
        <v>4.5726074267364538</v>
      </c>
      <c r="GJ630"/>
      <c r="GK630"/>
      <c r="GL630"/>
      <c r="GM630"/>
      <c r="GN630" s="208"/>
      <c r="GO630" s="208"/>
      <c r="GP630" s="208"/>
      <c r="GQ630" s="208"/>
      <c r="GR630" s="208"/>
      <c r="GS630" s="208"/>
      <c r="GT630" s="208"/>
      <c r="GU630" s="213">
        <v>625</v>
      </c>
    </row>
    <row r="631" spans="1:203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26.815494119334478</v>
      </c>
      <c r="AO631">
        <v>6.7661964001961223</v>
      </c>
      <c r="AP631">
        <v>175.31676649525591</v>
      </c>
      <c r="AQ631">
        <v>43.822233334326448</v>
      </c>
      <c r="AR631">
        <v>6.3139014491201095</v>
      </c>
      <c r="AS631">
        <v>73.824600971011307</v>
      </c>
      <c r="AT631" t="e">
        <v>#DIV/0!</v>
      </c>
      <c r="AU631" t="e">
        <v>#DIV/0!</v>
      </c>
      <c r="AV631"/>
      <c r="AW631"/>
      <c r="FY631" s="213">
        <v>626</v>
      </c>
      <c r="FZ631">
        <v>3.3577595644647293</v>
      </c>
      <c r="GA631">
        <v>18.796191435545015</v>
      </c>
      <c r="GB631">
        <v>8.48271713531628</v>
      </c>
      <c r="GC631">
        <v>2.0432760490460127</v>
      </c>
      <c r="GD631">
        <v>2.0966015237519247</v>
      </c>
      <c r="GE631">
        <v>1.6534428619377395</v>
      </c>
      <c r="GF631">
        <v>0.95469624988012047</v>
      </c>
      <c r="GG631">
        <v>2.3984645145399348</v>
      </c>
      <c r="GH631">
        <v>3.3851261178612746</v>
      </c>
      <c r="GI631">
        <v>4.6327920547708965</v>
      </c>
      <c r="GJ631"/>
      <c r="GK631"/>
      <c r="GL631"/>
      <c r="GM631"/>
      <c r="GN631" s="208"/>
      <c r="GO631" s="208"/>
      <c r="GP631" s="208"/>
      <c r="GQ631" s="208"/>
      <c r="GR631" s="208"/>
      <c r="GS631" s="208"/>
      <c r="GT631" s="208"/>
      <c r="GU631" s="213">
        <v>626</v>
      </c>
    </row>
    <row r="632" spans="1:203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25.950243296667786</v>
      </c>
      <c r="AO632">
        <v>5.5179052588343307</v>
      </c>
      <c r="AP632">
        <v>263.1386529803363</v>
      </c>
      <c r="AQ632">
        <v>36.281834105138948</v>
      </c>
      <c r="AR632">
        <v>5.0705487788906023</v>
      </c>
      <c r="AS632">
        <v>70.279860595307497</v>
      </c>
      <c r="AT632" t="e">
        <v>#DIV/0!</v>
      </c>
      <c r="AU632" t="e">
        <v>#DIV/0!</v>
      </c>
      <c r="AV632"/>
      <c r="AW632"/>
      <c r="FY632" s="213">
        <v>627</v>
      </c>
      <c r="FZ632">
        <v>1.7614833617077283</v>
      </c>
      <c r="GA632">
        <v>16.156661758354378</v>
      </c>
      <c r="GB632">
        <v>7.9536764397422584</v>
      </c>
      <c r="GC632">
        <v>2.1578391263109888</v>
      </c>
      <c r="GD632">
        <v>2.685594475147933</v>
      </c>
      <c r="GE632">
        <v>2.3743648388778098</v>
      </c>
      <c r="GF632">
        <v>0.47734812494006024</v>
      </c>
      <c r="GG632">
        <v>4.1834345599867726</v>
      </c>
      <c r="GH632">
        <v>5.8457447469767168</v>
      </c>
      <c r="GI632">
        <v>4.9416927117298215</v>
      </c>
      <c r="GJ632"/>
      <c r="GK632"/>
      <c r="GL632"/>
      <c r="GM632"/>
      <c r="GN632" s="208"/>
      <c r="GO632" s="208"/>
      <c r="GP632" s="208"/>
      <c r="GQ632" s="208"/>
      <c r="GR632" s="208"/>
      <c r="GS632" s="208"/>
      <c r="GT632" s="208"/>
      <c r="GU632" s="213">
        <v>627</v>
      </c>
    </row>
    <row r="633" spans="1:203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32.98893377285826</v>
      </c>
      <c r="AO633">
        <v>6.6886962548174198</v>
      </c>
      <c r="AP633">
        <v>299.8342738076218</v>
      </c>
      <c r="AQ633">
        <v>42.333126620537222</v>
      </c>
      <c r="AR633">
        <v>6.134904229784321</v>
      </c>
      <c r="AS633">
        <v>79.274714493748434</v>
      </c>
      <c r="AT633" t="e">
        <v>#DIV/0!</v>
      </c>
      <c r="AU633" t="e">
        <v>#DIV/0!</v>
      </c>
      <c r="AV633"/>
      <c r="AW633"/>
      <c r="FY633" s="213">
        <v>628</v>
      </c>
      <c r="FZ633">
        <v>1.1743222411384853</v>
      </c>
      <c r="GA633">
        <v>10.961103297023289</v>
      </c>
      <c r="GB633">
        <v>5.4157187367149628</v>
      </c>
      <c r="GC633">
        <v>1.8883007956635618</v>
      </c>
      <c r="GD633">
        <v>2.0108416610250335</v>
      </c>
      <c r="GE633">
        <v>1.4285309094773821</v>
      </c>
      <c r="GF633">
        <v>0.47734812494006024</v>
      </c>
      <c r="GG633">
        <v>4.0766958033527283</v>
      </c>
      <c r="GH633">
        <v>5.7051623244525622</v>
      </c>
      <c r="GI633">
        <v>3.7924290700560199</v>
      </c>
      <c r="GJ633"/>
      <c r="GK633"/>
      <c r="GL633"/>
      <c r="GM633"/>
      <c r="GN633" s="208"/>
      <c r="GO633" s="208"/>
      <c r="GP633" s="208"/>
      <c r="GQ633" s="208"/>
      <c r="GR633" s="208"/>
      <c r="GS633" s="208"/>
      <c r="GT633" s="208"/>
      <c r="GU633" s="213">
        <v>628</v>
      </c>
    </row>
    <row r="634" spans="1:203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36.369800631095821</v>
      </c>
      <c r="AO634">
        <v>7.9723205662811605</v>
      </c>
      <c r="AP634">
        <v>364.78611439617305</v>
      </c>
      <c r="AQ634">
        <v>49.976066649157978</v>
      </c>
      <c r="AR634">
        <v>7.3018354220240846</v>
      </c>
      <c r="AS634">
        <v>99.808229244988198</v>
      </c>
      <c r="AT634" t="e">
        <v>#DIV/0!</v>
      </c>
      <c r="AU634" t="e">
        <v>#DIV/0!</v>
      </c>
      <c r="AV634"/>
      <c r="AW634"/>
      <c r="FY634" s="213">
        <v>629</v>
      </c>
      <c r="FZ634">
        <v>0</v>
      </c>
      <c r="GA634">
        <v>12.320015341307533</v>
      </c>
      <c r="GB634">
        <v>6.1457111258627792</v>
      </c>
      <c r="GC634">
        <v>0.75746740119198852</v>
      </c>
      <c r="GD634">
        <v>1.6085933802618066</v>
      </c>
      <c r="GE634">
        <v>2.6670478136350688</v>
      </c>
      <c r="GF634">
        <v>0.95469624988012047</v>
      </c>
      <c r="GG634">
        <v>5.3549101363405134</v>
      </c>
      <c r="GH634">
        <v>7.381855887346326</v>
      </c>
      <c r="GI634">
        <v>3.9201102023784853</v>
      </c>
      <c r="GJ634"/>
      <c r="GK634"/>
      <c r="GL634"/>
      <c r="GM634"/>
      <c r="GN634" s="208"/>
      <c r="GO634" s="208"/>
      <c r="GP634" s="208"/>
      <c r="GQ634" s="208"/>
      <c r="GR634" s="208"/>
      <c r="GS634" s="208"/>
      <c r="GT634" s="208"/>
      <c r="GU634" s="213">
        <v>629</v>
      </c>
    </row>
    <row r="635" spans="1:203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31.498529833620193</v>
      </c>
      <c r="AO635">
        <v>6.3043757046118731</v>
      </c>
      <c r="AP635">
        <v>315.18466589393495</v>
      </c>
      <c r="AQ635">
        <v>39.730807467294113</v>
      </c>
      <c r="AR635">
        <v>5.7855219114156426</v>
      </c>
      <c r="AS635">
        <v>80.402772973188021</v>
      </c>
      <c r="AT635" t="e">
        <v>#DIV/0!</v>
      </c>
      <c r="AU635" t="e">
        <v>#DIV/0!</v>
      </c>
      <c r="AV635"/>
      <c r="AW635"/>
      <c r="FY635" s="213">
        <v>630</v>
      </c>
      <c r="FZ635">
        <v>3.192552405514002</v>
      </c>
      <c r="GA635">
        <v>18.292943659172195</v>
      </c>
      <c r="GB635">
        <v>7.3251574360272134</v>
      </c>
      <c r="GC635">
        <v>1.1631783888538108</v>
      </c>
      <c r="GD635">
        <v>2.7053046592820285</v>
      </c>
      <c r="GE635">
        <v>3.9640197574418288</v>
      </c>
      <c r="GF635">
        <v>0.47734812494006024</v>
      </c>
      <c r="GG635">
        <v>4.6885202187597494</v>
      </c>
      <c r="GH635">
        <v>6.5133075552060884</v>
      </c>
      <c r="GI635">
        <v>5.0639678388016263</v>
      </c>
      <c r="GJ635"/>
      <c r="GK635"/>
      <c r="GL635"/>
      <c r="GM635"/>
      <c r="GN635" s="208"/>
      <c r="GO635" s="208"/>
      <c r="GP635" s="208"/>
      <c r="GQ635" s="208"/>
      <c r="GR635" s="208"/>
      <c r="GS635" s="208"/>
      <c r="GT635" s="208"/>
      <c r="GU635" s="213">
        <v>630</v>
      </c>
    </row>
    <row r="636" spans="1:203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28.473299808429118</v>
      </c>
      <c r="AO636">
        <v>9.6083999522412942</v>
      </c>
      <c r="AP636">
        <v>245.00343816062951</v>
      </c>
      <c r="AQ636">
        <v>64.312124183663357</v>
      </c>
      <c r="AR636">
        <v>8.734909047492085</v>
      </c>
      <c r="AS636">
        <v>97.873122575680242</v>
      </c>
      <c r="AT636" t="e">
        <v>#DIV/0!</v>
      </c>
      <c r="AU636" t="e">
        <v>#DIV/0!</v>
      </c>
      <c r="AV636"/>
      <c r="AW636"/>
      <c r="FY636" s="213">
        <v>631</v>
      </c>
      <c r="FZ636">
        <v>4.9540357672217299</v>
      </c>
      <c r="GA636">
        <v>26.638568141102137</v>
      </c>
      <c r="GB636">
        <v>11.417471711834018</v>
      </c>
      <c r="GC636">
        <v>2.0432760490460127</v>
      </c>
      <c r="GD636">
        <v>4.2403111904494448</v>
      </c>
      <c r="GE636">
        <v>5.7104920654095768</v>
      </c>
      <c r="GF636">
        <v>0.47734812494006024</v>
      </c>
      <c r="GG636">
        <v>5.1431026767584997</v>
      </c>
      <c r="GH636">
        <v>7.2170533002903205</v>
      </c>
      <c r="GI636">
        <v>7.4982605084802962</v>
      </c>
      <c r="GJ636"/>
      <c r="GK636"/>
      <c r="GL636"/>
      <c r="GM636"/>
      <c r="GN636" s="208"/>
      <c r="GO636" s="208"/>
      <c r="GP636" s="208"/>
      <c r="GQ636" s="208"/>
      <c r="GR636" s="208"/>
      <c r="GS636" s="208"/>
      <c r="GT636" s="208"/>
      <c r="GU636" s="213">
        <v>631</v>
      </c>
    </row>
    <row r="637" spans="1:203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26.442717297762471</v>
      </c>
      <c r="AO637">
        <v>5.9324562392835718</v>
      </c>
      <c r="AP637">
        <v>176.35034167249262</v>
      </c>
      <c r="AQ637">
        <v>36.109004585850819</v>
      </c>
      <c r="AR637">
        <v>5.3931420357123381</v>
      </c>
      <c r="AS637">
        <v>63.527673025358752</v>
      </c>
      <c r="AT637" t="e">
        <v>#DIV/0!</v>
      </c>
      <c r="AU637" t="e">
        <v>#DIV/0!</v>
      </c>
      <c r="AV637"/>
      <c r="AW637"/>
      <c r="FY637" s="213">
        <v>632</v>
      </c>
      <c r="FZ637">
        <v>0.58716112056924263</v>
      </c>
      <c r="GA637">
        <v>7.7954222114170797</v>
      </c>
      <c r="GB637">
        <v>3.8547837021464284</v>
      </c>
      <c r="GC637">
        <v>2.2609793811785028</v>
      </c>
      <c r="GD637">
        <v>2.7645711945391254</v>
      </c>
      <c r="GE637">
        <v>2.3743648388778098</v>
      </c>
      <c r="GF637">
        <v>0.47734812494006024</v>
      </c>
      <c r="GG637">
        <v>2.5035332174879037</v>
      </c>
      <c r="GH637">
        <v>3.4093462823931233</v>
      </c>
      <c r="GI637">
        <v>3.3566283647242483</v>
      </c>
      <c r="GJ637"/>
      <c r="GK637"/>
      <c r="GL637"/>
      <c r="GM637"/>
      <c r="GN637" s="208"/>
      <c r="GO637" s="208"/>
      <c r="GP637" s="208"/>
      <c r="GQ637" s="208"/>
      <c r="GR637" s="208"/>
      <c r="GS637" s="208"/>
      <c r="GT637" s="208"/>
      <c r="GU637" s="213">
        <v>632</v>
      </c>
    </row>
    <row r="638" spans="1:203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31.557386153810643</v>
      </c>
      <c r="AO638">
        <v>5.7021779313362648</v>
      </c>
      <c r="AP638">
        <v>144.00084149026728</v>
      </c>
      <c r="AQ638">
        <v>37.742210188780263</v>
      </c>
      <c r="AR638">
        <v>5.1837981193966032</v>
      </c>
      <c r="AS638">
        <v>78.367304696693779</v>
      </c>
      <c r="AT638" t="e">
        <v>#DIV/0!</v>
      </c>
      <c r="AU638" t="e">
        <v>#DIV/0!</v>
      </c>
      <c r="AV638"/>
      <c r="AW638"/>
      <c r="FY638" s="213">
        <v>633</v>
      </c>
      <c r="FZ638">
        <v>0</v>
      </c>
      <c r="GA638">
        <v>23.699417047788852</v>
      </c>
      <c r="GB638">
        <v>11.731731213691541</v>
      </c>
      <c r="GC638">
        <v>1.1496359908396288</v>
      </c>
      <c r="GD638">
        <v>1.0769128086246702</v>
      </c>
      <c r="GE638">
        <v>0.38968151687869679</v>
      </c>
      <c r="GF638">
        <v>0</v>
      </c>
      <c r="GG638">
        <v>2.5035332174879037</v>
      </c>
      <c r="GH638">
        <v>3.4093462823931233</v>
      </c>
      <c r="GI638">
        <v>4.144739774082538</v>
      </c>
      <c r="GJ638"/>
      <c r="GK638"/>
      <c r="GL638"/>
      <c r="GM638"/>
      <c r="GN638" s="208"/>
      <c r="GO638" s="208"/>
      <c r="GP638" s="208"/>
      <c r="GQ638" s="208"/>
      <c r="GR638" s="208"/>
      <c r="GS638" s="208"/>
      <c r="GT638" s="208"/>
      <c r="GU638" s="213">
        <v>633</v>
      </c>
    </row>
    <row r="639" spans="1:203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33.783491107286295</v>
      </c>
      <c r="AO639">
        <v>8.2752677285719525</v>
      </c>
      <c r="AP639">
        <v>101.66750543482162</v>
      </c>
      <c r="AQ639">
        <v>61.991003217132004</v>
      </c>
      <c r="AR639">
        <v>7.5772419331975307</v>
      </c>
      <c r="AS639">
        <v>103.41194234286502</v>
      </c>
      <c r="AT639" t="e">
        <v>#DIV/0!</v>
      </c>
      <c r="AU639" t="e">
        <v>#DIV/0!</v>
      </c>
      <c r="AV639"/>
      <c r="AW639"/>
      <c r="FY639" s="213">
        <v>634</v>
      </c>
      <c r="FZ639">
        <v>3.7797135260832437</v>
      </c>
      <c r="GA639">
        <v>13.745763702988217</v>
      </c>
      <c r="GB639">
        <v>5.0656163288367981</v>
      </c>
      <c r="GC639">
        <v>1.3228840984277752</v>
      </c>
      <c r="GD639">
        <v>2.2021954878696288</v>
      </c>
      <c r="GE639">
        <v>3.2816412829741233</v>
      </c>
      <c r="GF639">
        <v>1.432044374820181</v>
      </c>
      <c r="GG639">
        <v>3.22209638952897</v>
      </c>
      <c r="GH639">
        <v>4.3580739356708049</v>
      </c>
      <c r="GI639">
        <v>4.125023266327366</v>
      </c>
      <c r="GJ639"/>
      <c r="GK639"/>
      <c r="GL639"/>
      <c r="GM639"/>
      <c r="GN639" s="208"/>
      <c r="GO639" s="208"/>
      <c r="GP639" s="208"/>
      <c r="GQ639" s="208"/>
      <c r="GR639" s="208"/>
      <c r="GS639" s="208"/>
      <c r="GT639" s="208"/>
      <c r="GU639" s="213">
        <v>634</v>
      </c>
    </row>
    <row r="640" spans="1:203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19.558053643144</v>
      </c>
      <c r="AO640">
        <v>5.6379993913879307</v>
      </c>
      <c r="AP640">
        <v>105.08262988378277</v>
      </c>
      <c r="AQ640">
        <v>36.513114067931987</v>
      </c>
      <c r="AR640">
        <v>5.1254539921708453</v>
      </c>
      <c r="AS640">
        <v>52.948101994545141</v>
      </c>
      <c r="AT640" t="e">
        <v>#DIV/0!</v>
      </c>
      <c r="AU640" t="e">
        <v>#DIV/0!</v>
      </c>
      <c r="AV640"/>
      <c r="AW640"/>
      <c r="FY640" s="213">
        <v>635</v>
      </c>
      <c r="FZ640">
        <v>0</v>
      </c>
      <c r="GA640">
        <v>14.406207169746521</v>
      </c>
      <c r="GB640">
        <v>7.1176906781656788</v>
      </c>
      <c r="GC640">
        <v>0.91982242854503182</v>
      </c>
      <c r="GD640">
        <v>1.4589235683856596</v>
      </c>
      <c r="GE640">
        <v>1.8182124263560788</v>
      </c>
      <c r="GF640">
        <v>0.47734812494006024</v>
      </c>
      <c r="GG640">
        <v>2.2917257579058905</v>
      </c>
      <c r="GH640">
        <v>3.2445436953371196</v>
      </c>
      <c r="GI640">
        <v>3.3377296119906279</v>
      </c>
      <c r="GJ640"/>
      <c r="GK640"/>
      <c r="GL640"/>
      <c r="GM640"/>
      <c r="GN640" s="208"/>
      <c r="GO640" s="208"/>
      <c r="GP640" s="208"/>
      <c r="GQ640" s="208"/>
      <c r="GR640" s="208"/>
      <c r="GS640" s="208"/>
      <c r="GT640" s="208"/>
      <c r="GU640" s="213">
        <v>635</v>
      </c>
    </row>
    <row r="641" spans="1:203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22.030600439524925</v>
      </c>
      <c r="AO641">
        <v>7.2571822614079649</v>
      </c>
      <c r="AP641">
        <v>250.54116923303837</v>
      </c>
      <c r="AQ641">
        <v>48.630113217721728</v>
      </c>
      <c r="AR641">
        <v>6.5974384194617866</v>
      </c>
      <c r="AS641">
        <v>68.790733045589732</v>
      </c>
      <c r="AT641" t="e">
        <v>#DIV/0!</v>
      </c>
      <c r="AU641" t="e">
        <v>#DIV/0!</v>
      </c>
      <c r="AV641"/>
      <c r="AW641"/>
      <c r="FY641" s="213">
        <v>636</v>
      </c>
      <c r="FZ641">
        <v>3.7797135260832437</v>
      </c>
      <c r="GA641">
        <v>18.440462585234386</v>
      </c>
      <c r="GB641">
        <v>7.3989651203628171</v>
      </c>
      <c r="GC641">
        <v>2.5055524914142855</v>
      </c>
      <c r="GD641">
        <v>2.3117790560317251</v>
      </c>
      <c r="GE641">
        <v>1.3647289832719114</v>
      </c>
      <c r="GF641">
        <v>0.95469624988012047</v>
      </c>
      <c r="GG641">
        <v>4.2885032629347419</v>
      </c>
      <c r="GH641">
        <v>5.8699649115085659</v>
      </c>
      <c r="GI641">
        <v>4.8647426807778995</v>
      </c>
      <c r="GJ641"/>
      <c r="GK641"/>
      <c r="GL641"/>
      <c r="GM641"/>
      <c r="GN641" s="208"/>
      <c r="GO641" s="208"/>
      <c r="GP641" s="208"/>
      <c r="GQ641" s="208"/>
      <c r="GR641" s="208"/>
      <c r="GS641" s="208"/>
      <c r="GT641" s="208"/>
      <c r="GU641" s="213">
        <v>636</v>
      </c>
    </row>
    <row r="642" spans="1:203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30.047722499192169</v>
      </c>
      <c r="AO642">
        <v>7.019278844158185</v>
      </c>
      <c r="AP642">
        <v>148.96253526074219</v>
      </c>
      <c r="AQ642">
        <v>47.801067507113935</v>
      </c>
      <c r="AR642">
        <v>6.5439763981765315</v>
      </c>
      <c r="AS642">
        <v>87.094057867257291</v>
      </c>
      <c r="AT642" t="e">
        <v>#DIV/0!</v>
      </c>
      <c r="AU642" t="e">
        <v>#DIV/0!</v>
      </c>
      <c r="AV642"/>
      <c r="AW642"/>
      <c r="FY642" s="213">
        <v>637</v>
      </c>
      <c r="FZ642">
        <v>0</v>
      </c>
      <c r="GA642">
        <v>17.448627698019084</v>
      </c>
      <c r="GB642">
        <v>8.6559397302916228</v>
      </c>
      <c r="GC642">
        <v>1.3302638723983682</v>
      </c>
      <c r="GD642">
        <v>1.8080205186268903</v>
      </c>
      <c r="GE642">
        <v>2.175020868078537</v>
      </c>
      <c r="GF642">
        <v>0.95469624988012047</v>
      </c>
      <c r="GG642">
        <v>3.4648713879457071</v>
      </c>
      <c r="GH642">
        <v>4.8970170936990343</v>
      </c>
      <c r="GI642">
        <v>4.2270901867760866</v>
      </c>
      <c r="GJ642"/>
      <c r="GK642"/>
      <c r="GL642"/>
      <c r="GM642"/>
      <c r="GN642" s="208"/>
      <c r="GO642" s="208"/>
      <c r="GP642" s="208"/>
      <c r="GQ642" s="208"/>
      <c r="GR642" s="208"/>
      <c r="GS642" s="208"/>
      <c r="GT642" s="208"/>
      <c r="GU642" s="213">
        <v>637</v>
      </c>
    </row>
    <row r="643" spans="1:203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35.007543927763599</v>
      </c>
      <c r="AO643">
        <v>7.5909653553530418</v>
      </c>
      <c r="AP643">
        <v>378.70877849342548</v>
      </c>
      <c r="AQ643">
        <v>48.537840143774467</v>
      </c>
      <c r="AR643">
        <v>7.0636914083536713</v>
      </c>
      <c r="AS643">
        <v>92.311721269983124</v>
      </c>
      <c r="AT643" t="e">
        <v>#DIV/0!</v>
      </c>
      <c r="AU643" t="e">
        <v>#DIV/0!</v>
      </c>
      <c r="AV643"/>
      <c r="AW643"/>
      <c r="FY643" s="213">
        <v>638</v>
      </c>
      <c r="FZ643">
        <v>3.192552405514002</v>
      </c>
      <c r="GA643">
        <v>21.436037918484882</v>
      </c>
      <c r="GB643">
        <v>8.9174787871216843</v>
      </c>
      <c r="GC643">
        <v>1.0930705361331785</v>
      </c>
      <c r="GD643">
        <v>1.4079935897678317</v>
      </c>
      <c r="GE643">
        <v>1.1491469962911323</v>
      </c>
      <c r="GF643">
        <v>0</v>
      </c>
      <c r="GG643">
        <v>3.358132631311662</v>
      </c>
      <c r="GH643">
        <v>4.7564346711748797</v>
      </c>
      <c r="GI643">
        <v>4.2790635525167753</v>
      </c>
      <c r="GJ643"/>
      <c r="GK643"/>
      <c r="GL643"/>
      <c r="GM643"/>
      <c r="GN643" s="208"/>
      <c r="GO643" s="208"/>
      <c r="GP643" s="208"/>
      <c r="GQ643" s="208"/>
      <c r="GR643" s="208"/>
      <c r="GS643" s="208"/>
      <c r="GT643" s="208"/>
      <c r="GU643" s="213">
        <v>638</v>
      </c>
    </row>
    <row r="644" spans="1:203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25.171969487143979</v>
      </c>
      <c r="AO644">
        <v>5.8700723655529909</v>
      </c>
      <c r="AP644">
        <v>304.48331123366472</v>
      </c>
      <c r="AQ644">
        <v>36.930452963844075</v>
      </c>
      <c r="AR644">
        <v>5.4449719649487793</v>
      </c>
      <c r="AS644">
        <v>62.883458600134006</v>
      </c>
      <c r="AT644" t="e">
        <v>#DIV/0!</v>
      </c>
      <c r="AU644" t="e">
        <v>#DIV/0!</v>
      </c>
      <c r="AV644"/>
      <c r="AW644"/>
      <c r="FY644" s="213">
        <v>639</v>
      </c>
      <c r="FZ644">
        <v>2.1834373233262436</v>
      </c>
      <c r="GA644">
        <v>16.93840816036009</v>
      </c>
      <c r="GB644">
        <v>7.5363448093175158</v>
      </c>
      <c r="GC644">
        <v>0.46227644236827292</v>
      </c>
      <c r="GD644">
        <v>1.0734486533159961</v>
      </c>
      <c r="GE644">
        <v>1.7504414040591776</v>
      </c>
      <c r="GF644">
        <v>0.47734812494006024</v>
      </c>
      <c r="GG644">
        <v>6.4734902642065872</v>
      </c>
      <c r="GH644">
        <v>8.9739261843215292</v>
      </c>
      <c r="GI644">
        <v>4.4440188292078453</v>
      </c>
      <c r="GJ644"/>
      <c r="GK644"/>
      <c r="GL644"/>
      <c r="GM644"/>
      <c r="GN644" s="208"/>
      <c r="GO644" s="208"/>
      <c r="GP644" s="208"/>
      <c r="GQ644" s="208"/>
      <c r="GR644" s="208"/>
      <c r="GS644" s="208"/>
      <c r="GT644" s="208"/>
      <c r="GU644" s="213">
        <v>639</v>
      </c>
    </row>
    <row r="645" spans="1:203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19.80654761904762</v>
      </c>
      <c r="AO645">
        <v>6.1616779200127736</v>
      </c>
      <c r="AP645">
        <v>309.4012628363422</v>
      </c>
      <c r="AQ645">
        <v>41.110407538204626</v>
      </c>
      <c r="AR645">
        <v>5.601525381829795</v>
      </c>
      <c r="AS645">
        <v>62.050897079884294</v>
      </c>
      <c r="AT645" t="e">
        <v>#DIV/0!</v>
      </c>
      <c r="AU645" t="e">
        <v>#DIV/0!</v>
      </c>
      <c r="AV645"/>
      <c r="AW645"/>
      <c r="FY645" s="213">
        <v>640</v>
      </c>
      <c r="FZ645">
        <v>1.1743222411384853</v>
      </c>
      <c r="GA645">
        <v>15.244475531097594</v>
      </c>
      <c r="GB645">
        <v>7.5408013988122224</v>
      </c>
      <c r="GC645">
        <v>1.965788422354787</v>
      </c>
      <c r="GD645">
        <v>3.4725755526222621</v>
      </c>
      <c r="GE645">
        <v>4.568959720541578</v>
      </c>
      <c r="GF645">
        <v>0.95469624988012047</v>
      </c>
      <c r="GG645">
        <v>8.2910979021742239</v>
      </c>
      <c r="GH645">
        <v>11.925047642401505</v>
      </c>
      <c r="GI645">
        <v>6.4286687008276573</v>
      </c>
      <c r="GJ645"/>
      <c r="GK645"/>
      <c r="GL645"/>
      <c r="GM645"/>
      <c r="GN645" s="208"/>
      <c r="GO645" s="208"/>
      <c r="GP645" s="208"/>
      <c r="GQ645" s="208"/>
      <c r="GR645" s="208"/>
      <c r="GS645" s="208"/>
      <c r="GT645" s="208"/>
      <c r="GU645" s="213">
        <v>640</v>
      </c>
    </row>
    <row r="646" spans="1:203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34.920566914620707</v>
      </c>
      <c r="AO646">
        <v>7.8565408987290493</v>
      </c>
      <c r="AP646">
        <v>211.02803754284818</v>
      </c>
      <c r="AQ646">
        <v>53.386300043998595</v>
      </c>
      <c r="AR646">
        <v>7.1423099079354984</v>
      </c>
      <c r="AS646">
        <v>99.456758253938887</v>
      </c>
      <c r="AT646" t="e">
        <v>#DIV/0!</v>
      </c>
      <c r="AU646" t="e">
        <v>#DIV/0!</v>
      </c>
      <c r="AV646"/>
      <c r="AW646"/>
      <c r="FY646" s="213">
        <v>641</v>
      </c>
      <c r="FZ646">
        <v>1.596276202757001</v>
      </c>
      <c r="GA646">
        <v>17.662885222069566</v>
      </c>
      <c r="GB646">
        <v>7.9119910459985299</v>
      </c>
      <c r="GC646">
        <v>1.8431581633545739</v>
      </c>
      <c r="GD646">
        <v>2.886934495868045</v>
      </c>
      <c r="GE646">
        <v>3.5650082750835543</v>
      </c>
      <c r="GF646">
        <v>0.95469624988012047</v>
      </c>
      <c r="GG646">
        <v>3.358132631311662</v>
      </c>
      <c r="GH646">
        <v>4.7564346711748797</v>
      </c>
      <c r="GI646">
        <v>4.9072177634863356</v>
      </c>
      <c r="GJ646"/>
      <c r="GK646"/>
      <c r="GL646"/>
      <c r="GM646"/>
      <c r="GN646" s="208"/>
      <c r="GO646" s="208"/>
      <c r="GP646" s="208"/>
      <c r="GQ646" s="208"/>
      <c r="GR646" s="208"/>
      <c r="GS646" s="208"/>
      <c r="GT646" s="208"/>
      <c r="GU646" s="213">
        <v>641</v>
      </c>
    </row>
    <row r="647" spans="1:203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42.270833333333336</v>
      </c>
      <c r="AO647">
        <v>11.560869475624726</v>
      </c>
      <c r="AP647">
        <v>242.12968476660765</v>
      </c>
      <c r="AQ647">
        <v>75.339919535532104</v>
      </c>
      <c r="AR647">
        <v>10.672695154055205</v>
      </c>
      <c r="AS647">
        <v>125.34939777898298</v>
      </c>
      <c r="AT647" t="e">
        <v>#DIV/0!</v>
      </c>
      <c r="AU647" t="e">
        <v>#DIV/0!</v>
      </c>
      <c r="AV647"/>
      <c r="AW647"/>
      <c r="FY647" s="213">
        <v>642</v>
      </c>
      <c r="FZ647">
        <v>0</v>
      </c>
      <c r="GA647">
        <v>18.908213473343455</v>
      </c>
      <c r="GB647">
        <v>9.4400044184079661</v>
      </c>
      <c r="GC647">
        <v>2.1133839017666447</v>
      </c>
      <c r="GD647">
        <v>1.8176219649436689</v>
      </c>
      <c r="GE647">
        <v>0.38968151687869679</v>
      </c>
      <c r="GF647">
        <v>0</v>
      </c>
      <c r="GG647">
        <v>3.5716101445797515</v>
      </c>
      <c r="GH647">
        <v>5.0375995162231906</v>
      </c>
      <c r="GI647">
        <v>4.2406227795672464</v>
      </c>
      <c r="GJ647"/>
      <c r="GK647"/>
      <c r="GL647"/>
      <c r="GM647"/>
      <c r="GN647" s="208"/>
      <c r="GO647" s="208"/>
      <c r="GP647" s="208"/>
      <c r="GQ647" s="208"/>
      <c r="GR647" s="208"/>
      <c r="GS647" s="208"/>
      <c r="GT647" s="208"/>
      <c r="GU647" s="213">
        <v>642</v>
      </c>
    </row>
    <row r="648" spans="1:203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30.353517106191596</v>
      </c>
      <c r="AO648">
        <v>5.1273134827883649</v>
      </c>
      <c r="AP648">
        <v>238.4093435111929</v>
      </c>
      <c r="AQ648">
        <v>29.384138438273521</v>
      </c>
      <c r="AR648">
        <v>4.7154653461215439</v>
      </c>
      <c r="AS648">
        <v>68.764928586036731</v>
      </c>
      <c r="AT648" t="e">
        <v>#DIV/0!</v>
      </c>
      <c r="AU648" t="e">
        <v>#DIV/0!</v>
      </c>
      <c r="AV648"/>
      <c r="AW648"/>
      <c r="FY648" s="213">
        <v>643</v>
      </c>
      <c r="FZ648">
        <v>0.58716112056924263</v>
      </c>
      <c r="GA648">
        <v>24.040994868895897</v>
      </c>
      <c r="GB648">
        <v>12.045927318047779</v>
      </c>
      <c r="GC648">
        <v>1.3107738682656682</v>
      </c>
      <c r="GD648">
        <v>3.253478052756178</v>
      </c>
      <c r="GE648">
        <v>4.5596437378937491</v>
      </c>
      <c r="GF648">
        <v>0</v>
      </c>
      <c r="GG648">
        <v>3.7834176041617651</v>
      </c>
      <c r="GH648">
        <v>5.2024021032791943</v>
      </c>
      <c r="GI648">
        <v>5.9933342869185049</v>
      </c>
      <c r="GJ648"/>
      <c r="GK648"/>
      <c r="GL648"/>
      <c r="GM648"/>
      <c r="GN648" s="208"/>
      <c r="GO648" s="208"/>
      <c r="GP648" s="208"/>
      <c r="GQ648" s="208"/>
      <c r="GR648" s="208"/>
      <c r="GS648" s="208"/>
      <c r="GT648" s="208"/>
      <c r="GU648" s="213">
        <v>643</v>
      </c>
    </row>
    <row r="649" spans="1:203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26.67940996333445</v>
      </c>
      <c r="AO649">
        <v>6.4474430566891856</v>
      </c>
      <c r="AP649">
        <v>364.2726933343115</v>
      </c>
      <c r="AQ649">
        <v>48.104997851786955</v>
      </c>
      <c r="AR649">
        <v>5.8613118697174409</v>
      </c>
      <c r="AS649">
        <v>72.570369343193846</v>
      </c>
      <c r="AT649" t="e">
        <v>#DIV/0!</v>
      </c>
      <c r="AU649" t="e">
        <v>#DIV/0!</v>
      </c>
      <c r="AV649"/>
      <c r="AW649"/>
      <c r="FY649" s="213">
        <v>644</v>
      </c>
      <c r="FZ649">
        <v>1.1743222411384853</v>
      </c>
      <c r="GA649">
        <v>17.048441849974292</v>
      </c>
      <c r="GB649">
        <v>8.505403117758874</v>
      </c>
      <c r="GC649">
        <v>2.3505772380318346</v>
      </c>
      <c r="GD649">
        <v>2.1590827661386727</v>
      </c>
      <c r="GE649">
        <v>0.71159201146049245</v>
      </c>
      <c r="GF649">
        <v>0</v>
      </c>
      <c r="GG649">
        <v>2.2917257579058905</v>
      </c>
      <c r="GH649">
        <v>3.2445436953371196</v>
      </c>
      <c r="GI649">
        <v>4.0825953969219251</v>
      </c>
      <c r="GJ649"/>
      <c r="GK649"/>
      <c r="GL649"/>
      <c r="GM649"/>
      <c r="GN649" s="208"/>
      <c r="GO649" s="208"/>
      <c r="GP649" s="208"/>
      <c r="GQ649" s="208"/>
      <c r="GR649" s="208"/>
      <c r="GS649" s="208"/>
      <c r="GT649" s="208"/>
      <c r="GU649" s="213">
        <v>644</v>
      </c>
    </row>
    <row r="650" spans="1:203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29.893046117145094</v>
      </c>
      <c r="AO650">
        <v>6.2701257886557453</v>
      </c>
      <c r="AP650">
        <v>130.46028783936032</v>
      </c>
      <c r="AQ650">
        <v>42.535052393527103</v>
      </c>
      <c r="AR650">
        <v>5.7543856241827989</v>
      </c>
      <c r="AS650">
        <v>77.252023272044198</v>
      </c>
      <c r="AT650" t="e">
        <v>#DIV/0!</v>
      </c>
      <c r="AU650" t="e">
        <v>#DIV/0!</v>
      </c>
      <c r="AV650"/>
      <c r="AW650"/>
      <c r="FY650" s="213">
        <v>645</v>
      </c>
      <c r="FZ650">
        <v>1.1743222411384853</v>
      </c>
      <c r="GA650">
        <v>15.758147452744598</v>
      </c>
      <c r="GB650">
        <v>7.8856478456284567</v>
      </c>
      <c r="GC650">
        <v>1.7851605407960478</v>
      </c>
      <c r="GD650">
        <v>1.5654806585308507</v>
      </c>
      <c r="GE650">
        <v>0.38968151687869679</v>
      </c>
      <c r="GF650">
        <v>0</v>
      </c>
      <c r="GG650">
        <v>3.9699570467186831</v>
      </c>
      <c r="GH650">
        <v>5.5645799019284059</v>
      </c>
      <c r="GI650">
        <v>3.9557035969907322</v>
      </c>
      <c r="GJ650"/>
      <c r="GK650"/>
      <c r="GL650"/>
      <c r="GM650"/>
      <c r="GN650" s="208"/>
      <c r="GO650" s="208"/>
      <c r="GP650" s="208"/>
      <c r="GQ650" s="208"/>
      <c r="GR650" s="208"/>
      <c r="GS650" s="208"/>
      <c r="GT650" s="208"/>
      <c r="GU650" s="213">
        <v>645</v>
      </c>
    </row>
    <row r="651" spans="1:203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20.950243296667786</v>
      </c>
      <c r="AO651">
        <v>5.2871579190959395</v>
      </c>
      <c r="AP651">
        <v>267.32453382877685</v>
      </c>
      <c r="AQ651">
        <v>35.072203461372666</v>
      </c>
      <c r="AR651">
        <v>4.8065071991781272</v>
      </c>
      <c r="AS651">
        <v>62.737305547460046</v>
      </c>
      <c r="AT651" t="e">
        <v>#DIV/0!</v>
      </c>
      <c r="AU651" t="e">
        <v>#DIV/0!</v>
      </c>
      <c r="AV651"/>
      <c r="AW651"/>
      <c r="FY651" s="213">
        <v>646</v>
      </c>
      <c r="FZ651">
        <v>1.596276202757001</v>
      </c>
      <c r="GA651">
        <v>26.008509703999508</v>
      </c>
      <c r="GB651">
        <v>12.004305321805337</v>
      </c>
      <c r="GC651">
        <v>2.8903413070913326</v>
      </c>
      <c r="GD651">
        <v>3.3159412373522708</v>
      </c>
      <c r="GE651">
        <v>2.2135783533826516</v>
      </c>
      <c r="GF651">
        <v>0</v>
      </c>
      <c r="GG651">
        <v>4.7952589753937938</v>
      </c>
      <c r="GH651">
        <v>6.6538899777302429</v>
      </c>
      <c r="GI651">
        <v>6.2482518338990918</v>
      </c>
      <c r="GJ651"/>
      <c r="GK651"/>
      <c r="GL651"/>
      <c r="GM651"/>
      <c r="GN651" s="208"/>
      <c r="GO651" s="208"/>
      <c r="GP651" s="208"/>
      <c r="GQ651" s="208"/>
      <c r="GR651" s="208"/>
      <c r="GS651" s="208"/>
      <c r="GT651" s="208"/>
      <c r="GU651" s="213">
        <v>646</v>
      </c>
    </row>
    <row r="652" spans="1:203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39.30738615381064</v>
      </c>
      <c r="AO652">
        <v>7.4029334506275388</v>
      </c>
      <c r="AP652">
        <v>185.00338907702366</v>
      </c>
      <c r="AQ652">
        <v>51.779108867499694</v>
      </c>
      <c r="AR652">
        <v>6.7842107714298825</v>
      </c>
      <c r="AS652">
        <v>86.860540346397258</v>
      </c>
      <c r="AT652" t="e">
        <v>#DIV/0!</v>
      </c>
      <c r="AU652" t="e">
        <v>#DIV/0!</v>
      </c>
      <c r="AV652"/>
      <c r="AW652"/>
      <c r="FY652" s="213">
        <v>647</v>
      </c>
      <c r="FZ652">
        <v>0.58716112056924263</v>
      </c>
      <c r="GA652">
        <v>13.162452741499502</v>
      </c>
      <c r="GB652">
        <v>6.6645161417202932</v>
      </c>
      <c r="GC652">
        <v>2.5117151154578741</v>
      </c>
      <c r="GD652">
        <v>3.2415717860404678</v>
      </c>
      <c r="GE652">
        <v>2.9504148057444999</v>
      </c>
      <c r="GF652">
        <v>0.47734812494006024</v>
      </c>
      <c r="GG652">
        <v>4.2885032629347419</v>
      </c>
      <c r="GH652">
        <v>5.8699649115085659</v>
      </c>
      <c r="GI652">
        <v>4.698942316070597</v>
      </c>
      <c r="GJ652"/>
      <c r="GK652"/>
      <c r="GL652"/>
      <c r="GM652"/>
      <c r="GN652" s="208"/>
      <c r="GO652" s="208"/>
      <c r="GP652" s="208"/>
      <c r="GQ652" s="208"/>
      <c r="GR652" s="208"/>
      <c r="GS652" s="208"/>
      <c r="GT652" s="208"/>
      <c r="GU652" s="213">
        <v>647</v>
      </c>
    </row>
    <row r="653" spans="1:203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28.177836345381525</v>
      </c>
      <c r="AO653">
        <v>6.6395798696597312</v>
      </c>
      <c r="AP653">
        <v>346.54081689776467</v>
      </c>
      <c r="AQ653">
        <v>44.961547605715452</v>
      </c>
      <c r="AR653">
        <v>6.035981699690665</v>
      </c>
      <c r="AS653">
        <v>76.859444750548334</v>
      </c>
      <c r="AT653" t="e">
        <v>#DIV/0!</v>
      </c>
      <c r="AU653" t="e">
        <v>#DIV/0!</v>
      </c>
      <c r="AV653"/>
      <c r="AW653"/>
      <c r="FY653" s="213">
        <v>648</v>
      </c>
      <c r="FZ653">
        <v>2.1834373233262436</v>
      </c>
      <c r="GA653">
        <v>17.073114743860199</v>
      </c>
      <c r="GB653">
        <v>7.4699149583381628</v>
      </c>
      <c r="GC653">
        <v>0.22508310610308313</v>
      </c>
      <c r="GD653">
        <v>0.17316458702162565</v>
      </c>
      <c r="GE653">
        <v>0</v>
      </c>
      <c r="GF653">
        <v>0</v>
      </c>
      <c r="GG653">
        <v>6.3684215612586179</v>
      </c>
      <c r="GH653">
        <v>8.9497060197896801</v>
      </c>
      <c r="GI653">
        <v>3.7975469097104688</v>
      </c>
      <c r="GJ653"/>
      <c r="GK653"/>
      <c r="GL653"/>
      <c r="GM653"/>
      <c r="GN653" s="208"/>
      <c r="GO653" s="208"/>
      <c r="GP653" s="208"/>
      <c r="GQ653" s="208"/>
      <c r="GR653" s="208"/>
      <c r="GS653" s="208"/>
      <c r="GT653" s="208"/>
      <c r="GU653" s="213">
        <v>648</v>
      </c>
    </row>
    <row r="654" spans="1:203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26.747023809523814</v>
      </c>
      <c r="AO654">
        <v>6.6369429116763214</v>
      </c>
      <c r="AP654">
        <v>166.72459407338931</v>
      </c>
      <c r="AQ654">
        <v>49.589911088316029</v>
      </c>
      <c r="AR654">
        <v>6.033584465160291</v>
      </c>
      <c r="AS654">
        <v>77.750087933249262</v>
      </c>
      <c r="AT654" t="e">
        <v>#DIV/0!</v>
      </c>
      <c r="AU654" t="e">
        <v>#DIV/0!</v>
      </c>
      <c r="AV654"/>
      <c r="AW654"/>
      <c r="FY654" s="213">
        <v>649</v>
      </c>
      <c r="FZ654">
        <v>0</v>
      </c>
      <c r="GA654">
        <v>12.827846681678622</v>
      </c>
      <c r="GB654">
        <v>6.3123552590490952</v>
      </c>
      <c r="GC654">
        <v>2.3950324625761787</v>
      </c>
      <c r="GD654">
        <v>2.3427294564133558</v>
      </c>
      <c r="GE654">
        <v>1.0136049516973293</v>
      </c>
      <c r="GF654">
        <v>0</v>
      </c>
      <c r="GG654">
        <v>0.21347751326808947</v>
      </c>
      <c r="GH654">
        <v>0.28116484504831013</v>
      </c>
      <c r="GI654">
        <v>2.9986738053632127</v>
      </c>
      <c r="GJ654"/>
      <c r="GK654"/>
      <c r="GL654"/>
      <c r="GM654"/>
      <c r="GN654" s="208"/>
      <c r="GO654" s="208"/>
      <c r="GP654" s="208"/>
      <c r="GQ654" s="208"/>
      <c r="GR654" s="208"/>
      <c r="GS654" s="208"/>
      <c r="GT654" s="208"/>
      <c r="GU654" s="213">
        <v>649</v>
      </c>
    </row>
    <row r="655" spans="1:203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20.572352628906433</v>
      </c>
      <c r="AO655">
        <v>6.9534383501162536</v>
      </c>
      <c r="AP655">
        <v>173.17632770796246</v>
      </c>
      <c r="AQ655">
        <v>50.313140195423316</v>
      </c>
      <c r="AR655">
        <v>6.3755788618741711</v>
      </c>
      <c r="AS655">
        <v>67.354233291760707</v>
      </c>
      <c r="AT655" t="e">
        <v>#DIV/0!</v>
      </c>
      <c r="AU655" t="e">
        <v>#DIV/0!</v>
      </c>
      <c r="AV655"/>
      <c r="AW655"/>
      <c r="FY655" s="213">
        <v>650</v>
      </c>
      <c r="FZ655">
        <v>0</v>
      </c>
      <c r="GA655">
        <v>13.596366215964887</v>
      </c>
      <c r="GB655">
        <v>6.8413959546231169</v>
      </c>
      <c r="GC655">
        <v>0.90506288060384632</v>
      </c>
      <c r="GD655">
        <v>2.0066172523719574</v>
      </c>
      <c r="GE655">
        <v>2.6577318309872413</v>
      </c>
      <c r="GF655">
        <v>0</v>
      </c>
      <c r="GG655">
        <v>1.6799013424988689</v>
      </c>
      <c r="GH655">
        <v>2.436398464583593</v>
      </c>
      <c r="GI655">
        <v>3.3212495904915071</v>
      </c>
      <c r="GJ655"/>
      <c r="GK655"/>
      <c r="GL655"/>
      <c r="GM655"/>
      <c r="GN655" s="208"/>
      <c r="GO655" s="208"/>
      <c r="GP655" s="208"/>
      <c r="GQ655" s="208"/>
      <c r="GR655" s="208"/>
      <c r="GS655" s="208"/>
      <c r="GT655" s="208"/>
      <c r="GU655" s="213">
        <v>650</v>
      </c>
    </row>
    <row r="656" spans="1:203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33.241089357429722</v>
      </c>
      <c r="AO656">
        <v>10.288317332400062</v>
      </c>
      <c r="AP656">
        <v>502.07065571467768</v>
      </c>
      <c r="AQ656">
        <v>61.566433361850443</v>
      </c>
      <c r="AR656">
        <v>9.4615582984461177</v>
      </c>
      <c r="AS656">
        <v>103.61731527284049</v>
      </c>
      <c r="AT656" t="e">
        <v>#DIV/0!</v>
      </c>
      <c r="AU656" t="e">
        <v>#DIV/0!</v>
      </c>
      <c r="AV656"/>
      <c r="AW656"/>
      <c r="FY656" s="213">
        <v>651</v>
      </c>
      <c r="FZ656">
        <v>0.58716112056924263</v>
      </c>
      <c r="GA656">
        <v>12.52552026251885</v>
      </c>
      <c r="GB656">
        <v>6.2969837124614694</v>
      </c>
      <c r="GC656">
        <v>0.93809528275072762</v>
      </c>
      <c r="GD656">
        <v>1.5981112770087493</v>
      </c>
      <c r="GE656">
        <v>2.365034873398232</v>
      </c>
      <c r="GF656">
        <v>0.95469624988012047</v>
      </c>
      <c r="GG656">
        <v>5.3565801900265892</v>
      </c>
      <c r="GH656">
        <v>7.4982181453386314</v>
      </c>
      <c r="GI656">
        <v>4.053076021901612</v>
      </c>
      <c r="GJ656"/>
      <c r="GK656"/>
      <c r="GL656"/>
      <c r="GM656"/>
      <c r="GN656" s="208"/>
      <c r="GO656" s="208"/>
      <c r="GP656" s="208"/>
      <c r="GQ656" s="208"/>
      <c r="GR656" s="208"/>
      <c r="GS656" s="208"/>
      <c r="GT656" s="208"/>
      <c r="GU656" s="213">
        <v>651</v>
      </c>
    </row>
    <row r="657" spans="1:203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35.373511904761898</v>
      </c>
      <c r="AO657">
        <v>7.6486656233406007</v>
      </c>
      <c r="AP657">
        <v>194.94445700368277</v>
      </c>
      <c r="AQ657">
        <v>49.442734720984269</v>
      </c>
      <c r="AR657">
        <v>6.9533323848550914</v>
      </c>
      <c r="AS657">
        <v>91.629743130052759</v>
      </c>
      <c r="AT657" t="e">
        <v>#DIV/0!</v>
      </c>
      <c r="AU657" t="e">
        <v>#DIV/0!</v>
      </c>
      <c r="AV657"/>
      <c r="AW657"/>
      <c r="FY657" s="213">
        <v>652</v>
      </c>
      <c r="FZ657">
        <v>2.1834373233262436</v>
      </c>
      <c r="GA657">
        <v>17.301523297114265</v>
      </c>
      <c r="GB657">
        <v>7.4955221846422972</v>
      </c>
      <c r="GC657">
        <v>1.2527762457071427</v>
      </c>
      <c r="GD657">
        <v>3.165500866607466</v>
      </c>
      <c r="GE657">
        <v>4.4719751612518897</v>
      </c>
      <c r="GF657">
        <v>0</v>
      </c>
      <c r="GG657">
        <v>2.1849870012718453</v>
      </c>
      <c r="GH657">
        <v>3.1039612728129642</v>
      </c>
      <c r="GI657">
        <v>4.7744824875515883</v>
      </c>
      <c r="GJ657"/>
      <c r="GK657"/>
      <c r="GL657"/>
      <c r="GM657"/>
      <c r="GN657" s="208"/>
      <c r="GO657" s="208"/>
      <c r="GP657" s="208"/>
      <c r="GQ657" s="208"/>
      <c r="GR657" s="208"/>
      <c r="GS657" s="208"/>
      <c r="GT657" s="208"/>
      <c r="GU657" s="213">
        <v>652</v>
      </c>
    </row>
    <row r="658" spans="1:203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31.654779833620204</v>
      </c>
      <c r="AO658">
        <v>6.6125940460100425</v>
      </c>
      <c r="AP658">
        <v>372.22488392405882</v>
      </c>
      <c r="AQ658">
        <v>45.518737715710621</v>
      </c>
      <c r="AR658">
        <v>6.011449132736403</v>
      </c>
      <c r="AS658">
        <v>76.525084621073091</v>
      </c>
      <c r="AT658" t="e">
        <v>#DIV/0!</v>
      </c>
      <c r="AU658" t="e">
        <v>#DIV/0!</v>
      </c>
      <c r="AV658"/>
      <c r="AW658"/>
      <c r="FY658" s="213">
        <v>653</v>
      </c>
      <c r="FZ658">
        <v>1.1743222411384853</v>
      </c>
      <c r="GA658">
        <v>12.766741158334996</v>
      </c>
      <c r="GB658">
        <v>6.4628284740805597</v>
      </c>
      <c r="GC658">
        <v>0.68735954847135594</v>
      </c>
      <c r="GD658">
        <v>2.9805725027350114</v>
      </c>
      <c r="GE658">
        <v>5.5590215625622452</v>
      </c>
      <c r="GF658">
        <v>0.95469624988012047</v>
      </c>
      <c r="GG658">
        <v>3.9699570467186831</v>
      </c>
      <c r="GH658">
        <v>5.5645799019284059</v>
      </c>
      <c r="GI658">
        <v>4.7102569533177636</v>
      </c>
      <c r="GJ658"/>
      <c r="GK658"/>
      <c r="GL658"/>
      <c r="GM658"/>
      <c r="GN658" s="208"/>
      <c r="GO658" s="208"/>
      <c r="GP658" s="208"/>
      <c r="GQ658" s="208"/>
      <c r="GR658" s="208"/>
      <c r="GS658" s="208"/>
      <c r="GT658" s="208"/>
      <c r="GU658" s="213">
        <v>653</v>
      </c>
    </row>
    <row r="659" spans="1:203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34.346744119334474</v>
      </c>
      <c r="AO659">
        <v>9.2574010348479554</v>
      </c>
      <c r="AP659">
        <v>415.91011339204289</v>
      </c>
      <c r="AQ659">
        <v>60.777132960787974</v>
      </c>
      <c r="AR659">
        <v>8.4700903934484444</v>
      </c>
      <c r="AS659">
        <v>103.1498833924696</v>
      </c>
      <c r="AT659" t="e">
        <v>#DIV/0!</v>
      </c>
      <c r="AU659" t="e">
        <v>#DIV/0!</v>
      </c>
      <c r="AV659"/>
      <c r="AW659"/>
      <c r="FY659" s="213">
        <v>654</v>
      </c>
      <c r="FZ659">
        <v>3.7797135260832437</v>
      </c>
      <c r="GA659">
        <v>13.345883080982814</v>
      </c>
      <c r="GB659">
        <v>4.7682343659860944</v>
      </c>
      <c r="GC659">
        <v>0.1475954794118578</v>
      </c>
      <c r="GD659">
        <v>1.2983589800051283</v>
      </c>
      <c r="GE659">
        <v>2.6962753334596057</v>
      </c>
      <c r="GF659">
        <v>0.47734812494006024</v>
      </c>
      <c r="GG659">
        <v>6.1239765091558054</v>
      </c>
      <c r="GH659">
        <v>8.2944006037691445</v>
      </c>
      <c r="GI659">
        <v>3.9968932940059676</v>
      </c>
      <c r="GJ659"/>
      <c r="GK659"/>
      <c r="GL659"/>
      <c r="GM659"/>
      <c r="GN659" s="208"/>
      <c r="GO659" s="208"/>
      <c r="GP659" s="208"/>
      <c r="GQ659" s="208"/>
      <c r="GR659" s="208"/>
      <c r="GS659" s="208"/>
      <c r="GT659" s="208"/>
      <c r="GU659" s="213">
        <v>654</v>
      </c>
    </row>
    <row r="660" spans="1:203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35.484469487143983</v>
      </c>
      <c r="AO660">
        <v>6.1964216558490026</v>
      </c>
      <c r="AP660">
        <v>326.80261913295647</v>
      </c>
      <c r="AQ660">
        <v>41.568284074667588</v>
      </c>
      <c r="AR660">
        <v>5.7416531379451525</v>
      </c>
      <c r="AS660">
        <v>89.064783675626757</v>
      </c>
      <c r="AT660" t="e">
        <v>#DIV/0!</v>
      </c>
      <c r="AU660" t="e">
        <v>#DIV/0!</v>
      </c>
      <c r="AV660"/>
      <c r="AW660"/>
      <c r="FY660" s="213">
        <v>655</v>
      </c>
      <c r="FZ660">
        <v>2.1834373233262436</v>
      </c>
      <c r="GA660">
        <v>19.431757598130044</v>
      </c>
      <c r="GB660">
        <v>8.6208961958382062</v>
      </c>
      <c r="GC660">
        <v>1.1752886190159173</v>
      </c>
      <c r="GD660">
        <v>2.0637724986956107</v>
      </c>
      <c r="GE660">
        <v>2.6418033727337131</v>
      </c>
      <c r="GF660">
        <v>0.47734812494006024</v>
      </c>
      <c r="GG660">
        <v>4.7952589753937938</v>
      </c>
      <c r="GH660">
        <v>6.6538899777302429</v>
      </c>
      <c r="GI660">
        <v>4.8934809861241018</v>
      </c>
      <c r="GJ660"/>
      <c r="GK660"/>
      <c r="GL660"/>
      <c r="GM660"/>
      <c r="GN660" s="208"/>
      <c r="GO660" s="208"/>
      <c r="GP660" s="208"/>
      <c r="GQ660" s="208"/>
      <c r="GR660" s="208"/>
      <c r="GS660" s="208"/>
      <c r="GT660" s="208"/>
      <c r="GU660" s="213">
        <v>655</v>
      </c>
    </row>
    <row r="661" spans="1:203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29.241156951286264</v>
      </c>
      <c r="AO661">
        <v>6.0410935548848395</v>
      </c>
      <c r="AP661">
        <v>330.75287392329648</v>
      </c>
      <c r="AQ661">
        <v>42.048680801354955</v>
      </c>
      <c r="AR661">
        <v>5.6004457734322779</v>
      </c>
      <c r="AS661">
        <v>79.290828217754481</v>
      </c>
      <c r="AT661" t="e">
        <v>#DIV/0!</v>
      </c>
      <c r="AU661" t="e">
        <v>#DIV/0!</v>
      </c>
      <c r="AV661"/>
      <c r="AW661"/>
      <c r="FY661" s="213">
        <v>656</v>
      </c>
      <c r="FZ661">
        <v>0.58716112056924263</v>
      </c>
      <c r="GA661">
        <v>24.137499561095126</v>
      </c>
      <c r="GB661">
        <v>12.004305321805335</v>
      </c>
      <c r="GC661">
        <v>1.7285950860895976</v>
      </c>
      <c r="GD661">
        <v>2.4804826188543525</v>
      </c>
      <c r="GE661">
        <v>2.628504311162704</v>
      </c>
      <c r="GF661">
        <v>0.47734812494006024</v>
      </c>
      <c r="GG661">
        <v>6.504457803041312</v>
      </c>
      <c r="GH661">
        <v>9.3480667552937575</v>
      </c>
      <c r="GI661">
        <v>6.2466227655237869</v>
      </c>
      <c r="GJ661"/>
      <c r="GK661"/>
      <c r="GL661"/>
      <c r="GM661"/>
      <c r="GN661" s="208"/>
      <c r="GO661" s="208"/>
      <c r="GP661" s="208"/>
      <c r="GQ661" s="208"/>
      <c r="GR661" s="208"/>
      <c r="GS661" s="208"/>
      <c r="GT661" s="208"/>
      <c r="GU661" s="213">
        <v>656</v>
      </c>
    </row>
    <row r="662" spans="1:203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51.312688974287951</v>
      </c>
      <c r="AO662">
        <v>9.6754005209119764</v>
      </c>
      <c r="AP662">
        <v>226.35986059284789</v>
      </c>
      <c r="AQ662">
        <v>65.726352913411233</v>
      </c>
      <c r="AR662">
        <v>8.7958186553745215</v>
      </c>
      <c r="AS662">
        <v>124.53186317675197</v>
      </c>
      <c r="AT662" t="e">
        <v>#DIV/0!</v>
      </c>
      <c r="AU662" t="e">
        <v>#DIV/0!</v>
      </c>
      <c r="AV662"/>
      <c r="AW662"/>
      <c r="FY662" s="213">
        <v>657</v>
      </c>
      <c r="FZ662">
        <v>2.7705984438954863</v>
      </c>
      <c r="GA662">
        <v>12.471801025618765</v>
      </c>
      <c r="GB662">
        <v>5.3228822878642506</v>
      </c>
      <c r="GC662">
        <v>1.8883007956635618</v>
      </c>
      <c r="GD662">
        <v>2.6033586134810749</v>
      </c>
      <c r="GE662">
        <v>2.628504311162704</v>
      </c>
      <c r="GF662">
        <v>0.47734812494006024</v>
      </c>
      <c r="GG662">
        <v>0.61182441540702126</v>
      </c>
      <c r="GH662">
        <v>0.80814523075352618</v>
      </c>
      <c r="GI662">
        <v>3.5176468731881374</v>
      </c>
      <c r="GJ662"/>
      <c r="GK662"/>
      <c r="GL662"/>
      <c r="GM662"/>
      <c r="GN662" s="208"/>
      <c r="GO662" s="208"/>
      <c r="GP662" s="208"/>
      <c r="GQ662" s="208"/>
      <c r="GR662" s="208"/>
      <c r="GS662" s="208"/>
      <c r="GT662" s="208"/>
      <c r="GU662" s="213">
        <v>657</v>
      </c>
    </row>
    <row r="663" spans="1:203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38.603517106191589</v>
      </c>
      <c r="AO663">
        <v>7.1409662138959549</v>
      </c>
      <c r="AP663">
        <v>343.21247499893877</v>
      </c>
      <c r="AQ663">
        <v>44.452590326485854</v>
      </c>
      <c r="AR663">
        <v>6.5460587380375346</v>
      </c>
      <c r="AS663">
        <v>110.97035568077909</v>
      </c>
      <c r="AT663" t="e">
        <v>#DIV/0!</v>
      </c>
      <c r="AU663" t="e">
        <v>#DIV/0!</v>
      </c>
      <c r="AV663"/>
      <c r="AW663"/>
      <c r="FY663" s="213">
        <v>658</v>
      </c>
      <c r="FZ663">
        <v>3.192552405514002</v>
      </c>
      <c r="GA663">
        <v>18.536967277433614</v>
      </c>
      <c r="GB663">
        <v>7.3573431241203728</v>
      </c>
      <c r="GC663">
        <v>0.53976406905949814</v>
      </c>
      <c r="GD663">
        <v>1.2002245924107382</v>
      </c>
      <c r="GE663">
        <v>1.5896549185640192</v>
      </c>
      <c r="GF663">
        <v>0</v>
      </c>
      <c r="GG663">
        <v>7.1903833825615777</v>
      </c>
      <c r="GH663">
        <v>9.8062915796069046</v>
      </c>
      <c r="GI663">
        <v>4.5945661694209532</v>
      </c>
      <c r="GJ663"/>
      <c r="GK663"/>
      <c r="GL663"/>
      <c r="GM663"/>
      <c r="GN663" s="208"/>
      <c r="GO663" s="208"/>
      <c r="GP663" s="208"/>
      <c r="GQ663" s="208"/>
      <c r="GR663" s="208"/>
      <c r="GS663" s="208"/>
      <c r="GT663" s="208"/>
      <c r="GU663" s="213">
        <v>658</v>
      </c>
    </row>
    <row r="664" spans="1:203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13.851379450478429</v>
      </c>
      <c r="AO664">
        <v>6.0735422022577499</v>
      </c>
      <c r="AP664">
        <v>155.80424126484198</v>
      </c>
      <c r="AQ664">
        <v>46.240389209408079</v>
      </c>
      <c r="AR664">
        <v>5.5756732729118941</v>
      </c>
      <c r="AS664">
        <v>50.964398350471882</v>
      </c>
      <c r="AT664" t="e">
        <v>#DIV/0!</v>
      </c>
      <c r="AU664" t="e">
        <v>#DIV/0!</v>
      </c>
      <c r="AV664"/>
      <c r="AW664"/>
      <c r="FY664" s="213">
        <v>659</v>
      </c>
      <c r="FZ664">
        <v>0.58716112056924263</v>
      </c>
      <c r="GA664">
        <v>12.358217232608411</v>
      </c>
      <c r="GB664">
        <v>6.1209032711258695</v>
      </c>
      <c r="GC664">
        <v>2.0432760490460127</v>
      </c>
      <c r="GD664">
        <v>2.2304743780842462</v>
      </c>
      <c r="GE664">
        <v>1.9245269511253453</v>
      </c>
      <c r="GF664">
        <v>0.95469624988012047</v>
      </c>
      <c r="GG664">
        <v>2.5035332174879037</v>
      </c>
      <c r="GH664">
        <v>3.4093462823931233</v>
      </c>
      <c r="GI664">
        <v>3.721881318910536</v>
      </c>
      <c r="GJ664"/>
      <c r="GK664"/>
      <c r="GL664"/>
      <c r="GM664"/>
      <c r="GN664" s="208"/>
      <c r="GO664" s="208"/>
      <c r="GP664" s="208"/>
      <c r="GQ664" s="208"/>
      <c r="GR664" s="208"/>
      <c r="GS664" s="208"/>
      <c r="GT664" s="208"/>
      <c r="GU664" s="213">
        <v>659</v>
      </c>
    </row>
    <row r="665" spans="1:203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33.193470309810671</v>
      </c>
      <c r="AO665">
        <v>4.6019998454584368</v>
      </c>
      <c r="AP665">
        <v>235.94593115441617</v>
      </c>
      <c r="AQ665">
        <v>28.384884975094188</v>
      </c>
      <c r="AR665">
        <v>4.1836362231440329</v>
      </c>
      <c r="AS665">
        <v>70.346805834718097</v>
      </c>
      <c r="AT665" t="e">
        <v>#DIV/0!</v>
      </c>
      <c r="AU665" t="e">
        <v>#DIV/0!</v>
      </c>
      <c r="AV665"/>
      <c r="AW665"/>
      <c r="FY665" s="213">
        <v>660</v>
      </c>
      <c r="FZ665">
        <v>3.7797135260832437</v>
      </c>
      <c r="GA665">
        <v>19.449153504690397</v>
      </c>
      <c r="GB665">
        <v>7.7702181650504105</v>
      </c>
      <c r="GC665">
        <v>0.75746740119198852</v>
      </c>
      <c r="GD665">
        <v>3.077875134643806</v>
      </c>
      <c r="GE665">
        <v>5.9393731139613646</v>
      </c>
      <c r="GF665">
        <v>1.432044374820181</v>
      </c>
      <c r="GG665">
        <v>3.8648883437707147</v>
      </c>
      <c r="GH665">
        <v>5.5403597373965576</v>
      </c>
      <c r="GI665">
        <v>5.6256157151426871</v>
      </c>
      <c r="GJ665"/>
      <c r="GK665"/>
      <c r="GL665"/>
      <c r="GM665"/>
      <c r="GN665" s="208"/>
      <c r="GO665" s="208"/>
      <c r="GP665" s="208"/>
      <c r="GQ665" s="208"/>
      <c r="GR665" s="208"/>
      <c r="GS665" s="208"/>
      <c r="GT665" s="208"/>
      <c r="GU665" s="213">
        <v>660</v>
      </c>
    </row>
    <row r="666" spans="1:203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24.085574440619617</v>
      </c>
      <c r="AO666">
        <v>5.1684805959588722</v>
      </c>
      <c r="AP666">
        <v>233.67833006482795</v>
      </c>
      <c r="AQ666">
        <v>33.444723532125018</v>
      </c>
      <c r="AR666">
        <v>4.6986187235989743</v>
      </c>
      <c r="AS666">
        <v>64.871587313556944</v>
      </c>
      <c r="AT666" t="e">
        <v>#DIV/0!</v>
      </c>
      <c r="AU666" t="e">
        <v>#DIV/0!</v>
      </c>
      <c r="AV666"/>
      <c r="AW666"/>
      <c r="FY666" s="213">
        <v>661</v>
      </c>
      <c r="FZ666">
        <v>2.1834373233262436</v>
      </c>
      <c r="GA666">
        <v>18.423383484423258</v>
      </c>
      <c r="GB666">
        <v>8.1553641073819918</v>
      </c>
      <c r="GC666">
        <v>1.965788422354787</v>
      </c>
      <c r="GD666">
        <v>2.0704556991800191</v>
      </c>
      <c r="GE666">
        <v>1.1358479347201231</v>
      </c>
      <c r="GF666">
        <v>0</v>
      </c>
      <c r="GG666">
        <v>2.3967944608538589</v>
      </c>
      <c r="GH666">
        <v>3.2687638598689679</v>
      </c>
      <c r="GI666">
        <v>4.1777264059643544</v>
      </c>
      <c r="GJ666"/>
      <c r="GK666"/>
      <c r="GL666"/>
      <c r="GM666"/>
      <c r="GN666" s="208"/>
      <c r="GO666" s="208"/>
      <c r="GP666" s="208"/>
      <c r="GQ666" s="208"/>
      <c r="GR666" s="208"/>
      <c r="GS666" s="208"/>
      <c r="GT666" s="208"/>
      <c r="GU666" s="213">
        <v>661</v>
      </c>
    </row>
    <row r="667" spans="1:203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21.415196500286861</v>
      </c>
      <c r="AO667">
        <v>6.3346624431763132</v>
      </c>
      <c r="AP667">
        <v>316.80079793286848</v>
      </c>
      <c r="AQ667">
        <v>42.17347713585422</v>
      </c>
      <c r="AR667">
        <v>5.8130553101105873</v>
      </c>
      <c r="AS667">
        <v>69.801988833044192</v>
      </c>
      <c r="AT667" t="e">
        <v>#DIV/0!</v>
      </c>
      <c r="AU667" t="e">
        <v>#DIV/0!</v>
      </c>
      <c r="AV667"/>
      <c r="AW667"/>
      <c r="FY667" s="213">
        <v>662</v>
      </c>
      <c r="FZ667">
        <v>0</v>
      </c>
      <c r="GA667">
        <v>16.598913310501555</v>
      </c>
      <c r="GB667">
        <v>8.3219448430670226</v>
      </c>
      <c r="GC667">
        <v>0.79049980333886993</v>
      </c>
      <c r="GD667">
        <v>1.5851908426649461</v>
      </c>
      <c r="GE667">
        <v>1.9793364354427161</v>
      </c>
      <c r="GF667">
        <v>0</v>
      </c>
      <c r="GG667">
        <v>4.7969290290798696</v>
      </c>
      <c r="GH667">
        <v>6.7702522357225492</v>
      </c>
      <c r="GI667">
        <v>4.1014616121870073</v>
      </c>
      <c r="GJ667"/>
      <c r="GK667"/>
      <c r="GL667"/>
      <c r="GM667"/>
      <c r="GN667" s="208"/>
      <c r="GO667" s="208"/>
      <c r="GP667" s="208"/>
      <c r="GQ667" s="208"/>
      <c r="GR667" s="208"/>
      <c r="GS667" s="208"/>
      <c r="GT667" s="208"/>
      <c r="GU667" s="213">
        <v>662</v>
      </c>
    </row>
    <row r="668" spans="1:203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26.254549808429118</v>
      </c>
      <c r="AO668">
        <v>7.5510980644703114</v>
      </c>
      <c r="AP668">
        <v>116.36190865411234</v>
      </c>
      <c r="AQ668">
        <v>45.934165840285701</v>
      </c>
      <c r="AR668">
        <v>6.9189058749233121</v>
      </c>
      <c r="AS668">
        <v>77.720461475920004</v>
      </c>
      <c r="AT668" t="e">
        <v>#DIV/0!</v>
      </c>
      <c r="AU668" t="e">
        <v>#DIV/0!</v>
      </c>
      <c r="AV668"/>
      <c r="AW668"/>
      <c r="FY668" s="213">
        <v>663</v>
      </c>
      <c r="FZ668">
        <v>2.1834373233262436</v>
      </c>
      <c r="GA668">
        <v>17.787817321838229</v>
      </c>
      <c r="GB668">
        <v>8.0171850468600692</v>
      </c>
      <c r="GC668">
        <v>2.1908715284578704</v>
      </c>
      <c r="GD668">
        <v>1.8772360030986546</v>
      </c>
      <c r="GE668">
        <v>0.97504746639321449</v>
      </c>
      <c r="GF668">
        <v>0.95469624988012047</v>
      </c>
      <c r="GG668">
        <v>2.5035332174879037</v>
      </c>
      <c r="GH668">
        <v>3.4093462823931233</v>
      </c>
      <c r="GI668">
        <v>4.1370402224631038</v>
      </c>
      <c r="GJ668"/>
      <c r="GK668"/>
      <c r="GL668"/>
      <c r="GM668"/>
      <c r="GN668" s="208"/>
      <c r="GO668" s="208"/>
      <c r="GP668" s="208"/>
      <c r="GQ668" s="208"/>
      <c r="GR668" s="208"/>
      <c r="GS668" s="208"/>
      <c r="GT668" s="208"/>
      <c r="GU668" s="213">
        <v>663</v>
      </c>
    </row>
    <row r="669" spans="1:203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28.209906951286257</v>
      </c>
      <c r="AO669">
        <v>7.2241184206436966</v>
      </c>
      <c r="AP669">
        <v>293.85498472003326</v>
      </c>
      <c r="AQ669">
        <v>44.830335639167629</v>
      </c>
      <c r="AR669">
        <v>6.6759229241221476</v>
      </c>
      <c r="AS669">
        <v>80.683810939245802</v>
      </c>
      <c r="AT669" t="e">
        <v>#DIV/0!</v>
      </c>
      <c r="AU669" t="e">
        <v>#DIV/0!</v>
      </c>
      <c r="AV669"/>
      <c r="AW669"/>
      <c r="FY669" s="213">
        <v>664</v>
      </c>
      <c r="FZ669">
        <v>4.3668746466524873</v>
      </c>
      <c r="GA669">
        <v>18.161039798117361</v>
      </c>
      <c r="GB669">
        <v>7.2579282134806355</v>
      </c>
      <c r="GC669">
        <v>0.84233480185380649</v>
      </c>
      <c r="GD669">
        <v>2.6761523026162974</v>
      </c>
      <c r="GE669">
        <v>4.1154902602891603</v>
      </c>
      <c r="GF669">
        <v>0</v>
      </c>
      <c r="GG669">
        <v>6.9297427758914143</v>
      </c>
      <c r="GH669">
        <v>9.7940341873980685</v>
      </c>
      <c r="GI669">
        <v>5.7128738023179508</v>
      </c>
      <c r="GJ669"/>
      <c r="GK669"/>
      <c r="GL669"/>
      <c r="GM669"/>
      <c r="GN669" s="208"/>
      <c r="GO669" s="208"/>
      <c r="GP669" s="208"/>
      <c r="GQ669" s="208"/>
      <c r="GR669" s="208"/>
      <c r="GS669" s="208"/>
      <c r="GT669" s="208"/>
      <c r="GU669" s="213">
        <v>664</v>
      </c>
    </row>
    <row r="670" spans="1:203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20.73472605528848</v>
      </c>
      <c r="AO670">
        <v>6.1699912289081871</v>
      </c>
      <c r="AP670">
        <v>143.60552307063057</v>
      </c>
      <c r="AQ670">
        <v>44.928679297799725</v>
      </c>
      <c r="AR670">
        <v>5.6633542062304727</v>
      </c>
      <c r="AS670">
        <v>66.064831685877593</v>
      </c>
      <c r="AT670" t="e">
        <v>#DIV/0!</v>
      </c>
      <c r="AU670" t="e">
        <v>#DIV/0!</v>
      </c>
      <c r="AV670"/>
      <c r="AW670"/>
      <c r="FY670" s="213">
        <v>665</v>
      </c>
      <c r="FZ670">
        <v>1.1743222411384853</v>
      </c>
      <c r="GA670">
        <v>18.429940720552057</v>
      </c>
      <c r="GB670">
        <v>9.2040091903807557</v>
      </c>
      <c r="GC670">
        <v>2.4280648647230603</v>
      </c>
      <c r="GD670">
        <v>2.5850810873966488</v>
      </c>
      <c r="GE670">
        <v>2.0431243788164366</v>
      </c>
      <c r="GF670">
        <v>0.95469624988012047</v>
      </c>
      <c r="GG670">
        <v>4.2885032629347419</v>
      </c>
      <c r="GH670">
        <v>5.8699649115085659</v>
      </c>
      <c r="GI670">
        <v>5.170705959756039</v>
      </c>
      <c r="GJ670"/>
      <c r="GK670"/>
      <c r="GL670"/>
      <c r="GM670"/>
      <c r="GN670" s="208"/>
      <c r="GO670" s="208"/>
      <c r="GP670" s="208"/>
      <c r="GQ670" s="208"/>
      <c r="GR670" s="208"/>
      <c r="GS670" s="208"/>
      <c r="GT670" s="208"/>
      <c r="GU670" s="213">
        <v>665</v>
      </c>
    </row>
    <row r="671" spans="1:203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33.396022307621294</v>
      </c>
      <c r="AO671">
        <v>7.6298340136805107</v>
      </c>
      <c r="AP671">
        <v>160.14534179760699</v>
      </c>
      <c r="AQ671">
        <v>52.936933671927932</v>
      </c>
      <c r="AR671">
        <v>6.9904840105689487</v>
      </c>
      <c r="AS671">
        <v>89.659879347135174</v>
      </c>
      <c r="AT671" t="e">
        <v>#DIV/0!</v>
      </c>
      <c r="AU671" t="e">
        <v>#DIV/0!</v>
      </c>
      <c r="AV671"/>
      <c r="AW671"/>
      <c r="FY671" s="213">
        <v>666</v>
      </c>
      <c r="FZ671">
        <v>1.596276202757001</v>
      </c>
      <c r="GA671">
        <v>17.314335639676347</v>
      </c>
      <c r="GB671">
        <v>7.6357597199572531</v>
      </c>
      <c r="GC671">
        <v>1.0600381339862968</v>
      </c>
      <c r="GD671">
        <v>3.0598741239335827</v>
      </c>
      <c r="GE671">
        <v>4.5493996897880971</v>
      </c>
      <c r="GF671">
        <v>0</v>
      </c>
      <c r="GG671">
        <v>4.1817645063006967</v>
      </c>
      <c r="GH671">
        <v>5.7293824889844096</v>
      </c>
      <c r="GI671">
        <v>4.9160419835038542</v>
      </c>
      <c r="GJ671"/>
      <c r="GK671"/>
      <c r="GL671"/>
      <c r="GM671"/>
      <c r="GN671" s="208"/>
      <c r="GO671" s="208"/>
      <c r="GP671" s="208"/>
      <c r="GQ671" s="208"/>
      <c r="GR671" s="208"/>
      <c r="GS671" s="208"/>
      <c r="GT671" s="208"/>
      <c r="GU671" s="213">
        <v>666</v>
      </c>
    </row>
    <row r="672" spans="1:203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33.12202380952381</v>
      </c>
      <c r="AO672">
        <v>9.9002280090278312</v>
      </c>
      <c r="AP672">
        <v>533.0167116178576</v>
      </c>
      <c r="AQ672">
        <v>66.143043468375268</v>
      </c>
      <c r="AR672">
        <v>9.0544785517937836</v>
      </c>
      <c r="AS672">
        <v>117.36309784668035</v>
      </c>
      <c r="AT672" t="e">
        <v>#DIV/0!</v>
      </c>
      <c r="AU672" t="e">
        <v>#DIV/0!</v>
      </c>
      <c r="AV672"/>
      <c r="AW672"/>
      <c r="FY672" s="213">
        <v>667</v>
      </c>
      <c r="FZ672">
        <v>1.1743222411384853</v>
      </c>
      <c r="GA672">
        <v>13.473105658631233</v>
      </c>
      <c r="GB672">
        <v>6.8187099721805247</v>
      </c>
      <c r="GC672">
        <v>1.7285950860895971</v>
      </c>
      <c r="GD672">
        <v>2.0469364348116064</v>
      </c>
      <c r="GE672">
        <v>2.0431243788164366</v>
      </c>
      <c r="GF672">
        <v>0.95469624988012047</v>
      </c>
      <c r="GG672">
        <v>3.7834176041617651</v>
      </c>
      <c r="GH672">
        <v>5.2024021032791943</v>
      </c>
      <c r="GI672">
        <v>4.1326639124239222</v>
      </c>
      <c r="GJ672"/>
      <c r="GK672"/>
      <c r="GL672"/>
      <c r="GM672"/>
      <c r="GN672" s="208"/>
      <c r="GO672" s="208"/>
      <c r="GP672" s="208"/>
      <c r="GQ672" s="208"/>
      <c r="GR672" s="208"/>
      <c r="GS672" s="208"/>
      <c r="GT672" s="208"/>
      <c r="GU672" s="213">
        <v>667</v>
      </c>
    </row>
    <row r="673" spans="1:203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29.65038314176245</v>
      </c>
      <c r="AO673">
        <v>5.2454748669966644</v>
      </c>
      <c r="AP673">
        <v>95.327776682835164</v>
      </c>
      <c r="AQ673">
        <v>33.100410121974583</v>
      </c>
      <c r="AR673">
        <v>4.8771560571703008</v>
      </c>
      <c r="AS673">
        <v>75.899194670920025</v>
      </c>
      <c r="AT673" t="e">
        <v>#DIV/0!</v>
      </c>
      <c r="AU673" t="e">
        <v>#DIV/0!</v>
      </c>
      <c r="AV673"/>
      <c r="AW673"/>
      <c r="FY673" s="213">
        <v>668</v>
      </c>
      <c r="FZ673">
        <v>5.3759897288402456</v>
      </c>
      <c r="GA673">
        <v>23.955426566536367</v>
      </c>
      <c r="GB673">
        <v>9.1958953829585628</v>
      </c>
      <c r="GC673">
        <v>1.6180750572514906</v>
      </c>
      <c r="GD673">
        <v>2.8874897361794383</v>
      </c>
      <c r="GE673">
        <v>3.9251387313779871</v>
      </c>
      <c r="GF673">
        <v>0.95469624988012047</v>
      </c>
      <c r="GG673">
        <v>4.7935889217077179</v>
      </c>
      <c r="GH673">
        <v>6.5375277197379358</v>
      </c>
      <c r="GI673">
        <v>6.1800776490129579</v>
      </c>
      <c r="GJ673"/>
      <c r="GK673"/>
      <c r="GL673"/>
      <c r="GM673"/>
      <c r="GN673" s="208"/>
      <c r="GO673" s="208"/>
      <c r="GP673" s="208"/>
      <c r="GQ673" s="208"/>
      <c r="GR673" s="208"/>
      <c r="GS673" s="208"/>
      <c r="GT673" s="208"/>
      <c r="GU673" s="213">
        <v>668</v>
      </c>
    </row>
    <row r="674" spans="1:203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26.294899425287355</v>
      </c>
      <c r="AO674">
        <v>7.1490710029072675</v>
      </c>
      <c r="AP674">
        <v>211.83531209099203</v>
      </c>
      <c r="AQ674">
        <v>54.00774751869168</v>
      </c>
      <c r="AR674">
        <v>6.4991554571884276</v>
      </c>
      <c r="AS674">
        <v>86.008727316434857</v>
      </c>
      <c r="AT674" t="e">
        <v>#DIV/0!</v>
      </c>
      <c r="AU674" t="e">
        <v>#DIV/0!</v>
      </c>
      <c r="AV674"/>
      <c r="AW674"/>
      <c r="FY674" s="213">
        <v>669</v>
      </c>
      <c r="FZ674">
        <v>0.58716112056924263</v>
      </c>
      <c r="GA674">
        <v>15.707133218881641</v>
      </c>
      <c r="GB674">
        <v>7.7702181650504105</v>
      </c>
      <c r="GC674">
        <v>2.4280648647230603</v>
      </c>
      <c r="GD674">
        <v>2.5516128738135686</v>
      </c>
      <c r="GE674">
        <v>1.6826703817622763</v>
      </c>
      <c r="GF674">
        <v>0.47734812494006024</v>
      </c>
      <c r="GG674">
        <v>3.7581495871366699</v>
      </c>
      <c r="GH674">
        <v>5.3997773148724022</v>
      </c>
      <c r="GI674">
        <v>4.5731788234924569</v>
      </c>
      <c r="GJ674"/>
      <c r="GK674"/>
      <c r="GL674"/>
      <c r="GM674"/>
      <c r="GN674" s="208"/>
      <c r="GO674" s="208"/>
      <c r="GP674" s="208"/>
      <c r="GQ674" s="208"/>
      <c r="GR674" s="208"/>
      <c r="GS674" s="208"/>
      <c r="GT674" s="208"/>
      <c r="GU674" s="213">
        <v>669</v>
      </c>
    </row>
    <row r="675" spans="1:203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29.109469487143969</v>
      </c>
      <c r="AO675">
        <v>5.7221058322133356</v>
      </c>
      <c r="AP675">
        <v>280.58752204617065</v>
      </c>
      <c r="AQ675">
        <v>35.854016071230802</v>
      </c>
      <c r="AR675">
        <v>5.2561856637806077</v>
      </c>
      <c r="AS675">
        <v>76.637373041587381</v>
      </c>
      <c r="AT675" t="e">
        <v>#DIV/0!</v>
      </c>
      <c r="AU675" t="e">
        <v>#DIV/0!</v>
      </c>
      <c r="AV675"/>
      <c r="AW675"/>
      <c r="FY675" s="213">
        <v>670</v>
      </c>
      <c r="FZ675">
        <v>0</v>
      </c>
      <c r="GA675">
        <v>15.350989843413634</v>
      </c>
      <c r="GB675">
        <v>7.7730760114106658</v>
      </c>
      <c r="GC675">
        <v>2.1133839017666447</v>
      </c>
      <c r="GD675">
        <v>2.309508802876874</v>
      </c>
      <c r="GE675">
        <v>1.6826703817622763</v>
      </c>
      <c r="GF675">
        <v>0.47734812494006024</v>
      </c>
      <c r="GG675">
        <v>0.21347751326808947</v>
      </c>
      <c r="GH675">
        <v>0.28116484504831013</v>
      </c>
      <c r="GI675">
        <v>3.4511831512185767</v>
      </c>
      <c r="GJ675"/>
      <c r="GK675"/>
      <c r="GL675"/>
      <c r="GM675"/>
      <c r="GN675" s="208"/>
      <c r="GO675" s="208"/>
      <c r="GP675" s="208"/>
      <c r="GQ675" s="208"/>
      <c r="GR675" s="208"/>
      <c r="GS675" s="208"/>
      <c r="GT675" s="208"/>
      <c r="GU675" s="213">
        <v>670</v>
      </c>
    </row>
    <row r="676" spans="1:203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33.447267106191603</v>
      </c>
      <c r="AO676">
        <v>8.8533489679687971</v>
      </c>
      <c r="AP676">
        <v>162.41573351406879</v>
      </c>
      <c r="AQ676">
        <v>57.236709016751348</v>
      </c>
      <c r="AR676">
        <v>8.1027703326492091</v>
      </c>
      <c r="AS676">
        <v>85.668222289672656</v>
      </c>
      <c r="AT676" t="e">
        <v>#DIV/0!</v>
      </c>
      <c r="AU676" t="e">
        <v>#DIV/0!</v>
      </c>
      <c r="AV676"/>
      <c r="AW676"/>
      <c r="FY676" s="213">
        <v>671</v>
      </c>
      <c r="FZ676">
        <v>3.192552405514002</v>
      </c>
      <c r="GA676">
        <v>18.013520872055167</v>
      </c>
      <c r="GB676">
        <v>7.1841205291450319</v>
      </c>
      <c r="GC676">
        <v>0.30257073279430846</v>
      </c>
      <c r="GD676">
        <v>1.5093959237886394</v>
      </c>
      <c r="GE676">
        <v>2.8862893387793012</v>
      </c>
      <c r="GF676">
        <v>0.47734812494006024</v>
      </c>
      <c r="GG676">
        <v>1.7866400991329137</v>
      </c>
      <c r="GH676">
        <v>2.5769808871077484</v>
      </c>
      <c r="GI676">
        <v>3.7737203332292255</v>
      </c>
      <c r="GJ676"/>
      <c r="GK676"/>
      <c r="GL676"/>
      <c r="GM676"/>
      <c r="GN676" s="208"/>
      <c r="GO676" s="208"/>
      <c r="GP676" s="208"/>
      <c r="GQ676" s="208"/>
      <c r="GR676" s="208"/>
      <c r="GS676" s="208"/>
      <c r="GT676" s="208"/>
      <c r="GU676" s="213">
        <v>671</v>
      </c>
    </row>
    <row r="677" spans="1:203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27.858716475095786</v>
      </c>
      <c r="AO677">
        <v>6.4538556146024417</v>
      </c>
      <c r="AP677">
        <v>132.06411965087977</v>
      </c>
      <c r="AQ677">
        <v>43.777561698073612</v>
      </c>
      <c r="AR677">
        <v>5.9214127386797957</v>
      </c>
      <c r="AS677">
        <v>77.993937715713187</v>
      </c>
      <c r="AT677" t="e">
        <v>#DIV/0!</v>
      </c>
      <c r="AU677" t="e">
        <v>#DIV/0!</v>
      </c>
      <c r="AV677"/>
      <c r="AW677"/>
      <c r="FY677" s="213">
        <v>672</v>
      </c>
      <c r="FZ677">
        <v>1.1743222411384853</v>
      </c>
      <c r="GA677">
        <v>14.775162887776606</v>
      </c>
      <c r="GB677">
        <v>7.2550703671203767</v>
      </c>
      <c r="GC677">
        <v>2.0102436468991312</v>
      </c>
      <c r="GD677">
        <v>2.2056596431783033</v>
      </c>
      <c r="GE677">
        <v>1.6281984210363838</v>
      </c>
      <c r="GF677">
        <v>0.47734812494006024</v>
      </c>
      <c r="GG677">
        <v>4.0204602474929096</v>
      </c>
      <c r="GH677">
        <v>5.5283969650735436</v>
      </c>
      <c r="GI677">
        <v>4.2857748835694078</v>
      </c>
      <c r="GJ677"/>
      <c r="GK677"/>
      <c r="GL677"/>
      <c r="GM677"/>
      <c r="GN677" s="208"/>
      <c r="GO677" s="208"/>
      <c r="GP677" s="208"/>
      <c r="GQ677" s="208"/>
      <c r="GR677" s="208"/>
      <c r="GS677" s="208"/>
      <c r="GT677" s="208"/>
      <c r="GU677" s="213">
        <v>672</v>
      </c>
    </row>
    <row r="678" spans="1:203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29.866278331717673</v>
      </c>
      <c r="AO678">
        <v>6.431527863683181</v>
      </c>
      <c r="AP678">
        <v>323.50531156893726</v>
      </c>
      <c r="AQ678">
        <v>44.944528112004541</v>
      </c>
      <c r="AR678">
        <v>5.8468435124392553</v>
      </c>
      <c r="AS678">
        <v>86.620466193719281</v>
      </c>
      <c r="AT678" t="e">
        <v>#DIV/0!</v>
      </c>
      <c r="AU678" t="e">
        <v>#DIV/0!</v>
      </c>
      <c r="AV678"/>
      <c r="AW678"/>
      <c r="FY678" s="213">
        <v>673</v>
      </c>
      <c r="FZ678">
        <v>1.596276202757001</v>
      </c>
      <c r="GA678">
        <v>19.949598558617943</v>
      </c>
      <c r="GB678">
        <v>9.0614369378654072</v>
      </c>
      <c r="GC678">
        <v>2.8263960784142892</v>
      </c>
      <c r="GD678">
        <v>2.5247746214181301</v>
      </c>
      <c r="GE678">
        <v>1.0042749862177514</v>
      </c>
      <c r="GF678">
        <v>0.47734812494006024</v>
      </c>
      <c r="GG678">
        <v>3.358132631311662</v>
      </c>
      <c r="GH678">
        <v>4.7564346711748797</v>
      </c>
      <c r="GI678">
        <v>4.8280774858998718</v>
      </c>
      <c r="GJ678"/>
      <c r="GK678"/>
      <c r="GL678"/>
      <c r="GM678"/>
      <c r="GN678" s="208"/>
      <c r="GO678" s="208"/>
      <c r="GP678" s="208"/>
      <c r="GQ678" s="208"/>
      <c r="GR678" s="208"/>
      <c r="GS678" s="208"/>
      <c r="GT678" s="208"/>
      <c r="GU678" s="213">
        <v>673</v>
      </c>
    </row>
    <row r="679" spans="1:203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33.054409963334457</v>
      </c>
      <c r="AO679">
        <v>6.2567626152981948</v>
      </c>
      <c r="AP679">
        <v>131.46489142889075</v>
      </c>
      <c r="AQ679">
        <v>44.036210662198535</v>
      </c>
      <c r="AR679">
        <v>5.7422372847668406</v>
      </c>
      <c r="AS679">
        <v>88.298520061927107</v>
      </c>
      <c r="AT679" t="e">
        <v>#DIV/0!</v>
      </c>
      <c r="AU679" t="e">
        <v>#DIV/0!</v>
      </c>
      <c r="AV679"/>
      <c r="AW679"/>
      <c r="FY679" s="213">
        <v>674</v>
      </c>
      <c r="FZ679">
        <v>3.192552405514002</v>
      </c>
      <c r="GA679">
        <v>13.259469678264253</v>
      </c>
      <c r="GB679">
        <v>4.5439534666190262</v>
      </c>
      <c r="GC679">
        <v>0.60987192178013072</v>
      </c>
      <c r="GD679">
        <v>1.6205453862253822</v>
      </c>
      <c r="GE679">
        <v>2.628504311162704</v>
      </c>
      <c r="GF679">
        <v>0.47734812494006024</v>
      </c>
      <c r="GG679">
        <v>4.7935889217077179</v>
      </c>
      <c r="GH679">
        <v>6.5375277197379358</v>
      </c>
      <c r="GI679">
        <v>3.8105355847065185</v>
      </c>
      <c r="GJ679"/>
      <c r="GK679"/>
      <c r="GL679"/>
      <c r="GM679"/>
      <c r="GN679" s="208"/>
      <c r="GO679" s="208"/>
      <c r="GP679" s="208"/>
      <c r="GQ679" s="208"/>
      <c r="GR679" s="208"/>
      <c r="GS679" s="208"/>
      <c r="GT679" s="208"/>
      <c r="GU679" s="213">
        <v>674</v>
      </c>
    </row>
    <row r="680" spans="1:203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30.540196500286861</v>
      </c>
      <c r="AO680">
        <v>8.9144579217318753</v>
      </c>
      <c r="AP680">
        <v>213.2612190719955</v>
      </c>
      <c r="AQ680">
        <v>59.85647078861718</v>
      </c>
      <c r="AR680">
        <v>8.2125951978386755</v>
      </c>
      <c r="AS680">
        <v>86.327864818564194</v>
      </c>
      <c r="AT680" t="e">
        <v>#DIV/0!</v>
      </c>
      <c r="AU680" t="e">
        <v>#DIV/0!</v>
      </c>
      <c r="AV680"/>
      <c r="AW680"/>
      <c r="FY680" s="213">
        <v>675</v>
      </c>
      <c r="FZ680">
        <v>1.1743222411384853</v>
      </c>
      <c r="GA680">
        <v>12.905616780676004</v>
      </c>
      <c r="GB680">
        <v>6.4920929183121769</v>
      </c>
      <c r="GC680">
        <v>2.9038837051055144</v>
      </c>
      <c r="GD680">
        <v>2.9842411562591868</v>
      </c>
      <c r="GE680">
        <v>2.1108954011133378</v>
      </c>
      <c r="GF680">
        <v>0.95469624988012047</v>
      </c>
      <c r="GG680">
        <v>2.3984645145399348</v>
      </c>
      <c r="GH680">
        <v>3.3851261178612746</v>
      </c>
      <c r="GI680">
        <v>4.311944153718013</v>
      </c>
      <c r="GJ680"/>
      <c r="GK680"/>
      <c r="GL680"/>
      <c r="GM680"/>
      <c r="GN680" s="208"/>
      <c r="GO680" s="208"/>
      <c r="GP680" s="208"/>
      <c r="GQ680" s="208"/>
      <c r="GR680" s="208"/>
      <c r="GS680" s="208"/>
      <c r="GT680" s="208"/>
      <c r="GU680" s="213">
        <v>675</v>
      </c>
    </row>
    <row r="681" spans="1:203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36.286552820477311</v>
      </c>
      <c r="AO681">
        <v>7.8876674762364543</v>
      </c>
      <c r="AP681">
        <v>403.53793227302879</v>
      </c>
      <c r="AQ681">
        <v>52.148412867086918</v>
      </c>
      <c r="AR681">
        <v>7.2791493382973806</v>
      </c>
      <c r="AS681">
        <v>86.81350895930531</v>
      </c>
      <c r="AT681" t="e">
        <v>#DIV/0!</v>
      </c>
      <c r="AU681" t="e">
        <v>#DIV/0!</v>
      </c>
      <c r="AV681"/>
      <c r="AW681"/>
      <c r="FY681" s="213">
        <v>676</v>
      </c>
      <c r="FZ681">
        <v>1.596276202757001</v>
      </c>
      <c r="GA681">
        <v>12.134392243352613</v>
      </c>
      <c r="GB681">
        <v>5.1043804787189835</v>
      </c>
      <c r="GC681">
        <v>2.7562882256936567</v>
      </c>
      <c r="GD681">
        <v>3.9302219574744157</v>
      </c>
      <c r="GE681">
        <v>3.6713367826845702</v>
      </c>
      <c r="GF681">
        <v>0</v>
      </c>
      <c r="GG681">
        <v>4.2885032629347419</v>
      </c>
      <c r="GH681">
        <v>5.8699649115085659</v>
      </c>
      <c r="GI681">
        <v>4.7829433205676271</v>
      </c>
      <c r="GJ681"/>
      <c r="GK681"/>
      <c r="GL681"/>
      <c r="GM681"/>
      <c r="GN681" s="208"/>
      <c r="GO681" s="208"/>
      <c r="GP681" s="208"/>
      <c r="GQ681" s="208"/>
      <c r="GR681" s="208"/>
      <c r="GS681" s="208"/>
      <c r="GT681" s="208"/>
      <c r="GU681" s="213">
        <v>676</v>
      </c>
    </row>
    <row r="682" spans="1:203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35.037287903667213</v>
      </c>
      <c r="AO682">
        <v>7.637608874279489</v>
      </c>
      <c r="AP682">
        <v>155.47832063370021</v>
      </c>
      <c r="AQ682">
        <v>50.042872488887532</v>
      </c>
      <c r="AR682">
        <v>6.9432807947995343</v>
      </c>
      <c r="AS682">
        <v>94.981336012808583</v>
      </c>
      <c r="AT682" t="e">
        <v>#DIV/0!</v>
      </c>
      <c r="AU682" t="e">
        <v>#DIV/0!</v>
      </c>
      <c r="AV682"/>
      <c r="AW682"/>
      <c r="FY682" s="213">
        <v>677</v>
      </c>
      <c r="FZ682">
        <v>0.58716112056924263</v>
      </c>
      <c r="GA682">
        <v>19.055732399405642</v>
      </c>
      <c r="GB682">
        <v>9.513812102743568</v>
      </c>
      <c r="GC682">
        <v>0.74535717102988164</v>
      </c>
      <c r="GD682">
        <v>1.5173569746422446</v>
      </c>
      <c r="GE682">
        <v>2.4969313626603324</v>
      </c>
      <c r="GF682">
        <v>0.95469624988012047</v>
      </c>
      <c r="GG682">
        <v>4.5019807762028314</v>
      </c>
      <c r="GH682">
        <v>6.151129756556875</v>
      </c>
      <c r="GI682">
        <v>4.5352552794632075</v>
      </c>
      <c r="GJ682"/>
      <c r="GK682"/>
      <c r="GL682"/>
      <c r="GM682"/>
      <c r="GN682" s="208"/>
      <c r="GO682" s="208"/>
      <c r="GP682" s="208"/>
      <c r="GQ682" s="208"/>
      <c r="GR682" s="208"/>
      <c r="GS682" s="208"/>
      <c r="GT682" s="208"/>
      <c r="GU682" s="213">
        <v>677</v>
      </c>
    </row>
    <row r="683" spans="1:203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26.873529833620193</v>
      </c>
      <c r="AO683">
        <v>6.2561490973257943</v>
      </c>
      <c r="AP683">
        <v>308.10294314840598</v>
      </c>
      <c r="AQ683">
        <v>41.357973641412883</v>
      </c>
      <c r="AR683">
        <v>5.7959508120149641</v>
      </c>
      <c r="AS683">
        <v>82.415846380732205</v>
      </c>
      <c r="AT683" t="e">
        <v>#DIV/0!</v>
      </c>
      <c r="AU683" t="e">
        <v>#DIV/0!</v>
      </c>
      <c r="AV683"/>
      <c r="AW683"/>
      <c r="FY683" s="213">
        <v>678</v>
      </c>
      <c r="FZ683">
        <v>0.58716112056924263</v>
      </c>
      <c r="GA683">
        <v>12.619222232272808</v>
      </c>
      <c r="GB683">
        <v>6.389020789744956</v>
      </c>
      <c r="GC683">
        <v>2.4981727174436923</v>
      </c>
      <c r="GD683">
        <v>4.0984014448762416</v>
      </c>
      <c r="GE683">
        <v>4.7101861752832557</v>
      </c>
      <c r="GF683">
        <v>0.47734812494006024</v>
      </c>
      <c r="GG683">
        <v>4.2885032629347419</v>
      </c>
      <c r="GH683">
        <v>5.8699649115085659</v>
      </c>
      <c r="GI683">
        <v>5.1827482194161378</v>
      </c>
      <c r="GJ683"/>
      <c r="GK683"/>
      <c r="GL683"/>
      <c r="GM683"/>
      <c r="GN683" s="208"/>
      <c r="GO683" s="208"/>
      <c r="GP683" s="208"/>
      <c r="GQ683" s="208"/>
      <c r="GR683" s="208"/>
      <c r="GS683" s="208"/>
      <c r="GT683" s="208"/>
      <c r="GU683" s="213">
        <v>678</v>
      </c>
    </row>
    <row r="684" spans="1:203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32.760587712096338</v>
      </c>
      <c r="AO684">
        <v>9.5586868796215576</v>
      </c>
      <c r="AP684">
        <v>190.47531428432791</v>
      </c>
      <c r="AQ684">
        <v>65.42390574348282</v>
      </c>
      <c r="AR684">
        <v>8.7439866159699005</v>
      </c>
      <c r="AS684">
        <v>102.50713639622063</v>
      </c>
      <c r="AT684" t="e">
        <v>#DIV/0!</v>
      </c>
      <c r="AU684" t="e">
        <v>#DIV/0!</v>
      </c>
      <c r="AV684"/>
      <c r="AW684"/>
      <c r="FY684" s="213">
        <v>679</v>
      </c>
      <c r="FZ684">
        <v>5.9631508494094883</v>
      </c>
      <c r="GA684">
        <v>21.471851612497858</v>
      </c>
      <c r="GB684">
        <v>7.9397201445969836</v>
      </c>
      <c r="GC684">
        <v>2.3384670078697281</v>
      </c>
      <c r="GD684">
        <v>4.5343487153488855</v>
      </c>
      <c r="GE684">
        <v>5.8460341100033792</v>
      </c>
      <c r="GF684">
        <v>0.47734812494006024</v>
      </c>
      <c r="GG684">
        <v>4.1817645063006967</v>
      </c>
      <c r="GH684">
        <v>5.7293824889844096</v>
      </c>
      <c r="GI684">
        <v>6.6737597701789841</v>
      </c>
      <c r="GJ684"/>
      <c r="GK684"/>
      <c r="GL684"/>
      <c r="GM684"/>
      <c r="GN684" s="208"/>
      <c r="GO684" s="208"/>
      <c r="GP684" s="208"/>
      <c r="GQ684" s="208"/>
      <c r="GR684" s="208"/>
      <c r="GS684" s="208"/>
      <c r="GT684" s="208"/>
      <c r="GU684" s="213">
        <v>679</v>
      </c>
    </row>
    <row r="685" spans="1:203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33.244133141762454</v>
      </c>
      <c r="AO685">
        <v>7.1909273161217966</v>
      </c>
      <c r="AP685">
        <v>380.27652157511335</v>
      </c>
      <c r="AQ685">
        <v>44.935314475241789</v>
      </c>
      <c r="AR685">
        <v>6.5914779218792088</v>
      </c>
      <c r="AS685">
        <v>82.267163747709333</v>
      </c>
      <c r="AT685" t="e">
        <v>#DIV/0!</v>
      </c>
      <c r="AU685" t="e">
        <v>#DIV/0!</v>
      </c>
      <c r="AV685"/>
      <c r="AW685"/>
      <c r="FY685" s="213">
        <v>680</v>
      </c>
      <c r="FZ685">
        <v>2.7705984438954863</v>
      </c>
      <c r="GA685">
        <v>20.604948825051224</v>
      </c>
      <c r="GB685">
        <v>9.3018887553873277</v>
      </c>
      <c r="GC685">
        <v>0.68735954847135594</v>
      </c>
      <c r="GD685">
        <v>1.9882030535928992</v>
      </c>
      <c r="GE685">
        <v>3.5451107207385957</v>
      </c>
      <c r="GF685">
        <v>0.95469624988012047</v>
      </c>
      <c r="GG685">
        <v>4.1817645063006967</v>
      </c>
      <c r="GH685">
        <v>5.7293824889844096</v>
      </c>
      <c r="GI685">
        <v>5.0851160525851151</v>
      </c>
      <c r="GJ685"/>
      <c r="GK685"/>
      <c r="GL685"/>
      <c r="GM685"/>
      <c r="GN685" s="208"/>
      <c r="GO685" s="208"/>
      <c r="GP685" s="208"/>
      <c r="GQ685" s="208"/>
      <c r="GR685" s="208"/>
      <c r="GS685" s="208"/>
      <c r="GT685" s="208"/>
      <c r="GU685" s="213">
        <v>680</v>
      </c>
    </row>
    <row r="686" spans="1:203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29.936029833620189</v>
      </c>
      <c r="AO686">
        <v>5.2354477233626566</v>
      </c>
      <c r="AP686">
        <v>261.75909079478566</v>
      </c>
      <c r="AQ686">
        <v>33.652802575705131</v>
      </c>
      <c r="AR686">
        <v>4.7594979303296876</v>
      </c>
      <c r="AS686">
        <v>73.015890921348586</v>
      </c>
      <c r="AT686" t="e">
        <v>#DIV/0!</v>
      </c>
      <c r="AU686" t="e">
        <v>#DIV/0!</v>
      </c>
      <c r="AV686"/>
      <c r="AW686"/>
      <c r="FY686" s="213">
        <v>681</v>
      </c>
      <c r="FZ686">
        <v>3.192552405514002</v>
      </c>
      <c r="GA686">
        <v>20.49709582609368</v>
      </c>
      <c r="GB686">
        <v>8.4402957675066119</v>
      </c>
      <c r="GC686">
        <v>1.5809996066777399</v>
      </c>
      <c r="GD686">
        <v>2.7419121263664046</v>
      </c>
      <c r="GE686">
        <v>3.6806527653323982</v>
      </c>
      <c r="GF686">
        <v>0.95469624988012047</v>
      </c>
      <c r="GG686">
        <v>4.0766958033527283</v>
      </c>
      <c r="GH686">
        <v>5.7051623244525604</v>
      </c>
      <c r="GI686">
        <v>5.3328903174003672</v>
      </c>
      <c r="GJ686"/>
      <c r="GK686"/>
      <c r="GL686"/>
      <c r="GM686"/>
      <c r="GN686" s="208"/>
      <c r="GO686" s="208"/>
      <c r="GP686" s="208"/>
      <c r="GQ686" s="208"/>
      <c r="GR686" s="208"/>
      <c r="GS686" s="208"/>
      <c r="GT686" s="208"/>
      <c r="GU686" s="213">
        <v>681</v>
      </c>
    </row>
    <row r="687" spans="1:203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17.2172798336202</v>
      </c>
      <c r="AO687">
        <v>5.9280639510486681</v>
      </c>
      <c r="AP687">
        <v>119.3025801031997</v>
      </c>
      <c r="AQ687">
        <v>41.703139246486394</v>
      </c>
      <c r="AR687">
        <v>5.38914904640788</v>
      </c>
      <c r="AS687">
        <v>58.605814510796499</v>
      </c>
      <c r="AT687" t="e">
        <v>#DIV/0!</v>
      </c>
      <c r="AU687" t="e">
        <v>#DIV/0!</v>
      </c>
      <c r="AV687"/>
      <c r="AW687"/>
      <c r="FY687" s="213">
        <v>682</v>
      </c>
      <c r="FZ687">
        <v>0.58716112056924263</v>
      </c>
      <c r="GA687">
        <v>19.135255710201896</v>
      </c>
      <c r="GB687">
        <v>9.2362582759751994</v>
      </c>
      <c r="GC687">
        <v>0.68735954847135594</v>
      </c>
      <c r="GD687">
        <v>1.8391301927936634</v>
      </c>
      <c r="GE687">
        <v>2.6577318309872413</v>
      </c>
      <c r="GF687">
        <v>0</v>
      </c>
      <c r="GG687">
        <v>4.5817814621257051</v>
      </c>
      <c r="GH687">
        <v>6.3727251326819321</v>
      </c>
      <c r="GI687">
        <v>4.6506777443304248</v>
      </c>
      <c r="GJ687"/>
      <c r="GK687"/>
      <c r="GL687"/>
      <c r="GM687"/>
      <c r="GN687" s="208"/>
      <c r="GO687" s="208"/>
      <c r="GP687" s="208"/>
      <c r="GQ687" s="208"/>
      <c r="GR687" s="208"/>
      <c r="GS687" s="208"/>
      <c r="GT687" s="208"/>
      <c r="GU687" s="213">
        <v>682</v>
      </c>
    </row>
    <row r="688" spans="1:203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36.793496852764093</v>
      </c>
      <c r="AO688">
        <v>6.5650917989222108</v>
      </c>
      <c r="AP688">
        <v>334.37354743847436</v>
      </c>
      <c r="AQ688">
        <v>43.36063742822521</v>
      </c>
      <c r="AR688">
        <v>6.0768078134662513</v>
      </c>
      <c r="AS688">
        <v>80.904332519170694</v>
      </c>
      <c r="AT688" t="e">
        <v>#DIV/0!</v>
      </c>
      <c r="AU688" t="e">
        <v>#DIV/0!</v>
      </c>
      <c r="AV688"/>
      <c r="AW688"/>
      <c r="FY688" s="213">
        <v>683</v>
      </c>
      <c r="FZ688">
        <v>2.1834373233262436</v>
      </c>
      <c r="GA688">
        <v>20.111061007252474</v>
      </c>
      <c r="GB688">
        <v>9.0593150655710897</v>
      </c>
      <c r="GC688">
        <v>1.0721483641484035</v>
      </c>
      <c r="GD688">
        <v>1.8506974511985015</v>
      </c>
      <c r="GE688">
        <v>2.3743648388778098</v>
      </c>
      <c r="GF688">
        <v>0.47734812494006024</v>
      </c>
      <c r="GG688">
        <v>3.4648713879457071</v>
      </c>
      <c r="GH688">
        <v>4.8970170936990343</v>
      </c>
      <c r="GI688">
        <v>4.6366697323267463</v>
      </c>
      <c r="GJ688"/>
      <c r="GK688"/>
      <c r="GL688"/>
      <c r="GM688"/>
      <c r="GN688" s="208"/>
      <c r="GO688" s="208"/>
      <c r="GP688" s="208"/>
      <c r="GQ688" s="208"/>
      <c r="GR688" s="208"/>
      <c r="GS688" s="208"/>
      <c r="GT688" s="208"/>
      <c r="GU688" s="213">
        <v>683</v>
      </c>
    </row>
    <row r="689" spans="1:203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39.122023809523803</v>
      </c>
      <c r="AO689">
        <v>7.4820769374843881</v>
      </c>
      <c r="AP689">
        <v>209.11288687156159</v>
      </c>
      <c r="AQ689">
        <v>50.382750298616997</v>
      </c>
      <c r="AR689">
        <v>6.8018881249858065</v>
      </c>
      <c r="AS689">
        <v>101.06250295878165</v>
      </c>
      <c r="AT689" t="e">
        <v>#DIV/0!</v>
      </c>
      <c r="AU689" t="e">
        <v>#DIV/0!</v>
      </c>
      <c r="AV689"/>
      <c r="AW689"/>
      <c r="FY689" s="213">
        <v>684</v>
      </c>
      <c r="FZ689">
        <v>4.3668746466524873</v>
      </c>
      <c r="GA689">
        <v>14.625353483834665</v>
      </c>
      <c r="GB689">
        <v>5.235981077451882</v>
      </c>
      <c r="GC689">
        <v>0</v>
      </c>
      <c r="GD689">
        <v>1.084178316615652</v>
      </c>
      <c r="GE689">
        <v>2.7892907966578626</v>
      </c>
      <c r="GF689">
        <v>0.95469624988012047</v>
      </c>
      <c r="GG689">
        <v>4.6885202187597494</v>
      </c>
      <c r="GH689">
        <v>6.5133075552060884</v>
      </c>
      <c r="GI689">
        <v>4.0146938733934148</v>
      </c>
      <c r="GJ689"/>
      <c r="GK689"/>
      <c r="GL689"/>
      <c r="GM689"/>
      <c r="GN689" s="208"/>
      <c r="GO689" s="208"/>
      <c r="GP689" s="208"/>
      <c r="GQ689" s="208"/>
      <c r="GR689" s="208"/>
      <c r="GS689" s="208"/>
      <c r="GT689" s="208"/>
      <c r="GU689" s="213">
        <v>684</v>
      </c>
    </row>
    <row r="690" spans="1:203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19.985290093048711</v>
      </c>
      <c r="AO690">
        <v>6.0550273627360376</v>
      </c>
      <c r="AP690">
        <v>183.96109293705675</v>
      </c>
      <c r="AQ690">
        <v>41.473897520657729</v>
      </c>
      <c r="AR690">
        <v>5.5045703297600346</v>
      </c>
      <c r="AS690">
        <v>59.606613201610202</v>
      </c>
      <c r="AT690" t="e">
        <v>#DIV/0!</v>
      </c>
      <c r="AU690" t="e">
        <v>#DIV/0!</v>
      </c>
      <c r="AV690"/>
      <c r="AW690"/>
      <c r="FY690" s="213">
        <v>685</v>
      </c>
      <c r="FZ690">
        <v>2.1834373233262436</v>
      </c>
      <c r="GA690">
        <v>20.895512412295311</v>
      </c>
      <c r="GB690">
        <v>9.5006551791655163</v>
      </c>
      <c r="GC690">
        <v>2.1133839017666447</v>
      </c>
      <c r="GD690">
        <v>3.3018782520189864</v>
      </c>
      <c r="GE690">
        <v>3.4038982488286678</v>
      </c>
      <c r="GF690">
        <v>0</v>
      </c>
      <c r="GG690">
        <v>3.5716101445797515</v>
      </c>
      <c r="GH690">
        <v>5.0375995162231906</v>
      </c>
      <c r="GI690">
        <v>5.5510766862184511</v>
      </c>
      <c r="GJ690"/>
      <c r="GK690"/>
      <c r="GL690"/>
      <c r="GM690"/>
      <c r="GN690" s="208"/>
      <c r="GO690" s="208"/>
      <c r="GP690" s="208"/>
      <c r="GQ690" s="208"/>
      <c r="GR690" s="208"/>
      <c r="GS690" s="208"/>
      <c r="GT690" s="208"/>
      <c r="GU690" s="213">
        <v>685</v>
      </c>
    </row>
    <row r="691" spans="1:203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38.159329642049315</v>
      </c>
      <c r="AO691">
        <v>6.54774971338139</v>
      </c>
      <c r="AP691">
        <v>317.23231651173001</v>
      </c>
      <c r="AQ691">
        <v>39.62128323860405</v>
      </c>
      <c r="AR691">
        <v>6.0610422811564142</v>
      </c>
      <c r="AS691">
        <v>84.544943458113792</v>
      </c>
      <c r="AT691" t="e">
        <v>#DIV/0!</v>
      </c>
      <c r="AU691" t="e">
        <v>#DIV/0!</v>
      </c>
      <c r="AV691"/>
      <c r="AW691"/>
      <c r="FY691" s="213">
        <v>686</v>
      </c>
      <c r="FZ691">
        <v>4.5320818056032142</v>
      </c>
      <c r="GA691">
        <v>16.688543960822763</v>
      </c>
      <c r="GB691">
        <v>7.3259568075944381</v>
      </c>
      <c r="GC691">
        <v>0.37267858551494082</v>
      </c>
      <c r="GD691">
        <v>1.3896126071672747</v>
      </c>
      <c r="GE691">
        <v>2.5261588824848689</v>
      </c>
      <c r="GF691">
        <v>0.47734812494006024</v>
      </c>
      <c r="GG691">
        <v>2.7170107307559936</v>
      </c>
      <c r="GH691">
        <v>3.6905111274414333</v>
      </c>
      <c r="GI691">
        <v>4.018235259091874</v>
      </c>
      <c r="GJ691"/>
      <c r="GK691"/>
      <c r="GL691"/>
      <c r="GM691"/>
      <c r="GN691" s="208"/>
      <c r="GO691" s="208"/>
      <c r="GP691" s="208"/>
      <c r="GQ691" s="208"/>
      <c r="GR691" s="208"/>
      <c r="GS691" s="208"/>
      <c r="GT691" s="208"/>
      <c r="GU691" s="213">
        <v>686</v>
      </c>
    </row>
    <row r="692" spans="1:203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43.703219487143976</v>
      </c>
      <c r="AO692">
        <v>7.3687662207323736</v>
      </c>
      <c r="AP692">
        <v>214.21995495903835</v>
      </c>
      <c r="AQ692">
        <v>44.134307385692175</v>
      </c>
      <c r="AR692">
        <v>6.6988783824839757</v>
      </c>
      <c r="AS692">
        <v>96.480354908636954</v>
      </c>
      <c r="AT692" t="e">
        <v>#DIV/0!</v>
      </c>
      <c r="AU692" t="e">
        <v>#DIV/0!</v>
      </c>
      <c r="AV692"/>
      <c r="AW692"/>
      <c r="FY692" s="213">
        <v>687</v>
      </c>
      <c r="FZ692">
        <v>2.7705984438954863</v>
      </c>
      <c r="GA692">
        <v>21.784795007509338</v>
      </c>
      <c r="GB692">
        <v>10.039195580390109</v>
      </c>
      <c r="GC692">
        <v>1.9401357941784985</v>
      </c>
      <c r="GD692">
        <v>2.6436099703998548</v>
      </c>
      <c r="GE692">
        <v>2.628504311162704</v>
      </c>
      <c r="GF692">
        <v>0.47734812494006024</v>
      </c>
      <c r="GG692">
        <v>3.1153576328949253</v>
      </c>
      <c r="GH692">
        <v>4.2174915131466495</v>
      </c>
      <c r="GI692">
        <v>5.2562707010259286</v>
      </c>
      <c r="GJ692"/>
      <c r="GK692"/>
      <c r="GL692"/>
      <c r="GM692"/>
      <c r="GN692" s="208"/>
      <c r="GO692" s="208"/>
      <c r="GP692" s="208"/>
      <c r="GQ692" s="208"/>
      <c r="GR692" s="208"/>
      <c r="GS692" s="208"/>
      <c r="GT692" s="208"/>
      <c r="GU692" s="213">
        <v>687</v>
      </c>
    </row>
    <row r="693" spans="1:203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29.057404082668931</v>
      </c>
      <c r="AO693">
        <v>6.9584614363513229</v>
      </c>
      <c r="AP693">
        <v>350.28153858678581</v>
      </c>
      <c r="AQ693">
        <v>50.059413193153944</v>
      </c>
      <c r="AR693">
        <v>6.3801453039060503</v>
      </c>
      <c r="AS693">
        <v>67.625783242948799</v>
      </c>
      <c r="AT693" t="e">
        <v>#DIV/0!</v>
      </c>
      <c r="AU693" t="e">
        <v>#DIV/0!</v>
      </c>
      <c r="AV693"/>
      <c r="AW693"/>
      <c r="FY693" s="213">
        <v>688</v>
      </c>
      <c r="FZ693">
        <v>1.1743222411384853</v>
      </c>
      <c r="GA693">
        <v>11.953862345722719</v>
      </c>
      <c r="GB693">
        <v>5.8746723633821496</v>
      </c>
      <c r="GC693">
        <v>0.71301217664764449</v>
      </c>
      <c r="GD693">
        <v>3.0582758378616774</v>
      </c>
      <c r="GE693">
        <v>5.3885815708277809</v>
      </c>
      <c r="GF693">
        <v>0.47734812494006024</v>
      </c>
      <c r="GG693">
        <v>6.2616828046245736</v>
      </c>
      <c r="GH693">
        <v>8.8091235972655255</v>
      </c>
      <c r="GI693">
        <v>5.1538857806503549</v>
      </c>
      <c r="GJ693"/>
      <c r="GK693"/>
      <c r="GL693"/>
      <c r="GM693"/>
      <c r="GN693" s="208"/>
      <c r="GO693" s="208"/>
      <c r="GP693" s="208"/>
      <c r="GQ693" s="208"/>
      <c r="GR693" s="208"/>
      <c r="GS693" s="208"/>
      <c r="GT693" s="208"/>
      <c r="GU693" s="213">
        <v>688</v>
      </c>
    </row>
    <row r="694" spans="1:203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42.793993296667779</v>
      </c>
      <c r="AO694">
        <v>7.9073862943526381</v>
      </c>
      <c r="AP694">
        <v>350.11621824557392</v>
      </c>
      <c r="AQ694">
        <v>46.720728998989706</v>
      </c>
      <c r="AR694">
        <v>7.242804265725427</v>
      </c>
      <c r="AS694">
        <v>102.00271352085763</v>
      </c>
      <c r="AT694" t="e">
        <v>#DIV/0!</v>
      </c>
      <c r="AU694" t="e">
        <v>#DIV/0!</v>
      </c>
      <c r="AV694"/>
      <c r="AW694"/>
      <c r="FY694" s="213">
        <v>689</v>
      </c>
      <c r="FZ694">
        <v>3.192552405514002</v>
      </c>
      <c r="GA694">
        <v>15.219598226924319</v>
      </c>
      <c r="GB694">
        <v>5.6269061100052653</v>
      </c>
      <c r="GC694">
        <v>2.2940117833253839</v>
      </c>
      <c r="GD694">
        <v>3.3821283556747055</v>
      </c>
      <c r="GE694">
        <v>3.5743382405631321</v>
      </c>
      <c r="GF694">
        <v>0.47734812494006024</v>
      </c>
      <c r="GG694">
        <v>3.358132631311662</v>
      </c>
      <c r="GH694">
        <v>4.7564346711748797</v>
      </c>
      <c r="GI694">
        <v>4.7929634408149715</v>
      </c>
      <c r="GJ694"/>
      <c r="GK694"/>
      <c r="GL694"/>
      <c r="GM694"/>
      <c r="GN694" s="208"/>
      <c r="GO694" s="208"/>
      <c r="GP694" s="208"/>
      <c r="GQ694" s="208"/>
      <c r="GR694" s="208"/>
      <c r="GS694" s="208"/>
      <c r="GT694" s="208"/>
      <c r="GU694" s="213">
        <v>689</v>
      </c>
    </row>
    <row r="695" spans="1:203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45.217347427476739</v>
      </c>
      <c r="AO695">
        <v>10.214451531853479</v>
      </c>
      <c r="AP695">
        <v>215.47387746200002</v>
      </c>
      <c r="AQ695">
        <v>65.155827330130478</v>
      </c>
      <c r="AR695">
        <v>9.3944075706764938</v>
      </c>
      <c r="AS695">
        <v>126.91960779541155</v>
      </c>
      <c r="AT695" t="e">
        <v>#DIV/0!</v>
      </c>
      <c r="AU695" t="e">
        <v>#DIV/0!</v>
      </c>
      <c r="AV695"/>
      <c r="AW695"/>
      <c r="FY695" s="213">
        <v>690</v>
      </c>
      <c r="FZ695">
        <v>3.944920685033972</v>
      </c>
      <c r="GA695">
        <v>11.745652421474277</v>
      </c>
      <c r="GB695">
        <v>4.8647280327642886</v>
      </c>
      <c r="GC695">
        <v>2.1578391263109888</v>
      </c>
      <c r="GD695">
        <v>3.2444177402472993</v>
      </c>
      <c r="GE695">
        <v>3.8028957483551924</v>
      </c>
      <c r="GF695">
        <v>0.95469624988012047</v>
      </c>
      <c r="GG695">
        <v>1.437126344082132</v>
      </c>
      <c r="GH695">
        <v>1.8974553065553628</v>
      </c>
      <c r="GI695">
        <v>4.2990640293310634</v>
      </c>
      <c r="GJ695"/>
      <c r="GK695"/>
      <c r="GL695"/>
      <c r="GM695"/>
      <c r="GN695" s="208"/>
      <c r="GO695" s="208"/>
      <c r="GP695" s="208"/>
      <c r="GQ695" s="208"/>
      <c r="GR695" s="208"/>
      <c r="GS695" s="208"/>
      <c r="GT695" s="208"/>
      <c r="GU695" s="213">
        <v>690</v>
      </c>
    </row>
    <row r="696" spans="1:203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26.83490695128625</v>
      </c>
      <c r="AO696">
        <v>7.8094724124231218</v>
      </c>
      <c r="AP696">
        <v>137.90122464494692</v>
      </c>
      <c r="AQ696">
        <v>54.849068644887232</v>
      </c>
      <c r="AR696">
        <v>7.2080629166488972</v>
      </c>
      <c r="AS696">
        <v>92.441523133690353</v>
      </c>
      <c r="AT696" t="e">
        <v>#DIV/0!</v>
      </c>
      <c r="AU696" t="e">
        <v>#DIV/0!</v>
      </c>
      <c r="AV696"/>
      <c r="AW696"/>
      <c r="FY696" s="213">
        <v>691</v>
      </c>
      <c r="FZ696">
        <v>3.192552405514002</v>
      </c>
      <c r="GA696">
        <v>20.624830648307615</v>
      </c>
      <c r="GB696">
        <v>8.4118306948422195</v>
      </c>
      <c r="GC696">
        <v>1.6584872333689651</v>
      </c>
      <c r="GD696">
        <v>2.3109414609265437</v>
      </c>
      <c r="GE696">
        <v>2.3942623932227689</v>
      </c>
      <c r="GF696">
        <v>0.47734812494006024</v>
      </c>
      <c r="GG696">
        <v>5.0380339738105313</v>
      </c>
      <c r="GH696">
        <v>7.1928331357584732</v>
      </c>
      <c r="GI696">
        <v>5.2584470268083203</v>
      </c>
      <c r="GJ696"/>
      <c r="GK696"/>
      <c r="GL696"/>
      <c r="GM696"/>
      <c r="GN696" s="208"/>
      <c r="GO696" s="208"/>
      <c r="GP696" s="208"/>
      <c r="GQ696" s="208"/>
      <c r="GR696" s="208"/>
      <c r="GS696" s="208"/>
      <c r="GT696" s="208"/>
      <c r="GU696" s="213">
        <v>691</v>
      </c>
    </row>
    <row r="697" spans="1:203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35.109469487143983</v>
      </c>
      <c r="AO697">
        <v>8.2758994324749331</v>
      </c>
      <c r="AP697">
        <v>215.29218521300109</v>
      </c>
      <c r="AQ697">
        <v>56.202953192576615</v>
      </c>
      <c r="AR697">
        <v>7.5235449386135764</v>
      </c>
      <c r="AS697">
        <v>95.569462999261191</v>
      </c>
      <c r="AT697" t="e">
        <v>#DIV/0!</v>
      </c>
      <c r="AU697" t="e">
        <v>#DIV/0!</v>
      </c>
      <c r="AV697"/>
      <c r="AW697"/>
      <c r="FY697" s="213">
        <v>692</v>
      </c>
      <c r="FZ697">
        <v>3.192552405514002</v>
      </c>
      <c r="GA697">
        <v>16.90030398846736</v>
      </c>
      <c r="GB697">
        <v>6.5688218465093229</v>
      </c>
      <c r="GC697">
        <v>0.45016621220616626</v>
      </c>
      <c r="GD697">
        <v>0.89017790644929895</v>
      </c>
      <c r="GE697">
        <v>1.1012735283391895</v>
      </c>
      <c r="GF697">
        <v>0</v>
      </c>
      <c r="GG697">
        <v>0.10673875663404474</v>
      </c>
      <c r="GH697">
        <v>0.14058242252415507</v>
      </c>
      <c r="GI697">
        <v>2.6547734346330789</v>
      </c>
      <c r="GJ697"/>
      <c r="GK697"/>
      <c r="GL697"/>
      <c r="GM697"/>
      <c r="GN697" s="208"/>
      <c r="GO697" s="208"/>
      <c r="GP697" s="208"/>
      <c r="GQ697" s="208"/>
      <c r="GR697" s="208"/>
      <c r="GS697" s="208"/>
      <c r="GT697" s="208"/>
      <c r="GU697" s="213">
        <v>692</v>
      </c>
    </row>
    <row r="698" spans="1:203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24.526956759715379</v>
      </c>
      <c r="AO698">
        <v>7.4059068636238123</v>
      </c>
      <c r="AP698">
        <v>368.44904117562146</v>
      </c>
      <c r="AQ698">
        <v>49.748081018136659</v>
      </c>
      <c r="AR698">
        <v>6.7869138741537682</v>
      </c>
      <c r="AS698">
        <v>76.895983935468649</v>
      </c>
      <c r="AT698" t="e">
        <v>#DIV/0!</v>
      </c>
      <c r="AU698" t="e">
        <v>#DIV/0!</v>
      </c>
      <c r="AV698"/>
      <c r="AW698"/>
      <c r="FY698" s="213">
        <v>693</v>
      </c>
      <c r="FZ698">
        <v>1.596276202757001</v>
      </c>
      <c r="GA698">
        <v>15.856116180747598</v>
      </c>
      <c r="GB698">
        <v>7.0810484005778118</v>
      </c>
      <c r="GC698">
        <v>1.2527762457071427</v>
      </c>
      <c r="GD698">
        <v>3.2077903272398434</v>
      </c>
      <c r="GE698">
        <v>4.5493996897880971</v>
      </c>
      <c r="GF698">
        <v>0</v>
      </c>
      <c r="GG698">
        <v>6.1549440479905293</v>
      </c>
      <c r="GH698">
        <v>8.668541174741371</v>
      </c>
      <c r="GI698">
        <v>5.3072097078688847</v>
      </c>
      <c r="GJ698"/>
      <c r="GK698"/>
      <c r="GL698"/>
      <c r="GM698"/>
      <c r="GN698" s="208"/>
      <c r="GO698" s="208"/>
      <c r="GP698" s="208"/>
      <c r="GQ698" s="208"/>
      <c r="GR698" s="208"/>
      <c r="GS698" s="208"/>
      <c r="GT698" s="208"/>
      <c r="GU698" s="213">
        <v>693</v>
      </c>
    </row>
    <row r="699" spans="1:203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26.008193488238668</v>
      </c>
      <c r="AO699">
        <v>7.2408157690403341</v>
      </c>
      <c r="AP699">
        <v>141.11976738260853</v>
      </c>
      <c r="AQ699">
        <v>50.126930389286066</v>
      </c>
      <c r="AR699">
        <v>6.6368310608960623</v>
      </c>
      <c r="AS699">
        <v>78.98716147697688</v>
      </c>
      <c r="AT699" t="e">
        <v>#DIV/0!</v>
      </c>
      <c r="AU699" t="e">
        <v>#DIV/0!</v>
      </c>
      <c r="AV699"/>
      <c r="AW699"/>
      <c r="FY699" s="213">
        <v>694</v>
      </c>
      <c r="FZ699">
        <v>4.3668746466524873</v>
      </c>
      <c r="GA699">
        <v>18.816390064550639</v>
      </c>
      <c r="GB699">
        <v>7.4983800310025543</v>
      </c>
      <c r="GC699">
        <v>1.4704795778396331</v>
      </c>
      <c r="GD699">
        <v>2.7244197804716368</v>
      </c>
      <c r="GE699">
        <v>3.227183305079981</v>
      </c>
      <c r="GF699">
        <v>0</v>
      </c>
      <c r="GG699">
        <v>7.4348284346643911</v>
      </c>
      <c r="GH699">
        <v>10.461596995627442</v>
      </c>
      <c r="GI699">
        <v>5.8104398708817531</v>
      </c>
      <c r="GJ699"/>
      <c r="GK699"/>
      <c r="GL699"/>
      <c r="GM699"/>
      <c r="GN699" s="208"/>
      <c r="GO699" s="208"/>
      <c r="GP699" s="208"/>
      <c r="GQ699" s="208"/>
      <c r="GR699" s="208"/>
      <c r="GS699" s="208"/>
      <c r="GT699" s="208"/>
      <c r="GU699" s="213">
        <v>694</v>
      </c>
    </row>
    <row r="700" spans="1:203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11.47860262890643</v>
      </c>
      <c r="AO700">
        <v>6.3704238072332764</v>
      </c>
      <c r="AP700">
        <v>184.24771346981532</v>
      </c>
      <c r="AQ700">
        <v>44.272896218451926</v>
      </c>
      <c r="AR700">
        <v>5.8998369119308558</v>
      </c>
      <c r="AS700">
        <v>56.307482190035934</v>
      </c>
      <c r="AT700" t="e">
        <v>#DIV/0!</v>
      </c>
      <c r="AU700" t="e">
        <v>#DIV/0!</v>
      </c>
      <c r="AV700"/>
      <c r="AW700"/>
      <c r="FY700" s="213">
        <v>695</v>
      </c>
      <c r="FZ700">
        <v>1.596276202757001</v>
      </c>
      <c r="GA700">
        <v>17.61354253064162</v>
      </c>
      <c r="GB700">
        <v>7.879069383839429</v>
      </c>
      <c r="GC700">
        <v>2.1773291304436881</v>
      </c>
      <c r="GD700">
        <v>2.9179088706551024</v>
      </c>
      <c r="GE700">
        <v>2.5258353417251405</v>
      </c>
      <c r="GF700">
        <v>0</v>
      </c>
      <c r="GG700">
        <v>4.7952589753937938</v>
      </c>
      <c r="GH700">
        <v>6.6538899777302429</v>
      </c>
      <c r="GI700">
        <v>5.0840384396182614</v>
      </c>
      <c r="GJ700"/>
      <c r="GK700"/>
      <c r="GL700"/>
      <c r="GM700"/>
      <c r="GN700" s="208"/>
      <c r="GO700" s="208"/>
      <c r="GP700" s="208"/>
      <c r="GQ700" s="208"/>
      <c r="GR700" s="208"/>
      <c r="GS700" s="208"/>
      <c r="GT700" s="208"/>
      <c r="GU700" s="213">
        <v>695</v>
      </c>
    </row>
    <row r="701" spans="1:203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36.540196500286868</v>
      </c>
      <c r="AO701">
        <v>8.6128575148833058</v>
      </c>
      <c r="AP701">
        <v>175.31328329045314</v>
      </c>
      <c r="AQ701">
        <v>55.559051664422761</v>
      </c>
      <c r="AR701">
        <v>7.8841417389351269</v>
      </c>
      <c r="AS701">
        <v>103.42598024366453</v>
      </c>
      <c r="AT701" t="e">
        <v>#DIV/0!</v>
      </c>
      <c r="AU701" t="e">
        <v>#DIV/0!</v>
      </c>
      <c r="AV701"/>
      <c r="AW701"/>
      <c r="FY701" s="213">
        <v>696</v>
      </c>
      <c r="FZ701">
        <v>1.596276202757001</v>
      </c>
      <c r="GA701">
        <v>16.813476060591427</v>
      </c>
      <c r="GB701">
        <v>7.4311508084559765</v>
      </c>
      <c r="GC701">
        <v>0.79049980333886993</v>
      </c>
      <c r="GD701">
        <v>1.7926043573546409</v>
      </c>
      <c r="GE701">
        <v>2.4035923587023471</v>
      </c>
      <c r="GF701">
        <v>0</v>
      </c>
      <c r="GG701">
        <v>1.8354732462210637</v>
      </c>
      <c r="GH701">
        <v>2.4244356922605785</v>
      </c>
      <c r="GI701">
        <v>3.5862496951945575</v>
      </c>
      <c r="GJ701"/>
      <c r="GK701"/>
      <c r="GL701"/>
      <c r="GM701"/>
      <c r="GN701" s="208"/>
      <c r="GO701" s="208"/>
      <c r="GP701" s="208"/>
      <c r="GQ701" s="208"/>
      <c r="GR701" s="208"/>
      <c r="GS701" s="208"/>
      <c r="GT701" s="208"/>
      <c r="GU701" s="213">
        <v>696</v>
      </c>
    </row>
    <row r="702" spans="1:203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25.584189796954654</v>
      </c>
      <c r="AO702">
        <v>5.9160460448420071</v>
      </c>
      <c r="AP702">
        <v>82.149555165521861</v>
      </c>
      <c r="AQ702">
        <v>43.738137891416855</v>
      </c>
      <c r="AR702">
        <v>5.6495800314260647</v>
      </c>
      <c r="AS702">
        <v>75.201920116778922</v>
      </c>
      <c r="AT702" t="e">
        <v>#DIV/0!</v>
      </c>
      <c r="AU702" t="e">
        <v>#DIV/0!</v>
      </c>
      <c r="AV702"/>
      <c r="AW702"/>
      <c r="FY702" s="213">
        <v>697</v>
      </c>
      <c r="FZ702">
        <v>1.596276202757001</v>
      </c>
      <c r="GA702">
        <v>17.93533624790042</v>
      </c>
      <c r="GB702">
        <v>8.0909927311956711</v>
      </c>
      <c r="GC702">
        <v>1.7285950860895976</v>
      </c>
      <c r="GD702">
        <v>2.8891563625897203</v>
      </c>
      <c r="GE702">
        <v>3.4520952575403383</v>
      </c>
      <c r="GF702">
        <v>0.47734812494006024</v>
      </c>
      <c r="GG702">
        <v>2.3984645145399348</v>
      </c>
      <c r="GH702">
        <v>3.3851261178612746</v>
      </c>
      <c r="GI702">
        <v>4.5607470011353657</v>
      </c>
      <c r="GJ702"/>
      <c r="GK702"/>
      <c r="GL702"/>
      <c r="GM702"/>
      <c r="GN702" s="208"/>
      <c r="GO702" s="208"/>
      <c r="GP702" s="208"/>
      <c r="GQ702" s="208"/>
      <c r="GR702" s="208"/>
      <c r="GS702" s="208"/>
      <c r="GT702" s="208"/>
      <c r="GU702" s="213">
        <v>697</v>
      </c>
    </row>
    <row r="703" spans="1:203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38.683959771763568</v>
      </c>
      <c r="AO703">
        <v>7.9140965698439869</v>
      </c>
      <c r="AP703">
        <v>147.95286533928012</v>
      </c>
      <c r="AQ703">
        <v>54.873307079543551</v>
      </c>
      <c r="AR703">
        <v>7.3031757870315017</v>
      </c>
      <c r="AS703">
        <v>96.711120340220589</v>
      </c>
      <c r="AT703" t="e">
        <v>#DIV/0!</v>
      </c>
      <c r="AU703" t="e">
        <v>#DIV/0!</v>
      </c>
      <c r="AV703"/>
      <c r="AW703"/>
      <c r="FY703" s="213">
        <v>698</v>
      </c>
      <c r="FZ703">
        <v>2.1834373233262436</v>
      </c>
      <c r="GA703">
        <v>16.572255164775282</v>
      </c>
      <c r="GB703">
        <v>7.2653060468368871</v>
      </c>
      <c r="GC703">
        <v>1.5344248065166763</v>
      </c>
      <c r="GD703">
        <v>1.9317766553723847</v>
      </c>
      <c r="GE703">
        <v>2.4035783758705969</v>
      </c>
      <c r="GF703">
        <v>1.432044374820181</v>
      </c>
      <c r="GG703">
        <v>5.1936058775327254</v>
      </c>
      <c r="GH703">
        <v>7.1808703634354583</v>
      </c>
      <c r="GI703">
        <v>4.7924279984836868</v>
      </c>
      <c r="GJ703"/>
      <c r="GK703"/>
      <c r="GL703"/>
      <c r="GM703"/>
      <c r="GN703" s="208"/>
      <c r="GO703" s="208"/>
      <c r="GP703" s="208"/>
      <c r="GQ703" s="208"/>
      <c r="GR703" s="208"/>
      <c r="GS703" s="208"/>
      <c r="GT703" s="208"/>
      <c r="GU703" s="213">
        <v>698</v>
      </c>
    </row>
    <row r="704" spans="1:203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23.85360262890643</v>
      </c>
      <c r="AO704">
        <v>8.1411836680801706</v>
      </c>
      <c r="AP704">
        <v>349.47078398902465</v>
      </c>
      <c r="AQ704">
        <v>48.864766843060977</v>
      </c>
      <c r="AR704">
        <v>7.509618603609848</v>
      </c>
      <c r="AS704">
        <v>82.798530645255028</v>
      </c>
      <c r="AT704" t="e">
        <v>#DIV/0!</v>
      </c>
      <c r="AU704" t="e">
        <v>#DIV/0!</v>
      </c>
      <c r="AV704"/>
      <c r="AW704"/>
      <c r="FY704" s="213">
        <v>699</v>
      </c>
      <c r="FZ704">
        <v>2.7705984438954863</v>
      </c>
      <c r="GA704">
        <v>18.454613614437967</v>
      </c>
      <c r="GB704">
        <v>8.1685210309600436</v>
      </c>
      <c r="GC704">
        <v>1.7212153121190044</v>
      </c>
      <c r="GD704">
        <v>3.0336283565103863</v>
      </c>
      <c r="GE704">
        <v>3.7643522458828276</v>
      </c>
      <c r="GF704">
        <v>0.47734812494006024</v>
      </c>
      <c r="GG704">
        <v>7.2230209750823775</v>
      </c>
      <c r="GH704">
        <v>10.29679440857144</v>
      </c>
      <c r="GI704">
        <v>6.1483966390084408</v>
      </c>
      <c r="GJ704"/>
      <c r="GK704"/>
      <c r="GL704"/>
      <c r="GM704"/>
      <c r="GN704" s="208"/>
      <c r="GO704" s="208"/>
      <c r="GP704" s="208"/>
      <c r="GQ704" s="208"/>
      <c r="GR704" s="208"/>
      <c r="GS704" s="208"/>
      <c r="GT704" s="208"/>
      <c r="GU704" s="213">
        <v>699</v>
      </c>
    </row>
    <row r="705" spans="1:203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35.291666666666657</v>
      </c>
      <c r="AO705">
        <v>7.5277086554237798</v>
      </c>
      <c r="AP705">
        <v>232.77505699722838</v>
      </c>
      <c r="AQ705">
        <v>46.674413990248375</v>
      </c>
      <c r="AR705">
        <v>6.8433715049307082</v>
      </c>
      <c r="AS705">
        <v>86.213951440659784</v>
      </c>
      <c r="AT705" t="e">
        <v>#DIV/0!</v>
      </c>
      <c r="AU705" t="e">
        <v>#DIV/0!</v>
      </c>
      <c r="AV705"/>
      <c r="AW705"/>
      <c r="FY705" s="213">
        <v>700</v>
      </c>
      <c r="FZ705">
        <v>3.3577595644647293</v>
      </c>
      <c r="GA705">
        <v>20.216209003172885</v>
      </c>
      <c r="GB705">
        <v>9.0622363094326328</v>
      </c>
      <c r="GC705">
        <v>1.0229626834125458</v>
      </c>
      <c r="GD705">
        <v>1.8210714766820046</v>
      </c>
      <c r="GE705">
        <v>2.680346875206078</v>
      </c>
      <c r="GF705">
        <v>0.95469624988012047</v>
      </c>
      <c r="GG705">
        <v>2.6102719741219484</v>
      </c>
      <c r="GH705">
        <v>3.5499287049172779</v>
      </c>
      <c r="GI705">
        <v>4.613865150165819</v>
      </c>
      <c r="GJ705"/>
      <c r="GK705"/>
      <c r="GL705"/>
      <c r="GM705"/>
      <c r="GN705" s="208"/>
      <c r="GO705" s="208"/>
      <c r="GP705" s="208"/>
      <c r="GQ705" s="208"/>
      <c r="GR705" s="208"/>
      <c r="GS705" s="208"/>
      <c r="GT705" s="208"/>
      <c r="GU705" s="213">
        <v>700</v>
      </c>
    </row>
    <row r="706" spans="1:203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35.022510402859382</v>
      </c>
      <c r="AO706">
        <v>6.4038802373866561</v>
      </c>
      <c r="AP706">
        <v>129.03607761704777</v>
      </c>
      <c r="AQ706">
        <v>38.348795684034698</v>
      </c>
      <c r="AR706">
        <v>6.0387943901527157</v>
      </c>
      <c r="AS706">
        <v>90.039367199115219</v>
      </c>
      <c r="AT706" t="e">
        <v>#DIV/0!</v>
      </c>
      <c r="AU706" t="e">
        <v>#DIV/0!</v>
      </c>
      <c r="AV706"/>
      <c r="AW706"/>
      <c r="FY706" s="213">
        <v>701</v>
      </c>
      <c r="FZ706">
        <v>0.58716112056924263</v>
      </c>
      <c r="GA706">
        <v>12.738313750765561</v>
      </c>
      <c r="GB706">
        <v>6.316012476976578</v>
      </c>
      <c r="GC706">
        <v>0.68735954847135594</v>
      </c>
      <c r="GD706">
        <v>1.8391301927936634</v>
      </c>
      <c r="GE706">
        <v>2.9504148057444999</v>
      </c>
      <c r="GF706">
        <v>0.47734812494006024</v>
      </c>
      <c r="GG706">
        <v>4.1817645063006967</v>
      </c>
      <c r="GH706">
        <v>5.7293824889844096</v>
      </c>
      <c r="GI706">
        <v>3.8241449231028186</v>
      </c>
      <c r="GJ706"/>
      <c r="GK706"/>
      <c r="GL706"/>
      <c r="GM706"/>
      <c r="GN706" s="208"/>
      <c r="GO706" s="208"/>
      <c r="GP706" s="208"/>
      <c r="GQ706" s="208"/>
      <c r="GR706" s="208"/>
      <c r="GS706" s="208"/>
      <c r="GT706" s="208"/>
      <c r="GU706" s="213">
        <v>701</v>
      </c>
    </row>
    <row r="707" spans="1:203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31.271586345381529</v>
      </c>
      <c r="AO707">
        <v>8.3232962280300153</v>
      </c>
      <c r="AP707">
        <v>247.90732788151743</v>
      </c>
      <c r="AQ707">
        <v>56.559567097499503</v>
      </c>
      <c r="AR707">
        <v>7.5666329345727421</v>
      </c>
      <c r="AS707">
        <v>82.767363560771116</v>
      </c>
      <c r="AT707" t="e">
        <v>#DIV/0!</v>
      </c>
      <c r="AU707" t="e">
        <v>#DIV/0!</v>
      </c>
      <c r="AV707"/>
      <c r="AW707"/>
      <c r="FY707" s="213">
        <v>702</v>
      </c>
      <c r="FZ707">
        <v>4.3668746466524873</v>
      </c>
      <c r="GA707">
        <v>18.998258648822034</v>
      </c>
      <c r="GB707">
        <v>7.3574065216216589</v>
      </c>
      <c r="GC707">
        <v>1.4778593518102259</v>
      </c>
      <c r="GD707">
        <v>2.0706439282927658</v>
      </c>
      <c r="GE707">
        <v>2.1843508335581148</v>
      </c>
      <c r="GF707">
        <v>0.47734812494006024</v>
      </c>
      <c r="GG707">
        <v>8.3961666051221933</v>
      </c>
      <c r="GH707">
        <v>11.949267806933353</v>
      </c>
      <c r="GI707">
        <v>5.8172086229053939</v>
      </c>
      <c r="GJ707"/>
      <c r="GK707"/>
      <c r="GL707"/>
      <c r="GM707"/>
      <c r="GN707" s="208"/>
      <c r="GO707" s="208"/>
      <c r="GP707" s="208"/>
      <c r="GQ707" s="208"/>
      <c r="GR707" s="208"/>
      <c r="GS707" s="208"/>
      <c r="GT707" s="208"/>
      <c r="GU707" s="213">
        <v>702</v>
      </c>
    </row>
    <row r="708" spans="1:203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19.338550631095806</v>
      </c>
      <c r="AO708">
        <v>4.0637280869419428</v>
      </c>
      <c r="AP708">
        <v>59.864009065669563</v>
      </c>
      <c r="AQ708">
        <v>32.005390501276622</v>
      </c>
      <c r="AR708">
        <v>3.6942982608563106</v>
      </c>
      <c r="AS708">
        <v>48.075001228160545</v>
      </c>
      <c r="AT708" t="e">
        <v>#DIV/0!</v>
      </c>
      <c r="AU708" t="e">
        <v>#DIV/0!</v>
      </c>
      <c r="AV708"/>
      <c r="AW708"/>
      <c r="FY708" s="213">
        <v>703</v>
      </c>
      <c r="FZ708">
        <v>0.58716112056924263</v>
      </c>
      <c r="GA708">
        <v>11.144021391941083</v>
      </c>
      <c r="GB708">
        <v>5.5983776398395877</v>
      </c>
      <c r="GC708">
        <v>1.0930705361331785</v>
      </c>
      <c r="GD708">
        <v>2.0253829825312524</v>
      </c>
      <c r="GE708">
        <v>2.6962753334596057</v>
      </c>
      <c r="GF708">
        <v>0.47734812494006024</v>
      </c>
      <c r="GG708">
        <v>1.5731625858648244</v>
      </c>
      <c r="GH708">
        <v>2.295816042059438</v>
      </c>
      <c r="GI708">
        <v>3.1875829151630817</v>
      </c>
      <c r="GJ708"/>
      <c r="GK708"/>
      <c r="GL708"/>
      <c r="GM708"/>
      <c r="GN708" s="208"/>
      <c r="GO708" s="208"/>
      <c r="GP708" s="208"/>
      <c r="GQ708" s="208"/>
      <c r="GR708" s="208"/>
      <c r="GS708" s="208"/>
      <c r="GT708" s="208"/>
      <c r="GU708" s="213">
        <v>703</v>
      </c>
    </row>
    <row r="709" spans="1:203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38.384099616858229</v>
      </c>
      <c r="AO709">
        <v>8.285326841610841</v>
      </c>
      <c r="AP709">
        <v>216.89554509703785</v>
      </c>
      <c r="AQ709">
        <v>53.674101977418275</v>
      </c>
      <c r="AR709">
        <v>7.5321153105553087</v>
      </c>
      <c r="AS709">
        <v>101.91096707029772</v>
      </c>
      <c r="AT709" t="e">
        <v>#DIV/0!</v>
      </c>
      <c r="AU709" t="e">
        <v>#DIV/0!</v>
      </c>
      <c r="AV709"/>
      <c r="AW709"/>
      <c r="FY709" s="213">
        <v>704</v>
      </c>
      <c r="FZ709">
        <v>2.1834373233262436</v>
      </c>
      <c r="GA709">
        <v>16.444520342561344</v>
      </c>
      <c r="GB709">
        <v>7.2937711195012795</v>
      </c>
      <c r="GC709">
        <v>0.93809528275072762</v>
      </c>
      <c r="GD709">
        <v>2.0651256746345763</v>
      </c>
      <c r="GE709">
        <v>3.0181858280414011</v>
      </c>
      <c r="GF709">
        <v>0.47734812494006024</v>
      </c>
      <c r="GG709">
        <v>3.8648883437707147</v>
      </c>
      <c r="GH709">
        <v>5.5403597373965576</v>
      </c>
      <c r="GI709">
        <v>4.4091149699173844</v>
      </c>
      <c r="GJ709"/>
      <c r="GK709"/>
      <c r="GL709"/>
      <c r="GM709"/>
      <c r="GN709" s="208"/>
      <c r="GO709" s="208"/>
      <c r="GP709" s="208"/>
      <c r="GQ709" s="208"/>
      <c r="GR709" s="208"/>
      <c r="GS709" s="208"/>
      <c r="GT709" s="208"/>
      <c r="GU709" s="213">
        <v>704</v>
      </c>
    </row>
    <row r="710" spans="1:203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38.791017106191603</v>
      </c>
      <c r="AO710">
        <v>9.0204678849096389</v>
      </c>
      <c r="AP710">
        <v>232.87472555418415</v>
      </c>
      <c r="AQ710">
        <v>61.810592706770521</v>
      </c>
      <c r="AR710">
        <v>8.308967891636641</v>
      </c>
      <c r="AS710">
        <v>108.98720874802257</v>
      </c>
      <c r="AT710" t="e">
        <v>#DIV/0!</v>
      </c>
      <c r="AU710" t="e">
        <v>#DIV/0!</v>
      </c>
      <c r="AV710"/>
      <c r="AW710"/>
      <c r="FY710" s="213">
        <v>705</v>
      </c>
      <c r="FZ710">
        <v>2.1834373233262436</v>
      </c>
      <c r="GA710">
        <v>21.833088188290894</v>
      </c>
      <c r="GB710">
        <v>9.7484848300436884</v>
      </c>
      <c r="GC710">
        <v>1.3302638723983682</v>
      </c>
      <c r="GD710">
        <v>2.1072429007901241</v>
      </c>
      <c r="GE710">
        <v>2.4966078219006045</v>
      </c>
      <c r="GF710">
        <v>0.47734812494006024</v>
      </c>
      <c r="GG710">
        <v>3.466541441631783</v>
      </c>
      <c r="GH710">
        <v>5.0133793516913414</v>
      </c>
      <c r="GI710">
        <v>5.09499038921021</v>
      </c>
      <c r="GJ710"/>
      <c r="GK710"/>
      <c r="GL710"/>
      <c r="GM710"/>
      <c r="GN710" s="208"/>
      <c r="GO710" s="208"/>
      <c r="GP710" s="208"/>
      <c r="GQ710" s="208"/>
      <c r="GR710" s="208"/>
      <c r="GS710" s="208"/>
      <c r="GT710" s="208"/>
      <c r="GU710" s="213">
        <v>705</v>
      </c>
    </row>
    <row r="711" spans="1:203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36.760605640954623</v>
      </c>
      <c r="AO711">
        <v>7.9414903443333271</v>
      </c>
      <c r="AP711">
        <v>219.14358177301307</v>
      </c>
      <c r="AQ711">
        <v>51.243148852804282</v>
      </c>
      <c r="AR711">
        <v>7.2195366766666611</v>
      </c>
      <c r="AS711">
        <v>93.557994703752357</v>
      </c>
      <c r="AT711" t="e">
        <v>#DIV/0!</v>
      </c>
      <c r="AU711" t="e">
        <v>#DIV/0!</v>
      </c>
      <c r="AV711"/>
      <c r="AW711"/>
      <c r="FY711" s="213">
        <v>706</v>
      </c>
      <c r="FZ711">
        <v>4.3668746466524873</v>
      </c>
      <c r="GA711">
        <v>19.639043360894359</v>
      </c>
      <c r="GB711">
        <v>7.914912289860073</v>
      </c>
      <c r="GC711">
        <v>2.7489084517230635</v>
      </c>
      <c r="GD711">
        <v>3.8573825290913275</v>
      </c>
      <c r="GE711">
        <v>3.5394402934224702</v>
      </c>
      <c r="GF711">
        <v>0</v>
      </c>
      <c r="GG711">
        <v>2.1849870012718453</v>
      </c>
      <c r="GH711">
        <v>3.1039612728129642</v>
      </c>
      <c r="GI711">
        <v>5.4837357476378745</v>
      </c>
      <c r="GJ711"/>
      <c r="GK711"/>
      <c r="GL711"/>
      <c r="GM711"/>
      <c r="GN711" s="208"/>
      <c r="GO711" s="208"/>
      <c r="GP711" s="208"/>
      <c r="GQ711" s="208"/>
      <c r="GR711" s="208"/>
      <c r="GS711" s="208"/>
      <c r="GT711" s="208"/>
      <c r="GU711" s="213">
        <v>706</v>
      </c>
    </row>
    <row r="712" spans="1:203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24.805316091954023</v>
      </c>
      <c r="AO712">
        <v>5.5191585455136449</v>
      </c>
      <c r="AP712">
        <v>84.678830072053614</v>
      </c>
      <c r="AQ712">
        <v>38.673758224876472</v>
      </c>
      <c r="AR712">
        <v>5.0174168595578585</v>
      </c>
      <c r="AS712">
        <v>61.798792325294151</v>
      </c>
      <c r="AT712" t="e">
        <v>#DIV/0!</v>
      </c>
      <c r="AU712" t="e">
        <v>#DIV/0!</v>
      </c>
      <c r="AV712"/>
      <c r="AW712"/>
      <c r="FY712" s="213">
        <v>707</v>
      </c>
      <c r="FZ712">
        <v>1.7614833617077283</v>
      </c>
      <c r="GA712">
        <v>12.207895584100948</v>
      </c>
      <c r="GB712">
        <v>6.1807546603161967</v>
      </c>
      <c r="GC712">
        <v>0.93809528275072762</v>
      </c>
      <c r="GD712">
        <v>2.2141985354338121</v>
      </c>
      <c r="GE712">
        <v>3.0275157935209793</v>
      </c>
      <c r="GF712">
        <v>0</v>
      </c>
      <c r="GG712">
        <v>0.10673875663404474</v>
      </c>
      <c r="GH712">
        <v>0.14058242252415507</v>
      </c>
      <c r="GI712">
        <v>3.1456844593755076</v>
      </c>
      <c r="GJ712"/>
      <c r="GK712"/>
      <c r="GL712"/>
      <c r="GM712"/>
      <c r="GN712" s="208"/>
      <c r="GO712" s="208"/>
      <c r="GP712" s="208"/>
      <c r="GQ712" s="208"/>
      <c r="GR712" s="208"/>
      <c r="GS712" s="208"/>
      <c r="GT712" s="208"/>
      <c r="GU712" s="213">
        <v>707</v>
      </c>
    </row>
    <row r="713" spans="1:203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38.700996308715979</v>
      </c>
      <c r="AO713">
        <v>6.9962465922110244</v>
      </c>
      <c r="AP713">
        <v>154.81808767250178</v>
      </c>
      <c r="AQ713">
        <v>46.514137646549386</v>
      </c>
      <c r="AR713">
        <v>6.3602241747372936</v>
      </c>
      <c r="AS713">
        <v>104.07876133067005</v>
      </c>
      <c r="AT713" t="e">
        <v>#DIV/0!</v>
      </c>
      <c r="AU713" t="e">
        <v>#DIV/0!</v>
      </c>
      <c r="AV713"/>
      <c r="AW713"/>
      <c r="FY713" s="213">
        <v>708</v>
      </c>
      <c r="FZ713">
        <v>1.596276202757001</v>
      </c>
      <c r="GA713">
        <v>14.624938958677292</v>
      </c>
      <c r="GB713">
        <v>6.322590938765603</v>
      </c>
      <c r="GC713">
        <v>1.4003717251190004</v>
      </c>
      <c r="GD713">
        <v>2.1363069711943998</v>
      </c>
      <c r="GE713">
        <v>2.1494528864174529</v>
      </c>
      <c r="GF713">
        <v>0</v>
      </c>
      <c r="GG713">
        <v>2.6102719741219484</v>
      </c>
      <c r="GH713">
        <v>3.5499287049172779</v>
      </c>
      <c r="GI713">
        <v>3.694140611662132</v>
      </c>
      <c r="GJ713"/>
      <c r="GK713"/>
      <c r="GL713"/>
      <c r="GM713"/>
      <c r="GN713" s="208"/>
      <c r="GO713" s="208"/>
      <c r="GP713" s="208"/>
      <c r="GQ713" s="208"/>
      <c r="GR713" s="208"/>
      <c r="GS713" s="208"/>
      <c r="GT713" s="208"/>
      <c r="GU713" s="213">
        <v>708</v>
      </c>
    </row>
    <row r="714" spans="1:203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31.114839901477829</v>
      </c>
      <c r="AO714">
        <v>7.4870328280694149</v>
      </c>
      <c r="AP714">
        <v>182.56197460879915</v>
      </c>
      <c r="AQ714">
        <v>50.489726986970126</v>
      </c>
      <c r="AR714">
        <v>6.8606647509224983</v>
      </c>
      <c r="AS714">
        <v>80.817368953159232</v>
      </c>
      <c r="AT714" t="e">
        <v>#DIV/0!</v>
      </c>
      <c r="AU714" t="e">
        <v>#DIV/0!</v>
      </c>
      <c r="AV714"/>
      <c r="AW714"/>
      <c r="FY714" s="213">
        <v>709</v>
      </c>
      <c r="FZ714">
        <v>0</v>
      </c>
      <c r="GA714">
        <v>7.4038796670934683</v>
      </c>
      <c r="GB714">
        <v>3.7487903297176643</v>
      </c>
      <c r="GC714">
        <v>1.2527762457071427</v>
      </c>
      <c r="GD714">
        <v>1.5308695843945546</v>
      </c>
      <c r="GE714">
        <v>1.4418299710483911</v>
      </c>
      <c r="GF714">
        <v>0.47734812494006024</v>
      </c>
      <c r="GG714">
        <v>2.7968114166788669</v>
      </c>
      <c r="GH714">
        <v>3.9121065035664904</v>
      </c>
      <c r="GI714">
        <v>2.5404228000101674</v>
      </c>
      <c r="GJ714"/>
      <c r="GK714"/>
      <c r="GL714"/>
      <c r="GM714"/>
      <c r="GN714" s="208"/>
      <c r="GO714" s="208"/>
      <c r="GP714" s="208"/>
      <c r="GQ714" s="208"/>
      <c r="GR714" s="208"/>
      <c r="GS714" s="208"/>
      <c r="GT714" s="208"/>
      <c r="GU714" s="213">
        <v>709</v>
      </c>
    </row>
    <row r="715" spans="1:203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32.718100439524925</v>
      </c>
      <c r="AO715">
        <v>9.741483339347365</v>
      </c>
      <c r="AP715">
        <v>270.31813558109599</v>
      </c>
      <c r="AQ715">
        <v>62.058489151408025</v>
      </c>
      <c r="AR715">
        <v>8.964436486580027</v>
      </c>
      <c r="AS715">
        <v>94.640068762813925</v>
      </c>
      <c r="AT715" t="e">
        <v>#DIV/0!</v>
      </c>
      <c r="AU715" t="e">
        <v>#DIV/0!</v>
      </c>
      <c r="AV715"/>
      <c r="AW715"/>
      <c r="FY715" s="213">
        <v>710</v>
      </c>
      <c r="FZ715">
        <v>2.1834373233262436</v>
      </c>
      <c r="GA715">
        <v>14.02372245430147</v>
      </c>
      <c r="GB715">
        <v>5.9696306845271803</v>
      </c>
      <c r="GC715">
        <v>1.6375650613841901</v>
      </c>
      <c r="GD715">
        <v>2.8106838419093134</v>
      </c>
      <c r="GE715">
        <v>4.0278077008155497</v>
      </c>
      <c r="GF715">
        <v>1.432044374820181</v>
      </c>
      <c r="GG715">
        <v>3.22209638952897</v>
      </c>
      <c r="GH715">
        <v>4.3580739356708049</v>
      </c>
      <c r="GI715">
        <v>4.5745587190051378</v>
      </c>
      <c r="GJ715"/>
      <c r="GK715"/>
      <c r="GL715"/>
      <c r="GM715"/>
      <c r="GN715" s="208"/>
      <c r="GO715" s="208"/>
      <c r="GP715" s="208"/>
      <c r="GQ715" s="208"/>
      <c r="GR715" s="208"/>
      <c r="GS715" s="208"/>
      <c r="GT715" s="208"/>
      <c r="GU715" s="213">
        <v>710</v>
      </c>
    </row>
    <row r="716" spans="1:203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30.506055832525504</v>
      </c>
      <c r="AO716">
        <v>6.970291502979455</v>
      </c>
      <c r="AP716">
        <v>103.40936049334806</v>
      </c>
      <c r="AQ716">
        <v>49.889347991456049</v>
      </c>
      <c r="AR716">
        <v>6.4994424516504115</v>
      </c>
      <c r="AS716">
        <v>82.837219567239259</v>
      </c>
      <c r="AT716" t="e">
        <v>#DIV/0!</v>
      </c>
      <c r="AU716" t="e">
        <v>#DIV/0!</v>
      </c>
      <c r="AV716"/>
      <c r="AW716"/>
      <c r="FY716" s="213">
        <v>711</v>
      </c>
      <c r="FZ716">
        <v>2.7705984438954863</v>
      </c>
      <c r="GA716">
        <v>16.328231546513859</v>
      </c>
      <c r="GB716">
        <v>7.2331203587437276</v>
      </c>
      <c r="GC716">
        <v>0.22508310610308313</v>
      </c>
      <c r="GD716">
        <v>0.92442683411736781</v>
      </c>
      <c r="GE716">
        <v>1.5255294515988203</v>
      </c>
      <c r="GF716">
        <v>0</v>
      </c>
      <c r="GG716">
        <v>6.504457803041312</v>
      </c>
      <c r="GH716">
        <v>9.3480667552937575</v>
      </c>
      <c r="GI716">
        <v>4.3602069247595008</v>
      </c>
      <c r="GJ716"/>
      <c r="GK716"/>
      <c r="GL716"/>
      <c r="GM716"/>
      <c r="GN716" s="208"/>
      <c r="GO716" s="208"/>
      <c r="GP716" s="208"/>
      <c r="GQ716" s="208"/>
      <c r="GR716" s="208"/>
      <c r="GS716" s="208"/>
      <c r="GT716" s="208"/>
      <c r="GU716" s="213">
        <v>711</v>
      </c>
    </row>
    <row r="717" spans="1:203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22.751573617952925</v>
      </c>
      <c r="AO717">
        <v>5.9190573798897015</v>
      </c>
      <c r="AP717">
        <v>281.07929245524747</v>
      </c>
      <c r="AQ717">
        <v>39.331031938648891</v>
      </c>
      <c r="AR717">
        <v>5.435232525304575</v>
      </c>
      <c r="AS717">
        <v>64.603196224221932</v>
      </c>
      <c r="AT717" t="e">
        <v>#DIV/0!</v>
      </c>
      <c r="AU717" t="e">
        <v>#DIV/0!</v>
      </c>
      <c r="AV717"/>
      <c r="AW717"/>
      <c r="FY717" s="213">
        <v>712</v>
      </c>
      <c r="FZ717">
        <v>1.1743222411384853</v>
      </c>
      <c r="GA717">
        <v>12.056207619197862</v>
      </c>
      <c r="GB717">
        <v>6.0112526807696236</v>
      </c>
      <c r="GC717">
        <v>2.6788005990024315</v>
      </c>
      <c r="GD717">
        <v>3.5526663824928386</v>
      </c>
      <c r="GE717">
        <v>3.9055647177927555</v>
      </c>
      <c r="GF717">
        <v>1.432044374820181</v>
      </c>
      <c r="GG717">
        <v>0.82530192867511065</v>
      </c>
      <c r="GH717">
        <v>1.0893100758018361</v>
      </c>
      <c r="GI717">
        <v>4.2505675566765238</v>
      </c>
      <c r="GJ717"/>
      <c r="GK717"/>
      <c r="GL717"/>
      <c r="GM717"/>
      <c r="GN717" s="208"/>
      <c r="GO717" s="208"/>
      <c r="GP717" s="208"/>
      <c r="GQ717" s="208"/>
      <c r="GR717" s="208"/>
      <c r="GS717" s="208"/>
      <c r="GT717" s="208"/>
      <c r="GU717" s="213">
        <v>712</v>
      </c>
    </row>
    <row r="718" spans="1:203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30.091526821572007</v>
      </c>
      <c r="AO718">
        <v>9.2981014842030412</v>
      </c>
      <c r="AP718">
        <v>283.85392099092377</v>
      </c>
      <c r="AQ718">
        <v>63.095385090658283</v>
      </c>
      <c r="AR718">
        <v>8.5613620728124609</v>
      </c>
      <c r="AS718">
        <v>87.691881219786154</v>
      </c>
      <c r="AT718" t="e">
        <v>#DIV/0!</v>
      </c>
      <c r="AU718" t="e">
        <v>#DIV/0!</v>
      </c>
      <c r="AV718"/>
      <c r="AW718"/>
      <c r="FY718" s="213">
        <v>713</v>
      </c>
      <c r="FZ718">
        <v>0</v>
      </c>
      <c r="GA718">
        <v>13.480077419917405</v>
      </c>
      <c r="GB718">
        <v>6.7807451938655667</v>
      </c>
      <c r="GC718">
        <v>1.7212153121190044</v>
      </c>
      <c r="GD718">
        <v>3.1007902574501429</v>
      </c>
      <c r="GE718">
        <v>4.188931709902187</v>
      </c>
      <c r="GF718">
        <v>0.95469624988012047</v>
      </c>
      <c r="GG718">
        <v>3.6783489012137967</v>
      </c>
      <c r="GH718">
        <v>5.1781819387473451</v>
      </c>
      <c r="GI718">
        <v>4.5724668125917809</v>
      </c>
      <c r="GJ718"/>
      <c r="GK718"/>
      <c r="GL718"/>
      <c r="GM718"/>
      <c r="GN718" s="208"/>
      <c r="GO718" s="208"/>
      <c r="GP718" s="208"/>
      <c r="GQ718" s="208"/>
      <c r="GR718" s="208"/>
      <c r="GS718" s="208"/>
      <c r="GT718" s="208"/>
      <c r="GU718" s="213">
        <v>713</v>
      </c>
    </row>
    <row r="719" spans="1:203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22.007440476190474</v>
      </c>
      <c r="AO719">
        <v>4.918867834054824</v>
      </c>
      <c r="AP719">
        <v>226.02230110144583</v>
      </c>
      <c r="AQ719">
        <v>30.678198672501356</v>
      </c>
      <c r="AR719">
        <v>4.5259693018183231</v>
      </c>
      <c r="AS719">
        <v>56.426094471409257</v>
      </c>
      <c r="AT719" t="e">
        <v>#DIV/0!</v>
      </c>
      <c r="AU719" t="e">
        <v>#DIV/0!</v>
      </c>
      <c r="AV719"/>
      <c r="AW719"/>
      <c r="FY719" s="213">
        <v>714</v>
      </c>
      <c r="FZ719">
        <v>0.58716112056924263</v>
      </c>
      <c r="GA719">
        <v>14.135427686350683</v>
      </c>
      <c r="GB719">
        <v>7.0211970113874838</v>
      </c>
      <c r="GC719">
        <v>3.224727292105519</v>
      </c>
      <c r="GD719">
        <v>3.6642511192714187</v>
      </c>
      <c r="GE719">
        <v>2.6962753334596057</v>
      </c>
      <c r="GF719">
        <v>0.47734812494006024</v>
      </c>
      <c r="GG719">
        <v>3.4086358320858881</v>
      </c>
      <c r="GH719">
        <v>4.7202517343200174</v>
      </c>
      <c r="GI719">
        <v>4.8866531158189943</v>
      </c>
      <c r="GJ719"/>
      <c r="GK719"/>
      <c r="GL719"/>
      <c r="GM719"/>
      <c r="GN719" s="208"/>
      <c r="GO719" s="208"/>
      <c r="GP719" s="208"/>
      <c r="GQ719" s="208"/>
      <c r="GR719" s="208"/>
      <c r="GS719" s="208"/>
      <c r="GT719" s="208"/>
      <c r="GU719" s="213">
        <v>714</v>
      </c>
    </row>
    <row r="720" spans="1:203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26.752326630001118</v>
      </c>
      <c r="AO720">
        <v>6.8994150879574763</v>
      </c>
      <c r="AP720">
        <v>149.06924442868726</v>
      </c>
      <c r="AQ720">
        <v>46.234846746840283</v>
      </c>
      <c r="AR720">
        <v>6.3264668053661905</v>
      </c>
      <c r="AS720">
        <v>89.467562362755004</v>
      </c>
      <c r="AT720" t="e">
        <v>#DIV/0!</v>
      </c>
      <c r="AU720" t="e">
        <v>#DIV/0!</v>
      </c>
      <c r="AV720"/>
      <c r="AW720"/>
      <c r="FY720" s="213">
        <v>715</v>
      </c>
      <c r="FZ720">
        <v>2.1834373233262436</v>
      </c>
      <c r="GA720">
        <v>16.531250551029132</v>
      </c>
      <c r="GB720">
        <v>7.4237729750997268</v>
      </c>
      <c r="GC720">
        <v>1.2972314702514869</v>
      </c>
      <c r="GD720">
        <v>2.2077052469408014</v>
      </c>
      <c r="GE720">
        <v>2.7507472941854987</v>
      </c>
      <c r="GF720">
        <v>0.47734812494006024</v>
      </c>
      <c r="GG720">
        <v>0.71856317204106601</v>
      </c>
      <c r="GH720">
        <v>0.94872765327768138</v>
      </c>
      <c r="GI720">
        <v>3.7941903742659706</v>
      </c>
      <c r="GJ720"/>
      <c r="GK720"/>
      <c r="GL720"/>
      <c r="GM720"/>
      <c r="GN720" s="208"/>
      <c r="GO720" s="208"/>
      <c r="GP720" s="208"/>
      <c r="GQ720" s="208"/>
      <c r="GR720" s="208"/>
      <c r="GS720" s="208"/>
      <c r="GT720" s="208"/>
      <c r="GU720" s="213">
        <v>715</v>
      </c>
    </row>
    <row r="721" spans="1:203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24.335592369477915</v>
      </c>
      <c r="AO721">
        <v>8.1453510782111369</v>
      </c>
      <c r="AP721">
        <v>160.29056611610991</v>
      </c>
      <c r="AQ721">
        <v>53.751384244223317</v>
      </c>
      <c r="AR721">
        <v>7.4591358874149716</v>
      </c>
      <c r="AS721">
        <v>92.299346049433822</v>
      </c>
      <c r="AT721" t="e">
        <v>#DIV/0!</v>
      </c>
      <c r="AU721" t="e">
        <v>#DIV/0!</v>
      </c>
      <c r="AV721"/>
      <c r="AW721"/>
      <c r="FY721" s="213">
        <v>716</v>
      </c>
      <c r="FZ721">
        <v>4.3668746466524873</v>
      </c>
      <c r="GA721">
        <v>11.928985041549446</v>
      </c>
      <c r="GB721">
        <v>3.960777074575192</v>
      </c>
      <c r="GC721">
        <v>0.46227644236827292</v>
      </c>
      <c r="GD721">
        <v>0.94794609848578082</v>
      </c>
      <c r="GE721">
        <v>1.4963019317742834</v>
      </c>
      <c r="GF721">
        <v>0.47734812494006024</v>
      </c>
      <c r="GG721">
        <v>2.9035501733129117</v>
      </c>
      <c r="GH721">
        <v>4.0526889260906458</v>
      </c>
      <c r="GI721">
        <v>3.0374519602645247</v>
      </c>
      <c r="GJ721"/>
      <c r="GK721"/>
      <c r="GL721"/>
      <c r="GM721"/>
      <c r="GN721" s="208"/>
      <c r="GO721" s="208"/>
      <c r="GP721" s="208"/>
      <c r="GQ721" s="208"/>
      <c r="GR721" s="208"/>
      <c r="GS721" s="208"/>
      <c r="GT721" s="208"/>
      <c r="GU721" s="213">
        <v>716</v>
      </c>
    </row>
    <row r="722" spans="1:203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42.074490284619586</v>
      </c>
      <c r="AO722">
        <v>8.4029003999751524</v>
      </c>
      <c r="AP722">
        <v>162.55744560658138</v>
      </c>
      <c r="AQ722">
        <v>52.839245593366464</v>
      </c>
      <c r="AR722">
        <v>7.7475429053325611</v>
      </c>
      <c r="AS722">
        <v>103.75677297302494</v>
      </c>
      <c r="AT722" t="e">
        <v>#DIV/0!</v>
      </c>
      <c r="AU722" t="e">
        <v>#DIV/0!</v>
      </c>
      <c r="AV722"/>
      <c r="AW722"/>
      <c r="FY722" s="213">
        <v>717</v>
      </c>
      <c r="FZ722">
        <v>0.58716112056924263</v>
      </c>
      <c r="GA722">
        <v>14.66024040812475</v>
      </c>
      <c r="GB722">
        <v>7.4237729750997268</v>
      </c>
      <c r="GC722">
        <v>1.5736198327071467</v>
      </c>
      <c r="GD722">
        <v>2.7362345989230725</v>
      </c>
      <c r="GE722">
        <v>3.6806527653323982</v>
      </c>
      <c r="GF722">
        <v>0.95469624988012047</v>
      </c>
      <c r="GG722">
        <v>0.61182441540702126</v>
      </c>
      <c r="GH722">
        <v>0.80814523075352618</v>
      </c>
      <c r="GI722">
        <v>3.8796061334404732</v>
      </c>
      <c r="GJ722"/>
      <c r="GK722"/>
      <c r="GL722"/>
      <c r="GM722"/>
      <c r="GN722" s="208"/>
      <c r="GO722" s="208"/>
      <c r="GP722" s="208"/>
      <c r="GQ722" s="208"/>
      <c r="GR722" s="208"/>
      <c r="GS722" s="208"/>
      <c r="GT722" s="208"/>
      <c r="GU722" s="213">
        <v>717</v>
      </c>
    </row>
    <row r="723" spans="1:203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24.091526821571996</v>
      </c>
      <c r="AO723">
        <v>4.5909461884613822</v>
      </c>
      <c r="AP723">
        <v>173.99103287621375</v>
      </c>
      <c r="AQ723">
        <v>29.722948856364098</v>
      </c>
      <c r="AR723">
        <v>4.3364012566339811</v>
      </c>
      <c r="AS723">
        <v>64.834294440062351</v>
      </c>
      <c r="AT723" t="e">
        <v>#DIV/0!</v>
      </c>
      <c r="AU723" t="e">
        <v>#DIV/0!</v>
      </c>
      <c r="AV723"/>
      <c r="AW723"/>
      <c r="FY723" s="213">
        <v>718</v>
      </c>
      <c r="FZ723">
        <v>6.5503119699787309</v>
      </c>
      <c r="GA723">
        <v>18.486050762978806</v>
      </c>
      <c r="GB723">
        <v>6.2495826259972249</v>
      </c>
      <c r="GC723">
        <v>1.1752886190159173</v>
      </c>
      <c r="GD723">
        <v>0.97077293503066153</v>
      </c>
      <c r="GE723">
        <v>0.13554204459380273</v>
      </c>
      <c r="GF723">
        <v>0</v>
      </c>
      <c r="GG723">
        <v>4.2901733166208178</v>
      </c>
      <c r="GH723">
        <v>5.9863271695008713</v>
      </c>
      <c r="GI723">
        <v>4.1184764231125062</v>
      </c>
      <c r="GJ723"/>
      <c r="GK723"/>
      <c r="GL723"/>
      <c r="GM723"/>
      <c r="GN723" s="208"/>
      <c r="GO723" s="208"/>
      <c r="GP723" s="208"/>
      <c r="GQ723" s="208"/>
      <c r="GR723" s="208"/>
      <c r="GS723" s="208"/>
      <c r="GT723" s="208"/>
      <c r="GU723" s="213">
        <v>718</v>
      </c>
    </row>
    <row r="724" spans="1:203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27.128079642049308</v>
      </c>
      <c r="AO724">
        <v>5.7272562856935627</v>
      </c>
      <c r="AP724">
        <v>128.47898133931494</v>
      </c>
      <c r="AQ724">
        <v>38.084278973632117</v>
      </c>
      <c r="AR724">
        <v>5.2065966233577852</v>
      </c>
      <c r="AS724">
        <v>74.840366268598402</v>
      </c>
      <c r="AT724" t="e">
        <v>#DIV/0!</v>
      </c>
      <c r="AU724" t="e">
        <v>#DIV/0!</v>
      </c>
      <c r="AV724"/>
      <c r="AW724"/>
      <c r="FY724" s="213">
        <v>719</v>
      </c>
      <c r="FZ724">
        <v>2.1834373233262436</v>
      </c>
      <c r="GA724">
        <v>12.320113060715679</v>
      </c>
      <c r="GB724">
        <v>5.1533803083176775</v>
      </c>
      <c r="GC724">
        <v>1.5479672045308583</v>
      </c>
      <c r="GD724">
        <v>1.850005023374969</v>
      </c>
      <c r="GE724">
        <v>1.335515446279125</v>
      </c>
      <c r="GF724">
        <v>0</v>
      </c>
      <c r="GG724">
        <v>6.9297427758914143</v>
      </c>
      <c r="GH724">
        <v>9.7940341873980685</v>
      </c>
      <c r="GI724">
        <v>4.2996870837874672</v>
      </c>
      <c r="GJ724"/>
      <c r="GK724"/>
      <c r="GL724"/>
      <c r="GM724"/>
      <c r="GN724" s="208"/>
      <c r="GO724" s="208"/>
      <c r="GP724" s="208"/>
      <c r="GQ724" s="208"/>
      <c r="GR724" s="208"/>
      <c r="GS724" s="208"/>
      <c r="GT724" s="208"/>
      <c r="GU724" s="213">
        <v>719</v>
      </c>
    </row>
    <row r="725" spans="1:203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24.290349616858236</v>
      </c>
      <c r="AO725">
        <v>3.9288436038704311</v>
      </c>
      <c r="AP725">
        <v>193.65995728888731</v>
      </c>
      <c r="AQ725">
        <v>25.104834643156806</v>
      </c>
      <c r="AR725">
        <v>3.5716760035185735</v>
      </c>
      <c r="AS725">
        <v>48.165686620044383</v>
      </c>
      <c r="AT725" t="e">
        <v>#DIV/0!</v>
      </c>
      <c r="AU725" t="e">
        <v>#DIV/0!</v>
      </c>
      <c r="AV725"/>
      <c r="AW725"/>
      <c r="FY725" s="213">
        <v>720</v>
      </c>
      <c r="FZ725">
        <v>3.944920685033972</v>
      </c>
      <c r="GA725">
        <v>15.563881051068494</v>
      </c>
      <c r="GB725">
        <v>6.7997739583806736</v>
      </c>
      <c r="GC725">
        <v>1.5035119799865142</v>
      </c>
      <c r="GD725">
        <v>2.9330777240982533</v>
      </c>
      <c r="GE725">
        <v>4.4852602399911481</v>
      </c>
      <c r="GF725">
        <v>1.432044374820181</v>
      </c>
      <c r="GG725">
        <v>5.1431026767584997</v>
      </c>
      <c r="GH725">
        <v>7.2170533002903205</v>
      </c>
      <c r="GI725">
        <v>5.5780755691459678</v>
      </c>
      <c r="GJ725"/>
      <c r="GK725"/>
      <c r="GL725"/>
      <c r="GM725"/>
      <c r="GN725" s="208"/>
      <c r="GO725" s="208"/>
      <c r="GP725" s="208"/>
      <c r="GQ725" s="208"/>
      <c r="GR725" s="208"/>
      <c r="GS725" s="208"/>
      <c r="GT725" s="208"/>
      <c r="GU725" s="213">
        <v>720</v>
      </c>
    </row>
    <row r="726" spans="1:203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30.760605640954623</v>
      </c>
      <c r="AO726">
        <v>7.0909120873600715</v>
      </c>
      <c r="AP726">
        <v>148.90754045216443</v>
      </c>
      <c r="AQ726">
        <v>44.239620485289045</v>
      </c>
      <c r="AR726">
        <v>6.5005549866412773</v>
      </c>
      <c r="AS726">
        <v>79.673762193130358</v>
      </c>
      <c r="AT726" t="e">
        <v>#DIV/0!</v>
      </c>
      <c r="AU726" t="e">
        <v>#DIV/0!</v>
      </c>
      <c r="AV726"/>
      <c r="AW726"/>
      <c r="FY726" s="213">
        <v>721</v>
      </c>
      <c r="FZ726">
        <v>3.7797135260832437</v>
      </c>
      <c r="GA726">
        <v>16.213723592019374</v>
      </c>
      <c r="GB726">
        <v>6.3152131054093523</v>
      </c>
      <c r="GC726">
        <v>2.0877312735903564</v>
      </c>
      <c r="GD726">
        <v>2.4242444497465847</v>
      </c>
      <c r="GE726">
        <v>1.6574259408609204</v>
      </c>
      <c r="GF726">
        <v>0</v>
      </c>
      <c r="GG726">
        <v>1.0387794419432002</v>
      </c>
      <c r="GH726">
        <v>1.3704749208501465</v>
      </c>
      <c r="GI726">
        <v>3.7244287087564749</v>
      </c>
      <c r="GJ726"/>
      <c r="GK726"/>
      <c r="GL726"/>
      <c r="GM726"/>
      <c r="GN726" s="208"/>
      <c r="GO726" s="208"/>
      <c r="GP726" s="208"/>
      <c r="GQ726" s="208"/>
      <c r="GR726" s="208"/>
      <c r="GS726" s="208"/>
      <c r="GT726" s="208"/>
      <c r="GU726" s="213">
        <v>721</v>
      </c>
    </row>
    <row r="727" spans="1:203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15.205357142857142</v>
      </c>
      <c r="AO727">
        <v>6.9316603418822167</v>
      </c>
      <c r="AP727">
        <v>189.71107971564436</v>
      </c>
      <c r="AQ727">
        <v>49.219721224066923</v>
      </c>
      <c r="AR727">
        <v>6.4100519434298935</v>
      </c>
      <c r="AS727">
        <v>71.583225408789289</v>
      </c>
      <c r="AT727" t="e">
        <v>#DIV/0!</v>
      </c>
      <c r="AU727" t="e">
        <v>#DIV/0!</v>
      </c>
      <c r="AV727"/>
      <c r="AW727"/>
      <c r="FY727" s="213">
        <v>722</v>
      </c>
      <c r="FZ727">
        <v>2.1834373233262436</v>
      </c>
      <c r="GA727">
        <v>22.516865862293599</v>
      </c>
      <c r="GB727">
        <v>10.135752644669587</v>
      </c>
      <c r="GC727">
        <v>0.86798743003009515</v>
      </c>
      <c r="GD727">
        <v>1.8856866090927071</v>
      </c>
      <c r="GE727">
        <v>3.349412305271025</v>
      </c>
      <c r="GF727">
        <v>1.432044374820181</v>
      </c>
      <c r="GG727">
        <v>4.0766958033527283</v>
      </c>
      <c r="GH727">
        <v>5.7051623244525604</v>
      </c>
      <c r="GI727">
        <v>5.2869932521310519</v>
      </c>
      <c r="GJ727"/>
      <c r="GK727"/>
      <c r="GL727"/>
      <c r="GM727"/>
      <c r="GN727" s="208"/>
      <c r="GO727" s="208"/>
      <c r="GP727" s="208"/>
      <c r="GQ727" s="208"/>
      <c r="GR727" s="208"/>
      <c r="GS727" s="208"/>
      <c r="GT727" s="208"/>
      <c r="GU727" s="213">
        <v>722</v>
      </c>
    </row>
    <row r="728" spans="1:203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39.828972499192176</v>
      </c>
      <c r="AO728">
        <v>6.3806020453028367</v>
      </c>
      <c r="AP728">
        <v>269.66189988833526</v>
      </c>
      <c r="AQ728">
        <v>36.976038176367645</v>
      </c>
      <c r="AR728">
        <v>5.909089855630457</v>
      </c>
      <c r="AS728">
        <v>93.537686220468359</v>
      </c>
      <c r="AT728" t="e">
        <v>#DIV/0!</v>
      </c>
      <c r="AU728" t="e">
        <v>#DIV/0!</v>
      </c>
      <c r="AV728"/>
      <c r="AW728"/>
      <c r="FY728" s="213">
        <v>723</v>
      </c>
      <c r="FZ728">
        <v>1.596276202757001</v>
      </c>
      <c r="GA728">
        <v>14.714471889590353</v>
      </c>
      <c r="GB728">
        <v>6.3189337208381211</v>
      </c>
      <c r="GC728">
        <v>0.68735954847135616</v>
      </c>
      <c r="GD728">
        <v>2.0465437074833583</v>
      </c>
      <c r="GE728">
        <v>3.3746707290041309</v>
      </c>
      <c r="GF728">
        <v>0.47734812494006024</v>
      </c>
      <c r="GG728">
        <v>9.219798480111228</v>
      </c>
      <c r="GH728">
        <v>12.922215624742883</v>
      </c>
      <c r="GI728">
        <v>5.3525020186904122</v>
      </c>
      <c r="GJ728"/>
      <c r="GK728"/>
      <c r="GL728"/>
      <c r="GM728"/>
      <c r="GN728" s="208"/>
      <c r="GO728" s="208"/>
      <c r="GP728" s="208"/>
      <c r="GQ728" s="208"/>
      <c r="GR728" s="208"/>
      <c r="GS728" s="208"/>
      <c r="GT728" s="208"/>
      <c r="GU728" s="213">
        <v>723</v>
      </c>
    </row>
    <row r="729" spans="1:203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34.673389988525535</v>
      </c>
      <c r="AO729">
        <v>7.1107197543262064</v>
      </c>
      <c r="AP729">
        <v>323.67046496435586</v>
      </c>
      <c r="AQ729">
        <v>43.65545379568735</v>
      </c>
      <c r="AR729">
        <v>6.4642906857510969</v>
      </c>
      <c r="AS729">
        <v>93.452712370488015</v>
      </c>
      <c r="AT729" t="e">
        <v>#DIV/0!</v>
      </c>
      <c r="AU729" t="e">
        <v>#DIV/0!</v>
      </c>
      <c r="AV729"/>
      <c r="AW729"/>
      <c r="FY729" s="213">
        <v>724</v>
      </c>
      <c r="FZ729">
        <v>3.944920685033972</v>
      </c>
      <c r="GA729">
        <v>14.551021092771586</v>
      </c>
      <c r="GB729">
        <v>6.3328266184821116</v>
      </c>
      <c r="GC729">
        <v>1.2271236175308542</v>
      </c>
      <c r="GD729">
        <v>2.5624424799645151</v>
      </c>
      <c r="GE729">
        <v>3.2816552658058735</v>
      </c>
      <c r="GF729">
        <v>0</v>
      </c>
      <c r="GG729">
        <v>3.8648883437707147</v>
      </c>
      <c r="GH729">
        <v>5.5403597373965576</v>
      </c>
      <c r="GI729">
        <v>4.6182292614305043</v>
      </c>
      <c r="GJ729"/>
      <c r="GK729"/>
      <c r="GL729"/>
      <c r="GM729"/>
      <c r="GN729" s="208"/>
      <c r="GO729" s="208"/>
      <c r="GP729" s="208"/>
      <c r="GQ729" s="208"/>
      <c r="GR729" s="208"/>
      <c r="GS729" s="208"/>
      <c r="GT729" s="208"/>
      <c r="GU729" s="213">
        <v>724</v>
      </c>
    </row>
    <row r="730" spans="1:203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43.997280377668304</v>
      </c>
      <c r="AO730">
        <v>7.5092787142514554</v>
      </c>
      <c r="AP730">
        <v>366.77662552467859</v>
      </c>
      <c r="AQ730">
        <v>44.82192837030891</v>
      </c>
      <c r="AR730">
        <v>6.8808882838152599</v>
      </c>
      <c r="AS730">
        <v>97.939752920622141</v>
      </c>
      <c r="AT730" t="e">
        <v>#DIV/0!</v>
      </c>
      <c r="AU730" t="e">
        <v>#DIV/0!</v>
      </c>
      <c r="AV730"/>
      <c r="AW730"/>
      <c r="FY730" s="213">
        <v>725</v>
      </c>
      <c r="FZ730">
        <v>1.596276202757001</v>
      </c>
      <c r="GA730">
        <v>14.101492553298852</v>
      </c>
      <c r="GB730">
        <v>6.1493683437902629</v>
      </c>
      <c r="GC730">
        <v>7.7487626691225331E-2</v>
      </c>
      <c r="GD730">
        <v>1.3115843702332308</v>
      </c>
      <c r="GE730">
        <v>2.5354888479644471</v>
      </c>
      <c r="GF730">
        <v>0</v>
      </c>
      <c r="GG730">
        <v>3.358132631311662</v>
      </c>
      <c r="GH730">
        <v>4.7564346711748797</v>
      </c>
      <c r="GI730">
        <v>3.3037931683920254</v>
      </c>
      <c r="GJ730"/>
      <c r="GK730"/>
      <c r="GL730"/>
      <c r="GM730"/>
      <c r="GN730" s="208"/>
      <c r="GO730" s="208"/>
      <c r="GP730" s="208"/>
      <c r="GQ730" s="208"/>
      <c r="GR730" s="208"/>
      <c r="GS730" s="208"/>
      <c r="GT730" s="208"/>
      <c r="GU730" s="213">
        <v>725</v>
      </c>
    </row>
    <row r="731" spans="1:203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26.2285171061916</v>
      </c>
      <c r="AO731">
        <v>5.7466171880943273</v>
      </c>
      <c r="AP731">
        <v>81.394113972590446</v>
      </c>
      <c r="AQ731">
        <v>38.332974185357664</v>
      </c>
      <c r="AR731">
        <v>5.2784687145815106</v>
      </c>
      <c r="AS731">
        <v>80.897669303572115</v>
      </c>
      <c r="AT731" t="e">
        <v>#DIV/0!</v>
      </c>
      <c r="AU731" t="e">
        <v>#DIV/0!</v>
      </c>
      <c r="AV731"/>
      <c r="AW731"/>
      <c r="FY731" s="213">
        <v>726</v>
      </c>
      <c r="FZ731">
        <v>1.596276202757001</v>
      </c>
      <c r="GA731">
        <v>16.320210274581292</v>
      </c>
      <c r="GB731">
        <v>6.9474527245531661</v>
      </c>
      <c r="GC731">
        <v>1.0721483641484035</v>
      </c>
      <c r="GD731">
        <v>2.7598538061427762</v>
      </c>
      <c r="GE731">
        <v>3.9188777621955149</v>
      </c>
      <c r="GF731">
        <v>0</v>
      </c>
      <c r="GG731">
        <v>5.5683876496086029</v>
      </c>
      <c r="GH731">
        <v>7.6630207323946369</v>
      </c>
      <c r="GI731">
        <v>4.8791520724983783</v>
      </c>
      <c r="GJ731"/>
      <c r="GK731"/>
      <c r="GL731"/>
      <c r="GM731"/>
      <c r="GN731" s="208"/>
      <c r="GO731" s="208"/>
      <c r="GP731" s="208"/>
      <c r="GQ731" s="208"/>
      <c r="GR731" s="208"/>
      <c r="GS731" s="208"/>
      <c r="GT731" s="208"/>
      <c r="GU731" s="213">
        <v>726</v>
      </c>
    </row>
    <row r="732" spans="1:203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14.916102628906426</v>
      </c>
      <c r="AO732">
        <v>4.737491856424195</v>
      </c>
      <c r="AP732">
        <v>92.699679749058546</v>
      </c>
      <c r="AQ732">
        <v>33.634200420013606</v>
      </c>
      <c r="AR732">
        <v>4.4153533202862363</v>
      </c>
      <c r="AS732">
        <v>49.874314615609038</v>
      </c>
      <c r="AT732" t="e">
        <v>#DIV/0!</v>
      </c>
      <c r="AU732" t="e">
        <v>#DIV/0!</v>
      </c>
      <c r="AV732"/>
      <c r="AW732"/>
      <c r="FY732" s="213">
        <v>727</v>
      </c>
      <c r="FZ732">
        <v>2.1834373233262436</v>
      </c>
      <c r="GA732">
        <v>21.647050565178596</v>
      </c>
      <c r="GB732">
        <v>9.7937640442136118</v>
      </c>
      <c r="GC732">
        <v>2.3310872338991349</v>
      </c>
      <c r="GD732">
        <v>3.6034636397031976</v>
      </c>
      <c r="GE732">
        <v>3.9640197574418288</v>
      </c>
      <c r="GF732">
        <v>0.47734812494006024</v>
      </c>
      <c r="GG732">
        <v>4.5019807762028314</v>
      </c>
      <c r="GH732">
        <v>6.151129756556875</v>
      </c>
      <c r="GI732">
        <v>6.022216550251267</v>
      </c>
      <c r="GJ732"/>
      <c r="GK732"/>
      <c r="GL732"/>
      <c r="GM732"/>
      <c r="GN732" s="208"/>
      <c r="GO732" s="208"/>
      <c r="GP732" s="208"/>
      <c r="GQ732" s="208"/>
      <c r="GR732" s="208"/>
      <c r="GS732" s="208"/>
      <c r="GT732" s="208"/>
      <c r="GU732" s="213">
        <v>727</v>
      </c>
    </row>
    <row r="733" spans="1:203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32.147406951286257</v>
      </c>
      <c r="AO733">
        <v>5.8278767909705937</v>
      </c>
      <c r="AP733">
        <v>248.69087114144446</v>
      </c>
      <c r="AQ733">
        <v>36.915953730237483</v>
      </c>
      <c r="AR733">
        <v>5.3523410808326624</v>
      </c>
      <c r="AS733">
        <v>79.230086046762125</v>
      </c>
      <c r="AT733" t="e">
        <v>#DIV/0!</v>
      </c>
      <c r="AU733" t="e">
        <v>#DIV/0!</v>
      </c>
      <c r="AV733"/>
      <c r="AW733"/>
      <c r="FY733" s="213">
        <v>728</v>
      </c>
      <c r="FZ733">
        <v>6.385104811028004</v>
      </c>
      <c r="GA733">
        <v>23.618115503678361</v>
      </c>
      <c r="GB733">
        <v>7.9850627562681931</v>
      </c>
      <c r="GC733">
        <v>0.30257073279430846</v>
      </c>
      <c r="GD733">
        <v>1.3927146160077213</v>
      </c>
      <c r="GE733">
        <v>2.9344863474909717</v>
      </c>
      <c r="GF733">
        <v>0.95469624988012047</v>
      </c>
      <c r="GG733">
        <v>7.646635894246403</v>
      </c>
      <c r="GH733">
        <v>10.626399582683446</v>
      </c>
      <c r="GI733">
        <v>5.6905966609603267</v>
      </c>
      <c r="GJ733"/>
      <c r="GK733"/>
      <c r="GL733"/>
      <c r="GM733"/>
      <c r="GN733" s="208"/>
      <c r="GO733" s="208"/>
      <c r="GP733" s="208"/>
      <c r="GQ733" s="208"/>
      <c r="GR733" s="208"/>
      <c r="GS733" s="208"/>
      <c r="GT733" s="208"/>
      <c r="GU733" s="213">
        <v>728</v>
      </c>
    </row>
    <row r="734" spans="1:203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22.590142177907033</v>
      </c>
      <c r="AO734">
        <v>6.3577057838818032</v>
      </c>
      <c r="AP734">
        <v>138.8583790902012</v>
      </c>
      <c r="AQ734">
        <v>47.962525866829331</v>
      </c>
      <c r="AR734">
        <v>5.9425463433798198</v>
      </c>
      <c r="AS734">
        <v>72.31417274460641</v>
      </c>
      <c r="AT734" t="e">
        <v>#DIV/0!</v>
      </c>
      <c r="AU734" t="e">
        <v>#DIV/0!</v>
      </c>
      <c r="AV734"/>
      <c r="AW734"/>
      <c r="FY734" s="213">
        <v>729</v>
      </c>
      <c r="FZ734">
        <v>0.58716112056924263</v>
      </c>
      <c r="GA734">
        <v>17.188989014750309</v>
      </c>
      <c r="GB734">
        <v>8.6171755804094357</v>
      </c>
      <c r="GC734">
        <v>1.6180750572514906</v>
      </c>
      <c r="GD734">
        <v>2.6131397943235828</v>
      </c>
      <c r="GE734">
        <v>2.7799748140100347</v>
      </c>
      <c r="GF734">
        <v>0</v>
      </c>
      <c r="GG734">
        <v>6.9297427758914143</v>
      </c>
      <c r="GH734">
        <v>9.7940341873980685</v>
      </c>
      <c r="GI734">
        <v>5.4679799685005932</v>
      </c>
      <c r="GJ734"/>
      <c r="GK734"/>
      <c r="GL734"/>
      <c r="GM734"/>
      <c r="GN734" s="208"/>
      <c r="GO734" s="208"/>
      <c r="GP734" s="208"/>
      <c r="GQ734" s="208"/>
      <c r="GR734" s="208"/>
      <c r="GS734" s="208"/>
      <c r="GT734" s="208"/>
      <c r="GU734" s="213">
        <v>729</v>
      </c>
    </row>
    <row r="735" spans="1:203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27.537220309810671</v>
      </c>
      <c r="AO735">
        <v>6.8057504553184147</v>
      </c>
      <c r="AP735">
        <v>226.12918969154526</v>
      </c>
      <c r="AQ735">
        <v>45.413882413621508</v>
      </c>
      <c r="AR735">
        <v>6.241317139330679</v>
      </c>
      <c r="AS735">
        <v>77.13749434161889</v>
      </c>
      <c r="AT735" t="e">
        <v>#DIV/0!</v>
      </c>
      <c r="AU735" t="e">
        <v>#DIV/0!</v>
      </c>
      <c r="AV735"/>
      <c r="AW735"/>
      <c r="FY735" s="213">
        <v>730</v>
      </c>
      <c r="FZ735">
        <v>2.7705984438954863</v>
      </c>
      <c r="GA735">
        <v>24.485332488635461</v>
      </c>
      <c r="GB735">
        <v>11.410093878477769</v>
      </c>
      <c r="GC735">
        <v>0.61725169575072358</v>
      </c>
      <c r="GD735">
        <v>1.1926767296259679</v>
      </c>
      <c r="GE735">
        <v>1.4577584293019186</v>
      </c>
      <c r="GF735">
        <v>0</v>
      </c>
      <c r="GG735">
        <v>5.405413337114739</v>
      </c>
      <c r="GH735">
        <v>7.345672950491462</v>
      </c>
      <c r="GI735">
        <v>5.1706782958806405</v>
      </c>
      <c r="GJ735"/>
      <c r="GK735"/>
      <c r="GL735"/>
      <c r="GM735"/>
      <c r="GN735" s="208"/>
      <c r="GO735" s="208"/>
      <c r="GP735" s="208"/>
      <c r="GQ735" s="208"/>
      <c r="GR735" s="208"/>
      <c r="GS735" s="208"/>
      <c r="GT735" s="208"/>
      <c r="GU735" s="213">
        <v>730</v>
      </c>
    </row>
    <row r="736" spans="1:203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30.427083333333343</v>
      </c>
      <c r="AO736">
        <v>8.5593010196868491</v>
      </c>
      <c r="AP736">
        <v>211.53066248951507</v>
      </c>
      <c r="AQ736">
        <v>54.60070155957402</v>
      </c>
      <c r="AR736">
        <v>7.9982678286074345</v>
      </c>
      <c r="AS736">
        <v>86.511767774515803</v>
      </c>
      <c r="AT736" t="e">
        <v>#DIV/0!</v>
      </c>
      <c r="AU736" t="e">
        <v>#DIV/0!</v>
      </c>
      <c r="AV736"/>
      <c r="AW736"/>
      <c r="FY736" s="213">
        <v>731</v>
      </c>
      <c r="FZ736">
        <v>0.58716112056924263</v>
      </c>
      <c r="GA736">
        <v>10.019358482186815</v>
      </c>
      <c r="GB736">
        <v>5.0721947906258231</v>
      </c>
      <c r="GC736">
        <v>3.1472396654142933</v>
      </c>
      <c r="GD736">
        <v>2.9451837014942308</v>
      </c>
      <c r="GE736">
        <v>1.0680769124232219</v>
      </c>
      <c r="GF736">
        <v>0</v>
      </c>
      <c r="GG736">
        <v>3.6783489012137967</v>
      </c>
      <c r="GH736">
        <v>5.1781819387473451</v>
      </c>
      <c r="GI736">
        <v>3.9378213863268696</v>
      </c>
      <c r="GJ736"/>
      <c r="GK736"/>
      <c r="GL736"/>
      <c r="GM736"/>
      <c r="GN736" s="208"/>
      <c r="GO736" s="208"/>
      <c r="GP736" s="208"/>
      <c r="GQ736" s="208"/>
      <c r="GR736" s="208"/>
      <c r="GS736" s="208"/>
      <c r="GT736" s="208"/>
      <c r="GU736" s="213">
        <v>731</v>
      </c>
    </row>
    <row r="737" spans="1:203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38.689109475669511</v>
      </c>
      <c r="AO737">
        <v>5.5378436023927931</v>
      </c>
      <c r="AP737">
        <v>88.845395980027064</v>
      </c>
      <c r="AQ737">
        <v>38.611734959259657</v>
      </c>
      <c r="AR737">
        <v>5.0886745457619318</v>
      </c>
      <c r="AS737">
        <v>88.813267886555408</v>
      </c>
      <c r="AT737" t="e">
        <v>#DIV/0!</v>
      </c>
      <c r="AU737" t="e">
        <v>#DIV/0!</v>
      </c>
      <c r="AV737"/>
      <c r="AW737"/>
      <c r="FY737" s="213">
        <v>732</v>
      </c>
      <c r="FZ737">
        <v>1.596276202757001</v>
      </c>
      <c r="GA737">
        <v>16.34416341727044</v>
      </c>
      <c r="GB737">
        <v>7.1454197767641316</v>
      </c>
      <c r="GC737">
        <v>2.1834917544872772</v>
      </c>
      <c r="GD737">
        <v>2.8053617971333802</v>
      </c>
      <c r="GE737">
        <v>2.870360880525773</v>
      </c>
      <c r="GF737">
        <v>0.95469624988012047</v>
      </c>
      <c r="GG737">
        <v>6.6111965596753564</v>
      </c>
      <c r="GH737">
        <v>9.4886491778179121</v>
      </c>
      <c r="GI737">
        <v>5.4854534756822755</v>
      </c>
      <c r="GJ737"/>
      <c r="GK737"/>
      <c r="GL737"/>
      <c r="GM737"/>
      <c r="GN737" s="208"/>
      <c r="GO737" s="208"/>
      <c r="GP737" s="208"/>
      <c r="GQ737" s="208"/>
      <c r="GR737" s="208"/>
      <c r="GS737" s="208"/>
      <c r="GT737" s="208"/>
      <c r="GU737" s="213">
        <v>732</v>
      </c>
    </row>
    <row r="738" spans="1:203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27.161552820477311</v>
      </c>
      <c r="AO738">
        <v>8.324722016387998</v>
      </c>
      <c r="AP738">
        <v>145.61575747962263</v>
      </c>
      <c r="AQ738">
        <v>57.440037929439782</v>
      </c>
      <c r="AR738">
        <v>7.6222003766666626</v>
      </c>
      <c r="AS738">
        <v>83.334056766050097</v>
      </c>
      <c r="AT738" t="e">
        <v>#DIV/0!</v>
      </c>
      <c r="AU738" t="e">
        <v>#DIV/0!</v>
      </c>
      <c r="AV738"/>
      <c r="AW738"/>
      <c r="FY738" s="213">
        <v>733</v>
      </c>
      <c r="FZ738">
        <v>3.7797135260832437</v>
      </c>
      <c r="GA738">
        <v>22.142402418781121</v>
      </c>
      <c r="GB738">
        <v>9.2733602852216492</v>
      </c>
      <c r="GC738">
        <v>0.60987192178013072</v>
      </c>
      <c r="GD738">
        <v>1.0280284337693402</v>
      </c>
      <c r="GE738">
        <v>1.4285309094773821</v>
      </c>
      <c r="GF738">
        <v>0.47734812494006024</v>
      </c>
      <c r="GG738">
        <v>4.931295217176487</v>
      </c>
      <c r="GH738">
        <v>7.0522507132343177</v>
      </c>
      <c r="GI738">
        <v>4.7771851094454227</v>
      </c>
      <c r="GJ738"/>
      <c r="GK738"/>
      <c r="GL738"/>
      <c r="GM738"/>
      <c r="GN738" s="208"/>
      <c r="GO738" s="208"/>
      <c r="GP738" s="208"/>
      <c r="GQ738" s="208"/>
      <c r="GR738" s="208"/>
      <c r="GS738" s="208"/>
      <c r="GT738" s="208"/>
      <c r="GU738" s="213">
        <v>733</v>
      </c>
    </row>
    <row r="739" spans="1:203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21.408576630001118</v>
      </c>
      <c r="AO739">
        <v>8.6314800357309185</v>
      </c>
      <c r="AP739">
        <v>290.94139742022128</v>
      </c>
      <c r="AQ739">
        <v>56.710120046628901</v>
      </c>
      <c r="AR739">
        <v>7.846800032482653</v>
      </c>
      <c r="AS739">
        <v>76.600639746941837</v>
      </c>
      <c r="AT739" t="e">
        <v>#DIV/0!</v>
      </c>
      <c r="AU739" t="e">
        <v>#DIV/0!</v>
      </c>
      <c r="AV739"/>
      <c r="AW739"/>
      <c r="FY739" s="213">
        <v>734</v>
      </c>
      <c r="FZ739">
        <v>1.1743222411384853</v>
      </c>
      <c r="GA739">
        <v>16.755075540284924</v>
      </c>
      <c r="GB739">
        <v>8.4402957675066119</v>
      </c>
      <c r="GC739">
        <v>2.0432760490460127</v>
      </c>
      <c r="GD739">
        <v>2.0966015237519247</v>
      </c>
      <c r="GE739">
        <v>1.0680769124232219</v>
      </c>
      <c r="GF739">
        <v>0</v>
      </c>
      <c r="GG739">
        <v>6.8230040192573682</v>
      </c>
      <c r="GH739">
        <v>9.653451764873914</v>
      </c>
      <c r="GI739">
        <v>5.1208453389487198</v>
      </c>
      <c r="GJ739"/>
      <c r="GK739"/>
      <c r="GL739"/>
      <c r="GM739"/>
      <c r="GN739" s="208"/>
      <c r="GO739" s="208"/>
      <c r="GP739" s="208"/>
      <c r="GQ739" s="208"/>
      <c r="GR739" s="208"/>
      <c r="GS739" s="208"/>
      <c r="GT739" s="208"/>
      <c r="GU739" s="213">
        <v>734</v>
      </c>
    </row>
    <row r="740" spans="1:203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31.096076630001125</v>
      </c>
      <c r="AO740">
        <v>7.0211677879108034</v>
      </c>
      <c r="AP740">
        <v>147.54290278213611</v>
      </c>
      <c r="AQ740">
        <v>45.923467102186692</v>
      </c>
      <c r="AR740">
        <v>6.5999648906292139</v>
      </c>
      <c r="AS740">
        <v>86.642550260996757</v>
      </c>
      <c r="AT740" t="e">
        <v>#DIV/0!</v>
      </c>
      <c r="AU740" t="e">
        <v>#DIV/0!</v>
      </c>
      <c r="AV740"/>
      <c r="AW740"/>
      <c r="FY740" s="213">
        <v>735</v>
      </c>
      <c r="FZ740">
        <v>3.7797135260832437</v>
      </c>
      <c r="GA740">
        <v>21.680061536746301</v>
      </c>
      <c r="GB740">
        <v>8.949664475214842</v>
      </c>
      <c r="GC740">
        <v>0.92455288473654584</v>
      </c>
      <c r="GD740">
        <v>3.138190095209342</v>
      </c>
      <c r="GE740">
        <v>5.211866627079095</v>
      </c>
      <c r="GF740">
        <v>0.47734812494006024</v>
      </c>
      <c r="GG740">
        <v>3.9699570467186831</v>
      </c>
      <c r="GH740">
        <v>5.5645799019284059</v>
      </c>
      <c r="GI740">
        <v>5.6783855218176402</v>
      </c>
      <c r="GJ740"/>
      <c r="GK740"/>
      <c r="GL740"/>
      <c r="GM740"/>
      <c r="GN740" s="208"/>
      <c r="GO740" s="208"/>
      <c r="GP740" s="208"/>
      <c r="GQ740" s="208"/>
      <c r="GR740" s="208"/>
      <c r="GS740" s="208"/>
      <c r="GT740" s="208"/>
      <c r="GU740" s="213">
        <v>735</v>
      </c>
    </row>
    <row r="741" spans="1:203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19.364583333333336</v>
      </c>
      <c r="AO741">
        <v>5.1605086340550566</v>
      </c>
      <c r="AP741">
        <v>112.45520122657905</v>
      </c>
      <c r="AQ741">
        <v>37.190058415613585</v>
      </c>
      <c r="AR741">
        <v>4.6913714855045949</v>
      </c>
      <c r="AS741">
        <v>52.918378297781629</v>
      </c>
      <c r="AT741" t="e">
        <v>#DIV/0!</v>
      </c>
      <c r="AU741" t="e">
        <v>#DIV/0!</v>
      </c>
      <c r="AV741"/>
      <c r="AW741"/>
      <c r="FY741" s="213">
        <v>736</v>
      </c>
      <c r="FZ741">
        <v>3.3577595644647293</v>
      </c>
      <c r="GA741">
        <v>17.817375909417926</v>
      </c>
      <c r="GB741">
        <v>7.947833952019173</v>
      </c>
      <c r="GC741">
        <v>0.86798743003009515</v>
      </c>
      <c r="GD741">
        <v>3.3948153364754035</v>
      </c>
      <c r="GE741">
        <v>5.8327350484323706</v>
      </c>
      <c r="GF741">
        <v>0.47734812494006024</v>
      </c>
      <c r="GG741">
        <v>4.9003276783417631</v>
      </c>
      <c r="GH741">
        <v>6.6781101422620921</v>
      </c>
      <c r="GI741">
        <v>5.8620792346596602</v>
      </c>
      <c r="GJ741"/>
      <c r="GK741"/>
      <c r="GL741"/>
      <c r="GM741"/>
      <c r="GN741" s="208"/>
      <c r="GO741" s="208"/>
      <c r="GP741" s="208"/>
      <c r="GQ741" s="208"/>
      <c r="GR741" s="208"/>
      <c r="GS741" s="208"/>
      <c r="GT741" s="208"/>
      <c r="GU741" s="213">
        <v>736</v>
      </c>
    </row>
    <row r="742" spans="1:203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34.633946500286854</v>
      </c>
      <c r="AO742">
        <v>7.697424854299304</v>
      </c>
      <c r="AP742">
        <v>188.52906056996156</v>
      </c>
      <c r="AQ742">
        <v>50.725379588879768</v>
      </c>
      <c r="AR742">
        <v>6.9976589584539122</v>
      </c>
      <c r="AS742">
        <v>92.192237203835617</v>
      </c>
      <c r="AT742" t="e">
        <v>#DIV/0!</v>
      </c>
      <c r="AU742" t="e">
        <v>#DIV/0!</v>
      </c>
      <c r="AV742"/>
      <c r="AW742"/>
      <c r="FY742" s="213">
        <v>737</v>
      </c>
      <c r="FZ742">
        <v>0.58716112056924263</v>
      </c>
      <c r="GA742">
        <v>13.837587111781033</v>
      </c>
      <c r="GB742">
        <v>7.0072407162422081</v>
      </c>
      <c r="GC742">
        <v>0.98255050729507143</v>
      </c>
      <c r="GD742">
        <v>1.9741969492798079</v>
      </c>
      <c r="GE742">
        <v>2.7640463557565069</v>
      </c>
      <c r="GF742">
        <v>0.47734812494006024</v>
      </c>
      <c r="GG742">
        <v>4.9817984179507118</v>
      </c>
      <c r="GH742">
        <v>7.0160677763794546</v>
      </c>
      <c r="GI742">
        <v>4.2589922527500974</v>
      </c>
      <c r="GJ742"/>
      <c r="GK742"/>
      <c r="GL742"/>
      <c r="GM742"/>
      <c r="GN742" s="208"/>
      <c r="GO742" s="208"/>
      <c r="GP742" s="208"/>
      <c r="GQ742" s="208"/>
      <c r="GR742" s="208"/>
      <c r="GS742" s="208"/>
      <c r="GT742" s="208"/>
      <c r="GU742" s="213">
        <v>737</v>
      </c>
    </row>
    <row r="743" spans="1:203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45.393713606478464</v>
      </c>
      <c r="AO743">
        <v>9.2699200716870713</v>
      </c>
      <c r="AP743">
        <v>199.88128736244278</v>
      </c>
      <c r="AQ743">
        <v>60.675497771713651</v>
      </c>
      <c r="AR743">
        <v>8.4814713360294594</v>
      </c>
      <c r="AS743">
        <v>129.52443601431847</v>
      </c>
      <c r="AT743" t="e">
        <v>#DIV/0!</v>
      </c>
      <c r="AU743" t="e">
        <v>#DIV/0!</v>
      </c>
      <c r="AV743"/>
      <c r="AW743"/>
      <c r="FY743" s="213">
        <v>738</v>
      </c>
      <c r="FZ743">
        <v>0.58716112056924263</v>
      </c>
      <c r="GA743">
        <v>13.464462354910053</v>
      </c>
      <c r="GB743">
        <v>6.7741667320765391</v>
      </c>
      <c r="GC743">
        <v>0.53976406905949814</v>
      </c>
      <c r="GD743">
        <v>2.2260622551359313</v>
      </c>
      <c r="GE743">
        <v>3.6713367826845702</v>
      </c>
      <c r="GF743">
        <v>0</v>
      </c>
      <c r="GG743">
        <v>3.1463251717296488</v>
      </c>
      <c r="GH743">
        <v>4.591632084118876</v>
      </c>
      <c r="GI743">
        <v>3.8785030811782488</v>
      </c>
      <c r="GJ743"/>
      <c r="GK743"/>
      <c r="GL743"/>
      <c r="GM743"/>
      <c r="GN743" s="208"/>
      <c r="GO743" s="208"/>
      <c r="GP743" s="208"/>
      <c r="GQ743" s="208"/>
      <c r="GR743" s="208"/>
      <c r="GS743" s="208"/>
      <c r="GT743" s="208"/>
      <c r="GU743" s="213">
        <v>738</v>
      </c>
    </row>
    <row r="744" spans="1:203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27.36690996333445</v>
      </c>
      <c r="AO744">
        <v>8.977388516852983</v>
      </c>
      <c r="AP744">
        <v>290.39860251323671</v>
      </c>
      <c r="AQ744">
        <v>67.536383155037868</v>
      </c>
      <c r="AR744">
        <v>8.1612622880481673</v>
      </c>
      <c r="AS744">
        <v>84.099978316474235</v>
      </c>
      <c r="AT744" t="e">
        <v>#DIV/0!</v>
      </c>
      <c r="AU744" t="e">
        <v>#DIV/0!</v>
      </c>
      <c r="AV744"/>
      <c r="AW744"/>
      <c r="FY744" s="213">
        <v>739</v>
      </c>
      <c r="FZ744">
        <v>3.3577595644647293</v>
      </c>
      <c r="GA744">
        <v>16.771105130449655</v>
      </c>
      <c r="GB744">
        <v>7.3602643679819177</v>
      </c>
      <c r="GC744">
        <v>7.7487626691225331E-2</v>
      </c>
      <c r="GD744">
        <v>0.77740807166764769</v>
      </c>
      <c r="GE744">
        <v>1.4577584293019186</v>
      </c>
      <c r="GF744">
        <v>0</v>
      </c>
      <c r="GG744">
        <v>2.1849870012718453</v>
      </c>
      <c r="GH744">
        <v>3.1039612728129642</v>
      </c>
      <c r="GI744">
        <v>3.3873104308006861</v>
      </c>
      <c r="GJ744"/>
      <c r="GK744"/>
      <c r="GL744"/>
      <c r="GM744"/>
      <c r="GN744" s="208"/>
      <c r="GO744" s="208"/>
      <c r="GP744" s="208"/>
      <c r="GQ744" s="208"/>
      <c r="GR744" s="208"/>
      <c r="GS744" s="208"/>
      <c r="GT744" s="208"/>
      <c r="GU744" s="213">
        <v>739</v>
      </c>
    </row>
    <row r="745" spans="1:203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29.877994119334481</v>
      </c>
      <c r="AO745">
        <v>8.6176417670755061</v>
      </c>
      <c r="AP745">
        <v>437.13706551686573</v>
      </c>
      <c r="AQ745">
        <v>55.596272313104166</v>
      </c>
      <c r="AR745">
        <v>7.8884910591098532</v>
      </c>
      <c r="AS745">
        <v>93.514909766530081</v>
      </c>
      <c r="AT745" t="e">
        <v>#DIV/0!</v>
      </c>
      <c r="AU745" t="e">
        <v>#DIV/0!</v>
      </c>
      <c r="AV745"/>
      <c r="AW745"/>
      <c r="FY745" s="213">
        <v>740</v>
      </c>
      <c r="FZ745">
        <v>1.1743222411384853</v>
      </c>
      <c r="GA745">
        <v>16.572157445367132</v>
      </c>
      <c r="GB745">
        <v>8.257636864381988</v>
      </c>
      <c r="GC745">
        <v>0.86060765605950218</v>
      </c>
      <c r="GD745">
        <v>2.8389103172084074</v>
      </c>
      <c r="GE745">
        <v>4.7101861752832557</v>
      </c>
      <c r="GF745">
        <v>0.47734812494006024</v>
      </c>
      <c r="GG745">
        <v>3.8648883437707147</v>
      </c>
      <c r="GH745">
        <v>5.5403597373965576</v>
      </c>
      <c r="GI745">
        <v>5.0190354764403491</v>
      </c>
      <c r="GJ745"/>
      <c r="GK745"/>
      <c r="GL745"/>
      <c r="GM745"/>
      <c r="GN745" s="208"/>
      <c r="GO745" s="208"/>
      <c r="GP745" s="208"/>
      <c r="GQ745" s="208"/>
      <c r="GR745" s="208"/>
      <c r="GS745" s="208"/>
      <c r="GT745" s="208"/>
      <c r="GU745" s="213">
        <v>740</v>
      </c>
    </row>
    <row r="746" spans="1:203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27.242816091954023</v>
      </c>
      <c r="AO746">
        <v>7.8393235661127489</v>
      </c>
      <c r="AP746">
        <v>137.00828691910698</v>
      </c>
      <c r="AQ746">
        <v>59.855476249174167</v>
      </c>
      <c r="AR746">
        <v>7.2352003290940141</v>
      </c>
      <c r="AS746">
        <v>90.922160280518554</v>
      </c>
      <c r="AT746" t="e">
        <v>#DIV/0!</v>
      </c>
      <c r="AU746" t="e">
        <v>#DIV/0!</v>
      </c>
      <c r="AV746"/>
      <c r="AW746"/>
      <c r="FY746" s="213">
        <v>741</v>
      </c>
      <c r="FZ746">
        <v>1.596276202757001</v>
      </c>
      <c r="GA746">
        <v>17.678500287076918</v>
      </c>
      <c r="GB746">
        <v>7.9185695077875566</v>
      </c>
      <c r="GC746">
        <v>1.8626481674872735</v>
      </c>
      <c r="GD746">
        <v>2.1255773078947438</v>
      </c>
      <c r="GE746">
        <v>1.695969443333285</v>
      </c>
      <c r="GF746">
        <v>0.47734812494006024</v>
      </c>
      <c r="GG746">
        <v>4.2885032629347419</v>
      </c>
      <c r="GH746">
        <v>5.8699649115085659</v>
      </c>
      <c r="GI746">
        <v>4.4803225447788426</v>
      </c>
      <c r="GJ746"/>
      <c r="GK746"/>
      <c r="GL746"/>
      <c r="GM746"/>
      <c r="GN746" s="208"/>
      <c r="GO746" s="208"/>
      <c r="GP746" s="208"/>
      <c r="GQ746" s="208"/>
      <c r="GR746" s="208"/>
      <c r="GS746" s="208"/>
      <c r="GT746" s="208"/>
      <c r="GU746" s="213">
        <v>741</v>
      </c>
    </row>
    <row r="747" spans="1:203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33.829639988525535</v>
      </c>
      <c r="AO747">
        <v>6.0484168573527075</v>
      </c>
      <c r="AP747">
        <v>336.3261067048046</v>
      </c>
      <c r="AQ747">
        <v>35.633566899001636</v>
      </c>
      <c r="AR747">
        <v>5.5528320502709461</v>
      </c>
      <c r="AS747">
        <v>81.270924868800165</v>
      </c>
      <c r="AT747" t="e">
        <v>#DIV/0!</v>
      </c>
      <c r="AU747" t="e">
        <v>#DIV/0!</v>
      </c>
      <c r="AV747"/>
      <c r="AW747"/>
      <c r="FY747" s="213">
        <v>742</v>
      </c>
      <c r="FZ747">
        <v>1.1743222411384853</v>
      </c>
      <c r="GA747">
        <v>14.96505274398057</v>
      </c>
      <c r="GB747">
        <v>7.3997644919300427</v>
      </c>
      <c r="GC747">
        <v>1.2197438435602614</v>
      </c>
      <c r="GD747">
        <v>2.4561348379983463</v>
      </c>
      <c r="GE747">
        <v>3.3746707290041309</v>
      </c>
      <c r="GF747">
        <v>0.47734812494006024</v>
      </c>
      <c r="GG747">
        <v>5.1431026767584997</v>
      </c>
      <c r="GH747">
        <v>7.2170533002903205</v>
      </c>
      <c r="GI747">
        <v>4.8606616489226049</v>
      </c>
      <c r="GJ747"/>
      <c r="GK747"/>
      <c r="GL747"/>
      <c r="GM747"/>
      <c r="GN747" s="208"/>
      <c r="GO747" s="208"/>
      <c r="GP747" s="208"/>
      <c r="GQ747" s="208"/>
      <c r="GR747" s="208"/>
      <c r="GS747" s="208"/>
      <c r="GT747" s="208"/>
      <c r="GU747" s="213">
        <v>742</v>
      </c>
    </row>
    <row r="748" spans="1:203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35.494800631095806</v>
      </c>
      <c r="AO748">
        <v>8.798853786526843</v>
      </c>
      <c r="AP748">
        <v>292.57007630789224</v>
      </c>
      <c r="AQ748">
        <v>55.485069291993675</v>
      </c>
      <c r="AR748">
        <v>7.9989579877516768</v>
      </c>
      <c r="AS748">
        <v>89.455211927880939</v>
      </c>
      <c r="AT748" t="e">
        <v>#DIV/0!</v>
      </c>
      <c r="AU748" t="e">
        <v>#DIV/0!</v>
      </c>
      <c r="AV748"/>
      <c r="AW748"/>
      <c r="FY748" s="213">
        <v>743</v>
      </c>
      <c r="FZ748">
        <v>1.596276202757001</v>
      </c>
      <c r="GA748">
        <v>18.031840940099649</v>
      </c>
      <c r="GB748">
        <v>8.0493707349532286</v>
      </c>
      <c r="GC748">
        <v>1.4704795778396331</v>
      </c>
      <c r="GD748">
        <v>2.0411706211068177</v>
      </c>
      <c r="GE748">
        <v>2.4328058956951333</v>
      </c>
      <c r="GF748">
        <v>0.95469624988012047</v>
      </c>
      <c r="GG748">
        <v>6.9297427758914143</v>
      </c>
      <c r="GH748">
        <v>9.7940341873980685</v>
      </c>
      <c r="GI748">
        <v>5.2950118752409985</v>
      </c>
      <c r="GJ748"/>
      <c r="GK748"/>
      <c r="GL748"/>
      <c r="GM748"/>
      <c r="GN748" s="208"/>
      <c r="GO748" s="208"/>
      <c r="GP748" s="208"/>
      <c r="GQ748" s="208"/>
      <c r="GR748" s="208"/>
      <c r="GS748" s="208"/>
      <c r="GT748" s="208"/>
      <c r="GU748" s="213">
        <v>743</v>
      </c>
    </row>
    <row r="749" spans="1:203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19.601190476190478</v>
      </c>
      <c r="AO749">
        <v>7.5011909979162059</v>
      </c>
      <c r="AP749">
        <v>165.97914133971375</v>
      </c>
      <c r="AQ749">
        <v>55.499986659909155</v>
      </c>
      <c r="AR749">
        <v>6.8735358144195793</v>
      </c>
      <c r="AS749">
        <v>67.08048848637408</v>
      </c>
      <c r="AT749" t="e">
        <v>#DIV/0!</v>
      </c>
      <c r="AU749" t="e">
        <v>#DIV/0!</v>
      </c>
      <c r="AV749"/>
      <c r="AW749"/>
      <c r="FY749" s="213">
        <v>744</v>
      </c>
      <c r="FZ749">
        <v>2.1834373233262436</v>
      </c>
      <c r="GA749">
        <v>15.688813150837158</v>
      </c>
      <c r="GB749">
        <v>6.9049679592422102</v>
      </c>
      <c r="GC749">
        <v>1.3228840984277752</v>
      </c>
      <c r="GD749">
        <v>2.2021954878696288</v>
      </c>
      <c r="GE749">
        <v>3.2816412829741233</v>
      </c>
      <c r="GF749">
        <v>1.432044374820181</v>
      </c>
      <c r="GG749">
        <v>3.7834176041617651</v>
      </c>
      <c r="GH749">
        <v>5.2024021032791943</v>
      </c>
      <c r="GI749">
        <v>4.5138478431091649</v>
      </c>
      <c r="GJ749"/>
      <c r="GK749"/>
      <c r="GL749"/>
      <c r="GM749"/>
      <c r="GN749" s="208"/>
      <c r="GO749" s="208"/>
      <c r="GP749" s="208"/>
      <c r="GQ749" s="208"/>
      <c r="GR749" s="208"/>
      <c r="GS749" s="208"/>
      <c r="GT749" s="208"/>
      <c r="GU749" s="213">
        <v>744</v>
      </c>
    </row>
    <row r="750" spans="1:203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29.011169678714861</v>
      </c>
      <c r="AO750">
        <v>7.9698273923198171</v>
      </c>
      <c r="AP750">
        <v>452.42564656245656</v>
      </c>
      <c r="AQ750">
        <v>53.174949157231183</v>
      </c>
      <c r="AR750">
        <v>7.3538401711004386</v>
      </c>
      <c r="AS750">
        <v>86.984564775477608</v>
      </c>
      <c r="AT750" t="e">
        <v>#DIV/0!</v>
      </c>
      <c r="AU750" t="e">
        <v>#DIV/0!</v>
      </c>
      <c r="AV750"/>
      <c r="AW750"/>
      <c r="FY750" s="213">
        <v>745</v>
      </c>
      <c r="FZ750">
        <v>2.7705984438954863</v>
      </c>
      <c r="GA750">
        <v>16.569452442330004</v>
      </c>
      <c r="GB750">
        <v>7.3989651203628171</v>
      </c>
      <c r="GC750">
        <v>1.4003717251190004</v>
      </c>
      <c r="GD750">
        <v>1.5774837060950335</v>
      </c>
      <c r="GE750">
        <v>1.0136049516973293</v>
      </c>
      <c r="GF750">
        <v>0</v>
      </c>
      <c r="GG750">
        <v>1.6799013424988689</v>
      </c>
      <c r="GH750">
        <v>2.436398464583593</v>
      </c>
      <c r="GI750">
        <v>3.562154690939487</v>
      </c>
      <c r="GJ750"/>
      <c r="GK750"/>
      <c r="GL750"/>
      <c r="GM750"/>
      <c r="GN750" s="208"/>
      <c r="GO750" s="208"/>
      <c r="GP750" s="208"/>
      <c r="GQ750" s="208"/>
      <c r="GR750" s="208"/>
      <c r="GS750" s="208"/>
      <c r="GT750" s="208"/>
      <c r="GU750" s="213">
        <v>745</v>
      </c>
    </row>
    <row r="751" spans="1:203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37.712883141762454</v>
      </c>
      <c r="AO751">
        <v>8.777324138412979</v>
      </c>
      <c r="AP751">
        <v>159.20957491995517</v>
      </c>
      <c r="AQ751">
        <v>59.374319740474149</v>
      </c>
      <c r="AR751">
        <v>8.033656851234829</v>
      </c>
      <c r="AS751">
        <v>102.81019936761528</v>
      </c>
      <c r="AT751" t="e">
        <v>#DIV/0!</v>
      </c>
      <c r="AU751" t="e">
        <v>#DIV/0!</v>
      </c>
      <c r="AV751"/>
      <c r="AW751"/>
      <c r="FY751" s="213">
        <v>746</v>
      </c>
      <c r="FZ751">
        <v>1.1743222411384853</v>
      </c>
      <c r="GA751">
        <v>8.955484290026952</v>
      </c>
      <c r="GB751">
        <v>4.489817770149215</v>
      </c>
      <c r="GC751">
        <v>1.0795281381189963</v>
      </c>
      <c r="GD751">
        <v>1.422828794599087</v>
      </c>
      <c r="GE751">
        <v>1.7889849065315424</v>
      </c>
      <c r="GF751">
        <v>0.95469624988012047</v>
      </c>
      <c r="GG751">
        <v>1.9984475587149273</v>
      </c>
      <c r="GH751">
        <v>2.7417834741637517</v>
      </c>
      <c r="GI751">
        <v>2.8103860849958351</v>
      </c>
      <c r="GJ751"/>
      <c r="GK751"/>
      <c r="GL751"/>
      <c r="GM751"/>
      <c r="GN751" s="208"/>
      <c r="GO751" s="208"/>
      <c r="GP751" s="208"/>
      <c r="GQ751" s="208"/>
      <c r="GR751" s="208"/>
      <c r="GS751" s="208"/>
      <c r="GT751" s="208"/>
      <c r="GU751" s="213">
        <v>746</v>
      </c>
    </row>
    <row r="752" spans="1:203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27.134852628906437</v>
      </c>
      <c r="AO752">
        <v>8.9994561330823153</v>
      </c>
      <c r="AP752">
        <v>173.2231564569837</v>
      </c>
      <c r="AQ752">
        <v>57.136372421043269</v>
      </c>
      <c r="AR752">
        <v>8.3441375699257385</v>
      </c>
      <c r="AS752">
        <v>100.12895068362756</v>
      </c>
      <c r="AT752" t="e">
        <v>#DIV/0!</v>
      </c>
      <c r="AU752" t="e">
        <v>#DIV/0!</v>
      </c>
      <c r="AV752"/>
      <c r="AW752"/>
      <c r="FY752" s="213">
        <v>747</v>
      </c>
      <c r="FZ752">
        <v>1.7614833617077283</v>
      </c>
      <c r="GA752">
        <v>21.704938840919578</v>
      </c>
      <c r="GB752">
        <v>10.863559764021801</v>
      </c>
      <c r="GC752">
        <v>1.2527762457071427</v>
      </c>
      <c r="GD752">
        <v>2.1482589771579752</v>
      </c>
      <c r="GE752">
        <v>2.6962753334596057</v>
      </c>
      <c r="GF752">
        <v>0.47734812494006024</v>
      </c>
      <c r="GG752">
        <v>9.9366915984662185</v>
      </c>
      <c r="GH752">
        <v>13.754581020028256</v>
      </c>
      <c r="GI752">
        <v>6.6061528875440665</v>
      </c>
      <c r="GJ752"/>
      <c r="GK752"/>
      <c r="GL752"/>
      <c r="GM752"/>
      <c r="GN752" s="208"/>
      <c r="GO752" s="208"/>
      <c r="GP752" s="208"/>
      <c r="GQ752" s="208"/>
      <c r="GR752" s="208"/>
      <c r="GS752" s="208"/>
      <c r="GT752" s="208"/>
      <c r="GU752" s="213">
        <v>747</v>
      </c>
    </row>
    <row r="753" spans="1:203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29.494304187192114</v>
      </c>
      <c r="AO753">
        <v>6.6116358845956444</v>
      </c>
      <c r="AP753">
        <v>318.3403628638431</v>
      </c>
      <c r="AQ753">
        <v>43.886989332944189</v>
      </c>
      <c r="AR753">
        <v>6.0648493477645236</v>
      </c>
      <c r="AS753">
        <v>79.939396680581453</v>
      </c>
      <c r="AT753" t="e">
        <v>#DIV/0!</v>
      </c>
      <c r="AU753" t="e">
        <v>#DIV/0!</v>
      </c>
      <c r="AV753"/>
      <c r="AW753"/>
      <c r="FY753" s="213">
        <v>748</v>
      </c>
      <c r="FZ753">
        <v>2.1834373233262436</v>
      </c>
      <c r="GA753">
        <v>15.293101567672654</v>
      </c>
      <c r="GB753">
        <v>6.7032802916024785</v>
      </c>
      <c r="GC753">
        <v>0.86060765605950218</v>
      </c>
      <c r="GD753">
        <v>2.2800870521090411</v>
      </c>
      <c r="GE753">
        <v>3.5743382405631321</v>
      </c>
      <c r="GF753">
        <v>0.47734812494006024</v>
      </c>
      <c r="GG753">
        <v>3.5153745887199328</v>
      </c>
      <c r="GH753">
        <v>4.860834156844172</v>
      </c>
      <c r="GI753">
        <v>4.2626920742009178</v>
      </c>
      <c r="GJ753"/>
      <c r="GK753"/>
      <c r="GL753"/>
      <c r="GM753"/>
      <c r="GN753" s="208"/>
      <c r="GO753" s="208"/>
      <c r="GP753" s="208"/>
      <c r="GQ753" s="208"/>
      <c r="GR753" s="208"/>
      <c r="GS753" s="208"/>
      <c r="GT753" s="208"/>
      <c r="GU753" s="213">
        <v>748</v>
      </c>
    </row>
    <row r="754" spans="1:203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25.281249999999996</v>
      </c>
      <c r="AO754">
        <v>6.0581057946305252</v>
      </c>
      <c r="AP754">
        <v>265.43052387191324</v>
      </c>
      <c r="AQ754">
        <v>38.879413651462613</v>
      </c>
      <c r="AR754">
        <v>5.5616401750689617</v>
      </c>
      <c r="AS754">
        <v>81.677342322003398</v>
      </c>
      <c r="AT754" t="e">
        <v>#DIV/0!</v>
      </c>
      <c r="AU754" t="e">
        <v>#DIV/0!</v>
      </c>
      <c r="AV754"/>
      <c r="AW754"/>
      <c r="FY754" s="213">
        <v>749</v>
      </c>
      <c r="FZ754">
        <v>1.7614833617077283</v>
      </c>
      <c r="GA754">
        <v>13.185039567793027</v>
      </c>
      <c r="GB754">
        <v>6.6331298251943576</v>
      </c>
      <c r="GC754">
        <v>2.1578391263109888</v>
      </c>
      <c r="GD754">
        <v>3.1774813130811381</v>
      </c>
      <c r="GE754">
        <v>3.0819877542468719</v>
      </c>
      <c r="GF754">
        <v>0</v>
      </c>
      <c r="GG754">
        <v>4.3952420195687862</v>
      </c>
      <c r="GH754">
        <v>6.0105473340327205</v>
      </c>
      <c r="GI754">
        <v>4.8247899729109598</v>
      </c>
      <c r="GJ754"/>
      <c r="GK754"/>
      <c r="GL754"/>
      <c r="GM754"/>
      <c r="GN754" s="208"/>
      <c r="GO754" s="208"/>
      <c r="GP754" s="208"/>
      <c r="GQ754" s="208"/>
      <c r="GR754" s="208"/>
      <c r="GS754" s="208"/>
      <c r="GT754" s="208"/>
      <c r="GU754" s="213">
        <v>749</v>
      </c>
    </row>
    <row r="755" spans="1:203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13.452466475095786</v>
      </c>
      <c r="AO755">
        <v>5.1965823594015035</v>
      </c>
      <c r="AP755">
        <v>60.466578036400044</v>
      </c>
      <c r="AQ755">
        <v>38.478041895442594</v>
      </c>
      <c r="AR755">
        <v>4.8869795938522733</v>
      </c>
      <c r="AS755">
        <v>48.209060424364196</v>
      </c>
      <c r="AT755" t="e">
        <v>#DIV/0!</v>
      </c>
      <c r="AU755" t="e">
        <v>#DIV/0!</v>
      </c>
      <c r="AV755"/>
      <c r="AW755"/>
      <c r="FY755" s="213">
        <v>750</v>
      </c>
      <c r="FZ755">
        <v>5.9631508494094883</v>
      </c>
      <c r="GA755">
        <v>26.491146934448093</v>
      </c>
      <c r="GB755">
        <v>10.351333209953314</v>
      </c>
      <c r="GC755">
        <v>1.79870293881023</v>
      </c>
      <c r="GD755">
        <v>3.0012080534182375</v>
      </c>
      <c r="GE755">
        <v>3.8706667706520941</v>
      </c>
      <c r="GF755">
        <v>0.95469624988012047</v>
      </c>
      <c r="GG755">
        <v>3.1153576328949253</v>
      </c>
      <c r="GH755">
        <v>4.2174915131466495</v>
      </c>
      <c r="GI755">
        <v>6.2185342380885098</v>
      </c>
      <c r="GJ755"/>
      <c r="GK755"/>
      <c r="GL755"/>
      <c r="GM755"/>
      <c r="GN755" s="208"/>
      <c r="GO755" s="208"/>
      <c r="GP755" s="208"/>
      <c r="GQ755" s="208"/>
      <c r="GR755" s="208"/>
      <c r="GS755" s="208"/>
      <c r="GT755" s="208"/>
      <c r="GU755" s="213">
        <v>750</v>
      </c>
    </row>
    <row r="756" spans="1:203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28.887743296667793</v>
      </c>
      <c r="AO756">
        <v>7.8215118699743744</v>
      </c>
      <c r="AP756">
        <v>346.5222559114282</v>
      </c>
      <c r="AQ756">
        <v>49.315452381986447</v>
      </c>
      <c r="AR756">
        <v>7.219007878059128</v>
      </c>
      <c r="AS756">
        <v>86.962573427811463</v>
      </c>
      <c r="AT756" t="e">
        <v>#DIV/0!</v>
      </c>
      <c r="AU756" t="e">
        <v>#DIV/0!</v>
      </c>
      <c r="AV756"/>
      <c r="AW756"/>
      <c r="FY756" s="213">
        <v>751</v>
      </c>
      <c r="FZ756">
        <v>2.1834373233262436</v>
      </c>
      <c r="GA756">
        <v>17.904106117885711</v>
      </c>
      <c r="GB756">
        <v>8.0778358076176193</v>
      </c>
      <c r="GC756">
        <v>0.53976406905949814</v>
      </c>
      <c r="GD756">
        <v>2.5017143313301453</v>
      </c>
      <c r="GE756">
        <v>4.2377332433119541</v>
      </c>
      <c r="GF756">
        <v>0</v>
      </c>
      <c r="GG756">
        <v>2.7170107307559936</v>
      </c>
      <c r="GH756">
        <v>3.6905111274414333</v>
      </c>
      <c r="GI756">
        <v>4.5428237997564427</v>
      </c>
      <c r="GJ756"/>
      <c r="GK756"/>
      <c r="GL756"/>
      <c r="GM756"/>
      <c r="GN756" s="208"/>
      <c r="GO756" s="208"/>
      <c r="GP756" s="208"/>
      <c r="GQ756" s="208"/>
      <c r="GR756" s="208"/>
      <c r="GS756" s="208"/>
      <c r="GT756" s="208"/>
      <c r="GU756" s="213">
        <v>751</v>
      </c>
    </row>
    <row r="757" spans="1:203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35.158576630001122</v>
      </c>
      <c r="AO757">
        <v>6.8943021968910898</v>
      </c>
      <c r="AP757">
        <v>185.49793288804085</v>
      </c>
      <c r="AQ757">
        <v>47.993679760498985</v>
      </c>
      <c r="AR757">
        <v>6.2675474517191727</v>
      </c>
      <c r="AS757">
        <v>82.116261457538144</v>
      </c>
      <c r="AT757" t="e">
        <v>#DIV/0!</v>
      </c>
      <c r="AU757" t="e">
        <v>#DIV/0!</v>
      </c>
      <c r="AV757"/>
      <c r="AW757"/>
      <c r="FY757" s="213">
        <v>752</v>
      </c>
      <c r="FZ757">
        <v>1.596276202757001</v>
      </c>
      <c r="GA757">
        <v>14.67907272073475</v>
      </c>
      <c r="GB757">
        <v>6.2100825020490991</v>
      </c>
      <c r="GC757">
        <v>2.4342274887666489</v>
      </c>
      <c r="GD757">
        <v>3.3072348289421019</v>
      </c>
      <c r="GE757">
        <v>2.9155168586038371</v>
      </c>
      <c r="GF757">
        <v>0</v>
      </c>
      <c r="GG757">
        <v>7.5398971376123587</v>
      </c>
      <c r="GH757">
        <v>10.485817160159291</v>
      </c>
      <c r="GI757">
        <v>5.5690276514558299</v>
      </c>
      <c r="GJ757"/>
      <c r="GK757"/>
      <c r="GL757"/>
      <c r="GM757"/>
      <c r="GN757" s="208"/>
      <c r="GO757" s="208"/>
      <c r="GP757" s="208"/>
      <c r="GQ757" s="208"/>
      <c r="GR757" s="208"/>
      <c r="GS757" s="208"/>
      <c r="GT757" s="208"/>
      <c r="GU757" s="213">
        <v>752</v>
      </c>
    </row>
    <row r="758" spans="1:203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24.535714285714285</v>
      </c>
      <c r="AO758">
        <v>7.6007129827324276</v>
      </c>
      <c r="AP758">
        <v>371.95033175751973</v>
      </c>
      <c r="AQ758">
        <v>48.287854638523314</v>
      </c>
      <c r="AR758">
        <v>7.0182816169300848</v>
      </c>
      <c r="AS758">
        <v>77.827325978739424</v>
      </c>
      <c r="AT758" t="e">
        <v>#DIV/0!</v>
      </c>
      <c r="AU758" t="e">
        <v>#DIV/0!</v>
      </c>
      <c r="AV758"/>
      <c r="AW758"/>
      <c r="FY758" s="213">
        <v>753</v>
      </c>
      <c r="FZ758">
        <v>3.7797135260832437</v>
      </c>
      <c r="GA758">
        <v>27.197413715336189</v>
      </c>
      <c r="GB758">
        <v>11.699545525598381</v>
      </c>
      <c r="GC758">
        <v>2.0358962750754199</v>
      </c>
      <c r="GD758">
        <v>3.3092006410301611</v>
      </c>
      <c r="GE758">
        <v>4.7101721924515054</v>
      </c>
      <c r="GF758">
        <v>1.9093924997602409</v>
      </c>
      <c r="GG758">
        <v>4.3390064637089676</v>
      </c>
      <c r="GH758">
        <v>5.8337819746537019</v>
      </c>
      <c r="GI758">
        <v>6.8450015807912354</v>
      </c>
      <c r="GJ758"/>
      <c r="GK758"/>
      <c r="GL758"/>
      <c r="GM758"/>
      <c r="GN758" s="208"/>
      <c r="GO758" s="208"/>
      <c r="GP758" s="208"/>
      <c r="GQ758" s="208"/>
      <c r="GR758" s="208"/>
      <c r="GS758" s="208"/>
      <c r="GT758" s="208"/>
      <c r="GU758" s="213">
        <v>753</v>
      </c>
    </row>
    <row r="759" spans="1:203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29.870553643144</v>
      </c>
      <c r="AO759">
        <v>8.4298680675175781</v>
      </c>
      <c r="AP759">
        <v>261.68729300464196</v>
      </c>
      <c r="AQ759">
        <v>56.59542906086206</v>
      </c>
      <c r="AR759">
        <v>7.6635164250159811</v>
      </c>
      <c r="AS759">
        <v>86.449907009028934</v>
      </c>
      <c r="AT759" t="e">
        <v>#DIV/0!</v>
      </c>
      <c r="AU759" t="e">
        <v>#DIV/0!</v>
      </c>
      <c r="AV759"/>
      <c r="AW759"/>
      <c r="FY759" s="213">
        <v>754</v>
      </c>
      <c r="FZ759">
        <v>4.7888286082710039</v>
      </c>
      <c r="GA759">
        <v>24.990556545377576</v>
      </c>
      <c r="GB759">
        <v>9.7257354500998101</v>
      </c>
      <c r="GC759">
        <v>0.53976406905949814</v>
      </c>
      <c r="GD759">
        <v>1.3591953608240339</v>
      </c>
      <c r="GE759">
        <v>2.2042483879030739</v>
      </c>
      <c r="GF759">
        <v>0.47734812494006024</v>
      </c>
      <c r="GG759">
        <v>0.71856317204106601</v>
      </c>
      <c r="GH759">
        <v>0.94872765327768138</v>
      </c>
      <c r="GI759">
        <v>4.1654093482809635</v>
      </c>
      <c r="GJ759"/>
      <c r="GK759"/>
      <c r="GL759"/>
      <c r="GM759"/>
      <c r="GN759" s="208"/>
      <c r="GO759" s="208"/>
      <c r="GP759" s="208"/>
      <c r="GQ759" s="208"/>
      <c r="GR759" s="208"/>
      <c r="GS759" s="208"/>
      <c r="GT759" s="208"/>
      <c r="GU759" s="213">
        <v>754</v>
      </c>
    </row>
    <row r="760" spans="1:203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28.404779833620193</v>
      </c>
      <c r="AO760">
        <v>6.9576952825352638</v>
      </c>
      <c r="AP760">
        <v>151.37111791558394</v>
      </c>
      <c r="AQ760">
        <v>46.515651228047446</v>
      </c>
      <c r="AR760">
        <v>6.379448800436907</v>
      </c>
      <c r="AS760">
        <v>77.100594040841358</v>
      </c>
      <c r="AT760" t="e">
        <v>#DIV/0!</v>
      </c>
      <c r="AU760" t="e">
        <v>#DIV/0!</v>
      </c>
      <c r="AV760"/>
      <c r="AW760"/>
      <c r="FY760" s="213">
        <v>755</v>
      </c>
      <c r="FZ760">
        <v>0</v>
      </c>
      <c r="GA760">
        <v>15.411778561008033</v>
      </c>
      <c r="GB760">
        <v>7.7168818401478223</v>
      </c>
      <c r="GC760">
        <v>2.0358962750754199</v>
      </c>
      <c r="GD760">
        <v>3.7425213512993127</v>
      </c>
      <c r="GE760">
        <v>4.4211487558576996</v>
      </c>
      <c r="GF760">
        <v>0</v>
      </c>
      <c r="GG760">
        <v>3.22209638952897</v>
      </c>
      <c r="GH760">
        <v>4.3580739356708049</v>
      </c>
      <c r="GI760">
        <v>4.961463119029685</v>
      </c>
      <c r="GJ760"/>
      <c r="GK760"/>
      <c r="GL760"/>
      <c r="GM760"/>
      <c r="GN760" s="208"/>
      <c r="GO760" s="208"/>
      <c r="GP760" s="208"/>
      <c r="GQ760" s="208"/>
      <c r="GR760" s="208"/>
      <c r="GS760" s="208"/>
      <c r="GT760" s="208"/>
      <c r="GU760" s="213">
        <v>755</v>
      </c>
    </row>
    <row r="761" spans="1:203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26.195693488238668</v>
      </c>
      <c r="AO761">
        <v>5.3794256179106394</v>
      </c>
      <c r="AP761">
        <v>93.757172874475344</v>
      </c>
      <c r="AQ761">
        <v>38.408930887521613</v>
      </c>
      <c r="AR761">
        <v>4.9989294670920961</v>
      </c>
      <c r="AS761">
        <v>78.327926432881227</v>
      </c>
      <c r="AT761" t="e">
        <v>#DIV/0!</v>
      </c>
      <c r="AU761" t="e">
        <v>#DIV/0!</v>
      </c>
      <c r="AV761"/>
      <c r="AW761"/>
      <c r="FY761" s="213">
        <v>756</v>
      </c>
      <c r="FZ761">
        <v>1.7614833617077283</v>
      </c>
      <c r="GA761">
        <v>6.7443603618192949</v>
      </c>
      <c r="GB761">
        <v>3.4126442169847762</v>
      </c>
      <c r="GC761">
        <v>1.8688107915308625</v>
      </c>
      <c r="GD761">
        <v>2.1299370159275348</v>
      </c>
      <c r="GE761">
        <v>1.988652418090544</v>
      </c>
      <c r="GF761">
        <v>0.95469624988012047</v>
      </c>
      <c r="GG761">
        <v>0.71856317204106601</v>
      </c>
      <c r="GH761">
        <v>0.94872765327768138</v>
      </c>
      <c r="GI761">
        <v>2.6707661913620218</v>
      </c>
      <c r="GJ761"/>
      <c r="GK761"/>
      <c r="GL761"/>
      <c r="GM761"/>
      <c r="GN761" s="208"/>
      <c r="GO761" s="208"/>
      <c r="GP761" s="208"/>
      <c r="GQ761" s="208"/>
      <c r="GR761" s="208"/>
      <c r="GS761" s="208"/>
      <c r="GT761" s="208"/>
      <c r="GU761" s="213">
        <v>756</v>
      </c>
    </row>
    <row r="762" spans="1:203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18.803589357429715</v>
      </c>
      <c r="AO762">
        <v>4.2440755038513354</v>
      </c>
      <c r="AP762">
        <v>195.47345194711454</v>
      </c>
      <c r="AQ762">
        <v>27.416279508318915</v>
      </c>
      <c r="AR762">
        <v>3.9667929997654552</v>
      </c>
      <c r="AS762">
        <v>51.580559242037495</v>
      </c>
      <c r="AT762" t="e">
        <v>#DIV/0!</v>
      </c>
      <c r="AU762" t="e">
        <v>#DIV/0!</v>
      </c>
      <c r="AV762"/>
      <c r="AW762"/>
      <c r="FY762" s="213">
        <v>757</v>
      </c>
      <c r="FZ762">
        <v>1.596276202757001</v>
      </c>
      <c r="GA762">
        <v>13.619367567415782</v>
      </c>
      <c r="GB762">
        <v>5.7233997767834595</v>
      </c>
      <c r="GC762">
        <v>2.2165241566341582</v>
      </c>
      <c r="GD762">
        <v>2.3636130819606875</v>
      </c>
      <c r="GE762">
        <v>1.9208813957936428</v>
      </c>
      <c r="GF762">
        <v>0.95469624988012047</v>
      </c>
      <c r="GG762">
        <v>3.6766788475277208</v>
      </c>
      <c r="GH762">
        <v>5.061819680755038</v>
      </c>
      <c r="GI762">
        <v>4.0829374511739633</v>
      </c>
      <c r="GJ762"/>
      <c r="GK762"/>
      <c r="GL762"/>
      <c r="GM762"/>
      <c r="GN762" s="208"/>
      <c r="GO762" s="208"/>
      <c r="GP762" s="208"/>
      <c r="GQ762" s="208"/>
      <c r="GR762" s="208"/>
      <c r="GS762" s="208"/>
      <c r="GT762" s="208"/>
      <c r="GU762" s="213">
        <v>757</v>
      </c>
    </row>
    <row r="763" spans="1:203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33.790349616858222</v>
      </c>
      <c r="AO763">
        <v>10.194698551896993</v>
      </c>
      <c r="AP763">
        <v>532.68786776448735</v>
      </c>
      <c r="AQ763">
        <v>71.20206615395243</v>
      </c>
      <c r="AR763">
        <v>9.4307215870299927</v>
      </c>
      <c r="AS763">
        <v>102.4152284015899</v>
      </c>
      <c r="AT763" t="e">
        <v>#DIV/0!</v>
      </c>
      <c r="AU763" t="e">
        <v>#DIV/0!</v>
      </c>
      <c r="AV763"/>
      <c r="AW763"/>
      <c r="FY763" s="213">
        <v>758</v>
      </c>
      <c r="FZ763">
        <v>2.7705984438954863</v>
      </c>
      <c r="GA763">
        <v>18.597658275619867</v>
      </c>
      <c r="GB763">
        <v>8.2934797704026302</v>
      </c>
      <c r="GC763">
        <v>2.0358962750754199</v>
      </c>
      <c r="GD763">
        <v>1.7914761403717634</v>
      </c>
      <c r="GE763">
        <v>1.042818488690116</v>
      </c>
      <c r="GF763">
        <v>0.95469624988012047</v>
      </c>
      <c r="GG763">
        <v>0.21347751326808947</v>
      </c>
      <c r="GH763">
        <v>0.28116484504831013</v>
      </c>
      <c r="GI763">
        <v>3.777073241255104</v>
      </c>
      <c r="GJ763"/>
      <c r="GK763"/>
      <c r="GL763"/>
      <c r="GM763"/>
      <c r="GN763" s="208"/>
      <c r="GO763" s="208"/>
      <c r="GP763" s="208"/>
      <c r="GQ763" s="208"/>
      <c r="GR763" s="208"/>
      <c r="GS763" s="208"/>
      <c r="GT763" s="208"/>
      <c r="GU763" s="213">
        <v>758</v>
      </c>
    </row>
    <row r="764" spans="1:203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29.042676246859354</v>
      </c>
      <c r="AO764">
        <v>6.5677419383641054</v>
      </c>
      <c r="AP764">
        <v>125.83232361704771</v>
      </c>
      <c r="AQ764">
        <v>44.011101076038138</v>
      </c>
      <c r="AR764">
        <v>6.024945760281307</v>
      </c>
      <c r="AS764">
        <v>82.862905804272884</v>
      </c>
      <c r="AT764" t="e">
        <v>#DIV/0!</v>
      </c>
      <c r="AU764" t="e">
        <v>#DIV/0!</v>
      </c>
      <c r="AV764"/>
      <c r="AW764"/>
      <c r="FY764" s="213">
        <v>759</v>
      </c>
      <c r="FZ764">
        <v>5.9631508494094883</v>
      </c>
      <c r="GA764">
        <v>22.422239731055512</v>
      </c>
      <c r="GB764">
        <v>8.3277873307901089</v>
      </c>
      <c r="GC764">
        <v>0.86060765605950218</v>
      </c>
      <c r="GD764">
        <v>2.4725260341054169</v>
      </c>
      <c r="GE764">
        <v>4.2567027321990878</v>
      </c>
      <c r="GF764">
        <v>0.95469624988012047</v>
      </c>
      <c r="GG764">
        <v>6.6111965596753564</v>
      </c>
      <c r="GH764">
        <v>9.4886491778179121</v>
      </c>
      <c r="GI764">
        <v>6.2339918709722673</v>
      </c>
      <c r="GJ764"/>
      <c r="GK764"/>
      <c r="GL764"/>
      <c r="GM764"/>
      <c r="GN764" s="208"/>
      <c r="GO764" s="208"/>
      <c r="GP764" s="208"/>
      <c r="GQ764" s="208"/>
      <c r="GR764" s="208"/>
      <c r="GS764" s="208"/>
      <c r="GT764" s="208"/>
      <c r="GU764" s="213">
        <v>759</v>
      </c>
    </row>
    <row r="765" spans="1:203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34.549210594430257</v>
      </c>
      <c r="AO765">
        <v>7.2749570184352237</v>
      </c>
      <c r="AP765">
        <v>332.59436320994234</v>
      </c>
      <c r="AQ765">
        <v>45.227540274846575</v>
      </c>
      <c r="AR765">
        <v>6.7764111020647464</v>
      </c>
      <c r="AS765">
        <v>92.322529741019039</v>
      </c>
      <c r="AT765" t="e">
        <v>#DIV/0!</v>
      </c>
      <c r="AU765" t="e">
        <v>#DIV/0!</v>
      </c>
      <c r="AV765"/>
      <c r="AW765"/>
      <c r="FY765" s="213">
        <v>760</v>
      </c>
      <c r="FZ765">
        <v>0.58716112056924263</v>
      </c>
      <c r="GA765">
        <v>14.491571061818687</v>
      </c>
      <c r="GB765">
        <v>7.0183391650272267</v>
      </c>
      <c r="GC765">
        <v>1.965788422354787</v>
      </c>
      <c r="GD765">
        <v>4.589145422256232</v>
      </c>
      <c r="GE765">
        <v>6.245045592361655</v>
      </c>
      <c r="GF765">
        <v>0</v>
      </c>
      <c r="GG765">
        <v>3.7271820483019464</v>
      </c>
      <c r="GH765">
        <v>5.0256367439001757</v>
      </c>
      <c r="GI765">
        <v>5.5315467301342593</v>
      </c>
      <c r="GJ765"/>
      <c r="GK765"/>
      <c r="GL765"/>
      <c r="GM765"/>
      <c r="GN765" s="208"/>
      <c r="GO765" s="208"/>
      <c r="GP765" s="208"/>
      <c r="GQ765" s="208"/>
      <c r="GR765" s="208"/>
      <c r="GS765" s="208"/>
      <c r="GT765" s="208"/>
      <c r="GU765" s="213">
        <v>760</v>
      </c>
    </row>
    <row r="766" spans="1:203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37.12890024795405</v>
      </c>
      <c r="AO766">
        <v>9.5381197195649641</v>
      </c>
      <c r="AP766">
        <v>152.85859407057154</v>
      </c>
      <c r="AQ766">
        <v>65.982288390701669</v>
      </c>
      <c r="AR766">
        <v>8.779560468596026</v>
      </c>
      <c r="AS766">
        <v>110.08489308598519</v>
      </c>
      <c r="AT766" t="e">
        <v>#DIV/0!</v>
      </c>
      <c r="AU766" t="e">
        <v>#DIV/0!</v>
      </c>
      <c r="AV766"/>
      <c r="AW766"/>
      <c r="FY766" s="213">
        <v>761</v>
      </c>
      <c r="FZ766">
        <v>1.1743222411384853</v>
      </c>
      <c r="GA766">
        <v>19.116521117000044</v>
      </c>
      <c r="GB766">
        <v>9.4576179314807263</v>
      </c>
      <c r="GC766">
        <v>0.79049980333886993</v>
      </c>
      <c r="GD766">
        <v>2.1924568540407114</v>
      </c>
      <c r="GE766">
        <v>3.5102127735979334</v>
      </c>
      <c r="GF766">
        <v>0.47734812494006024</v>
      </c>
      <c r="GG766">
        <v>2.2917257579058905</v>
      </c>
      <c r="GH766">
        <v>3.2445436953371196</v>
      </c>
      <c r="GI766">
        <v>4.5884408548792592</v>
      </c>
      <c r="GJ766"/>
      <c r="GK766"/>
      <c r="GL766"/>
      <c r="GM766"/>
      <c r="GN766" s="208"/>
      <c r="GO766" s="208"/>
      <c r="GP766" s="208"/>
      <c r="GQ766" s="208"/>
      <c r="GR766" s="208"/>
      <c r="GS766" s="208"/>
      <c r="GT766" s="208"/>
      <c r="GU766" s="213">
        <v>761</v>
      </c>
    </row>
    <row r="767" spans="1:203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25.538058844573698</v>
      </c>
      <c r="AO767">
        <v>6.9819047558065082</v>
      </c>
      <c r="AP767">
        <v>88.989629166131081</v>
      </c>
      <c r="AQ767">
        <v>46.394936550485035</v>
      </c>
      <c r="AR767">
        <v>6.4014574125016734</v>
      </c>
      <c r="AS767">
        <v>79.101326785781197</v>
      </c>
      <c r="AT767" t="e">
        <v>#DIV/0!</v>
      </c>
      <c r="AU767" t="e">
        <v>#DIV/0!</v>
      </c>
      <c r="AV767"/>
      <c r="AW767"/>
      <c r="FY767" s="213">
        <v>762</v>
      </c>
      <c r="FZ767">
        <v>2.7705984438954863</v>
      </c>
      <c r="GA767">
        <v>9.9656392452867308</v>
      </c>
      <c r="GB767">
        <v>4.0980933660286052</v>
      </c>
      <c r="GC767">
        <v>1.2271236175308542</v>
      </c>
      <c r="GD767">
        <v>1.4445704759921871</v>
      </c>
      <c r="GE767">
        <v>1.3062879264545881</v>
      </c>
      <c r="GF767">
        <v>0.47734812494006024</v>
      </c>
      <c r="GG767">
        <v>4.2885032629347419</v>
      </c>
      <c r="GH767">
        <v>5.8699649115085659</v>
      </c>
      <c r="GI767">
        <v>3.2935525826218246</v>
      </c>
      <c r="GJ767"/>
      <c r="GK767"/>
      <c r="GL767"/>
      <c r="GM767"/>
      <c r="GN767" s="208"/>
      <c r="GO767" s="208"/>
      <c r="GP767" s="208"/>
      <c r="GQ767" s="208"/>
      <c r="GR767" s="208"/>
      <c r="GS767" s="208"/>
      <c r="GT767" s="208"/>
      <c r="GU767" s="213">
        <v>762</v>
      </c>
    </row>
    <row r="768" spans="1:203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34.644430760810067</v>
      </c>
      <c r="AO768">
        <v>8.8760404906283235</v>
      </c>
      <c r="AP768">
        <v>294.98687012137884</v>
      </c>
      <c r="AQ768">
        <v>54.737152551080925</v>
      </c>
      <c r="AR768">
        <v>8.0691277187530197</v>
      </c>
      <c r="AS768">
        <v>101.32408253413185</v>
      </c>
      <c r="AT768" t="e">
        <v>#DIV/0!</v>
      </c>
      <c r="AU768" t="e">
        <v>#DIV/0!</v>
      </c>
      <c r="AV768"/>
      <c r="AW768"/>
      <c r="FY768" s="213">
        <v>763</v>
      </c>
      <c r="FZ768">
        <v>1.1743222411384853</v>
      </c>
      <c r="GA768">
        <v>9.4830997342462915</v>
      </c>
      <c r="GB768">
        <v>4.7587346603355254</v>
      </c>
      <c r="GC768">
        <v>2.5055524914142855</v>
      </c>
      <c r="GD768">
        <v>2.6112269119685547</v>
      </c>
      <c r="GE768">
        <v>1.6826703817622763</v>
      </c>
      <c r="GF768">
        <v>0.47734812494006024</v>
      </c>
      <c r="GG768">
        <v>0.93204068530915563</v>
      </c>
      <c r="GH768">
        <v>1.2298924983259916</v>
      </c>
      <c r="GI768">
        <v>3.2108332258856329</v>
      </c>
      <c r="GJ768"/>
      <c r="GK768"/>
      <c r="GL768"/>
      <c r="GM768"/>
      <c r="GN768" s="208"/>
      <c r="GO768" s="208"/>
      <c r="GP768" s="208"/>
      <c r="GQ768" s="208"/>
      <c r="GR768" s="208"/>
      <c r="GS768" s="208"/>
      <c r="GT768" s="208"/>
      <c r="GU768" s="213">
        <v>763</v>
      </c>
    </row>
    <row r="769" spans="1:203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44.797226055288476</v>
      </c>
      <c r="AO769">
        <v>10.521693384027618</v>
      </c>
      <c r="AP769">
        <v>184.95047201923805</v>
      </c>
      <c r="AQ769">
        <v>71.659124394489055</v>
      </c>
      <c r="AR769">
        <v>9.6194470745208651</v>
      </c>
      <c r="AS769">
        <v>120.4740264314194</v>
      </c>
      <c r="AT769" t="e">
        <v>#DIV/0!</v>
      </c>
      <c r="AU769" t="e">
        <v>#DIV/0!</v>
      </c>
      <c r="AV769"/>
      <c r="AW769"/>
      <c r="FY769" s="213">
        <v>764</v>
      </c>
      <c r="FZ769">
        <v>0.58716112056924263</v>
      </c>
      <c r="GA769">
        <v>17.430209910566454</v>
      </c>
      <c r="GB769">
        <v>8.7830203420285269</v>
      </c>
      <c r="GC769">
        <v>0.61725169575072358</v>
      </c>
      <c r="GD769">
        <v>1.5678822597782553</v>
      </c>
      <c r="GE769">
        <v>2.2135783533826516</v>
      </c>
      <c r="GF769">
        <v>0</v>
      </c>
      <c r="GG769">
        <v>3.4648713879457071</v>
      </c>
      <c r="GH769">
        <v>4.8970170936990343</v>
      </c>
      <c r="GI769">
        <v>3.9763883871878636</v>
      </c>
      <c r="GJ769"/>
      <c r="GK769"/>
      <c r="GL769"/>
      <c r="GM769"/>
      <c r="GN769" s="208"/>
      <c r="GO769" s="208"/>
      <c r="GP769" s="208"/>
      <c r="GQ769" s="208"/>
      <c r="GR769" s="208"/>
      <c r="GS769" s="208"/>
      <c r="GT769" s="208"/>
      <c r="GU769" s="213">
        <v>764</v>
      </c>
    </row>
    <row r="770" spans="1:203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28.005302820477304</v>
      </c>
      <c r="AO770">
        <v>6.3488502011824588</v>
      </c>
      <c r="AP770">
        <v>108.00771495508093</v>
      </c>
      <c r="AQ770">
        <v>49.918376720074761</v>
      </c>
      <c r="AR770">
        <v>5.7716820010749617</v>
      </c>
      <c r="AS770">
        <v>82.331223108554397</v>
      </c>
      <c r="AT770" t="e">
        <v>#DIV/0!</v>
      </c>
      <c r="AU770" t="e">
        <v>#DIV/0!</v>
      </c>
      <c r="AV770"/>
      <c r="AW770"/>
      <c r="FY770" s="213">
        <v>765</v>
      </c>
      <c r="FZ770">
        <v>4.9540357672217299</v>
      </c>
      <c r="GA770">
        <v>17.989567729366026</v>
      </c>
      <c r="GB770">
        <v>6.9861534769340663</v>
      </c>
      <c r="GC770">
        <v>1.0856907621625855</v>
      </c>
      <c r="GD770">
        <v>1.460882189988554</v>
      </c>
      <c r="GE770">
        <v>1.5604273987394823</v>
      </c>
      <c r="GF770">
        <v>0.47734812494006024</v>
      </c>
      <c r="GG770">
        <v>6.0734733083815797</v>
      </c>
      <c r="GH770">
        <v>8.3305835406240085</v>
      </c>
      <c r="GI770">
        <v>4.8031171610861429</v>
      </c>
      <c r="GJ770"/>
      <c r="GK770"/>
      <c r="GL770"/>
      <c r="GM770"/>
      <c r="GN770" s="208"/>
      <c r="GO770" s="208"/>
      <c r="GP770" s="208"/>
      <c r="GQ770" s="208"/>
      <c r="GR770" s="208"/>
      <c r="GS770" s="208"/>
      <c r="GT770" s="208"/>
      <c r="GU770" s="213">
        <v>765</v>
      </c>
    </row>
    <row r="771" spans="1:203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36.924296117145104</v>
      </c>
      <c r="AO771">
        <v>7.6766758901502712</v>
      </c>
      <c r="AP771">
        <v>326.06533818869821</v>
      </c>
      <c r="AQ771">
        <v>45.86986022761775</v>
      </c>
      <c r="AR771">
        <v>6.9787962637729724</v>
      </c>
      <c r="AS771">
        <v>101.38462780764978</v>
      </c>
      <c r="AT771" t="e">
        <v>#DIV/0!</v>
      </c>
      <c r="AU771" t="e">
        <v>#DIV/0!</v>
      </c>
      <c r="AV771"/>
      <c r="AW771"/>
      <c r="FY771" s="213">
        <v>766</v>
      </c>
      <c r="FZ771">
        <v>3.7797135260832437</v>
      </c>
      <c r="GA771">
        <v>17.315799675480118</v>
      </c>
      <c r="GB771">
        <v>6.8727822711490525</v>
      </c>
      <c r="GC771">
        <v>0.84233480185380649</v>
      </c>
      <c r="GD771">
        <v>1.5820760783865853</v>
      </c>
      <c r="GE771">
        <v>2.4770338083153738</v>
      </c>
      <c r="GF771">
        <v>0.95469624988012047</v>
      </c>
      <c r="GG771">
        <v>2.5540364182621298</v>
      </c>
      <c r="GH771">
        <v>3.3731633455382601</v>
      </c>
      <c r="GI771">
        <v>3.8954928450424897</v>
      </c>
      <c r="GJ771"/>
      <c r="GK771"/>
      <c r="GL771"/>
      <c r="GM771"/>
      <c r="GN771" s="208"/>
      <c r="GO771" s="208"/>
      <c r="GP771" s="208"/>
      <c r="GQ771" s="208"/>
      <c r="GR771" s="208"/>
      <c r="GS771" s="208"/>
      <c r="GT771" s="208"/>
      <c r="GU771" s="213">
        <v>766</v>
      </c>
    </row>
    <row r="772" spans="1:203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28.600540915715406</v>
      </c>
      <c r="AO772">
        <v>3.843323907964129</v>
      </c>
      <c r="AP772">
        <v>160.88245980184777</v>
      </c>
      <c r="AQ772">
        <v>23.198641432621635</v>
      </c>
      <c r="AR772">
        <v>3.6567446380001156</v>
      </c>
      <c r="AS772">
        <v>56.894199782004208</v>
      </c>
      <c r="AT772" t="e">
        <v>#DIV/0!</v>
      </c>
      <c r="AU772" t="e">
        <v>#DIV/0!</v>
      </c>
      <c r="AV772"/>
      <c r="AW772"/>
      <c r="FY772" s="213">
        <v>767</v>
      </c>
      <c r="FZ772">
        <v>4.3668746466524873</v>
      </c>
      <c r="GA772">
        <v>13.050845228858437</v>
      </c>
      <c r="GB772">
        <v>4.6206189973148879</v>
      </c>
      <c r="GC772">
        <v>1.965788422354787</v>
      </c>
      <c r="GD772">
        <v>2.6046319977456016</v>
      </c>
      <c r="GE772">
        <v>2.5062613281399106</v>
      </c>
      <c r="GF772">
        <v>0.47734812494006024</v>
      </c>
      <c r="GG772">
        <v>8.6096441183902837</v>
      </c>
      <c r="GH772">
        <v>12.230432651981666</v>
      </c>
      <c r="GI772">
        <v>5.4125609203466549</v>
      </c>
      <c r="GJ772"/>
      <c r="GK772"/>
      <c r="GL772"/>
      <c r="GM772"/>
      <c r="GN772" s="208"/>
      <c r="GO772" s="208"/>
      <c r="GP772" s="208"/>
      <c r="GQ772" s="208"/>
      <c r="GR772" s="208"/>
      <c r="GS772" s="208"/>
      <c r="GT772" s="208"/>
      <c r="GU772" s="213">
        <v>767</v>
      </c>
    </row>
    <row r="773" spans="1:203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31.042419678714861</v>
      </c>
      <c r="AO773">
        <v>6.3870269828123902</v>
      </c>
      <c r="AP773">
        <v>191.10488524175724</v>
      </c>
      <c r="AQ773">
        <v>41.216194410681567</v>
      </c>
      <c r="AR773">
        <v>5.8063881661930816</v>
      </c>
      <c r="AS773">
        <v>79.21046936930226</v>
      </c>
      <c r="AT773" t="e">
        <v>#DIV/0!</v>
      </c>
      <c r="AU773" t="e">
        <v>#DIV/0!</v>
      </c>
      <c r="AV773"/>
      <c r="AW773"/>
      <c r="FY773" s="213">
        <v>768</v>
      </c>
      <c r="FZ773">
        <v>2.3486444822769705</v>
      </c>
      <c r="GA773">
        <v>10.263382100448236</v>
      </c>
      <c r="GB773">
        <v>5.1043804787189835</v>
      </c>
      <c r="GC773">
        <v>1.8626481674872735</v>
      </c>
      <c r="GD773">
        <v>2.5503022448881931</v>
      </c>
      <c r="GE773">
        <v>2.2716958694402463</v>
      </c>
      <c r="GF773">
        <v>0</v>
      </c>
      <c r="GG773">
        <v>5.7565971458515968</v>
      </c>
      <c r="GH773">
        <v>8.1415607890361557</v>
      </c>
      <c r="GI773">
        <v>4.5527259348870288</v>
      </c>
      <c r="GJ773"/>
      <c r="GK773"/>
      <c r="GL773"/>
      <c r="GM773"/>
      <c r="GN773" s="208"/>
      <c r="GO773" s="208"/>
      <c r="GP773" s="208"/>
      <c r="GQ773" s="208"/>
      <c r="GR773" s="208"/>
      <c r="GS773" s="208"/>
      <c r="GT773" s="208"/>
      <c r="GU773" s="213">
        <v>768</v>
      </c>
    </row>
    <row r="774" spans="1:203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30.540196500286861</v>
      </c>
      <c r="AO774">
        <v>5.6889840050513971</v>
      </c>
      <c r="AP774">
        <v>79.50979094813961</v>
      </c>
      <c r="AQ774">
        <v>39.75833924350691</v>
      </c>
      <c r="AR774">
        <v>5.2803461826746032</v>
      </c>
      <c r="AS774">
        <v>75.346956497118256</v>
      </c>
      <c r="AT774" t="e">
        <v>#DIV/0!</v>
      </c>
      <c r="AU774" t="e">
        <v>#DIV/0!</v>
      </c>
      <c r="AV774"/>
      <c r="AW774"/>
      <c r="FY774" s="213">
        <v>769</v>
      </c>
      <c r="FZ774">
        <v>2.7705984438954863</v>
      </c>
      <c r="GA774">
        <v>15.746799145986285</v>
      </c>
      <c r="GB774">
        <v>6.9824328615052984</v>
      </c>
      <c r="GC774">
        <v>1.9327560202079062</v>
      </c>
      <c r="GD774">
        <v>2.8303714249528991</v>
      </c>
      <c r="GE774">
        <v>3.0181858280414011</v>
      </c>
      <c r="GF774">
        <v>0.47734812494006024</v>
      </c>
      <c r="GG774">
        <v>2.2917257579058905</v>
      </c>
      <c r="GH774">
        <v>3.2445436953371196</v>
      </c>
      <c r="GI774">
        <v>4.4610473372676438</v>
      </c>
      <c r="GJ774"/>
      <c r="GK774"/>
      <c r="GL774"/>
      <c r="GM774"/>
      <c r="GN774" s="208"/>
      <c r="GO774" s="208"/>
      <c r="GP774" s="208"/>
      <c r="GQ774" s="208"/>
      <c r="GR774" s="208"/>
      <c r="GS774" s="208"/>
      <c r="GT774" s="208"/>
      <c r="GU774" s="213">
        <v>769</v>
      </c>
    </row>
    <row r="775" spans="1:203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31.810276821572</v>
      </c>
      <c r="AO775">
        <v>9.8297184677889895</v>
      </c>
      <c r="AP775">
        <v>233.38255972940897</v>
      </c>
      <c r="AQ775">
        <v>67.591548191964762</v>
      </c>
      <c r="AR775">
        <v>9.0446502397087762</v>
      </c>
      <c r="AS775">
        <v>97.169529519018141</v>
      </c>
      <c r="AT775" t="e">
        <v>#DIV/0!</v>
      </c>
      <c r="AU775" t="e">
        <v>#DIV/0!</v>
      </c>
      <c r="AV775"/>
      <c r="AW775"/>
      <c r="FY775" s="213">
        <v>770</v>
      </c>
      <c r="FZ775">
        <v>1.596276202757001</v>
      </c>
      <c r="GA775">
        <v>18.15260400102742</v>
      </c>
      <c r="GB775">
        <v>8.0588704406037976</v>
      </c>
      <c r="GC775">
        <v>4.2193880295626975</v>
      </c>
      <c r="GD775">
        <v>4.7375404988022733</v>
      </c>
      <c r="GE775">
        <v>3.0275157935209793</v>
      </c>
      <c r="GF775">
        <v>0</v>
      </c>
      <c r="GG775">
        <v>1.8917088020808825</v>
      </c>
      <c r="GH775">
        <v>2.6012010516395971</v>
      </c>
      <c r="GI775">
        <v>5.4771153377511608</v>
      </c>
      <c r="GJ775"/>
      <c r="GK775"/>
      <c r="GL775"/>
      <c r="GM775"/>
      <c r="GN775" s="208"/>
      <c r="GO775" s="208"/>
      <c r="GP775" s="208"/>
      <c r="GQ775" s="208"/>
      <c r="GR775" s="208"/>
      <c r="GS775" s="208"/>
      <c r="GT775" s="208"/>
      <c r="GU775" s="213">
        <v>770</v>
      </c>
    </row>
    <row r="776" spans="1:203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41.712319104002219</v>
      </c>
      <c r="AO776">
        <v>8.6040570674789354</v>
      </c>
      <c r="AP776">
        <v>333.85220654646014</v>
      </c>
      <c r="AQ776">
        <v>49.181416306724223</v>
      </c>
      <c r="AR776">
        <v>7.8761413322038791</v>
      </c>
      <c r="AS776">
        <v>108.33245262617417</v>
      </c>
      <c r="AT776" t="e">
        <v>#DIV/0!</v>
      </c>
      <c r="AU776" t="e">
        <v>#DIV/0!</v>
      </c>
      <c r="AV776"/>
      <c r="AW776"/>
      <c r="FY776" s="213">
        <v>771</v>
      </c>
      <c r="FZ776">
        <v>0</v>
      </c>
      <c r="GA776">
        <v>23.931677834134586</v>
      </c>
      <c r="GB776">
        <v>11.947311778975266</v>
      </c>
      <c r="GC776">
        <v>2.1133839017666447</v>
      </c>
      <c r="GD776">
        <v>3.1429074836056912</v>
      </c>
      <c r="GE776">
        <v>3.3746707290041309</v>
      </c>
      <c r="GF776">
        <v>0.47734812494006024</v>
      </c>
      <c r="GG776">
        <v>1.8917088020808825</v>
      </c>
      <c r="GH776">
        <v>2.6012010516395971</v>
      </c>
      <c r="GI776">
        <v>5.4491833071248843</v>
      </c>
      <c r="GJ776"/>
      <c r="GK776"/>
      <c r="GL776"/>
      <c r="GM776"/>
      <c r="GN776" s="208"/>
      <c r="GO776" s="208"/>
      <c r="GP776" s="208"/>
      <c r="GQ776" s="208"/>
      <c r="GR776" s="208"/>
      <c r="GS776" s="208"/>
      <c r="GT776" s="208"/>
      <c r="GU776" s="213">
        <v>771</v>
      </c>
    </row>
    <row r="777" spans="1:203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23.224052820477308</v>
      </c>
      <c r="AO777">
        <v>7.1240590852841166</v>
      </c>
      <c r="AP777">
        <v>328.74773366259416</v>
      </c>
      <c r="AQ777">
        <v>46.843689153659099</v>
      </c>
      <c r="AR777">
        <v>6.5849598919770749</v>
      </c>
      <c r="AS777">
        <v>66.031672867614475</v>
      </c>
      <c r="AT777" t="e">
        <v>#DIV/0!</v>
      </c>
      <c r="AU777" t="e">
        <v>#DIV/0!</v>
      </c>
      <c r="AV777"/>
      <c r="AW777"/>
      <c r="FY777" s="213">
        <v>772</v>
      </c>
      <c r="FZ777">
        <v>2.7705984438954863</v>
      </c>
      <c r="GA777">
        <v>10.104514867627737</v>
      </c>
      <c r="GB777">
        <v>4.1273578102602224</v>
      </c>
      <c r="GC777">
        <v>0.86060765605950218</v>
      </c>
      <c r="GD777">
        <v>1.5719654524368438</v>
      </c>
      <c r="GE777">
        <v>1.8474399461806157</v>
      </c>
      <c r="GF777">
        <v>0</v>
      </c>
      <c r="GG777">
        <v>7.3297597317164227</v>
      </c>
      <c r="GH777">
        <v>10.437376831095595</v>
      </c>
      <c r="GI777">
        <v>4.119744784638887</v>
      </c>
      <c r="GJ777"/>
      <c r="GK777"/>
      <c r="GL777"/>
      <c r="GM777"/>
      <c r="GN777" s="208"/>
      <c r="GO777" s="208"/>
      <c r="GP777" s="208"/>
      <c r="GQ777" s="208"/>
      <c r="GR777" s="208"/>
      <c r="GS777" s="208"/>
      <c r="GT777" s="208"/>
      <c r="GU777" s="213">
        <v>772</v>
      </c>
    </row>
    <row r="778" spans="1:203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24.648159963334457</v>
      </c>
      <c r="AO778">
        <v>4.9422145688253591</v>
      </c>
      <c r="AP778">
        <v>141.714258439731</v>
      </c>
      <c r="AQ778">
        <v>34.741681957193649</v>
      </c>
      <c r="AR778">
        <v>4.6014648770145676</v>
      </c>
      <c r="AS778">
        <v>65.89286947249407</v>
      </c>
      <c r="AT778" t="e">
        <v>#DIV/0!</v>
      </c>
      <c r="AU778" t="e">
        <v>#DIV/0!</v>
      </c>
      <c r="AV778"/>
      <c r="AW778"/>
      <c r="FY778" s="213">
        <v>773</v>
      </c>
      <c r="FZ778">
        <v>1.7614833617077283</v>
      </c>
      <c r="GA778">
        <v>16.016114593578354</v>
      </c>
      <c r="GB778">
        <v>7.8419039770916941</v>
      </c>
      <c r="GC778">
        <v>1.5035119799865142</v>
      </c>
      <c r="GD778">
        <v>2.4995315400555072</v>
      </c>
      <c r="GE778">
        <v>3.0218313833731036</v>
      </c>
      <c r="GF778">
        <v>0.47734812494006024</v>
      </c>
      <c r="GG778">
        <v>6.8230040192573682</v>
      </c>
      <c r="GH778">
        <v>9.653451764873914</v>
      </c>
      <c r="GI778">
        <v>5.5113622926393449</v>
      </c>
      <c r="GJ778"/>
      <c r="GK778"/>
      <c r="GL778"/>
      <c r="GM778"/>
      <c r="GN778" s="208"/>
      <c r="GO778" s="208"/>
      <c r="GP778" s="208"/>
      <c r="GQ778" s="208"/>
      <c r="GR778" s="208"/>
      <c r="GS778" s="208"/>
      <c r="GT778" s="208"/>
      <c r="GU778" s="213">
        <v>773</v>
      </c>
    </row>
    <row r="779" spans="1:203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32.142225511240362</v>
      </c>
      <c r="AO779">
        <v>4.7709669096823362</v>
      </c>
      <c r="AP779">
        <v>226.69496398265252</v>
      </c>
      <c r="AQ779">
        <v>28.065720955326256</v>
      </c>
      <c r="AR779">
        <v>4.4457851868845468</v>
      </c>
      <c r="AS779">
        <v>77.579913030195186</v>
      </c>
      <c r="AT779" t="e">
        <v>#DIV/0!</v>
      </c>
      <c r="AU779" t="e">
        <v>#DIV/0!</v>
      </c>
      <c r="AV779"/>
      <c r="AW779"/>
      <c r="FY779" s="213">
        <v>774</v>
      </c>
      <c r="FZ779">
        <v>3.192552405514002</v>
      </c>
      <c r="GA779">
        <v>25.684010983703583</v>
      </c>
      <c r="GB779">
        <v>10.933710230429922</v>
      </c>
      <c r="GC779">
        <v>0.79049980333886993</v>
      </c>
      <c r="GD779">
        <v>1.0748103238419791</v>
      </c>
      <c r="GE779">
        <v>1.5311998789149457</v>
      </c>
      <c r="GF779">
        <v>0.95469624988012047</v>
      </c>
      <c r="GG779">
        <v>3.1463251717296488</v>
      </c>
      <c r="GH779">
        <v>4.591632084118876</v>
      </c>
      <c r="GI779">
        <v>4.8059167097682209</v>
      </c>
      <c r="GJ779"/>
      <c r="GK779"/>
      <c r="GL779"/>
      <c r="GM779"/>
      <c r="GN779" s="208"/>
      <c r="GO779" s="208"/>
      <c r="GP779" s="208"/>
      <c r="GQ779" s="208"/>
      <c r="GR779" s="208"/>
      <c r="GS779" s="208"/>
      <c r="GT779" s="208"/>
      <c r="GU779" s="213">
        <v>774</v>
      </c>
    </row>
    <row r="780" spans="1:203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25.729919678714857</v>
      </c>
      <c r="AO780">
        <v>6.1058219227335062</v>
      </c>
      <c r="AP780">
        <v>303.15446572715479</v>
      </c>
      <c r="AQ780">
        <v>43.537380550908459</v>
      </c>
      <c r="AR780">
        <v>5.6050184733443977</v>
      </c>
      <c r="AS780">
        <v>70.963967692371966</v>
      </c>
      <c r="AT780" t="e">
        <v>#DIV/0!</v>
      </c>
      <c r="AU780" t="e">
        <v>#DIV/0!</v>
      </c>
      <c r="AV780"/>
      <c r="AW780"/>
      <c r="FY780" s="213">
        <v>775</v>
      </c>
      <c r="FZ780">
        <v>1.596276202757001</v>
      </c>
      <c r="GA780">
        <v>17.701087113370441</v>
      </c>
      <c r="GB780">
        <v>7.8871831912616219</v>
      </c>
      <c r="GC780">
        <v>1.3302638723983682</v>
      </c>
      <c r="GD780">
        <v>3.2337106780381539</v>
      </c>
      <c r="GE780">
        <v>4.7779571975801565</v>
      </c>
      <c r="GF780">
        <v>0.47734812494006024</v>
      </c>
      <c r="GG780">
        <v>3.8648883437707147</v>
      </c>
      <c r="GH780">
        <v>5.5403597373965576</v>
      </c>
      <c r="GI780">
        <v>5.2123761587327211</v>
      </c>
      <c r="GJ780"/>
      <c r="GK780"/>
      <c r="GL780"/>
      <c r="GM780"/>
      <c r="GN780" s="208"/>
      <c r="GO780" s="208"/>
      <c r="GP780" s="208"/>
      <c r="GQ780" s="208"/>
      <c r="GR780" s="208"/>
      <c r="GS780" s="208"/>
      <c r="GT780" s="208"/>
      <c r="GU780" s="213">
        <v>775</v>
      </c>
    </row>
    <row r="781" spans="1:203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25.457683772858264</v>
      </c>
      <c r="AO781">
        <v>7.3522423964624704</v>
      </c>
      <c r="AP781">
        <v>179.86918981888533</v>
      </c>
      <c r="AQ781">
        <v>53.72127945944424</v>
      </c>
      <c r="AR781">
        <v>6.8466705366349698</v>
      </c>
      <c r="AS781">
        <v>77.346992044884885</v>
      </c>
      <c r="AT781" t="e">
        <v>#DIV/0!</v>
      </c>
      <c r="AU781" t="e">
        <v>#DIV/0!</v>
      </c>
      <c r="AV781"/>
      <c r="AW781"/>
      <c r="FY781" s="213">
        <v>776</v>
      </c>
      <c r="FZ781">
        <v>0.58716112056924263</v>
      </c>
      <c r="GA781">
        <v>21.161708331692882</v>
      </c>
      <c r="GB781">
        <v>10.588064412046464</v>
      </c>
      <c r="GC781">
        <v>2.2609793811785028</v>
      </c>
      <c r="GD781">
        <v>2.7744691021531858</v>
      </c>
      <c r="GE781">
        <v>2.1015794184655103</v>
      </c>
      <c r="GF781">
        <v>0</v>
      </c>
      <c r="GG781">
        <v>3.5699400908936756</v>
      </c>
      <c r="GH781">
        <v>4.9212372582308834</v>
      </c>
      <c r="GI781">
        <v>5.189832154460321</v>
      </c>
      <c r="GJ781"/>
      <c r="GK781"/>
      <c r="GL781"/>
      <c r="GM781"/>
      <c r="GN781" s="208"/>
      <c r="GO781" s="208"/>
      <c r="GP781" s="208"/>
      <c r="GQ781" s="208"/>
      <c r="GR781" s="208"/>
      <c r="GS781" s="208"/>
      <c r="GT781" s="208"/>
      <c r="GU781" s="213">
        <v>776</v>
      </c>
    </row>
    <row r="782" spans="1:203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30.359726055288473</v>
      </c>
      <c r="AO782">
        <v>5.8249979585971214</v>
      </c>
      <c r="AP782">
        <v>87.348972480243077</v>
      </c>
      <c r="AQ782">
        <v>43.647129019991183</v>
      </c>
      <c r="AR782">
        <v>5.3497239604931401</v>
      </c>
      <c r="AS782">
        <v>83.576792681333131</v>
      </c>
      <c r="AT782" t="e">
        <v>#DIV/0!</v>
      </c>
      <c r="AU782" t="e">
        <v>#DIV/0!</v>
      </c>
      <c r="AV782"/>
      <c r="AW782"/>
      <c r="FY782" s="213">
        <v>777</v>
      </c>
      <c r="FZ782">
        <v>1.596276202757001</v>
      </c>
      <c r="GA782">
        <v>14.919976810801673</v>
      </c>
      <c r="GB782">
        <v>6.4702063074368112</v>
      </c>
      <c r="GC782">
        <v>1.3302638723983682</v>
      </c>
      <c r="GD782">
        <v>2.1072429007901241</v>
      </c>
      <c r="GE782">
        <v>2.2039248471433455</v>
      </c>
      <c r="GF782">
        <v>0</v>
      </c>
      <c r="GG782">
        <v>3.9699570467186831</v>
      </c>
      <c r="GH782">
        <v>5.5645799019284059</v>
      </c>
      <c r="GI782">
        <v>4.1131977142534684</v>
      </c>
      <c r="GJ782"/>
      <c r="GK782"/>
      <c r="GL782"/>
      <c r="GM782"/>
      <c r="GN782" s="208"/>
      <c r="GO782" s="208"/>
      <c r="GP782" s="208"/>
      <c r="GQ782" s="208"/>
      <c r="GR782" s="208"/>
      <c r="GS782" s="208"/>
      <c r="GT782" s="208"/>
      <c r="GU782" s="213">
        <v>777</v>
      </c>
    </row>
    <row r="783" spans="1:203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35.408509036144572</v>
      </c>
      <c r="AO783">
        <v>8.5149508655032928</v>
      </c>
      <c r="AP783">
        <v>300.17284866493964</v>
      </c>
      <c r="AQ783">
        <v>55.84500643672478</v>
      </c>
      <c r="AR783">
        <v>7.8494069649035989</v>
      </c>
      <c r="AS783">
        <v>104.08612693970107</v>
      </c>
      <c r="AT783" t="e">
        <v>#DIV/0!</v>
      </c>
      <c r="AU783" t="e">
        <v>#DIV/0!</v>
      </c>
      <c r="AV783"/>
      <c r="AW783"/>
      <c r="FY783" s="213">
        <v>778</v>
      </c>
      <c r="FZ783">
        <v>0.58716112056924263</v>
      </c>
      <c r="GA783">
        <v>11.253338426702394</v>
      </c>
      <c r="GB783">
        <v>5.6969931789121011</v>
      </c>
      <c r="GC783">
        <v>0.92455288473654584</v>
      </c>
      <c r="GD783">
        <v>1.8043088032716177</v>
      </c>
      <c r="GE783">
        <v>2.7989443028971692</v>
      </c>
      <c r="GF783">
        <v>0.95469624988012047</v>
      </c>
      <c r="GG783">
        <v>7.646635894246403</v>
      </c>
      <c r="GH783">
        <v>10.626399582683446</v>
      </c>
      <c r="GI783">
        <v>4.4528799412228732</v>
      </c>
      <c r="GJ783"/>
      <c r="GK783"/>
      <c r="GL783"/>
      <c r="GM783"/>
      <c r="GN783" s="208"/>
      <c r="GO783" s="208"/>
      <c r="GP783" s="208"/>
      <c r="GQ783" s="208"/>
      <c r="GR783" s="208"/>
      <c r="GS783" s="208"/>
      <c r="GT783" s="208"/>
      <c r="GU783" s="213">
        <v>778</v>
      </c>
    </row>
    <row r="784" spans="1:203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28.450996308715979</v>
      </c>
      <c r="AO784">
        <v>7.0116958894361519</v>
      </c>
      <c r="AP784">
        <v>339.54711714924724</v>
      </c>
      <c r="AQ784">
        <v>42.851937213034681</v>
      </c>
      <c r="AR784">
        <v>6.5913540738340766</v>
      </c>
      <c r="AS784">
        <v>76.262603488388038</v>
      </c>
      <c r="AT784" t="e">
        <v>#DIV/0!</v>
      </c>
      <c r="AU784" t="e">
        <v>#DIV/0!</v>
      </c>
      <c r="AV784"/>
      <c r="AW784"/>
      <c r="FY784" s="213">
        <v>779</v>
      </c>
      <c r="FZ784">
        <v>2.1834373233262436</v>
      </c>
      <c r="GA784">
        <v>15.351087562821782</v>
      </c>
      <c r="GB784">
        <v>6.7807451938655667</v>
      </c>
      <c r="GC784">
        <v>1.9327560202079062</v>
      </c>
      <c r="GD784">
        <v>2.7297413104300619</v>
      </c>
      <c r="GE784">
        <v>3.1112012912396585</v>
      </c>
      <c r="GF784">
        <v>0.95469624988012047</v>
      </c>
      <c r="GG784">
        <v>3.5716101445797515</v>
      </c>
      <c r="GH784">
        <v>5.0375995162231906</v>
      </c>
      <c r="GI784">
        <v>4.7180951181462882</v>
      </c>
      <c r="GJ784"/>
      <c r="GK784"/>
      <c r="GL784"/>
      <c r="GM784"/>
      <c r="GN784" s="208"/>
      <c r="GO784" s="208"/>
      <c r="GP784" s="208"/>
      <c r="GQ784" s="208"/>
      <c r="GR784" s="208"/>
      <c r="GS784" s="208"/>
      <c r="GT784" s="208"/>
      <c r="GU784" s="213">
        <v>779</v>
      </c>
    </row>
    <row r="785" spans="1:203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36.499350439524932</v>
      </c>
      <c r="AO785">
        <v>6.7728425076459331</v>
      </c>
      <c r="AP785">
        <v>141.43163246464937</v>
      </c>
      <c r="AQ785">
        <v>43.755808640039994</v>
      </c>
      <c r="AR785">
        <v>6.2656720941241781</v>
      </c>
      <c r="AS785">
        <v>85.25767636548737</v>
      </c>
      <c r="AT785" t="e">
        <v>#DIV/0!</v>
      </c>
      <c r="AU785" t="e">
        <v>#DIV/0!</v>
      </c>
      <c r="AV785"/>
      <c r="AW785"/>
      <c r="FY785" s="213">
        <v>780</v>
      </c>
      <c r="FZ785">
        <v>2.1834373233262436</v>
      </c>
      <c r="GA785">
        <v>21.496728916671135</v>
      </c>
      <c r="GB785">
        <v>9.8536154334039416</v>
      </c>
      <c r="GC785">
        <v>0.46227644236827292</v>
      </c>
      <c r="GD785">
        <v>1.8000639338779552</v>
      </c>
      <c r="GE785">
        <v>2.9251703648431442</v>
      </c>
      <c r="GF785">
        <v>0</v>
      </c>
      <c r="GG785">
        <v>0.93204068530915563</v>
      </c>
      <c r="GH785">
        <v>1.2298924983259916</v>
      </c>
      <c r="GI785">
        <v>4.0128887721809674</v>
      </c>
      <c r="GJ785"/>
      <c r="GK785"/>
      <c r="GL785"/>
      <c r="GM785"/>
      <c r="GN785" s="208"/>
      <c r="GO785" s="208"/>
      <c r="GP785" s="208"/>
      <c r="GQ785" s="208"/>
      <c r="GR785" s="208"/>
      <c r="GS785" s="208"/>
      <c r="GT785" s="208"/>
      <c r="GU785" s="213">
        <v>780</v>
      </c>
    </row>
    <row r="786" spans="1:203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53.648074440619631</v>
      </c>
      <c r="AO786">
        <v>8.4158374506383176</v>
      </c>
      <c r="AP786">
        <v>218.71801828936759</v>
      </c>
      <c r="AQ786">
        <v>49.762220157745809</v>
      </c>
      <c r="AR786">
        <v>7.650761318762104</v>
      </c>
      <c r="AS786">
        <v>118.26271785319753</v>
      </c>
      <c r="AT786" t="e">
        <v>#DIV/0!</v>
      </c>
      <c r="AU786" t="e">
        <v>#DIV/0!</v>
      </c>
      <c r="AV786"/>
      <c r="AW786"/>
      <c r="FY786" s="213">
        <v>781</v>
      </c>
      <c r="FZ786">
        <v>3.192552405514002</v>
      </c>
      <c r="GA786">
        <v>21.431868879643982</v>
      </c>
      <c r="GB786">
        <v>8.821784491910714</v>
      </c>
      <c r="GC786">
        <v>1.5479672045308583</v>
      </c>
      <c r="GD786">
        <v>1.850005023374969</v>
      </c>
      <c r="GE786">
        <v>1.6281984210363838</v>
      </c>
      <c r="GF786">
        <v>0.47734812494006024</v>
      </c>
      <c r="GG786">
        <v>3.22209638952897</v>
      </c>
      <c r="GH786">
        <v>4.3580739356708049</v>
      </c>
      <c r="GI786">
        <v>4.5483275157942673</v>
      </c>
      <c r="GJ786"/>
      <c r="GK786"/>
      <c r="GL786"/>
      <c r="GM786"/>
      <c r="GN786" s="208"/>
      <c r="GO786" s="208"/>
      <c r="GP786" s="208"/>
      <c r="GQ786" s="208"/>
      <c r="GR786" s="208"/>
      <c r="GS786" s="208"/>
      <c r="GT786" s="208"/>
      <c r="GU786" s="213">
        <v>781</v>
      </c>
    </row>
    <row r="787" spans="1:203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34.758193488238675</v>
      </c>
      <c r="AO787">
        <v>8.4395002750751864</v>
      </c>
      <c r="AP787">
        <v>416.89595870799275</v>
      </c>
      <c r="AQ787">
        <v>54.929393013271742</v>
      </c>
      <c r="AR787">
        <v>7.6722729773410769</v>
      </c>
      <c r="AS787">
        <v>95.32451306594966</v>
      </c>
      <c r="AT787" t="e">
        <v>#DIV/0!</v>
      </c>
      <c r="AU787" t="e">
        <v>#DIV/0!</v>
      </c>
      <c r="AV787"/>
      <c r="AW787"/>
      <c r="FY787" s="213">
        <v>782</v>
      </c>
      <c r="FZ787">
        <v>1.596276202757001</v>
      </c>
      <c r="GA787">
        <v>15.447592255021013</v>
      </c>
      <c r="GB787">
        <v>6.7391231976231216</v>
      </c>
      <c r="GC787">
        <v>1.8060827127808228</v>
      </c>
      <c r="GD787">
        <v>1.5811954214503063</v>
      </c>
      <c r="GE787">
        <v>0.68236449163595569</v>
      </c>
      <c r="GF787">
        <v>0.47734812494006024</v>
      </c>
      <c r="GG787">
        <v>1.8917088020808825</v>
      </c>
      <c r="GH787">
        <v>2.6012010516395971</v>
      </c>
      <c r="GI787">
        <v>3.3651389060171959</v>
      </c>
      <c r="GJ787"/>
      <c r="GK787"/>
      <c r="GL787"/>
      <c r="GM787"/>
      <c r="GN787" s="208"/>
      <c r="GO787" s="208"/>
      <c r="GP787" s="208"/>
      <c r="GQ787" s="208"/>
      <c r="GR787" s="208"/>
      <c r="GS787" s="208"/>
      <c r="GT787" s="208"/>
      <c r="GU787" s="213">
        <v>782</v>
      </c>
    </row>
    <row r="788" spans="1:203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21.659329642049308</v>
      </c>
      <c r="AO788">
        <v>6.5280075140256715</v>
      </c>
      <c r="AP788">
        <v>217.24774213560224</v>
      </c>
      <c r="AQ788">
        <v>43.16936552391131</v>
      </c>
      <c r="AR788">
        <v>6.0430948271966702</v>
      </c>
      <c r="AS788">
        <v>68.538585950709077</v>
      </c>
      <c r="AT788" t="e">
        <v>#DIV/0!</v>
      </c>
      <c r="AU788" t="e">
        <v>#DIV/0!</v>
      </c>
      <c r="AV788"/>
      <c r="AW788"/>
      <c r="FY788" s="213">
        <v>783</v>
      </c>
      <c r="FZ788">
        <v>3.944920685033972</v>
      </c>
      <c r="GA788">
        <v>16.402149412419568</v>
      </c>
      <c r="GB788">
        <v>7.2228846790272172</v>
      </c>
      <c r="GC788">
        <v>1.233286241574443</v>
      </c>
      <c r="GD788">
        <v>2.0997877903714794</v>
      </c>
      <c r="GE788">
        <v>2.628504311162704</v>
      </c>
      <c r="GF788">
        <v>0.47734812494006024</v>
      </c>
      <c r="GG788">
        <v>1.8917088020808825</v>
      </c>
      <c r="GH788">
        <v>2.6012010516395971</v>
      </c>
      <c r="GI788">
        <v>4.1913225832348733</v>
      </c>
      <c r="GJ788"/>
      <c r="GK788"/>
      <c r="GL788"/>
      <c r="GM788"/>
      <c r="GN788" s="208"/>
      <c r="GO788" s="208"/>
      <c r="GP788" s="208"/>
      <c r="GQ788" s="208"/>
      <c r="GR788" s="208"/>
      <c r="GS788" s="208"/>
      <c r="GT788" s="208"/>
      <c r="GU788" s="213">
        <v>783</v>
      </c>
    </row>
    <row r="789" spans="1:203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27.2507530120482</v>
      </c>
      <c r="AO789">
        <v>8.6849604367592423</v>
      </c>
      <c r="AP789">
        <v>439.12447952393757</v>
      </c>
      <c r="AQ789">
        <v>55.109543037503585</v>
      </c>
      <c r="AR789">
        <v>8.0582323914502183</v>
      </c>
      <c r="AS789">
        <v>93.724061605359083</v>
      </c>
      <c r="AT789" t="e">
        <v>#DIV/0!</v>
      </c>
      <c r="AU789" t="e">
        <v>#DIV/0!</v>
      </c>
      <c r="AV789"/>
      <c r="AW789"/>
      <c r="FY789" s="213">
        <v>784</v>
      </c>
      <c r="FZ789">
        <v>2.1834373233262436</v>
      </c>
      <c r="GA789">
        <v>20.1040892459663</v>
      </c>
      <c r="GB789">
        <v>9.0972798438860494</v>
      </c>
      <c r="GC789">
        <v>1.3228840984277752</v>
      </c>
      <c r="GD789">
        <v>1.8941518586570978</v>
      </c>
      <c r="GE789">
        <v>2.365034873398232</v>
      </c>
      <c r="GF789">
        <v>0.95469624988012047</v>
      </c>
      <c r="GG789">
        <v>4.7952589753937938</v>
      </c>
      <c r="GH789">
        <v>6.6538899777302429</v>
      </c>
      <c r="GI789">
        <v>5.033674644537987</v>
      </c>
      <c r="GJ789"/>
      <c r="GK789"/>
      <c r="GL789"/>
      <c r="GM789"/>
      <c r="GN789" s="208"/>
      <c r="GO789" s="208"/>
      <c r="GP789" s="208"/>
      <c r="GQ789" s="208"/>
      <c r="GR789" s="208"/>
      <c r="GS789" s="208"/>
      <c r="GT789" s="208"/>
      <c r="GU789" s="213">
        <v>784</v>
      </c>
    </row>
    <row r="790" spans="1:203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22.802083333333332</v>
      </c>
      <c r="AO790">
        <v>7.5988174964216864</v>
      </c>
      <c r="AP790">
        <v>169.66396620441776</v>
      </c>
      <c r="AQ790">
        <v>56.705353841240175</v>
      </c>
      <c r="AR790">
        <v>6.908015905837896</v>
      </c>
      <c r="AS790">
        <v>78.395619430930267</v>
      </c>
      <c r="AT790" t="e">
        <v>#DIV/0!</v>
      </c>
      <c r="AU790" t="e">
        <v>#DIV/0!</v>
      </c>
      <c r="AV790"/>
      <c r="AW790"/>
      <c r="FY790" s="213">
        <v>785</v>
      </c>
      <c r="FZ790">
        <v>3.7797135260832437</v>
      </c>
      <c r="GA790">
        <v>17.72712632365198</v>
      </c>
      <c r="GB790">
        <v>7.0810484005778127</v>
      </c>
      <c r="GC790">
        <v>2.6788005990024315</v>
      </c>
      <c r="GD790">
        <v>3.1627117934208284</v>
      </c>
      <c r="GE790">
        <v>2.5261588824848689</v>
      </c>
      <c r="GF790">
        <v>0.47734812494006024</v>
      </c>
      <c r="GG790">
        <v>3.9716271004047594</v>
      </c>
      <c r="GH790">
        <v>5.6809421599207131</v>
      </c>
      <c r="GI790">
        <v>5.1553259023331703</v>
      </c>
      <c r="GJ790"/>
      <c r="GK790"/>
      <c r="GL790"/>
      <c r="GM790"/>
      <c r="GN790" s="208"/>
      <c r="GO790" s="208"/>
      <c r="GP790" s="208"/>
      <c r="GQ790" s="208"/>
      <c r="GR790" s="208"/>
      <c r="GS790" s="208"/>
      <c r="GT790" s="208"/>
      <c r="GU790" s="213">
        <v>785</v>
      </c>
    </row>
    <row r="791" spans="1:203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33.734469487143983</v>
      </c>
      <c r="AO791">
        <v>8.2289846617226523</v>
      </c>
      <c r="AP791">
        <v>196.55718626109996</v>
      </c>
      <c r="AQ791">
        <v>51.621450620245795</v>
      </c>
      <c r="AR791">
        <v>7.4808951470205942</v>
      </c>
      <c r="AS791">
        <v>90.959608739380101</v>
      </c>
      <c r="AT791" t="e">
        <v>#DIV/0!</v>
      </c>
      <c r="AU791" t="e">
        <v>#DIV/0!</v>
      </c>
      <c r="AV791"/>
      <c r="AW791"/>
      <c r="FY791" s="213">
        <v>786</v>
      </c>
      <c r="FZ791">
        <v>1.596276202757001</v>
      </c>
      <c r="GA791">
        <v>8.8593941229850923</v>
      </c>
      <c r="GB791">
        <v>3.4448299050779361</v>
      </c>
      <c r="GC791">
        <v>1.5479672045308583</v>
      </c>
      <c r="GD791">
        <v>2.2412617467853377</v>
      </c>
      <c r="GE791">
        <v>2.7215197743609618</v>
      </c>
      <c r="GF791">
        <v>0.95469624988012047</v>
      </c>
      <c r="GG791">
        <v>2.3967944608538589</v>
      </c>
      <c r="GH791">
        <v>3.2687638598689679</v>
      </c>
      <c r="GI791">
        <v>3.2405656928133064</v>
      </c>
      <c r="GJ791"/>
      <c r="GK791"/>
      <c r="GL791"/>
      <c r="GM791"/>
      <c r="GN791" s="208"/>
      <c r="GO791" s="208"/>
      <c r="GP791" s="208"/>
      <c r="GQ791" s="208"/>
      <c r="GR791" s="208"/>
      <c r="GS791" s="208"/>
      <c r="GT791" s="208"/>
      <c r="GU791" s="213">
        <v>786</v>
      </c>
    </row>
    <row r="792" spans="1:203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37.410714285714292</v>
      </c>
      <c r="AO792">
        <v>7.9561816029672885</v>
      </c>
      <c r="AP792">
        <v>406.69741267785059</v>
      </c>
      <c r="AQ792">
        <v>53.154971269690662</v>
      </c>
      <c r="AR792">
        <v>7.2871636371932933</v>
      </c>
      <c r="AS792">
        <v>97.827306758743674</v>
      </c>
      <c r="AT792" t="e">
        <v>#DIV/0!</v>
      </c>
      <c r="AU792" t="e">
        <v>#DIV/0!</v>
      </c>
      <c r="AV792"/>
      <c r="AW792"/>
      <c r="FY792" s="213">
        <v>787</v>
      </c>
      <c r="FZ792">
        <v>3.3577595644647293</v>
      </c>
      <c r="GA792">
        <v>16.569452442330004</v>
      </c>
      <c r="GB792">
        <v>7.3989651203628171</v>
      </c>
      <c r="GC792">
        <v>3.0440994105467793</v>
      </c>
      <c r="GD792">
        <v>3.0003053102089554</v>
      </c>
      <c r="GE792">
        <v>1.335515446279125</v>
      </c>
      <c r="GF792">
        <v>0</v>
      </c>
      <c r="GG792">
        <v>0.21347751326808947</v>
      </c>
      <c r="GH792">
        <v>0.28116484504831013</v>
      </c>
      <c r="GI792">
        <v>4.1024801236781219</v>
      </c>
      <c r="GJ792"/>
      <c r="GK792"/>
      <c r="GL792"/>
      <c r="GM792"/>
      <c r="GN792" s="208"/>
      <c r="GO792" s="208"/>
      <c r="GP792" s="208"/>
      <c r="GQ792" s="208"/>
      <c r="GR792" s="208"/>
      <c r="GS792" s="208"/>
      <c r="GT792" s="208"/>
      <c r="GU792" s="213">
        <v>787</v>
      </c>
    </row>
    <row r="793" spans="1:203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21.942049808429118</v>
      </c>
      <c r="AO793">
        <v>6.5183628629817107</v>
      </c>
      <c r="AP793">
        <v>180.37478763273421</v>
      </c>
      <c r="AQ793">
        <v>42.275625604227876</v>
      </c>
      <c r="AR793">
        <v>5.9257844208924633</v>
      </c>
      <c r="AS793">
        <v>65.669522920615265</v>
      </c>
      <c r="AT793" t="e">
        <v>#DIV/0!</v>
      </c>
      <c r="AU793" t="e">
        <v>#DIV/0!</v>
      </c>
      <c r="AV793"/>
      <c r="AW793"/>
      <c r="FY793" s="213">
        <v>788</v>
      </c>
      <c r="FZ793">
        <v>1.1743222411384853</v>
      </c>
      <c r="GA793">
        <v>15.769288252871663</v>
      </c>
      <c r="GB793">
        <v>7.9433773625244637</v>
      </c>
      <c r="GC793">
        <v>1.1752886190159173</v>
      </c>
      <c r="GD793">
        <v>2.7395025453494899</v>
      </c>
      <c r="GE793">
        <v>4.0184917181677218</v>
      </c>
      <c r="GF793">
        <v>0.47734812494006024</v>
      </c>
      <c r="GG793">
        <v>5.5431196325835081</v>
      </c>
      <c r="GH793">
        <v>7.8603959439878439</v>
      </c>
      <c r="GI793">
        <v>5.2324454812151142</v>
      </c>
      <c r="GJ793"/>
      <c r="GK793"/>
      <c r="GL793"/>
      <c r="GM793"/>
      <c r="GN793" s="208"/>
      <c r="GO793" s="208"/>
      <c r="GP793" s="208"/>
      <c r="GQ793" s="208"/>
      <c r="GR793" s="208"/>
      <c r="GS793" s="208"/>
      <c r="GT793" s="208"/>
      <c r="GU793" s="213">
        <v>788</v>
      </c>
    </row>
    <row r="794" spans="1:203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28.421969487143969</v>
      </c>
      <c r="AO794">
        <v>6.9079229136235352</v>
      </c>
      <c r="AP794">
        <v>348.43120378231276</v>
      </c>
      <c r="AQ794">
        <v>46.745910385121917</v>
      </c>
      <c r="AR794">
        <v>6.3342011923353336</v>
      </c>
      <c r="AS794">
        <v>79.343910049388469</v>
      </c>
      <c r="AT794" t="e">
        <v>#DIV/0!</v>
      </c>
      <c r="AU794" t="e">
        <v>#DIV/0!</v>
      </c>
      <c r="AV794"/>
      <c r="AW794"/>
      <c r="FY794" s="213">
        <v>789</v>
      </c>
      <c r="FZ794">
        <v>1.1743222411384853</v>
      </c>
      <c r="GA794">
        <v>14.772360165331335</v>
      </c>
      <c r="GB794">
        <v>7.3887294406463084</v>
      </c>
      <c r="GC794">
        <v>1.4003717251190004</v>
      </c>
      <c r="GD794">
        <v>1.4284108452957982</v>
      </c>
      <c r="GE794">
        <v>1.2969579609750101</v>
      </c>
      <c r="GF794">
        <v>0.95469624988012047</v>
      </c>
      <c r="GG794">
        <v>5.2498414333925441</v>
      </c>
      <c r="GH794">
        <v>7.3576357228144769</v>
      </c>
      <c r="GI794">
        <v>4.2413801802226132</v>
      </c>
      <c r="GJ794"/>
      <c r="GK794"/>
      <c r="GL794"/>
      <c r="GM794"/>
      <c r="GN794" s="208"/>
      <c r="GO794" s="208"/>
      <c r="GP794" s="208"/>
      <c r="GQ794" s="208"/>
      <c r="GR794" s="208"/>
      <c r="GS794" s="208"/>
      <c r="GT794" s="208"/>
      <c r="GU794" s="213">
        <v>789</v>
      </c>
    </row>
    <row r="795" spans="1:203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30.630970309810682</v>
      </c>
      <c r="AO795">
        <v>7.3284454720800785</v>
      </c>
      <c r="AP795">
        <v>180.55546575804539</v>
      </c>
      <c r="AQ795">
        <v>46.370969730720567</v>
      </c>
      <c r="AR795">
        <v>6.7164944272958289</v>
      </c>
      <c r="AS795">
        <v>86.792978164809867</v>
      </c>
      <c r="AT795" t="e">
        <v>#DIV/0!</v>
      </c>
      <c r="AU795" t="e">
        <v>#DIV/0!</v>
      </c>
      <c r="AV795"/>
      <c r="AW795"/>
      <c r="FY795" s="213">
        <v>790</v>
      </c>
      <c r="FZ795">
        <v>3.7797135260832437</v>
      </c>
      <c r="GA795">
        <v>18.549779619995697</v>
      </c>
      <c r="GB795">
        <v>7.4975806594353305</v>
      </c>
      <c r="GC795">
        <v>1.3302638723983682</v>
      </c>
      <c r="GD795">
        <v>1.9905615930092064</v>
      </c>
      <c r="GE795">
        <v>1.9594388810977574</v>
      </c>
      <c r="GF795">
        <v>0</v>
      </c>
      <c r="GG795">
        <v>0.61182441540702126</v>
      </c>
      <c r="GH795">
        <v>0.80814523075352618</v>
      </c>
      <c r="GI795">
        <v>3.6841343810741987</v>
      </c>
      <c r="GJ795"/>
      <c r="GK795"/>
      <c r="GL795"/>
      <c r="GM795"/>
      <c r="GN795" s="208"/>
      <c r="GO795" s="208"/>
      <c r="GP795" s="208"/>
      <c r="GQ795" s="208"/>
      <c r="GR795" s="208"/>
      <c r="GS795" s="208"/>
      <c r="GT795" s="208"/>
      <c r="GU795" s="213">
        <v>790</v>
      </c>
    </row>
    <row r="796" spans="1:203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31.725558844573698</v>
      </c>
      <c r="AO796">
        <v>6.0288592328840735</v>
      </c>
      <c r="AP796">
        <v>33.308697465308406</v>
      </c>
      <c r="AQ796">
        <v>44.896114370306812</v>
      </c>
      <c r="AR796">
        <v>5.5350523916630969</v>
      </c>
      <c r="AS796">
        <v>76.089935111469217</v>
      </c>
      <c r="AT796" t="e">
        <v>#DIV/0!</v>
      </c>
      <c r="AU796" t="e">
        <v>#DIV/0!</v>
      </c>
      <c r="AV796"/>
      <c r="AW796"/>
      <c r="FY796" s="213">
        <v>791</v>
      </c>
      <c r="FZ796">
        <v>0.58716112056924263</v>
      </c>
      <c r="GA796">
        <v>16.972343293411924</v>
      </c>
      <c r="GB796">
        <v>8.4081734769147385</v>
      </c>
      <c r="GC796">
        <v>1.1631783888538108</v>
      </c>
      <c r="GD796">
        <v>0.92797927568749805</v>
      </c>
      <c r="GE796">
        <v>6.7771022296901365E-2</v>
      </c>
      <c r="GF796">
        <v>0</v>
      </c>
      <c r="GG796">
        <v>3.9716271004047594</v>
      </c>
      <c r="GH796">
        <v>5.6809421599207131</v>
      </c>
      <c r="GI796">
        <v>3.6893550738326102</v>
      </c>
      <c r="GJ796"/>
      <c r="GK796"/>
      <c r="GL796"/>
      <c r="GM796"/>
      <c r="GN796" s="208"/>
      <c r="GO796" s="208"/>
      <c r="GP796" s="208"/>
      <c r="GQ796" s="208"/>
      <c r="GR796" s="208"/>
      <c r="GS796" s="208"/>
      <c r="GT796" s="208"/>
      <c r="GU796" s="213">
        <v>791</v>
      </c>
    </row>
    <row r="797" spans="1:203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33.879653260002243</v>
      </c>
      <c r="AO797">
        <v>6.9873285770619846</v>
      </c>
      <c r="AP797">
        <v>167.25770669663655</v>
      </c>
      <c r="AQ797">
        <v>51.078222391945012</v>
      </c>
      <c r="AR797">
        <v>6.352116888238168</v>
      </c>
      <c r="AS797">
        <v>96.807397529822566</v>
      </c>
      <c r="AT797" t="e">
        <v>#DIV/0!</v>
      </c>
      <c r="AU797" t="e">
        <v>#DIV/0!</v>
      </c>
      <c r="AV797"/>
      <c r="AW797"/>
      <c r="FY797" s="213">
        <v>792</v>
      </c>
      <c r="FZ797">
        <v>3.192552405514002</v>
      </c>
      <c r="GA797">
        <v>18.420678481386133</v>
      </c>
      <c r="GB797">
        <v>7.2966923633628227</v>
      </c>
      <c r="GC797">
        <v>2.8965039311349217</v>
      </c>
      <c r="GD797">
        <v>2.4532085772995695</v>
      </c>
      <c r="GE797">
        <v>0.45745253917559825</v>
      </c>
      <c r="GF797">
        <v>0</v>
      </c>
      <c r="GG797">
        <v>5.5936228333577338</v>
      </c>
      <c r="GH797">
        <v>7.8242130071329807</v>
      </c>
      <c r="GI797">
        <v>4.9940187565777068</v>
      </c>
      <c r="GJ797"/>
      <c r="GK797"/>
      <c r="GL797"/>
      <c r="GM797"/>
      <c r="GN797" s="208"/>
      <c r="GO797" s="208"/>
      <c r="GP797" s="208"/>
      <c r="GQ797" s="208"/>
      <c r="GR797" s="208"/>
      <c r="GS797" s="208"/>
      <c r="GT797" s="208"/>
      <c r="GU797" s="213">
        <v>792</v>
      </c>
    </row>
    <row r="798" spans="1:203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25.362360154905339</v>
      </c>
      <c r="AO798">
        <v>5.2027490927036508</v>
      </c>
      <c r="AP798">
        <v>128.49244172923244</v>
      </c>
      <c r="AQ798">
        <v>36.188031165945958</v>
      </c>
      <c r="AR798">
        <v>4.7297719024578644</v>
      </c>
      <c r="AS798">
        <v>61.864834269268286</v>
      </c>
      <c r="AT798" t="e">
        <v>#DIV/0!</v>
      </c>
      <c r="AU798" t="e">
        <v>#DIV/0!</v>
      </c>
      <c r="AV798"/>
      <c r="AW798"/>
      <c r="FY798" s="213">
        <v>793</v>
      </c>
      <c r="FZ798">
        <v>2.1834373233262436</v>
      </c>
      <c r="GA798">
        <v>13.647794974985215</v>
      </c>
      <c r="GB798">
        <v>5.8702157738874421</v>
      </c>
      <c r="GC798">
        <v>1.4003717251190004</v>
      </c>
      <c r="GD798">
        <v>2.6951302362937657</v>
      </c>
      <c r="GE798">
        <v>3.285300821137576</v>
      </c>
      <c r="GF798">
        <v>0</v>
      </c>
      <c r="GG798">
        <v>3.3288351461630148</v>
      </c>
      <c r="GH798">
        <v>4.4986563581949595</v>
      </c>
      <c r="GI798">
        <v>4.1882172470763255</v>
      </c>
      <c r="GJ798"/>
      <c r="GK798"/>
      <c r="GL798"/>
      <c r="GM798"/>
      <c r="GN798" s="208"/>
      <c r="GO798" s="208"/>
      <c r="GP798" s="208"/>
      <c r="GQ798" s="208"/>
      <c r="GR798" s="208"/>
      <c r="GS798" s="208"/>
      <c r="GT798" s="208"/>
      <c r="GU798" s="213">
        <v>793</v>
      </c>
    </row>
    <row r="799" spans="1:203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25.52307444061962</v>
      </c>
      <c r="AO799">
        <v>6.2538675382729707</v>
      </c>
      <c r="AP799">
        <v>103.59342300078364</v>
      </c>
      <c r="AQ799">
        <v>42.693113681484796</v>
      </c>
      <c r="AR799">
        <v>5.9024192091402732</v>
      </c>
      <c r="AS799">
        <v>77.58157806386636</v>
      </c>
      <c r="AT799" t="e">
        <v>#DIV/0!</v>
      </c>
      <c r="AU799" t="e">
        <v>#DIV/0!</v>
      </c>
      <c r="AV799"/>
      <c r="AW799"/>
      <c r="FY799" s="213">
        <v>794</v>
      </c>
      <c r="FZ799">
        <v>1.596276202757001</v>
      </c>
      <c r="GA799">
        <v>16.386534347412212</v>
      </c>
      <c r="GB799">
        <v>7.2163062172381913</v>
      </c>
      <c r="GC799">
        <v>0.86060765605950218</v>
      </c>
      <c r="GD799">
        <v>1.5050290252706831</v>
      </c>
      <c r="GE799">
        <v>2.0045808763440718</v>
      </c>
      <c r="GF799">
        <v>0.47734812494006024</v>
      </c>
      <c r="GG799">
        <v>3.7271820483019464</v>
      </c>
      <c r="GH799">
        <v>5.0256367439001757</v>
      </c>
      <c r="GI799">
        <v>3.8842167102506133</v>
      </c>
      <c r="GJ799"/>
      <c r="GK799"/>
      <c r="GL799"/>
      <c r="GM799"/>
      <c r="GN799" s="208"/>
      <c r="GO799" s="208"/>
      <c r="GP799" s="208"/>
      <c r="GQ799" s="208"/>
      <c r="GR799" s="208"/>
      <c r="GS799" s="208"/>
      <c r="GT799" s="208"/>
      <c r="GU799" s="213">
        <v>794</v>
      </c>
    </row>
    <row r="800" spans="1:203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30.809712783811761</v>
      </c>
      <c r="AO800">
        <v>7.8188717925308806</v>
      </c>
      <c r="AP800">
        <v>167.33891640544388</v>
      </c>
      <c r="AQ800">
        <v>54.404397091203847</v>
      </c>
      <c r="AR800">
        <v>7.1623365367965581</v>
      </c>
      <c r="AS800">
        <v>78.365862980670627</v>
      </c>
      <c r="AT800" t="e">
        <v>#DIV/0!</v>
      </c>
      <c r="AU800" t="e">
        <v>#DIV/0!</v>
      </c>
      <c r="AV800"/>
      <c r="AW800"/>
      <c r="FY800" s="213">
        <v>795</v>
      </c>
      <c r="FZ800">
        <v>3.192552405514002</v>
      </c>
      <c r="GA800">
        <v>19.78239324811565</v>
      </c>
      <c r="GB800">
        <v>7.8930256789847073</v>
      </c>
      <c r="GC800">
        <v>0.94547505672132059</v>
      </c>
      <c r="GD800">
        <v>1.7193934516682363</v>
      </c>
      <c r="GE800">
        <v>2.01391084182365</v>
      </c>
      <c r="GF800">
        <v>0</v>
      </c>
      <c r="GG800">
        <v>2.3967944608538589</v>
      </c>
      <c r="GH800">
        <v>3.2687638598689679</v>
      </c>
      <c r="GI800">
        <v>4.0628343001987544</v>
      </c>
      <c r="GJ800"/>
      <c r="GK800"/>
      <c r="GL800"/>
      <c r="GM800"/>
      <c r="GN800" s="208"/>
      <c r="GO800" s="208"/>
      <c r="GP800" s="208"/>
      <c r="GQ800" s="208"/>
      <c r="GR800" s="208"/>
      <c r="GS800" s="208"/>
      <c r="GT800" s="208"/>
      <c r="GU800" s="213">
        <v>795</v>
      </c>
    </row>
    <row r="801" spans="1:203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45.828972499192169</v>
      </c>
      <c r="AO801">
        <v>7.9172434808967438</v>
      </c>
      <c r="AP801">
        <v>203.55220420464437</v>
      </c>
      <c r="AQ801">
        <v>52.240802812819865</v>
      </c>
      <c r="AR801">
        <v>7.2517653444018855</v>
      </c>
      <c r="AS801">
        <v>112.11084647431093</v>
      </c>
      <c r="AT801" t="e">
        <v>#DIV/0!</v>
      </c>
      <c r="AU801" t="e">
        <v>#DIV/0!</v>
      </c>
      <c r="AV801"/>
      <c r="AW801"/>
      <c r="FY801" s="213">
        <v>796</v>
      </c>
      <c r="FZ801">
        <v>1.596276202757001</v>
      </c>
      <c r="GA801">
        <v>21.713996669798131</v>
      </c>
      <c r="GB801">
        <v>9.8214931428120629</v>
      </c>
      <c r="GC801">
        <v>2.5621179461207362</v>
      </c>
      <c r="GD801">
        <v>2.8140969556173805</v>
      </c>
      <c r="GE801">
        <v>1.7118979015868132</v>
      </c>
      <c r="GF801">
        <v>0</v>
      </c>
      <c r="GG801">
        <v>2.3967944608538589</v>
      </c>
      <c r="GH801">
        <v>3.2687638598689679</v>
      </c>
      <c r="GI801">
        <v>4.9265477741956909</v>
      </c>
      <c r="GJ801"/>
      <c r="GK801"/>
      <c r="GL801"/>
      <c r="GM801"/>
      <c r="GN801" s="208"/>
      <c r="GO801" s="208"/>
      <c r="GP801" s="208"/>
      <c r="GQ801" s="208"/>
      <c r="GR801" s="208"/>
      <c r="GS801" s="208"/>
      <c r="GT801" s="208"/>
      <c r="GU801" s="213">
        <v>796</v>
      </c>
    </row>
    <row r="802" spans="1:203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20.206930760810074</v>
      </c>
      <c r="AO802">
        <v>5.0831720109260985</v>
      </c>
      <c r="AP802">
        <v>151.59735044487661</v>
      </c>
      <c r="AQ802">
        <v>30.272069219913444</v>
      </c>
      <c r="AR802">
        <v>4.6210654644782725</v>
      </c>
      <c r="AS802">
        <v>58.832085372154729</v>
      </c>
      <c r="AT802" t="e">
        <v>#DIV/0!</v>
      </c>
      <c r="AU802" t="e">
        <v>#DIV/0!</v>
      </c>
      <c r="AV802"/>
      <c r="AW802"/>
      <c r="FY802" s="213">
        <v>797</v>
      </c>
      <c r="FZ802">
        <v>1.596276202757001</v>
      </c>
      <c r="GA802">
        <v>17.46602360457943</v>
      </c>
      <c r="GB802">
        <v>7.8052616995038271</v>
      </c>
      <c r="GC802">
        <v>1.1752886190159173</v>
      </c>
      <c r="GD802">
        <v>1.9296741705896938</v>
      </c>
      <c r="GE802">
        <v>2.0816818641205512</v>
      </c>
      <c r="GF802">
        <v>0</v>
      </c>
      <c r="GG802">
        <v>1.7849700454468378</v>
      </c>
      <c r="GH802">
        <v>2.4606186291154417</v>
      </c>
      <c r="GI802">
        <v>3.7598948044017391</v>
      </c>
      <c r="GJ802"/>
      <c r="GK802"/>
      <c r="GL802"/>
      <c r="GM802"/>
      <c r="GN802" s="208"/>
      <c r="GO802" s="208"/>
      <c r="GP802" s="208"/>
      <c r="GQ802" s="208"/>
      <c r="GR802" s="208"/>
      <c r="GS802" s="208"/>
      <c r="GT802" s="208"/>
      <c r="GU802" s="213">
        <v>797</v>
      </c>
    </row>
    <row r="803" spans="1:203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41.71132745266781</v>
      </c>
      <c r="AO803">
        <v>6.0062750144734336</v>
      </c>
      <c r="AP803">
        <v>107.70311324088384</v>
      </c>
      <c r="AQ803">
        <v>39.303219776186928</v>
      </c>
      <c r="AR803">
        <v>5.6230638257358461</v>
      </c>
      <c r="AS803">
        <v>104.76136319191994</v>
      </c>
      <c r="AT803" t="e">
        <v>#DIV/0!</v>
      </c>
      <c r="AU803" t="e">
        <v>#DIV/0!</v>
      </c>
      <c r="AV803"/>
      <c r="AW803"/>
      <c r="FY803" s="213">
        <v>798</v>
      </c>
      <c r="FZ803">
        <v>3.3577595644647293</v>
      </c>
      <c r="GA803">
        <v>17.391056228027328</v>
      </c>
      <c r="GB803">
        <v>7.4918649667148145</v>
      </c>
      <c r="GC803">
        <v>0.83495502788321374</v>
      </c>
      <c r="GD803">
        <v>1.2011930207909658</v>
      </c>
      <c r="GE803">
        <v>2.0138968589918997</v>
      </c>
      <c r="GF803">
        <v>1.432044374820181</v>
      </c>
      <c r="GG803">
        <v>1.3303875874480875</v>
      </c>
      <c r="GH803">
        <v>1.7568728840312078</v>
      </c>
      <c r="GI803">
        <v>3.7724737905198173</v>
      </c>
      <c r="GJ803"/>
      <c r="GK803"/>
      <c r="GL803"/>
      <c r="GM803"/>
      <c r="GN803" s="208"/>
      <c r="GO803" s="208"/>
      <c r="GP803" s="208"/>
      <c r="GQ803" s="208"/>
      <c r="GR803" s="208"/>
      <c r="GS803" s="208"/>
      <c r="GT803" s="208"/>
      <c r="GU803" s="213">
        <v>798</v>
      </c>
    </row>
    <row r="804" spans="1:203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29.879549808429118</v>
      </c>
      <c r="AO804">
        <v>8.136801628155542</v>
      </c>
      <c r="AP804">
        <v>381.79843815215031</v>
      </c>
      <c r="AQ804">
        <v>51.933579921794262</v>
      </c>
      <c r="AR804">
        <v>7.5056349309510972</v>
      </c>
      <c r="AS804">
        <v>88.241374537883161</v>
      </c>
      <c r="AT804" t="e">
        <v>#DIV/0!</v>
      </c>
      <c r="AU804" t="e">
        <v>#DIV/0!</v>
      </c>
      <c r="AV804"/>
      <c r="AW804"/>
      <c r="FY804" s="213">
        <v>799</v>
      </c>
      <c r="FZ804">
        <v>2.7705984438954863</v>
      </c>
      <c r="GA804">
        <v>18.051625043947897</v>
      </c>
      <c r="GB804">
        <v>8.151643491953223</v>
      </c>
      <c r="GC804">
        <v>0.1475954794118578</v>
      </c>
      <c r="GD804">
        <v>1.0810475577013736</v>
      </c>
      <c r="GE804">
        <v>2.837487805369534</v>
      </c>
      <c r="GF804">
        <v>1.432044374820181</v>
      </c>
      <c r="GG804">
        <v>3.8648883437707147</v>
      </c>
      <c r="GH804">
        <v>5.5403597373965576</v>
      </c>
      <c r="GI804">
        <v>4.2687348547021973</v>
      </c>
      <c r="GJ804"/>
      <c r="GK804"/>
      <c r="GL804"/>
      <c r="GM804"/>
      <c r="GN804" s="208"/>
      <c r="GO804" s="208"/>
      <c r="GP804" s="208"/>
      <c r="GQ804" s="208"/>
      <c r="GR804" s="208"/>
      <c r="GS804" s="208"/>
      <c r="GT804" s="208"/>
      <c r="GU804" s="213">
        <v>799</v>
      </c>
    </row>
    <row r="805" spans="1:203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26.654026821572007</v>
      </c>
      <c r="AO805">
        <v>6.5417072093960957</v>
      </c>
      <c r="AP805">
        <v>349.91395983778426</v>
      </c>
      <c r="AQ805">
        <v>45.264705964815697</v>
      </c>
      <c r="AR805">
        <v>6.0555490957152376</v>
      </c>
      <c r="AS805">
        <v>77.575106750131724</v>
      </c>
      <c r="AT805" t="e">
        <v>#DIV/0!</v>
      </c>
      <c r="AU805" t="e">
        <v>#DIV/0!</v>
      </c>
      <c r="AV805"/>
      <c r="AW805"/>
      <c r="FY805" s="213">
        <v>800</v>
      </c>
      <c r="FZ805">
        <v>0.58716112056924263</v>
      </c>
      <c r="GA805">
        <v>12.766741158334996</v>
      </c>
      <c r="GB805">
        <v>6.4628284740805597</v>
      </c>
      <c r="GC805">
        <v>1.1752886190159173</v>
      </c>
      <c r="GD805">
        <v>1.9545466108970722</v>
      </c>
      <c r="GE805">
        <v>2.4288367996037028</v>
      </c>
      <c r="GF805">
        <v>0.47734812494006024</v>
      </c>
      <c r="GG805">
        <v>6.5785589671545566</v>
      </c>
      <c r="GH805">
        <v>8.9981463488533784</v>
      </c>
      <c r="GI805">
        <v>4.4773398929125889</v>
      </c>
      <c r="GJ805"/>
      <c r="GK805"/>
      <c r="GL805"/>
      <c r="GM805"/>
      <c r="GN805" s="208"/>
      <c r="GO805" s="208"/>
      <c r="GP805" s="208"/>
      <c r="GQ805" s="208"/>
      <c r="GR805" s="208"/>
      <c r="GS805" s="208"/>
      <c r="GT805" s="208"/>
      <c r="GU805" s="213">
        <v>800</v>
      </c>
    </row>
    <row r="806" spans="1:203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30.952466475095783</v>
      </c>
      <c r="AO806">
        <v>5.4886089413385735</v>
      </c>
      <c r="AP806">
        <v>58.146342669545334</v>
      </c>
      <c r="AQ806">
        <v>40.211442179254348</v>
      </c>
      <c r="AR806">
        <v>5.0439157629853693</v>
      </c>
      <c r="AS806">
        <v>77.415672385090502</v>
      </c>
      <c r="AT806" t="e">
        <v>#DIV/0!</v>
      </c>
      <c r="AU806" t="e">
        <v>#DIV/0!</v>
      </c>
      <c r="AV806"/>
      <c r="AW806"/>
      <c r="FY806" s="213">
        <v>801</v>
      </c>
      <c r="FZ806">
        <v>1.596276202757001</v>
      </c>
      <c r="GA806">
        <v>15.932836769098579</v>
      </c>
      <c r="GB806">
        <v>6.9371536473353723</v>
      </c>
      <c r="GC806">
        <v>1.9462984182220877</v>
      </c>
      <c r="GD806">
        <v>2.4306582561288916</v>
      </c>
      <c r="GE806">
        <v>2.1843508335581148</v>
      </c>
      <c r="GF806">
        <v>0.47734812494006024</v>
      </c>
      <c r="GG806">
        <v>6.9280727222053375</v>
      </c>
      <c r="GH806">
        <v>9.6776719294057649</v>
      </c>
      <c r="GI806">
        <v>5.0713607748256013</v>
      </c>
      <c r="GJ806"/>
      <c r="GK806"/>
      <c r="GL806"/>
      <c r="GM806"/>
      <c r="GN806" s="208"/>
      <c r="GO806" s="208"/>
      <c r="GP806" s="208"/>
      <c r="GQ806" s="208"/>
      <c r="GR806" s="208"/>
      <c r="GS806" s="208"/>
      <c r="GT806" s="208"/>
      <c r="GU806" s="213">
        <v>801</v>
      </c>
    </row>
    <row r="807" spans="1:203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21.406353451573125</v>
      </c>
      <c r="AO807">
        <v>5.8232241837866265</v>
      </c>
      <c r="AP807">
        <v>333.47777265917728</v>
      </c>
      <c r="AQ807">
        <v>41.468530911892195</v>
      </c>
      <c r="AR807">
        <v>5.3481114379381438</v>
      </c>
      <c r="AS807">
        <v>59.527362790578778</v>
      </c>
      <c r="AT807" t="e">
        <v>#DIV/0!</v>
      </c>
      <c r="AU807" t="e">
        <v>#DIV/0!</v>
      </c>
      <c r="AV807"/>
      <c r="AW807"/>
      <c r="FY807" s="213">
        <v>802</v>
      </c>
      <c r="FZ807">
        <v>3.3577595644647293</v>
      </c>
      <c r="GA807">
        <v>20.495631790289909</v>
      </c>
      <c r="GB807">
        <v>9.2032732163148125</v>
      </c>
      <c r="GC807">
        <v>0.46227644236827292</v>
      </c>
      <c r="GD807">
        <v>1.5069948373587425</v>
      </c>
      <c r="GE807">
        <v>2.628504311162704</v>
      </c>
      <c r="GF807">
        <v>0.47734812494006024</v>
      </c>
      <c r="GG807">
        <v>6.5802290208406315</v>
      </c>
      <c r="GH807">
        <v>9.1145086068456838</v>
      </c>
      <c r="GI807">
        <v>5.3393971740097745</v>
      </c>
      <c r="GJ807"/>
      <c r="GK807"/>
      <c r="GL807"/>
      <c r="GM807"/>
      <c r="GN807" s="208"/>
      <c r="GO807" s="208"/>
      <c r="GP807" s="208"/>
      <c r="GQ807" s="208"/>
      <c r="GR807" s="208"/>
      <c r="GS807" s="208"/>
      <c r="GT807" s="208"/>
      <c r="GU807" s="213">
        <v>802</v>
      </c>
    </row>
    <row r="808" spans="1:203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41.9184968527641</v>
      </c>
      <c r="AO808">
        <v>7.8075298085004636</v>
      </c>
      <c r="AP808">
        <v>263.97926686150379</v>
      </c>
      <c r="AQ808">
        <v>53.128942894941474</v>
      </c>
      <c r="AR808">
        <v>7.0977543713640561</v>
      </c>
      <c r="AS808">
        <v>121.94144769909575</v>
      </c>
      <c r="AT808" t="e">
        <v>#DIV/0!</v>
      </c>
      <c r="AU808" t="e">
        <v>#DIV/0!</v>
      </c>
      <c r="AV808"/>
      <c r="AW808"/>
      <c r="FY808" s="213">
        <v>803</v>
      </c>
      <c r="FZ808">
        <v>2.1834373233262436</v>
      </c>
      <c r="GA808">
        <v>19.28143594962258</v>
      </c>
      <c r="GB808">
        <v>8.6807475850285307</v>
      </c>
      <c r="GC808">
        <v>1.5035119799865142</v>
      </c>
      <c r="GD808">
        <v>1.9072400613730607</v>
      </c>
      <c r="GE808">
        <v>1.8182124263560788</v>
      </c>
      <c r="GF808">
        <v>0.47734812494006024</v>
      </c>
      <c r="GG808">
        <v>4.1817645063006967</v>
      </c>
      <c r="GH808">
        <v>5.7293824889844096</v>
      </c>
      <c r="GI808">
        <v>4.6853490404591396</v>
      </c>
      <c r="GJ808"/>
      <c r="GK808"/>
      <c r="GL808"/>
      <c r="GM808"/>
      <c r="GN808" s="208"/>
      <c r="GO808" s="208"/>
      <c r="GP808" s="208"/>
      <c r="GQ808" s="208"/>
      <c r="GR808" s="208"/>
      <c r="GS808" s="208"/>
      <c r="GT808" s="208"/>
      <c r="GU808" s="213">
        <v>803</v>
      </c>
    </row>
    <row r="809" spans="1:203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30.341715795859955</v>
      </c>
      <c r="AO809">
        <v>6.4256036230054745</v>
      </c>
      <c r="AP809">
        <v>124.61305287679042</v>
      </c>
      <c r="AQ809">
        <v>41.097959606183537</v>
      </c>
      <c r="AR809">
        <v>5.8957291099552798</v>
      </c>
      <c r="AS809">
        <v>78.291948112480014</v>
      </c>
      <c r="AT809" t="e">
        <v>#DIV/0!</v>
      </c>
      <c r="AU809" t="e">
        <v>#DIV/0!</v>
      </c>
      <c r="AV809"/>
      <c r="AW809"/>
      <c r="FY809" s="213">
        <v>804</v>
      </c>
      <c r="FZ809">
        <v>3.192552405514002</v>
      </c>
      <c r="GA809">
        <v>21.213551615870585</v>
      </c>
      <c r="GB809">
        <v>8.530274369997068</v>
      </c>
      <c r="GC809">
        <v>1.0020405114277708</v>
      </c>
      <c r="GD809">
        <v>1.8885698079603865</v>
      </c>
      <c r="GE809">
        <v>2.5643788441975053</v>
      </c>
      <c r="GF809">
        <v>0.47734812494006024</v>
      </c>
      <c r="GG809">
        <v>0.32021626990213425</v>
      </c>
      <c r="GH809">
        <v>0.42174726757246522</v>
      </c>
      <c r="GI809">
        <v>4.039483672809336</v>
      </c>
      <c r="GJ809"/>
      <c r="GK809"/>
      <c r="GL809"/>
      <c r="GM809"/>
      <c r="GN809" s="208"/>
      <c r="GO809" s="208"/>
      <c r="GP809" s="208"/>
      <c r="GQ809" s="208"/>
      <c r="GR809" s="208"/>
      <c r="GS809" s="208"/>
      <c r="GT809" s="208"/>
      <c r="GU809" s="213">
        <v>804</v>
      </c>
    </row>
    <row r="810" spans="1:203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23.698926246859362</v>
      </c>
      <c r="AO810">
        <v>6.0275754637562526</v>
      </c>
      <c r="AP810">
        <v>136.25127280120859</v>
      </c>
      <c r="AQ810">
        <v>42.683717952474453</v>
      </c>
      <c r="AR810">
        <v>5.4796140579602302</v>
      </c>
      <c r="AS810">
        <v>64.891147120900371</v>
      </c>
      <c r="AT810" t="e">
        <v>#DIV/0!</v>
      </c>
      <c r="AU810" t="e">
        <v>#DIV/0!</v>
      </c>
      <c r="AV810"/>
      <c r="AW810"/>
      <c r="FY810" s="213">
        <v>805</v>
      </c>
      <c r="FZ810">
        <v>0.58716112056924263</v>
      </c>
      <c r="GA810">
        <v>9.6080318340149571</v>
      </c>
      <c r="GB810">
        <v>4.8639286611970647</v>
      </c>
      <c r="GC810">
        <v>1.0600381339862968</v>
      </c>
      <c r="GD810">
        <v>1.8748402190214986</v>
      </c>
      <c r="GE810">
        <v>2.7348188359319705</v>
      </c>
      <c r="GF810">
        <v>0.95469624988012047</v>
      </c>
      <c r="GG810">
        <v>5.0380339738105313</v>
      </c>
      <c r="GH810">
        <v>7.1928331357584732</v>
      </c>
      <c r="GI810">
        <v>3.8060004577928428</v>
      </c>
      <c r="GJ810"/>
      <c r="GK810"/>
      <c r="GL810"/>
      <c r="GM810"/>
      <c r="GN810" s="208"/>
      <c r="GO810" s="208"/>
      <c r="GP810" s="208"/>
      <c r="GQ810" s="208"/>
      <c r="GR810" s="208"/>
      <c r="GS810" s="208"/>
      <c r="GT810" s="208"/>
      <c r="GU810" s="213">
        <v>805</v>
      </c>
    </row>
    <row r="811" spans="1:203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21.712883141762454</v>
      </c>
      <c r="AO811">
        <v>6.3541163783677881</v>
      </c>
      <c r="AP811">
        <v>132.78860391742137</v>
      </c>
      <c r="AQ811">
        <v>45.275143303749154</v>
      </c>
      <c r="AR811">
        <v>5.7764694348798082</v>
      </c>
      <c r="AS811">
        <v>66.059808451215318</v>
      </c>
      <c r="AT811" t="e">
        <v>#DIV/0!</v>
      </c>
      <c r="AU811" t="e">
        <v>#DIV/0!</v>
      </c>
      <c r="AV811"/>
      <c r="AW811"/>
      <c r="FY811" s="213">
        <v>806</v>
      </c>
      <c r="FZ811">
        <v>2.1834373233262436</v>
      </c>
      <c r="GA811">
        <v>18.324076069778755</v>
      </c>
      <c r="GB811">
        <v>8.330645177150366</v>
      </c>
      <c r="GC811">
        <v>2.9604491598119655</v>
      </c>
      <c r="GD811">
        <v>3.7796281523640549</v>
      </c>
      <c r="GE811">
        <v>3.3400963226231966</v>
      </c>
      <c r="GF811">
        <v>0.47734812494006024</v>
      </c>
      <c r="GG811">
        <v>5.1431026767584997</v>
      </c>
      <c r="GH811">
        <v>7.2170533002903205</v>
      </c>
      <c r="GI811">
        <v>5.884764592150491</v>
      </c>
      <c r="GJ811"/>
      <c r="GK811"/>
      <c r="GL811"/>
      <c r="GM811"/>
      <c r="GN811" s="208"/>
      <c r="GO811" s="208"/>
      <c r="GP811" s="208"/>
      <c r="GQ811" s="208"/>
      <c r="GR811" s="208"/>
      <c r="GS811" s="208"/>
      <c r="GT811" s="208"/>
      <c r="GU811" s="213">
        <v>806</v>
      </c>
    </row>
    <row r="812" spans="1:203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39.70246647509579</v>
      </c>
      <c r="AO812">
        <v>7.6314371274449098</v>
      </c>
      <c r="AP812">
        <v>168.49389264000004</v>
      </c>
      <c r="AQ812">
        <v>50.811984913610644</v>
      </c>
      <c r="AR812">
        <v>6.9376701158590084</v>
      </c>
      <c r="AS812">
        <v>101.77406951006738</v>
      </c>
      <c r="AT812" t="e">
        <v>#DIV/0!</v>
      </c>
      <c r="AU812" t="e">
        <v>#DIV/0!</v>
      </c>
      <c r="AV812"/>
      <c r="AW812"/>
      <c r="FY812" s="213">
        <v>807</v>
      </c>
      <c r="FZ812">
        <v>3.192552405514002</v>
      </c>
      <c r="GA812">
        <v>17.687558115955479</v>
      </c>
      <c r="GB812">
        <v>6.8765028865778213</v>
      </c>
      <c r="GC812">
        <v>1.4003717251190004</v>
      </c>
      <c r="GD812">
        <v>2.7869391037673048</v>
      </c>
      <c r="GE812">
        <v>3.4753148264572715</v>
      </c>
      <c r="GF812">
        <v>0</v>
      </c>
      <c r="GG812">
        <v>3.7581495871366699</v>
      </c>
      <c r="GH812">
        <v>5.3997773148724022</v>
      </c>
      <c r="GI812">
        <v>4.8968165237640626</v>
      </c>
      <c r="GJ812"/>
      <c r="GK812"/>
      <c r="GL812"/>
      <c r="GM812"/>
      <c r="GN812" s="208"/>
      <c r="GO812" s="208"/>
      <c r="GP812" s="208"/>
      <c r="GQ812" s="208"/>
      <c r="GR812" s="208"/>
      <c r="GS812" s="208"/>
      <c r="GT812" s="208"/>
      <c r="GU812" s="213">
        <v>807</v>
      </c>
    </row>
    <row r="813" spans="1:203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24.406250000000004</v>
      </c>
      <c r="AO813">
        <v>5.8075904827514524</v>
      </c>
      <c r="AP813">
        <v>110.68822679082605</v>
      </c>
      <c r="AQ813">
        <v>40.059689639530447</v>
      </c>
      <c r="AR813">
        <v>5.2796277115922292</v>
      </c>
      <c r="AS813">
        <v>63.482591925154246</v>
      </c>
      <c r="AT813" t="e">
        <v>#DIV/0!</v>
      </c>
      <c r="AU813" t="e">
        <v>#DIV/0!</v>
      </c>
      <c r="AV813"/>
      <c r="AW813"/>
      <c r="FY813" s="213">
        <v>808</v>
      </c>
      <c r="FZ813">
        <v>2.1834373233262436</v>
      </c>
      <c r="GA813">
        <v>14.586737067376415</v>
      </c>
      <c r="GB813">
        <v>6.3473987935025127</v>
      </c>
      <c r="GC813">
        <v>0.30257073279430846</v>
      </c>
      <c r="GD813">
        <v>1.4424594966224786</v>
      </c>
      <c r="GE813">
        <v>2.4580643194282397</v>
      </c>
      <c r="GF813">
        <v>0</v>
      </c>
      <c r="GG813">
        <v>1.7849700454468378</v>
      </c>
      <c r="GH813">
        <v>2.4606186291154417</v>
      </c>
      <c r="GI813">
        <v>3.2670014284771494</v>
      </c>
      <c r="GJ813"/>
      <c r="GK813"/>
      <c r="GL813"/>
      <c r="GM813"/>
      <c r="GN813" s="208"/>
      <c r="GO813" s="208"/>
      <c r="GP813" s="208"/>
      <c r="GQ813" s="208"/>
      <c r="GR813" s="208"/>
      <c r="GS813" s="208"/>
      <c r="GT813" s="208"/>
      <c r="GU813" s="213">
        <v>808</v>
      </c>
    </row>
    <row r="814" spans="1:203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19.555983581287382</v>
      </c>
      <c r="AO814">
        <v>5.7973118526886687</v>
      </c>
      <c r="AP814">
        <v>67.046053642950199</v>
      </c>
      <c r="AQ814">
        <v>40.582504303692247</v>
      </c>
      <c r="AR814">
        <v>5.4330973150224251</v>
      </c>
      <c r="AS814">
        <v>61.82437933976388</v>
      </c>
      <c r="AT814" t="e">
        <v>#DIV/0!</v>
      </c>
      <c r="AU814" t="e">
        <v>#DIV/0!</v>
      </c>
      <c r="AV814"/>
      <c r="AW814"/>
      <c r="FY814" s="213">
        <v>809</v>
      </c>
      <c r="FZ814">
        <v>3.7797135260832437</v>
      </c>
      <c r="GA814">
        <v>22.540916724390897</v>
      </c>
      <c r="GB814">
        <v>9.3413888793354509</v>
      </c>
      <c r="GC814">
        <v>2.4981727174436923</v>
      </c>
      <c r="GD814">
        <v>3.4475438385297412</v>
      </c>
      <c r="GE814">
        <v>3.3879697905751391</v>
      </c>
      <c r="GF814">
        <v>0.47734812494006024</v>
      </c>
      <c r="GG814">
        <v>5.1431026767584997</v>
      </c>
      <c r="GH814">
        <v>7.2170533002903205</v>
      </c>
      <c r="GI814">
        <v>6.2325138127717281</v>
      </c>
      <c r="GJ814"/>
      <c r="GK814"/>
      <c r="GL814"/>
      <c r="GM814"/>
      <c r="GN814" s="208"/>
      <c r="GO814" s="208"/>
      <c r="GP814" s="208"/>
      <c r="GQ814" s="208"/>
      <c r="GR814" s="208"/>
      <c r="GS814" s="208"/>
      <c r="GT814" s="208"/>
      <c r="GU814" s="213">
        <v>809</v>
      </c>
    </row>
    <row r="815" spans="1:203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21.89815996333445</v>
      </c>
      <c r="AO815">
        <v>6.5891963846381447</v>
      </c>
      <c r="AP815">
        <v>119.49985440413664</v>
      </c>
      <c r="AQ815">
        <v>48.146025132969022</v>
      </c>
      <c r="AR815">
        <v>6.0987210732080097</v>
      </c>
      <c r="AS815">
        <v>71.935824036225938</v>
      </c>
      <c r="AT815" t="e">
        <v>#DIV/0!</v>
      </c>
      <c r="AU815" t="e">
        <v>#DIV/0!</v>
      </c>
      <c r="AV815"/>
      <c r="AW815"/>
      <c r="FY815" s="213">
        <v>810</v>
      </c>
      <c r="FZ815">
        <v>8.5685421343542476</v>
      </c>
      <c r="GA815">
        <v>23.192637826302921</v>
      </c>
      <c r="GB815">
        <v>7.0072407162422081</v>
      </c>
      <c r="GC815">
        <v>0.23246288007367605</v>
      </c>
      <c r="GD815">
        <v>2.9820051607846807</v>
      </c>
      <c r="GE815">
        <v>5.6852476245082197</v>
      </c>
      <c r="GF815">
        <v>0</v>
      </c>
      <c r="GG815">
        <v>5.8616658487995661</v>
      </c>
      <c r="GH815">
        <v>8.165780953568003</v>
      </c>
      <c r="GI815">
        <v>6.1596463822913812</v>
      </c>
      <c r="GJ815"/>
      <c r="GK815"/>
      <c r="GL815"/>
      <c r="GM815"/>
      <c r="GN815" s="208"/>
      <c r="GO815" s="208"/>
      <c r="GP815" s="208"/>
      <c r="GQ815" s="208"/>
      <c r="GR815" s="208"/>
      <c r="GS815" s="208"/>
      <c r="GT815" s="208"/>
      <c r="GU815" s="213">
        <v>810</v>
      </c>
    </row>
    <row r="816" spans="1:203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22.529932950191572</v>
      </c>
      <c r="AO816">
        <v>6.9181096663947148</v>
      </c>
      <c r="AP816">
        <v>345.34463240310646</v>
      </c>
      <c r="AQ816">
        <v>45.906796116362081</v>
      </c>
      <c r="AR816">
        <v>6.3434618766727695</v>
      </c>
      <c r="AS816">
        <v>69.083146866039812</v>
      </c>
      <c r="AT816" t="e">
        <v>#DIV/0!</v>
      </c>
      <c r="AU816" t="e">
        <v>#DIV/0!</v>
      </c>
      <c r="AV816"/>
      <c r="AW816"/>
      <c r="FY816" s="213">
        <v>811</v>
      </c>
      <c r="FZ816">
        <v>0</v>
      </c>
      <c r="GA816">
        <v>13.448847289902695</v>
      </c>
      <c r="GB816">
        <v>6.7675882702875132</v>
      </c>
      <c r="GC816">
        <v>1.1752886190159173</v>
      </c>
      <c r="GD816">
        <v>0.90383650786450076</v>
      </c>
      <c r="GE816">
        <v>0</v>
      </c>
      <c r="GF816">
        <v>0</v>
      </c>
      <c r="GG816">
        <v>5.9684046054336104</v>
      </c>
      <c r="GH816">
        <v>8.3063633760921576</v>
      </c>
      <c r="GI816">
        <v>3.5559600879910418</v>
      </c>
      <c r="GJ816"/>
      <c r="GK816"/>
      <c r="GL816"/>
      <c r="GM816"/>
      <c r="GN816" s="208"/>
      <c r="GO816" s="208"/>
      <c r="GP816" s="208"/>
      <c r="GQ816" s="208"/>
      <c r="GR816" s="208"/>
      <c r="GS816" s="208"/>
      <c r="GT816" s="208"/>
      <c r="GU816" s="213">
        <v>811</v>
      </c>
    </row>
    <row r="817" spans="1:203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32.345238095238095</v>
      </c>
      <c r="AO817">
        <v>8.000970491825445</v>
      </c>
      <c r="AP817">
        <v>270.98048489663017</v>
      </c>
      <c r="AQ817">
        <v>53.182027678476807</v>
      </c>
      <c r="AR817">
        <v>7.2736095380231305</v>
      </c>
      <c r="AS817">
        <v>85.633875180634575</v>
      </c>
      <c r="AT817" t="e">
        <v>#DIV/0!</v>
      </c>
      <c r="AU817" t="e">
        <v>#DIV/0!</v>
      </c>
      <c r="AV817"/>
      <c r="AW817"/>
      <c r="FY817" s="213">
        <v>812</v>
      </c>
      <c r="FZ817">
        <v>2.7705984438954863</v>
      </c>
      <c r="GA817">
        <v>20.689690685334771</v>
      </c>
      <c r="GB817">
        <v>9.4436616363354489</v>
      </c>
      <c r="GC817">
        <v>1.7851605407960478</v>
      </c>
      <c r="GD817">
        <v>1.5989488721139311</v>
      </c>
      <c r="GE817">
        <v>1.042818488690116</v>
      </c>
      <c r="GF817">
        <v>0.95469624988012047</v>
      </c>
      <c r="GG817">
        <v>0.71856317204106601</v>
      </c>
      <c r="GH817">
        <v>0.94872765327768138</v>
      </c>
      <c r="GI817">
        <v>4.0315995720124862</v>
      </c>
      <c r="GJ817"/>
      <c r="GK817"/>
      <c r="GL817"/>
      <c r="GM817"/>
      <c r="GN817" s="208"/>
      <c r="GO817" s="208"/>
      <c r="GP817" s="208"/>
      <c r="GQ817" s="208"/>
      <c r="GR817" s="208"/>
      <c r="GS817" s="208"/>
      <c r="GT817" s="208"/>
      <c r="GU817" s="213">
        <v>812</v>
      </c>
    </row>
    <row r="818" spans="1:203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24.948105640954623</v>
      </c>
      <c r="AO818">
        <v>8.2608847551811788</v>
      </c>
      <c r="AP818">
        <v>179.56331013285183</v>
      </c>
      <c r="AQ818">
        <v>59.165923088595306</v>
      </c>
      <c r="AR818">
        <v>7.6727090445610688</v>
      </c>
      <c r="AS818">
        <v>82.507656527532632</v>
      </c>
      <c r="AT818" t="e">
        <v>#DIV/0!</v>
      </c>
      <c r="AU818" t="e">
        <v>#DIV/0!</v>
      </c>
      <c r="AV818"/>
      <c r="AW818"/>
      <c r="FY818" s="213">
        <v>813</v>
      </c>
      <c r="FZ818">
        <v>1.1743222411384853</v>
      </c>
      <c r="GA818">
        <v>14.817533817918381</v>
      </c>
      <c r="GB818">
        <v>7.325956807594439</v>
      </c>
      <c r="GC818">
        <v>1.0155829094419531</v>
      </c>
      <c r="GD818">
        <v>2.1247397127895624</v>
      </c>
      <c r="GE818">
        <v>3.3108688027986601</v>
      </c>
      <c r="GF818">
        <v>0.95469624988012047</v>
      </c>
      <c r="GG818">
        <v>4.1817645063006967</v>
      </c>
      <c r="GH818">
        <v>5.7293824889844096</v>
      </c>
      <c r="GI818">
        <v>4.4349035444509806</v>
      </c>
      <c r="GJ818"/>
      <c r="GK818"/>
      <c r="GL818"/>
      <c r="GM818"/>
      <c r="GN818" s="208"/>
      <c r="GO818" s="208"/>
      <c r="GP818" s="208"/>
      <c r="GQ818" s="208"/>
      <c r="GR818" s="208"/>
      <c r="GS818" s="208"/>
      <c r="GT818" s="208"/>
      <c r="GU818" s="213">
        <v>813</v>
      </c>
    </row>
    <row r="819" spans="1:203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27.629549808429118</v>
      </c>
      <c r="AO819">
        <v>7.2262292527998468</v>
      </c>
      <c r="AP819">
        <v>157.19843364585421</v>
      </c>
      <c r="AQ819">
        <v>50.4484294863773</v>
      </c>
      <c r="AR819">
        <v>6.6235705915865264</v>
      </c>
      <c r="AS819">
        <v>82.592351741869663</v>
      </c>
      <c r="AT819" t="e">
        <v>#DIV/0!</v>
      </c>
      <c r="AU819" t="e">
        <v>#DIV/0!</v>
      </c>
      <c r="AV819"/>
      <c r="AW819"/>
      <c r="FY819" s="213">
        <v>814</v>
      </c>
      <c r="FZ819">
        <v>1.596276202757001</v>
      </c>
      <c r="GA819">
        <v>19.133917023560393</v>
      </c>
      <c r="GB819">
        <v>8.6069399006929288</v>
      </c>
      <c r="GC819">
        <v>1.5344248065166763</v>
      </c>
      <c r="GD819">
        <v>1.9654703427290607</v>
      </c>
      <c r="GE819">
        <v>1.882337893321278</v>
      </c>
      <c r="GF819">
        <v>0.47734812494006024</v>
      </c>
      <c r="GG819">
        <v>6.4734902642065872</v>
      </c>
      <c r="GH819">
        <v>8.9739261843215292</v>
      </c>
      <c r="GI819">
        <v>5.0815883503176504</v>
      </c>
      <c r="GJ819"/>
      <c r="GK819"/>
      <c r="GL819"/>
      <c r="GM819"/>
      <c r="GN819" s="208"/>
      <c r="GO819" s="208"/>
      <c r="GP819" s="208"/>
      <c r="GQ819" s="208"/>
      <c r="GR819" s="208"/>
      <c r="GS819" s="208"/>
      <c r="GT819" s="208"/>
      <c r="GU819" s="213">
        <v>814</v>
      </c>
    </row>
    <row r="820" spans="1:203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22.314759036144576</v>
      </c>
      <c r="AO820">
        <v>6.3770025092734652</v>
      </c>
      <c r="AP820">
        <v>104.79254831558194</v>
      </c>
      <c r="AQ820">
        <v>43.650162890191311</v>
      </c>
      <c r="AR820">
        <v>5.7972750084304225</v>
      </c>
      <c r="AS820">
        <v>63.833866212458084</v>
      </c>
      <c r="AT820" t="e">
        <v>#DIV/0!</v>
      </c>
      <c r="AU820" t="e">
        <v>#DIV/0!</v>
      </c>
      <c r="AV820"/>
      <c r="AW820"/>
      <c r="FY820" s="213">
        <v>815</v>
      </c>
      <c r="FZ820">
        <v>2.7705984438954863</v>
      </c>
      <c r="GA820">
        <v>18.850325197602476</v>
      </c>
      <c r="GB820">
        <v>8.370208698599777</v>
      </c>
      <c r="GC820">
        <v>1.3673393229721194</v>
      </c>
      <c r="GD820">
        <v>2.5113447329745271</v>
      </c>
      <c r="GE820">
        <v>3.2524277459813367</v>
      </c>
      <c r="GF820">
        <v>0.47734812494006024</v>
      </c>
      <c r="GG820">
        <v>4.0766958033527283</v>
      </c>
      <c r="GH820">
        <v>5.7051623244525604</v>
      </c>
      <c r="GI820">
        <v>5.0728569022084891</v>
      </c>
      <c r="GJ820"/>
      <c r="GK820"/>
      <c r="GL820"/>
      <c r="GM820"/>
      <c r="GN820" s="208"/>
      <c r="GO820" s="208"/>
      <c r="GP820" s="208"/>
      <c r="GQ820" s="208"/>
      <c r="GR820" s="208"/>
      <c r="GS820" s="208"/>
      <c r="GT820" s="208"/>
      <c r="GU820" s="213">
        <v>815</v>
      </c>
    </row>
    <row r="821" spans="1:203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22.898074440619617</v>
      </c>
      <c r="AO821">
        <v>5.9930930251834704</v>
      </c>
      <c r="AP821">
        <v>291.83571393652795</v>
      </c>
      <c r="AQ821">
        <v>37.720382621963005</v>
      </c>
      <c r="AR821">
        <v>5.502537657389821</v>
      </c>
      <c r="AS821">
        <v>73.343538464504419</v>
      </c>
      <c r="AT821" t="e">
        <v>#DIV/0!</v>
      </c>
      <c r="AU821" t="e">
        <v>#DIV/0!</v>
      </c>
      <c r="AV821"/>
      <c r="AW821"/>
      <c r="FY821" s="213">
        <v>816</v>
      </c>
      <c r="FZ821">
        <v>0.58716112056924263</v>
      </c>
      <c r="GA821">
        <v>13.192011329079193</v>
      </c>
      <c r="GB821">
        <v>6.595165046879397</v>
      </c>
      <c r="GC821">
        <v>1.7285950860895976</v>
      </c>
      <c r="GD821">
        <v>3.1734042120596353</v>
      </c>
      <c r="GE821">
        <v>4.0317907797387305</v>
      </c>
      <c r="GF821">
        <v>0.47734812494006024</v>
      </c>
      <c r="GG821">
        <v>3.8648883437707147</v>
      </c>
      <c r="GH821">
        <v>5.5403597373965576</v>
      </c>
      <c r="GI821">
        <v>4.6354110634600802</v>
      </c>
      <c r="GJ821"/>
      <c r="GK821"/>
      <c r="GL821"/>
      <c r="GM821"/>
      <c r="GN821" s="208"/>
      <c r="GO821" s="208"/>
      <c r="GP821" s="208"/>
      <c r="GQ821" s="208"/>
      <c r="GR821" s="208"/>
      <c r="GS821" s="208"/>
      <c r="GT821" s="208"/>
      <c r="GU821" s="213">
        <v>816</v>
      </c>
    </row>
    <row r="822" spans="1:203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48.361607142857132</v>
      </c>
      <c r="AO822">
        <v>9.0401059216873261</v>
      </c>
      <c r="AP822">
        <v>253.42997334704654</v>
      </c>
      <c r="AQ822">
        <v>57.640600899193956</v>
      </c>
      <c r="AR822">
        <v>8.2725493814842324</v>
      </c>
      <c r="AS822">
        <v>124.25971228569975</v>
      </c>
      <c r="AT822" t="e">
        <v>#DIV/0!</v>
      </c>
      <c r="AU822" t="e">
        <v>#DIV/0!</v>
      </c>
      <c r="AV822"/>
      <c r="AW822"/>
      <c r="FY822" s="213">
        <v>817</v>
      </c>
      <c r="FZ822">
        <v>1.1743222411384853</v>
      </c>
      <c r="GA822">
        <v>9.1880618821219127</v>
      </c>
      <c r="GB822">
        <v>4.611119291664318</v>
      </c>
      <c r="GC822">
        <v>2.0102436468991312</v>
      </c>
      <c r="GD822">
        <v>3.2314973059034964</v>
      </c>
      <c r="GE822">
        <v>4.2952462346714526</v>
      </c>
      <c r="GF822">
        <v>1.432044374820181</v>
      </c>
      <c r="GG822">
        <v>0.71856317204106601</v>
      </c>
      <c r="GH822">
        <v>0.94872765327768138</v>
      </c>
      <c r="GI822">
        <v>3.6810761189003158</v>
      </c>
      <c r="GJ822"/>
      <c r="GK822"/>
      <c r="GL822"/>
      <c r="GM822"/>
      <c r="GN822" s="208"/>
      <c r="GO822" s="208"/>
      <c r="GP822" s="208"/>
      <c r="GQ822" s="208"/>
      <c r="GR822" s="208"/>
      <c r="GS822" s="208"/>
      <c r="GT822" s="208"/>
      <c r="GU822" s="213">
        <v>817</v>
      </c>
    </row>
    <row r="823" spans="1:203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26.459906951286264</v>
      </c>
      <c r="AO823">
        <v>7.8354180675887379</v>
      </c>
      <c r="AP823">
        <v>207.72461846862052</v>
      </c>
      <c r="AQ823">
        <v>49.473982489164015</v>
      </c>
      <c r="AR823">
        <v>7.1231073341715785</v>
      </c>
      <c r="AS823">
        <v>77.243162468395923</v>
      </c>
      <c r="AT823" t="e">
        <v>#DIV/0!</v>
      </c>
      <c r="AU823" t="e">
        <v>#DIV/0!</v>
      </c>
      <c r="AV823"/>
      <c r="AW823"/>
      <c r="FY823" s="213">
        <v>818</v>
      </c>
      <c r="FZ823">
        <v>4.3668746466524873</v>
      </c>
      <c r="GA823">
        <v>18.979524055620182</v>
      </c>
      <c r="GB823">
        <v>7.5787661771271839</v>
      </c>
      <c r="GC823">
        <v>2.139036529942933</v>
      </c>
      <c r="GD823">
        <v>3.421645574004434</v>
      </c>
      <c r="GE823">
        <v>3.8998942904766309</v>
      </c>
      <c r="GF823">
        <v>0.47734812494006024</v>
      </c>
      <c r="GG823">
        <v>10.581153606394039</v>
      </c>
      <c r="GH823">
        <v>15.053229079746318</v>
      </c>
      <c r="GI823">
        <v>7.2142627023688251</v>
      </c>
      <c r="GJ823"/>
      <c r="GK823"/>
      <c r="GL823"/>
      <c r="GM823"/>
      <c r="GN823" s="208"/>
      <c r="GO823" s="208"/>
      <c r="GP823" s="208"/>
      <c r="GQ823" s="208"/>
      <c r="GR823" s="208"/>
      <c r="GS823" s="208"/>
      <c r="GT823" s="208"/>
      <c r="GU823" s="213">
        <v>818</v>
      </c>
    </row>
    <row r="824" spans="1:203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13.184523809523807</v>
      </c>
      <c r="AO824">
        <v>5.0574182864692023</v>
      </c>
      <c r="AP824">
        <v>65.253577046019956</v>
      </c>
      <c r="AQ824">
        <v>34.833257836089622</v>
      </c>
      <c r="AR824">
        <v>4.6519242585586671</v>
      </c>
      <c r="AS824">
        <v>47.778915919752443</v>
      </c>
      <c r="AT824" t="e">
        <v>#DIV/0!</v>
      </c>
      <c r="AU824" t="e">
        <v>#DIV/0!</v>
      </c>
      <c r="AV824"/>
      <c r="AW824"/>
      <c r="FY824" s="213">
        <v>819</v>
      </c>
      <c r="FZ824">
        <v>2.1834373233262436</v>
      </c>
      <c r="GA824">
        <v>18.307094688375777</v>
      </c>
      <c r="GB824">
        <v>8.0947133466244399</v>
      </c>
      <c r="GC824">
        <v>1.9401357941784985</v>
      </c>
      <c r="GD824">
        <v>3.5688175186022115</v>
      </c>
      <c r="GE824">
        <v>4.2178356889669955</v>
      </c>
      <c r="GF824">
        <v>0</v>
      </c>
      <c r="GG824">
        <v>5.2498414333925441</v>
      </c>
      <c r="GH824">
        <v>7.3576357228144769</v>
      </c>
      <c r="GI824">
        <v>5.8181639812891115</v>
      </c>
      <c r="GJ824"/>
      <c r="GK824"/>
      <c r="GL824"/>
      <c r="GM824"/>
      <c r="GN824" s="208"/>
      <c r="GO824" s="208"/>
      <c r="GP824" s="208"/>
      <c r="GQ824" s="208"/>
      <c r="GR824" s="208"/>
      <c r="GS824" s="208"/>
      <c r="GT824" s="208"/>
      <c r="GU824" s="213">
        <v>819</v>
      </c>
    </row>
    <row r="825" spans="1:203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42.861607142857146</v>
      </c>
      <c r="AO825">
        <v>9.6837070315210507</v>
      </c>
      <c r="AP825">
        <v>238.82851421035616</v>
      </c>
      <c r="AQ825">
        <v>64.06572339111878</v>
      </c>
      <c r="AR825">
        <v>8.8576412995148956</v>
      </c>
      <c r="AS825">
        <v>115.41656940122209</v>
      </c>
      <c r="AT825" t="e">
        <v>#DIV/0!</v>
      </c>
      <c r="AU825" t="e">
        <v>#DIV/0!</v>
      </c>
      <c r="AV825"/>
      <c r="AW825"/>
      <c r="FY825" s="213">
        <v>820</v>
      </c>
      <c r="FZ825">
        <v>1.596276202757001</v>
      </c>
      <c r="GA825">
        <v>18.240148583756241</v>
      </c>
      <c r="GB825">
        <v>8.0669842480259888</v>
      </c>
      <c r="GC825">
        <v>0.68735954847135616</v>
      </c>
      <c r="GD825">
        <v>1.1882725864471626</v>
      </c>
      <c r="GE825">
        <v>1.6281984210363838</v>
      </c>
      <c r="GF825">
        <v>0.47734812494006024</v>
      </c>
      <c r="GG825">
        <v>5.4380509296355397</v>
      </c>
      <c r="GH825">
        <v>7.8361757794559974</v>
      </c>
      <c r="GI825">
        <v>4.3697402077784755</v>
      </c>
      <c r="GJ825"/>
      <c r="GK825"/>
      <c r="GL825"/>
      <c r="GM825"/>
      <c r="GN825" s="208"/>
      <c r="GO825" s="208"/>
      <c r="GP825" s="208"/>
      <c r="GQ825" s="208"/>
      <c r="GR825" s="208"/>
      <c r="GS825" s="208"/>
      <c r="GT825" s="208"/>
      <c r="GU825" s="213">
        <v>820</v>
      </c>
    </row>
    <row r="826" spans="1:203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32.890719487143976</v>
      </c>
      <c r="AO826">
        <v>9.529846696649912</v>
      </c>
      <c r="AP826">
        <v>156.03744264694373</v>
      </c>
      <c r="AQ826">
        <v>67.855229526924902</v>
      </c>
      <c r="AR826">
        <v>8.7177682678138595</v>
      </c>
      <c r="AS826">
        <v>101.12230754623559</v>
      </c>
      <c r="AT826" t="e">
        <v>#DIV/0!</v>
      </c>
      <c r="AU826" t="e">
        <v>#DIV/0!</v>
      </c>
      <c r="AV826"/>
      <c r="AW826"/>
      <c r="FY826" s="213">
        <v>821</v>
      </c>
      <c r="FZ826">
        <v>3.7797135260832437</v>
      </c>
      <c r="GA826">
        <v>15.107478469717735</v>
      </c>
      <c r="GB826">
        <v>5.6619496444586828</v>
      </c>
      <c r="GC826">
        <v>2.9038837051055144</v>
      </c>
      <c r="GD826">
        <v>2.9259005023687283</v>
      </c>
      <c r="GE826">
        <v>1.988652418090544</v>
      </c>
      <c r="GF826">
        <v>0.95469624988012047</v>
      </c>
      <c r="GG826">
        <v>3.0086188762608805</v>
      </c>
      <c r="GH826">
        <v>4.0769090906224941</v>
      </c>
      <c r="GI826">
        <v>4.5087521064871865</v>
      </c>
      <c r="GJ826"/>
      <c r="GK826"/>
      <c r="GL826"/>
      <c r="GM826"/>
      <c r="GN826" s="208"/>
      <c r="GO826" s="208"/>
      <c r="GP826" s="208"/>
      <c r="GQ826" s="208"/>
      <c r="GR826" s="208"/>
      <c r="GS826" s="208"/>
      <c r="GT826" s="208"/>
      <c r="GU826" s="213">
        <v>821</v>
      </c>
    </row>
    <row r="827" spans="1:203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20.776889165858837</v>
      </c>
      <c r="AO827">
        <v>5.5821555758311767</v>
      </c>
      <c r="AP827">
        <v>325.32775122043267</v>
      </c>
      <c r="AQ827">
        <v>40.126288756587428</v>
      </c>
      <c r="AR827">
        <v>5.0746868871192516</v>
      </c>
      <c r="AS827">
        <v>55.435771485987054</v>
      </c>
      <c r="AT827" t="e">
        <v>#DIV/0!</v>
      </c>
      <c r="AU827" t="e">
        <v>#DIV/0!</v>
      </c>
      <c r="AV827"/>
      <c r="AW827"/>
      <c r="FY827" s="213">
        <v>822</v>
      </c>
      <c r="FZ827">
        <v>1.596276202757001</v>
      </c>
      <c r="GA827">
        <v>25.04000902402861</v>
      </c>
      <c r="GB827">
        <v>11.596473397031161</v>
      </c>
      <c r="GC827">
        <v>0.79049980333886993</v>
      </c>
      <c r="GD827">
        <v>1.5418247214678058</v>
      </c>
      <c r="GE827">
        <v>2.4770338083153738</v>
      </c>
      <c r="GF827">
        <v>0.95469624988012047</v>
      </c>
      <c r="GG827">
        <v>5.3313121730014954</v>
      </c>
      <c r="GH827">
        <v>7.695593356931842</v>
      </c>
      <c r="GI827">
        <v>5.5015543905189119</v>
      </c>
      <c r="GJ827"/>
      <c r="GK827"/>
      <c r="GL827"/>
      <c r="GM827"/>
      <c r="GN827" s="208"/>
      <c r="GO827" s="208"/>
      <c r="GP827" s="208"/>
      <c r="GQ827" s="208"/>
      <c r="GR827" s="208"/>
      <c r="GS827" s="208"/>
      <c r="GT827" s="208"/>
      <c r="GU827" s="213">
        <v>822</v>
      </c>
    </row>
    <row r="828" spans="1:203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32.096076630001129</v>
      </c>
      <c r="AO828">
        <v>6.0200167803518685</v>
      </c>
      <c r="AP828">
        <v>79.275384915994721</v>
      </c>
      <c r="AQ828">
        <v>43.984465314377161</v>
      </c>
      <c r="AR828">
        <v>5.5812850693113933</v>
      </c>
      <c r="AS828">
        <v>80.376943304641728</v>
      </c>
      <c r="AT828" t="e">
        <v>#DIV/0!</v>
      </c>
      <c r="AU828" t="e">
        <v>#DIV/0!</v>
      </c>
      <c r="AV828"/>
      <c r="AW828"/>
      <c r="FY828" s="213">
        <v>823</v>
      </c>
      <c r="FZ828">
        <v>1.596276202757001</v>
      </c>
      <c r="GA828">
        <v>18.031840940099652</v>
      </c>
      <c r="GB828">
        <v>8.0493707349532286</v>
      </c>
      <c r="GC828">
        <v>0.93809528275072762</v>
      </c>
      <c r="GD828">
        <v>2.7978942408405563</v>
      </c>
      <c r="GE828">
        <v>4.5105186637242545</v>
      </c>
      <c r="GF828">
        <v>0.47734812494006024</v>
      </c>
      <c r="GG828">
        <v>8.1517215530193798</v>
      </c>
      <c r="GH828">
        <v>11.293962390912817</v>
      </c>
      <c r="GI828">
        <v>5.9835228477467801</v>
      </c>
      <c r="GJ828"/>
      <c r="GK828"/>
      <c r="GL828"/>
      <c r="GM828"/>
      <c r="GN828" s="208"/>
      <c r="GO828" s="208"/>
      <c r="GP828" s="208"/>
      <c r="GQ828" s="208"/>
      <c r="GR828" s="208"/>
      <c r="GS828" s="208"/>
      <c r="GT828" s="208"/>
      <c r="GU828" s="213">
        <v>823</v>
      </c>
    </row>
    <row r="829" spans="1:203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26.261990284619589</v>
      </c>
      <c r="AO829">
        <v>6.8138180081686555</v>
      </c>
      <c r="AP829">
        <v>319.46331488496492</v>
      </c>
      <c r="AQ829">
        <v>45.069751081297689</v>
      </c>
      <c r="AR829">
        <v>6.3029225491448377</v>
      </c>
      <c r="AS829">
        <v>74.389071948274577</v>
      </c>
      <c r="AT829" t="e">
        <v>#DIV/0!</v>
      </c>
      <c r="AU829" t="e">
        <v>#DIV/0!</v>
      </c>
      <c r="AV829"/>
      <c r="AW829"/>
      <c r="FY829" s="213">
        <v>824</v>
      </c>
      <c r="FZ829">
        <v>2.1834373233262436</v>
      </c>
      <c r="GA829">
        <v>9.9656392452867308</v>
      </c>
      <c r="GB829">
        <v>4.0980933660286052</v>
      </c>
      <c r="GC829">
        <v>1.4778593518102259</v>
      </c>
      <c r="GD829">
        <v>2.1289845821832247</v>
      </c>
      <c r="GE829">
        <v>2.01391084182365</v>
      </c>
      <c r="GF829">
        <v>0</v>
      </c>
      <c r="GG829">
        <v>4.6885202187597494</v>
      </c>
      <c r="GH829">
        <v>6.5133075552060884</v>
      </c>
      <c r="GI829">
        <v>3.6753841580314015</v>
      </c>
      <c r="GJ829"/>
      <c r="GK829"/>
      <c r="GL829"/>
      <c r="GM829"/>
      <c r="GN829" s="208"/>
      <c r="GO829" s="208"/>
      <c r="GP829" s="208"/>
      <c r="GQ829" s="208"/>
      <c r="GR829" s="208"/>
      <c r="GS829" s="208"/>
      <c r="GT829" s="208"/>
      <c r="GU829" s="213">
        <v>824</v>
      </c>
    </row>
    <row r="830" spans="1:203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35.902709771763583</v>
      </c>
      <c r="AO830">
        <v>7.9388588645641933</v>
      </c>
      <c r="AP830">
        <v>228.46082336192688</v>
      </c>
      <c r="AQ830">
        <v>55.725719093363161</v>
      </c>
      <c r="AR830">
        <v>7.217144422331085</v>
      </c>
      <c r="AS830">
        <v>86.207934633625641</v>
      </c>
      <c r="AT830" t="e">
        <v>#DIV/0!</v>
      </c>
      <c r="AU830" t="e">
        <v>#DIV/0!</v>
      </c>
      <c r="AV830"/>
      <c r="AW830"/>
      <c r="FY830" s="213">
        <v>825</v>
      </c>
      <c r="FZ830">
        <v>1.596276202757001</v>
      </c>
      <c r="GA830">
        <v>14.047675596990619</v>
      </c>
      <c r="GB830">
        <v>6.1675977367381458</v>
      </c>
      <c r="GC830">
        <v>1.4003717251190004</v>
      </c>
      <c r="GD830">
        <v>1.8368591152575702</v>
      </c>
      <c r="GE830">
        <v>2.4168774374416055</v>
      </c>
      <c r="GF830">
        <v>1.432044374820181</v>
      </c>
      <c r="GG830">
        <v>3.8648883437707147</v>
      </c>
      <c r="GH830">
        <v>5.5403597373965576</v>
      </c>
      <c r="GI830">
        <v>4.0210443813805021</v>
      </c>
      <c r="GJ830"/>
      <c r="GK830"/>
      <c r="GL830"/>
      <c r="GM830"/>
      <c r="GN830" s="208"/>
      <c r="GO830" s="208"/>
      <c r="GP830" s="208"/>
      <c r="GQ830" s="208"/>
      <c r="GR830" s="208"/>
      <c r="GS830" s="208"/>
      <c r="GT830" s="208"/>
      <c r="GU830" s="213">
        <v>825</v>
      </c>
    </row>
    <row r="831" spans="1:203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31.965124249048735</v>
      </c>
      <c r="AO831">
        <v>7.8588850627494242</v>
      </c>
      <c r="AP831">
        <v>164.33912705894619</v>
      </c>
      <c r="AQ831">
        <v>52.45430729697955</v>
      </c>
      <c r="AR831">
        <v>7.2529835078546254</v>
      </c>
      <c r="AS831">
        <v>95.149546499467675</v>
      </c>
      <c r="AT831" t="e">
        <v>#DIV/0!</v>
      </c>
      <c r="AU831" t="e">
        <v>#DIV/0!</v>
      </c>
      <c r="AV831"/>
      <c r="AW831"/>
      <c r="FY831" s="213">
        <v>826</v>
      </c>
      <c r="FZ831">
        <v>2.3486444822769705</v>
      </c>
      <c r="GA831">
        <v>18.760694547281268</v>
      </c>
      <c r="GB831">
        <v>9.3661967340723642</v>
      </c>
      <c r="GC831">
        <v>2.5117151154578741</v>
      </c>
      <c r="GD831">
        <v>3.1409416715176315</v>
      </c>
      <c r="GE831">
        <v>3.3361132437000158</v>
      </c>
      <c r="GF831">
        <v>1.432044374820181</v>
      </c>
      <c r="GG831">
        <v>7.646635894246403</v>
      </c>
      <c r="GH831">
        <v>10.626399582683446</v>
      </c>
      <c r="GI831">
        <v>6.6445010998077372</v>
      </c>
      <c r="GJ831"/>
      <c r="GK831"/>
      <c r="GL831"/>
      <c r="GM831"/>
      <c r="GN831" s="208"/>
      <c r="GO831" s="208"/>
      <c r="GP831" s="208"/>
      <c r="GQ831" s="208"/>
      <c r="GR831" s="208"/>
      <c r="GS831" s="208"/>
      <c r="GT831" s="208"/>
      <c r="GU831" s="213">
        <v>826</v>
      </c>
    </row>
    <row r="832" spans="1:203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36.262743296667786</v>
      </c>
      <c r="AO832">
        <v>7.2191204306774868</v>
      </c>
      <c r="AP832">
        <v>331.28148863323815</v>
      </c>
      <c r="AQ832">
        <v>43.826134843983212</v>
      </c>
      <c r="AR832">
        <v>6.6171080260207438</v>
      </c>
      <c r="AS832">
        <v>98.832379122934597</v>
      </c>
      <c r="AT832" t="e">
        <v>#DIV/0!</v>
      </c>
      <c r="AU832" t="e">
        <v>#DIV/0!</v>
      </c>
      <c r="AV832"/>
      <c r="AW832"/>
      <c r="FY832" s="213">
        <v>827</v>
      </c>
      <c r="FZ832">
        <v>4.9540357672217299</v>
      </c>
      <c r="GA832">
        <v>19.301634578628207</v>
      </c>
      <c r="GB832">
        <v>7.696410480714805</v>
      </c>
      <c r="GC832">
        <v>1.2972314702514867</v>
      </c>
      <c r="GD832">
        <v>3.0496997009453199</v>
      </c>
      <c r="GE832">
        <v>4.1633637282411025</v>
      </c>
      <c r="GF832">
        <v>0</v>
      </c>
      <c r="GG832">
        <v>3.9699570467186831</v>
      </c>
      <c r="GH832">
        <v>5.5645799019284059</v>
      </c>
      <c r="GI832">
        <v>5.4652181009692207</v>
      </c>
      <c r="GJ832"/>
      <c r="GK832"/>
      <c r="GL832"/>
      <c r="GM832"/>
      <c r="GN832" s="208"/>
      <c r="GO832" s="208"/>
      <c r="GP832" s="208"/>
      <c r="GQ832" s="208"/>
      <c r="GR832" s="208"/>
      <c r="GS832" s="208"/>
      <c r="GT832" s="208"/>
      <c r="GU832" s="213">
        <v>827</v>
      </c>
    </row>
    <row r="833" spans="1:203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36.613933772858267</v>
      </c>
      <c r="AO833">
        <v>5.4931020159336068</v>
      </c>
      <c r="AP833">
        <v>211.70855718848279</v>
      </c>
      <c r="AQ833">
        <v>31.290901921438039</v>
      </c>
      <c r="AR833">
        <v>5.102271647112973</v>
      </c>
      <c r="AS833">
        <v>82.825337706309824</v>
      </c>
      <c r="AT833" t="e">
        <v>#DIV/0!</v>
      </c>
      <c r="AU833" t="e">
        <v>#DIV/0!</v>
      </c>
      <c r="AV833"/>
      <c r="AW833"/>
      <c r="FY833" s="213">
        <v>828</v>
      </c>
      <c r="FZ833">
        <v>0</v>
      </c>
      <c r="GA833">
        <v>20.466789857563104</v>
      </c>
      <c r="GB833">
        <v>10.143067080524554</v>
      </c>
      <c r="GC833">
        <v>1.5479672045308583</v>
      </c>
      <c r="GD833">
        <v>3.5515727327540412</v>
      </c>
      <c r="GE833">
        <v>4.7938856558336855</v>
      </c>
      <c r="GF833">
        <v>0</v>
      </c>
      <c r="GG833">
        <v>2.1849870012718453</v>
      </c>
      <c r="GH833">
        <v>3.1039612728129642</v>
      </c>
      <c r="GI833">
        <v>5.3021239622435079</v>
      </c>
      <c r="GJ833"/>
      <c r="GK833"/>
      <c r="GL833"/>
      <c r="GM833"/>
      <c r="GN833" s="208"/>
      <c r="GO833" s="208"/>
      <c r="GP833" s="208"/>
      <c r="GQ833" s="208"/>
      <c r="GR833" s="208"/>
      <c r="GS833" s="208"/>
      <c r="GT833" s="208"/>
      <c r="GU833" s="213">
        <v>828</v>
      </c>
    </row>
    <row r="834" spans="1:203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38.921969487143976</v>
      </c>
      <c r="AO834">
        <v>11.453336390434377</v>
      </c>
      <c r="AP834">
        <v>372.00571363422483</v>
      </c>
      <c r="AQ834">
        <v>73.711734787273102</v>
      </c>
      <c r="AR834">
        <v>10.520666533022766</v>
      </c>
      <c r="AS834">
        <v>117.7978379104505</v>
      </c>
      <c r="AT834" t="e">
        <v>#DIV/0!</v>
      </c>
      <c r="AU834" t="e">
        <v>#DIV/0!</v>
      </c>
      <c r="AV834"/>
      <c r="AW834"/>
      <c r="FY834" s="213">
        <v>829</v>
      </c>
      <c r="FZ834">
        <v>2.7705984438954863</v>
      </c>
      <c r="GA834">
        <v>15.180981810466069</v>
      </c>
      <c r="GB834">
        <v>6.7383238260558969</v>
      </c>
      <c r="GC834">
        <v>2.1982513024284636</v>
      </c>
      <c r="GD834">
        <v>3.4675744583665455</v>
      </c>
      <c r="GE834">
        <v>4.1925772652338891</v>
      </c>
      <c r="GF834">
        <v>0.95469624988012047</v>
      </c>
      <c r="GG834">
        <v>0.61182441540702126</v>
      </c>
      <c r="GH834">
        <v>0.80814523075352618</v>
      </c>
      <c r="GI834">
        <v>4.5096167268195435</v>
      </c>
      <c r="GJ834"/>
      <c r="GK834"/>
      <c r="GL834"/>
      <c r="GM834"/>
      <c r="GN834" s="208"/>
      <c r="GO834" s="208"/>
      <c r="GP834" s="208"/>
      <c r="GQ834" s="208"/>
      <c r="GR834" s="208"/>
      <c r="GS834" s="208"/>
      <c r="GT834" s="208"/>
      <c r="GU834" s="213">
        <v>829</v>
      </c>
    </row>
    <row r="835" spans="1:203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32.997776821572003</v>
      </c>
      <c r="AO835">
        <v>9.1636566314516958</v>
      </c>
      <c r="AP835">
        <v>218.84632198623123</v>
      </c>
      <c r="AQ835">
        <v>56.737675497570301</v>
      </c>
      <c r="AR835">
        <v>8.3848682085427555</v>
      </c>
      <c r="AS835">
        <v>91.746837033162095</v>
      </c>
      <c r="AT835" t="e">
        <v>#DIV/0!</v>
      </c>
      <c r="AU835" t="e">
        <v>#DIV/0!</v>
      </c>
      <c r="AV835"/>
      <c r="AW835"/>
      <c r="FY835" s="213">
        <v>830</v>
      </c>
      <c r="FZ835">
        <v>3.192552405514002</v>
      </c>
      <c r="GA835">
        <v>21.535345333129385</v>
      </c>
      <c r="GB835">
        <v>8.7421977173533101</v>
      </c>
      <c r="GC835">
        <v>1.5553469785014511</v>
      </c>
      <c r="GD835">
        <v>3.7732595481627693</v>
      </c>
      <c r="GE835">
        <v>5.8168065901788424</v>
      </c>
      <c r="GF835">
        <v>0.95469624988012047</v>
      </c>
      <c r="GG835">
        <v>7.3280896780303451</v>
      </c>
      <c r="GH835">
        <v>10.321014573103287</v>
      </c>
      <c r="GI835">
        <v>6.9396414883291015</v>
      </c>
      <c r="GJ835"/>
      <c r="GK835"/>
      <c r="GL835"/>
      <c r="GM835"/>
      <c r="GN835" s="208"/>
      <c r="GO835" s="208"/>
      <c r="GP835" s="208"/>
      <c r="GQ835" s="208"/>
      <c r="GR835" s="208"/>
      <c r="GS835" s="208"/>
      <c r="GT835" s="208"/>
      <c r="GU835" s="213">
        <v>830</v>
      </c>
    </row>
    <row r="836" spans="1:203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23.012743296667786</v>
      </c>
      <c r="AO836">
        <v>7.052777168448519</v>
      </c>
      <c r="AP836">
        <v>195.43578468813965</v>
      </c>
      <c r="AQ836">
        <v>49.528554632304207</v>
      </c>
      <c r="AR836">
        <v>6.4116156076804725</v>
      </c>
      <c r="AS836">
        <v>86.227289976191386</v>
      </c>
      <c r="AT836" t="e">
        <v>#DIV/0!</v>
      </c>
      <c r="AU836" t="e">
        <v>#DIV/0!</v>
      </c>
      <c r="AV836"/>
      <c r="AW836"/>
      <c r="FY836" s="213">
        <v>831</v>
      </c>
      <c r="FZ836">
        <v>2.1834373233262436</v>
      </c>
      <c r="GA836">
        <v>18.633057444475476</v>
      </c>
      <c r="GB836">
        <v>8.4023309891916522</v>
      </c>
      <c r="GC836">
        <v>2.2474369831643211</v>
      </c>
      <c r="GD836">
        <v>3.3470509115190437</v>
      </c>
      <c r="GE836">
        <v>3.8670212153203911</v>
      </c>
      <c r="GF836">
        <v>0.95469624988012047</v>
      </c>
      <c r="GG836">
        <v>3.4648713879457071</v>
      </c>
      <c r="GH836">
        <v>4.8970170936990343</v>
      </c>
      <c r="GI836">
        <v>5.4022755914113834</v>
      </c>
      <c r="GJ836"/>
      <c r="GK836"/>
      <c r="GL836"/>
      <c r="GM836"/>
      <c r="GN836" s="208"/>
      <c r="GO836" s="208"/>
      <c r="GP836" s="208"/>
      <c r="GQ836" s="208"/>
      <c r="GR836" s="208"/>
      <c r="GS836" s="208"/>
      <c r="GT836" s="208"/>
      <c r="GU836" s="213">
        <v>831</v>
      </c>
    </row>
    <row r="837" spans="1:203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41.94362342638204</v>
      </c>
      <c r="AO837">
        <v>6.8382215382134603</v>
      </c>
      <c r="AP837">
        <v>169.98527896267694</v>
      </c>
      <c r="AQ837">
        <v>44.916554589075133</v>
      </c>
      <c r="AR837">
        <v>6.2708363055989027</v>
      </c>
      <c r="AS837">
        <v>107.0259609452296</v>
      </c>
      <c r="AT837" t="e">
        <v>#DIV/0!</v>
      </c>
      <c r="AU837" t="e">
        <v>#DIV/0!</v>
      </c>
      <c r="AV837"/>
      <c r="AW837"/>
      <c r="FY837" s="213">
        <v>832</v>
      </c>
      <c r="FZ837">
        <v>4.3668746466524873</v>
      </c>
      <c r="GA837">
        <v>18.134283932982939</v>
      </c>
      <c r="GB837">
        <v>7.1936202347956009</v>
      </c>
      <c r="GC837">
        <v>1.3868293271048187</v>
      </c>
      <c r="GD837">
        <v>2.1262697357182763</v>
      </c>
      <c r="GE837">
        <v>2.1494528864174529</v>
      </c>
      <c r="GF837">
        <v>0</v>
      </c>
      <c r="GG837">
        <v>2.660775174896175</v>
      </c>
      <c r="GH837">
        <v>3.5137457680624156</v>
      </c>
      <c r="GI837">
        <v>4.2854353748254361</v>
      </c>
      <c r="GJ837"/>
      <c r="GK837"/>
      <c r="GL837"/>
      <c r="GM837"/>
      <c r="GN837" s="208"/>
      <c r="GO837" s="208"/>
      <c r="GP837" s="208"/>
      <c r="GQ837" s="208"/>
      <c r="GR837" s="208"/>
      <c r="GS837" s="208"/>
      <c r="GT837" s="208"/>
      <c r="GU837" s="213">
        <v>832</v>
      </c>
    </row>
    <row r="838" spans="1:203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28.587883141762454</v>
      </c>
      <c r="AO838">
        <v>8.7188483027533437</v>
      </c>
      <c r="AP838">
        <v>203.40953846967309</v>
      </c>
      <c r="AQ838">
        <v>62.525273127271191</v>
      </c>
      <c r="AR838">
        <v>7.9262257297757657</v>
      </c>
      <c r="AS838">
        <v>93.899847767857239</v>
      </c>
      <c r="AT838" t="e">
        <v>#DIV/0!</v>
      </c>
      <c r="AU838" t="e">
        <v>#DIV/0!</v>
      </c>
      <c r="AV838"/>
      <c r="AW838"/>
      <c r="FY838" s="213">
        <v>833</v>
      </c>
      <c r="FZ838">
        <v>4.7888286082710039</v>
      </c>
      <c r="GA838">
        <v>20.446179311638872</v>
      </c>
      <c r="GB838">
        <v>7.332535269383464</v>
      </c>
      <c r="GC838">
        <v>1.695562683942716</v>
      </c>
      <c r="GD838">
        <v>2.0890581270718238</v>
      </c>
      <c r="GE838">
        <v>1.5896549185640192</v>
      </c>
      <c r="GF838">
        <v>0</v>
      </c>
      <c r="GG838">
        <v>10.792961065976053</v>
      </c>
      <c r="GH838">
        <v>15.218031666802325</v>
      </c>
      <c r="GI838">
        <v>6.2566386906729221</v>
      </c>
      <c r="GJ838"/>
      <c r="GK838"/>
      <c r="GL838"/>
      <c r="GM838"/>
      <c r="GN838" s="208"/>
      <c r="GO838" s="208"/>
      <c r="GP838" s="208"/>
      <c r="GQ838" s="208"/>
      <c r="GR838" s="208"/>
      <c r="GS838" s="208"/>
      <c r="GT838" s="208"/>
      <c r="GU838" s="213">
        <v>833</v>
      </c>
    </row>
    <row r="839" spans="1:203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26.516540093048718</v>
      </c>
      <c r="AO839">
        <v>9.4822572926174757</v>
      </c>
      <c r="AP839">
        <v>270.66948694297685</v>
      </c>
      <c r="AQ839">
        <v>61.830550981744452</v>
      </c>
      <c r="AR839">
        <v>8.6202339023795211</v>
      </c>
      <c r="AS839">
        <v>106.56636452586437</v>
      </c>
      <c r="AT839" t="e">
        <v>#DIV/0!</v>
      </c>
      <c r="AU839" t="e">
        <v>#DIV/0!</v>
      </c>
      <c r="AV839"/>
      <c r="AW839"/>
      <c r="FY839" s="213">
        <v>834</v>
      </c>
      <c r="FZ839">
        <v>1.596276202757001</v>
      </c>
      <c r="GA839">
        <v>21.499531639116409</v>
      </c>
      <c r="GB839">
        <v>9.7199563598780099</v>
      </c>
      <c r="GC839">
        <v>2.8965039311349217</v>
      </c>
      <c r="GD839">
        <v>3.7784940959615914</v>
      </c>
      <c r="GE839">
        <v>3.1497587765437736</v>
      </c>
      <c r="GF839">
        <v>0</v>
      </c>
      <c r="GG839">
        <v>3.7581495871366699</v>
      </c>
      <c r="GH839">
        <v>5.3997773148724022</v>
      </c>
      <c r="GI839">
        <v>5.8830531340295495</v>
      </c>
      <c r="GJ839"/>
      <c r="GK839"/>
      <c r="GL839"/>
      <c r="GM839"/>
      <c r="GN839" s="208"/>
      <c r="GO839" s="208"/>
      <c r="GP839" s="208"/>
      <c r="GQ839" s="208"/>
      <c r="GR839" s="208"/>
      <c r="GS839" s="208"/>
      <c r="GT839" s="208"/>
      <c r="GU839" s="213">
        <v>834</v>
      </c>
    </row>
    <row r="840" spans="1:203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26.350626438430236</v>
      </c>
      <c r="AO840">
        <v>5.6661553230846025</v>
      </c>
      <c r="AP840">
        <v>163.55175600122701</v>
      </c>
      <c r="AQ840">
        <v>36.745136642455918</v>
      </c>
      <c r="AR840">
        <v>5.2053215645726683</v>
      </c>
      <c r="AS840">
        <v>72.526345661035776</v>
      </c>
      <c r="AT840" t="e">
        <v>#DIV/0!</v>
      </c>
      <c r="AU840" t="e">
        <v>#DIV/0!</v>
      </c>
      <c r="AV840"/>
      <c r="AW840"/>
      <c r="FY840" s="213">
        <v>835</v>
      </c>
      <c r="FZ840">
        <v>2.1834373233262436</v>
      </c>
      <c r="GA840">
        <v>15.064693014418587</v>
      </c>
      <c r="GB840">
        <v>6.6776730652983449</v>
      </c>
      <c r="GC840">
        <v>1.426024353295289</v>
      </c>
      <c r="GD840">
        <v>2.2811722072608216</v>
      </c>
      <c r="GE840">
        <v>2.9889583082168647</v>
      </c>
      <c r="GF840">
        <v>0.95469624988012047</v>
      </c>
      <c r="GG840">
        <v>2.7170107307559936</v>
      </c>
      <c r="GH840">
        <v>3.6905111274414333</v>
      </c>
      <c r="GI840">
        <v>4.1336723241085407</v>
      </c>
      <c r="GJ840"/>
      <c r="GK840"/>
      <c r="GL840"/>
      <c r="GM840"/>
      <c r="GN840" s="208"/>
      <c r="GO840" s="208"/>
      <c r="GP840" s="208"/>
      <c r="GQ840" s="208"/>
      <c r="GR840" s="208"/>
      <c r="GS840" s="208"/>
      <c r="GT840" s="208"/>
      <c r="GU840" s="213">
        <v>835</v>
      </c>
    </row>
    <row r="841" spans="1:203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31.49190996333445</v>
      </c>
      <c r="AO841">
        <v>6.2950290259745518</v>
      </c>
      <c r="AP841">
        <v>179.97163738337679</v>
      </c>
      <c r="AQ841">
        <v>42.323994651671896</v>
      </c>
      <c r="AR841">
        <v>5.7227536599768642</v>
      </c>
      <c r="AS841">
        <v>76.292791272646141</v>
      </c>
      <c r="AT841" t="e">
        <v>#DIV/0!</v>
      </c>
      <c r="AU841" t="e">
        <v>#DIV/0!</v>
      </c>
      <c r="AV841"/>
      <c r="AW841"/>
      <c r="FY841" s="213">
        <v>836</v>
      </c>
      <c r="FZ841">
        <v>4.7888286082710039</v>
      </c>
      <c r="GA841">
        <v>18.54123403568266</v>
      </c>
      <c r="GB841">
        <v>6.4607066017862413</v>
      </c>
      <c r="GC841">
        <v>1.0082031354713601</v>
      </c>
      <c r="GD841">
        <v>2.0519002844064738</v>
      </c>
      <c r="GE841">
        <v>2.5936063640220421</v>
      </c>
      <c r="GF841">
        <v>0</v>
      </c>
      <c r="GG841">
        <v>7.141550235473427</v>
      </c>
      <c r="GH841">
        <v>9.958836774454074</v>
      </c>
      <c r="GI841">
        <v>5.2478609539548806</v>
      </c>
      <c r="GJ841"/>
      <c r="GK841"/>
      <c r="GL841"/>
      <c r="GM841"/>
      <c r="GN841" s="208"/>
      <c r="GO841" s="208"/>
      <c r="GP841" s="208"/>
      <c r="GQ841" s="208"/>
      <c r="GR841" s="208"/>
      <c r="GS841" s="208"/>
      <c r="GT841" s="208"/>
      <c r="GU841" s="213">
        <v>836</v>
      </c>
    </row>
    <row r="842" spans="1:203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37.103517106191603</v>
      </c>
      <c r="AO842">
        <v>10.204039002168191</v>
      </c>
      <c r="AP842">
        <v>506.5340006929996</v>
      </c>
      <c r="AQ842">
        <v>65.813886745863897</v>
      </c>
      <c r="AR842">
        <v>9.4934841763177484</v>
      </c>
      <c r="AS842">
        <v>110.88108035680851</v>
      </c>
      <c r="AT842" t="e">
        <v>#DIV/0!</v>
      </c>
      <c r="AU842" t="e">
        <v>#DIV/0!</v>
      </c>
      <c r="AV842"/>
      <c r="AW842"/>
      <c r="FY842" s="213">
        <v>837</v>
      </c>
      <c r="FZ842">
        <v>4.9540357672217299</v>
      </c>
      <c r="GA842">
        <v>26.072750805581919</v>
      </c>
      <c r="GB842">
        <v>11.173362676384617</v>
      </c>
      <c r="GC842">
        <v>1.3302638723983682</v>
      </c>
      <c r="GD842">
        <v>4.1591437000141056</v>
      </c>
      <c r="GE842">
        <v>6.3636430200527458</v>
      </c>
      <c r="GF842">
        <v>0</v>
      </c>
      <c r="GG842">
        <v>1.7866400991329137</v>
      </c>
      <c r="GH842">
        <v>2.5769808871077484</v>
      </c>
      <c r="GI842">
        <v>6.5316349903668947</v>
      </c>
      <c r="GJ842"/>
      <c r="GK842"/>
      <c r="GL842"/>
      <c r="GM842"/>
      <c r="GN842" s="208"/>
      <c r="GO842" s="208"/>
      <c r="GP842" s="208"/>
      <c r="GQ842" s="208"/>
      <c r="GR842" s="208"/>
      <c r="GS842" s="208"/>
      <c r="GT842" s="208"/>
      <c r="GU842" s="213">
        <v>837</v>
      </c>
    </row>
    <row r="843" spans="1:203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33.717347427476746</v>
      </c>
      <c r="AO843">
        <v>8.4025035734360625</v>
      </c>
      <c r="AP843">
        <v>152.19211907529652</v>
      </c>
      <c r="AQ843">
        <v>55.462130775618959</v>
      </c>
      <c r="AR843">
        <v>7.8014534247927827</v>
      </c>
      <c r="AS843">
        <v>97.800137761015236</v>
      </c>
      <c r="AT843" t="e">
        <v>#DIV/0!</v>
      </c>
      <c r="AU843" t="e">
        <v>#DIV/0!</v>
      </c>
      <c r="AV843"/>
      <c r="AW843"/>
      <c r="FY843" s="213">
        <v>838</v>
      </c>
      <c r="FZ843">
        <v>3.7797135260832437</v>
      </c>
      <c r="GA843">
        <v>14.850642508894232</v>
      </c>
      <c r="GB843">
        <v>5.4895264210505665</v>
      </c>
      <c r="GC843">
        <v>2.9038837051055144</v>
      </c>
      <c r="GD843">
        <v>3.7344267427901667</v>
      </c>
      <c r="GE843">
        <v>3.3334978298492475</v>
      </c>
      <c r="GF843">
        <v>0.47734812494006024</v>
      </c>
      <c r="GG843">
        <v>4.3952420195687862</v>
      </c>
      <c r="GH843">
        <v>6.0105473340327205</v>
      </c>
      <c r="GI843">
        <v>5.159646478700985</v>
      </c>
      <c r="GJ843"/>
      <c r="GK843"/>
      <c r="GL843"/>
      <c r="GM843"/>
      <c r="GN843" s="208"/>
      <c r="GO843" s="208"/>
      <c r="GP843" s="208"/>
      <c r="GQ843" s="208"/>
      <c r="GR843" s="208"/>
      <c r="GS843" s="208"/>
      <c r="GT843" s="208"/>
      <c r="GU843" s="213">
        <v>838</v>
      </c>
    </row>
    <row r="844" spans="1:203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32.925680760810067</v>
      </c>
      <c r="AO844">
        <v>8.3375198503810388</v>
      </c>
      <c r="AP844">
        <v>362.61728058779568</v>
      </c>
      <c r="AQ844">
        <v>51.094354767534554</v>
      </c>
      <c r="AR844">
        <v>7.5795635003463993</v>
      </c>
      <c r="AS844">
        <v>95.289797428887752</v>
      </c>
      <c r="AT844" t="e">
        <v>#DIV/0!</v>
      </c>
      <c r="AU844" t="e">
        <v>#DIV/0!</v>
      </c>
      <c r="AV844"/>
      <c r="AW844"/>
      <c r="FY844" s="213">
        <v>839</v>
      </c>
      <c r="FZ844">
        <v>0.58716112056924263</v>
      </c>
      <c r="GA844">
        <v>11.780953870921735</v>
      </c>
      <c r="GB844">
        <v>5.9659100690984115</v>
      </c>
      <c r="GC844">
        <v>1.7285950860895971</v>
      </c>
      <c r="GD844">
        <v>2.7735517153735652</v>
      </c>
      <c r="GE844">
        <v>3.5105363143576618</v>
      </c>
      <c r="GF844">
        <v>0.95469624988012047</v>
      </c>
      <c r="GG844">
        <v>3.8648883437707147</v>
      </c>
      <c r="GH844">
        <v>5.5403597373965576</v>
      </c>
      <c r="GI844">
        <v>4.2626169968470515</v>
      </c>
      <c r="GJ844"/>
      <c r="GK844"/>
      <c r="GL844"/>
      <c r="GM844"/>
      <c r="GN844" s="208"/>
      <c r="GO844" s="208"/>
      <c r="GP844" s="208"/>
      <c r="GQ844" s="208"/>
      <c r="GR844" s="208"/>
      <c r="GS844" s="208"/>
      <c r="GT844" s="208"/>
      <c r="GU844" s="213">
        <v>839</v>
      </c>
    </row>
    <row r="845" spans="1:203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37.556633141762447</v>
      </c>
      <c r="AO845">
        <v>6.7624671853524561</v>
      </c>
      <c r="AP845">
        <v>117.12006356885593</v>
      </c>
      <c r="AQ845">
        <v>41.432589729306564</v>
      </c>
      <c r="AR845">
        <v>6.2562399829482924</v>
      </c>
      <c r="AS845">
        <v>99.555593709319609</v>
      </c>
      <c r="AT845" t="e">
        <v>#DIV/0!</v>
      </c>
      <c r="AU845" t="e">
        <v>#DIV/0!</v>
      </c>
      <c r="AV845"/>
      <c r="AW845"/>
      <c r="FY845" s="213">
        <v>840</v>
      </c>
      <c r="FZ845">
        <v>5.3759897288402456</v>
      </c>
      <c r="GA845">
        <v>17.354416091938372</v>
      </c>
      <c r="GB845">
        <v>5.7613645550984209</v>
      </c>
      <c r="GC845">
        <v>1.4003717251190004</v>
      </c>
      <c r="GD845">
        <v>1.5440154925119529</v>
      </c>
      <c r="GE845">
        <v>1.5311998789149457</v>
      </c>
      <c r="GF845">
        <v>0.95469624988012047</v>
      </c>
      <c r="GG845">
        <v>4.3952420195687862</v>
      </c>
      <c r="GH845">
        <v>6.0105473340327205</v>
      </c>
      <c r="GI845">
        <v>4.3182093055135056</v>
      </c>
      <c r="GJ845"/>
      <c r="GK845"/>
      <c r="GL845"/>
      <c r="GM845"/>
      <c r="GN845" s="208"/>
      <c r="GO845" s="208"/>
      <c r="GP845" s="208"/>
      <c r="GQ845" s="208"/>
      <c r="GR845" s="208"/>
      <c r="GS845" s="208"/>
      <c r="GT845" s="208"/>
      <c r="GU845" s="213">
        <v>840</v>
      </c>
    </row>
    <row r="846" spans="1:203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35.970323617952928</v>
      </c>
      <c r="AO846">
        <v>11.071209329678089</v>
      </c>
      <c r="AP846">
        <v>316.89443165611874</v>
      </c>
      <c r="AQ846">
        <v>70.158950562182625</v>
      </c>
      <c r="AR846">
        <v>10.064735754252808</v>
      </c>
      <c r="AS846">
        <v>119.06620443455438</v>
      </c>
      <c r="AT846" t="e">
        <v>#DIV/0!</v>
      </c>
      <c r="AU846" t="e">
        <v>#DIV/0!</v>
      </c>
      <c r="AV846"/>
      <c r="AW846"/>
      <c r="FY846" s="213">
        <v>841</v>
      </c>
      <c r="FZ846">
        <v>1.596276202757001</v>
      </c>
      <c r="GA846">
        <v>15.669029046988907</v>
      </c>
      <c r="GB846">
        <v>6.8026952022422167</v>
      </c>
      <c r="GC846">
        <v>3.3918127756500756</v>
      </c>
      <c r="GD846">
        <v>3.3257902437156472</v>
      </c>
      <c r="GE846">
        <v>1.7504414040591776</v>
      </c>
      <c r="GF846">
        <v>0.47734812494006024</v>
      </c>
      <c r="GG846">
        <v>4.7935889217077179</v>
      </c>
      <c r="GH846">
        <v>6.5375277197379358</v>
      </c>
      <c r="GI846">
        <v>5.0850469110210978</v>
      </c>
      <c r="GJ846"/>
      <c r="GK846"/>
      <c r="GL846"/>
      <c r="GM846"/>
      <c r="GN846" s="208"/>
      <c r="GO846" s="208"/>
      <c r="GP846" s="208"/>
      <c r="GQ846" s="208"/>
      <c r="GR846" s="208"/>
      <c r="GS846" s="208"/>
      <c r="GT846" s="208"/>
      <c r="GU846" s="213">
        <v>841</v>
      </c>
    </row>
    <row r="847" spans="1:203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41.018610154905339</v>
      </c>
      <c r="AO847">
        <v>8.3311838153705935</v>
      </c>
      <c r="AP847">
        <v>190.26831827825998</v>
      </c>
      <c r="AQ847">
        <v>53.399195189933373</v>
      </c>
      <c r="AR847">
        <v>7.6280747393781141</v>
      </c>
      <c r="AS847">
        <v>113.159330994743</v>
      </c>
      <c r="AT847" t="e">
        <v>#DIV/0!</v>
      </c>
      <c r="AU847" t="e">
        <v>#DIV/0!</v>
      </c>
      <c r="AV847"/>
      <c r="AW847"/>
      <c r="FY847" s="213">
        <v>842</v>
      </c>
      <c r="FZ847">
        <v>1.1743222411384853</v>
      </c>
      <c r="GA847">
        <v>22.179042554870076</v>
      </c>
      <c r="GB847">
        <v>11.003860696838043</v>
      </c>
      <c r="GC847">
        <v>1.2972314702514867</v>
      </c>
      <c r="GD847">
        <v>3.0745721412526987</v>
      </c>
      <c r="GE847">
        <v>4.5105186637242545</v>
      </c>
      <c r="GF847">
        <v>0.47734812494006024</v>
      </c>
      <c r="GG847">
        <v>3.6783489012137967</v>
      </c>
      <c r="GH847">
        <v>5.1781819387473451</v>
      </c>
      <c r="GI847">
        <v>5.851926074232022</v>
      </c>
      <c r="GJ847"/>
      <c r="GK847"/>
      <c r="GL847"/>
      <c r="GM847"/>
      <c r="GN847" s="208"/>
      <c r="GO847" s="208"/>
      <c r="GP847" s="208"/>
      <c r="GQ847" s="208"/>
      <c r="GR847" s="208"/>
      <c r="GS847" s="208"/>
      <c r="GT847" s="208"/>
      <c r="GU847" s="213">
        <v>842</v>
      </c>
    </row>
    <row r="848" spans="1:203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34.498871924479531</v>
      </c>
      <c r="AO848">
        <v>6.428233957966647</v>
      </c>
      <c r="AP848">
        <v>100.29125359679919</v>
      </c>
      <c r="AQ848">
        <v>45.817287081455589</v>
      </c>
      <c r="AR848">
        <v>5.9523915944157393</v>
      </c>
      <c r="AS848">
        <v>81.349158430209727</v>
      </c>
      <c r="AT848" t="e">
        <v>#DIV/0!</v>
      </c>
      <c r="AU848" t="e">
        <v>#DIV/0!</v>
      </c>
      <c r="AV848"/>
      <c r="AW848"/>
      <c r="FY848" s="213">
        <v>843</v>
      </c>
      <c r="FZ848">
        <v>1.1743222411384853</v>
      </c>
      <c r="GA848">
        <v>12.148543272556198</v>
      </c>
      <c r="GB848">
        <v>5.8739363893162118</v>
      </c>
      <c r="GC848">
        <v>1.6119124332079018</v>
      </c>
      <c r="GD848">
        <v>2.2659661091568215</v>
      </c>
      <c r="GE848">
        <v>2.3743648388778098</v>
      </c>
      <c r="GF848">
        <v>0.47734812494006024</v>
      </c>
      <c r="GG848">
        <v>4.4767127591777358</v>
      </c>
      <c r="GH848">
        <v>6.3485049681500838</v>
      </c>
      <c r="GI848">
        <v>4.2022997989862088</v>
      </c>
      <c r="GJ848"/>
      <c r="GK848"/>
      <c r="GL848"/>
      <c r="GM848"/>
      <c r="GN848" s="208"/>
      <c r="GO848" s="208"/>
      <c r="GP848" s="208"/>
      <c r="GQ848" s="208"/>
      <c r="GR848" s="208"/>
      <c r="GS848" s="208"/>
      <c r="GT848" s="208"/>
      <c r="GU848" s="213">
        <v>843</v>
      </c>
    </row>
    <row r="849" spans="1:203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34.798457582382078</v>
      </c>
      <c r="AO849">
        <v>10.007715287874136</v>
      </c>
      <c r="AP849">
        <v>388.36053608493268</v>
      </c>
      <c r="AQ849">
        <v>70.209450342323208</v>
      </c>
      <c r="AR849">
        <v>9.097922988976487</v>
      </c>
      <c r="AS849">
        <v>102.39015996386442</v>
      </c>
      <c r="AT849" t="e">
        <v>#DIV/0!</v>
      </c>
      <c r="AU849" t="e">
        <v>#DIV/0!</v>
      </c>
      <c r="AV849"/>
      <c r="AW849"/>
      <c r="FY849" s="213">
        <v>844</v>
      </c>
      <c r="FZ849">
        <v>2.1834373233262436</v>
      </c>
      <c r="GA849">
        <v>18.346662896072278</v>
      </c>
      <c r="GB849">
        <v>8.2992588606244322</v>
      </c>
      <c r="GC849">
        <v>0.79049980333886993</v>
      </c>
      <c r="GD849">
        <v>1.7926043573546409</v>
      </c>
      <c r="GE849">
        <v>2.9889583082168647</v>
      </c>
      <c r="GF849">
        <v>0.95469624988012047</v>
      </c>
      <c r="GG849">
        <v>3.6783489012137967</v>
      </c>
      <c r="GH849">
        <v>5.1781819387473451</v>
      </c>
      <c r="GI849">
        <v>4.5215664448430521</v>
      </c>
      <c r="GJ849"/>
      <c r="GK849"/>
      <c r="GL849"/>
      <c r="GM849"/>
      <c r="GN849" s="208"/>
      <c r="GO849" s="208"/>
      <c r="GP849" s="208"/>
      <c r="GQ849" s="208"/>
      <c r="GR849" s="208"/>
      <c r="GS849" s="208"/>
      <c r="GT849" s="208"/>
      <c r="GU849" s="213">
        <v>844</v>
      </c>
    </row>
    <row r="850" spans="1:203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41.061097427476739</v>
      </c>
      <c r="AO850">
        <v>9.2783922993615491</v>
      </c>
      <c r="AP850">
        <v>235.99499617556762</v>
      </c>
      <c r="AQ850">
        <v>57.68150104143033</v>
      </c>
      <c r="AR850">
        <v>8.4349020903286807</v>
      </c>
      <c r="AS850">
        <v>101.9634211446058</v>
      </c>
      <c r="AT850" t="e">
        <v>#DIV/0!</v>
      </c>
      <c r="AU850" t="e">
        <v>#DIV/0!</v>
      </c>
      <c r="AV850"/>
      <c r="AW850"/>
      <c r="FY850" s="213">
        <v>845</v>
      </c>
      <c r="FZ850">
        <v>1.596276202757001</v>
      </c>
      <c r="GA850">
        <v>18.892696127744248</v>
      </c>
      <c r="GB850">
        <v>8.4410951390738376</v>
      </c>
      <c r="GC850">
        <v>1.0155829094419531</v>
      </c>
      <c r="GD850">
        <v>2.6923842249382259</v>
      </c>
      <c r="GE850">
        <v>4.4563702437580899</v>
      </c>
      <c r="GF850">
        <v>0.95469624988012047</v>
      </c>
      <c r="GG850">
        <v>7.646635894246403</v>
      </c>
      <c r="GH850">
        <v>10.626399582683446</v>
      </c>
      <c r="GI850">
        <v>5.8402899750646764</v>
      </c>
      <c r="GJ850"/>
      <c r="GK850"/>
      <c r="GL850"/>
      <c r="GM850"/>
      <c r="GN850" s="208"/>
      <c r="GO850" s="208"/>
      <c r="GP850" s="208"/>
      <c r="GQ850" s="208"/>
      <c r="GR850" s="208"/>
      <c r="GS850" s="208"/>
      <c r="GT850" s="208"/>
      <c r="GU850" s="213">
        <v>845</v>
      </c>
    </row>
    <row r="851" spans="1:203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29.548475511240362</v>
      </c>
      <c r="AO851">
        <v>6.2708033695441978</v>
      </c>
      <c r="AP851">
        <v>123.19710140305011</v>
      </c>
      <c r="AQ851">
        <v>42.117848704002242</v>
      </c>
      <c r="AR851">
        <v>5.7550016068086629</v>
      </c>
      <c r="AS851">
        <v>78.717096931599812</v>
      </c>
      <c r="AT851" t="e">
        <v>#DIV/0!</v>
      </c>
      <c r="AU851" t="e">
        <v>#DIV/0!</v>
      </c>
      <c r="AV851"/>
      <c r="AW851"/>
      <c r="FY851" s="213">
        <v>846</v>
      </c>
      <c r="FZ851">
        <v>3.7797135260832437</v>
      </c>
      <c r="GA851">
        <v>14.459099964570624</v>
      </c>
      <c r="GB851">
        <v>5.3835330486218034</v>
      </c>
      <c r="GC851">
        <v>1.3302638723983682</v>
      </c>
      <c r="GD851">
        <v>3.8845682843846547</v>
      </c>
      <c r="GE851">
        <v>5.8074906075310153</v>
      </c>
      <c r="GF851">
        <v>0</v>
      </c>
      <c r="GG851">
        <v>1.3303875874480875</v>
      </c>
      <c r="GH851">
        <v>1.7568728840312078</v>
      </c>
      <c r="GI851">
        <v>4.5897544467131945</v>
      </c>
      <c r="GJ851"/>
      <c r="GK851"/>
      <c r="GL851"/>
      <c r="GM851"/>
      <c r="GN851" s="208"/>
      <c r="GO851" s="208"/>
      <c r="GP851" s="208"/>
      <c r="GQ851" s="208"/>
      <c r="GR851" s="208"/>
      <c r="GS851" s="208"/>
      <c r="GT851" s="208"/>
      <c r="GU851" s="213">
        <v>846</v>
      </c>
    </row>
    <row r="852" spans="1:203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23.453886976477339</v>
      </c>
      <c r="AO852">
        <v>8.3103575662441038</v>
      </c>
      <c r="AP852">
        <v>280.97793225082557</v>
      </c>
      <c r="AQ852">
        <v>57.792726993522166</v>
      </c>
      <c r="AR852">
        <v>7.5548705147673658</v>
      </c>
      <c r="AS852">
        <v>82.685042203279465</v>
      </c>
      <c r="AT852" t="e">
        <v>#DIV/0!</v>
      </c>
      <c r="AU852" t="e">
        <v>#DIV/0!</v>
      </c>
      <c r="AV852"/>
      <c r="AW852"/>
      <c r="FY852" s="213">
        <v>847</v>
      </c>
      <c r="FZ852">
        <v>2.1834373233262436</v>
      </c>
      <c r="GA852">
        <v>17.449042223176455</v>
      </c>
      <c r="GB852">
        <v>7.5693298689779009</v>
      </c>
      <c r="GC852">
        <v>1.7851605407960478</v>
      </c>
      <c r="GD852">
        <v>2.3654111256765873</v>
      </c>
      <c r="GE852">
        <v>2.3065938165809086</v>
      </c>
      <c r="GF852">
        <v>0.47734812494006024</v>
      </c>
      <c r="GG852">
        <v>8.5843761013651871</v>
      </c>
      <c r="GH852">
        <v>12.427807863574872</v>
      </c>
      <c r="GI852">
        <v>5.8590552220462486</v>
      </c>
      <c r="GJ852"/>
      <c r="GK852"/>
      <c r="GL852"/>
      <c r="GM852"/>
      <c r="GN852" s="208"/>
      <c r="GO852" s="208"/>
      <c r="GP852" s="208"/>
      <c r="GQ852" s="208"/>
      <c r="GR852" s="208"/>
      <c r="GS852" s="208"/>
      <c r="GT852" s="208"/>
      <c r="GU852" s="213">
        <v>847</v>
      </c>
    </row>
    <row r="853" spans="1:203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40.303589357429715</v>
      </c>
      <c r="AO853">
        <v>9.9724697019750312</v>
      </c>
      <c r="AP853">
        <v>110.66649589364901</v>
      </c>
      <c r="AQ853">
        <v>64.948455818261053</v>
      </c>
      <c r="AR853">
        <v>9.22869535982821</v>
      </c>
      <c r="AS853">
        <v>120.83316299152111</v>
      </c>
      <c r="AT853" t="e">
        <v>#DIV/0!</v>
      </c>
      <c r="AU853" t="e">
        <v>#DIV/0!</v>
      </c>
      <c r="AV853"/>
      <c r="AW853"/>
      <c r="FY853" s="213">
        <v>848</v>
      </c>
      <c r="FZ853">
        <v>4.9540357672217299</v>
      </c>
      <c r="GA853">
        <v>21.57074450198499</v>
      </c>
      <c r="GB853">
        <v>8.8510489361423286</v>
      </c>
      <c r="GC853">
        <v>0.37267858551494082</v>
      </c>
      <c r="GD853">
        <v>1.3893871333936794</v>
      </c>
      <c r="GE853">
        <v>2.5298044378165714</v>
      </c>
      <c r="GF853">
        <v>0.47734812494006024</v>
      </c>
      <c r="GG853">
        <v>1.5731625858648244</v>
      </c>
      <c r="GH853">
        <v>2.295816042059438</v>
      </c>
      <c r="GI853">
        <v>4.3087338556758716</v>
      </c>
      <c r="GJ853"/>
      <c r="GK853"/>
      <c r="GL853"/>
      <c r="GM853"/>
      <c r="GN853" s="208"/>
      <c r="GO853" s="208"/>
      <c r="GP853" s="208"/>
      <c r="GQ853" s="208"/>
      <c r="GR853" s="208"/>
      <c r="GS853" s="208"/>
      <c r="GT853" s="208"/>
      <c r="GU853" s="213">
        <v>848</v>
      </c>
    </row>
    <row r="854" spans="1:203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47.482246308715972</v>
      </c>
      <c r="AO854">
        <v>7.875249104919817</v>
      </c>
      <c r="AP854">
        <v>211.20517745161385</v>
      </c>
      <c r="AQ854">
        <v>50.134474691015519</v>
      </c>
      <c r="AR854">
        <v>7.2135886389683188</v>
      </c>
      <c r="AS854">
        <v>107.28884468015593</v>
      </c>
      <c r="AT854" t="e">
        <v>#DIV/0!</v>
      </c>
      <c r="AU854" t="e">
        <v>#DIV/0!</v>
      </c>
      <c r="AV854"/>
      <c r="AW854"/>
      <c r="FY854" s="213">
        <v>849</v>
      </c>
      <c r="FZ854">
        <v>4.7888286082710039</v>
      </c>
      <c r="GA854">
        <v>20.555496346400183</v>
      </c>
      <c r="GB854">
        <v>7.4311508084559783</v>
      </c>
      <c r="GC854">
        <v>0.30257073279430846</v>
      </c>
      <c r="GD854">
        <v>2.4348289457645915</v>
      </c>
      <c r="GE854">
        <v>5.0573411107664077</v>
      </c>
      <c r="GF854">
        <v>0.95469624988012047</v>
      </c>
      <c r="GG854">
        <v>0.82530192867511065</v>
      </c>
      <c r="GH854">
        <v>1.0893100758018361</v>
      </c>
      <c r="GI854">
        <v>4.5316028695989097</v>
      </c>
      <c r="GJ854"/>
      <c r="GK854"/>
      <c r="GL854"/>
      <c r="GM854"/>
      <c r="GN854" s="208"/>
      <c r="GO854" s="208"/>
      <c r="GP854" s="208"/>
      <c r="GQ854" s="208"/>
      <c r="GR854" s="208"/>
      <c r="GS854" s="208"/>
      <c r="GT854" s="208"/>
      <c r="GU854" s="213">
        <v>849</v>
      </c>
    </row>
    <row r="855" spans="1:203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37.293993296667793</v>
      </c>
      <c r="AO855">
        <v>6.5729402448134646</v>
      </c>
      <c r="AP855">
        <v>304.55421017635086</v>
      </c>
      <c r="AQ855">
        <v>40.969269504304663</v>
      </c>
      <c r="AR855">
        <v>6.029671493417089</v>
      </c>
      <c r="AS855">
        <v>84.800831155039262</v>
      </c>
      <c r="AT855" t="e">
        <v>#DIV/0!</v>
      </c>
      <c r="AU855" t="e">
        <v>#DIV/0!</v>
      </c>
      <c r="AV855"/>
      <c r="AW855"/>
      <c r="FY855" s="213">
        <v>850</v>
      </c>
      <c r="FZ855">
        <v>1.596276202757001</v>
      </c>
      <c r="GA855">
        <v>16.987750851788032</v>
      </c>
      <c r="GB855">
        <v>7.5692664714766149</v>
      </c>
      <c r="GC855">
        <v>2.3249246098555463</v>
      </c>
      <c r="GD855">
        <v>2.2553247321186216</v>
      </c>
      <c r="GE855">
        <v>1.2385169041576869</v>
      </c>
      <c r="GF855">
        <v>0.47734812494006024</v>
      </c>
      <c r="GG855">
        <v>3.5716101445797515</v>
      </c>
      <c r="GH855">
        <v>5.0375995162231906</v>
      </c>
      <c r="GI855">
        <v>4.3462246219218086</v>
      </c>
      <c r="GJ855"/>
      <c r="GK855"/>
      <c r="GL855"/>
      <c r="GM855"/>
      <c r="GN855" s="208"/>
      <c r="GO855" s="208"/>
      <c r="GP855" s="208"/>
      <c r="GQ855" s="208"/>
      <c r="GR855" s="208"/>
      <c r="GS855" s="208"/>
      <c r="GT855" s="208"/>
      <c r="GU855" s="213">
        <v>850</v>
      </c>
    </row>
    <row r="856" spans="1:203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26.628079642049311</v>
      </c>
      <c r="AO856">
        <v>6.6791122593291075</v>
      </c>
      <c r="AP856">
        <v>151.31529282855843</v>
      </c>
      <c r="AQ856">
        <v>48.646052381418073</v>
      </c>
      <c r="AR856">
        <v>6.1261915066131278</v>
      </c>
      <c r="AS856">
        <v>79.201560164782606</v>
      </c>
      <c r="AT856" t="e">
        <v>#DIV/0!</v>
      </c>
      <c r="AU856" t="e">
        <v>#DIV/0!</v>
      </c>
      <c r="AV856"/>
      <c r="AW856"/>
      <c r="FY856" s="213">
        <v>851</v>
      </c>
      <c r="FZ856">
        <v>1.7614833617077283</v>
      </c>
      <c r="GA856">
        <v>8.7725661951091567</v>
      </c>
      <c r="GB856">
        <v>4.3071588670245902</v>
      </c>
      <c r="GC856">
        <v>1.3673393229721194</v>
      </c>
      <c r="GD856">
        <v>2.4292082993414525</v>
      </c>
      <c r="GE856">
        <v>2.7932738755810438</v>
      </c>
      <c r="GF856">
        <v>0</v>
      </c>
      <c r="GG856">
        <v>7.1398801817873512</v>
      </c>
      <c r="GH856">
        <v>9.8424745164617669</v>
      </c>
      <c r="GI856">
        <v>4.4062976633701973</v>
      </c>
      <c r="GJ856"/>
      <c r="GK856"/>
      <c r="GL856"/>
      <c r="GM856"/>
      <c r="GN856" s="208"/>
      <c r="GO856" s="208"/>
      <c r="GP856" s="208"/>
      <c r="GQ856" s="208"/>
      <c r="GR856" s="208"/>
      <c r="GS856" s="208"/>
      <c r="GT856" s="208"/>
      <c r="GU856" s="213">
        <v>851</v>
      </c>
    </row>
    <row r="857" spans="1:203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41.821599616858236</v>
      </c>
      <c r="AO857">
        <v>7.8948560511236749</v>
      </c>
      <c r="AP857">
        <v>257.03402502163681</v>
      </c>
      <c r="AQ857">
        <v>49.429556552819832</v>
      </c>
      <c r="AR857">
        <v>7.1771418646578873</v>
      </c>
      <c r="AS857">
        <v>101.84093905639321</v>
      </c>
      <c r="AT857" t="e">
        <v>#DIV/0!</v>
      </c>
      <c r="AU857" t="e">
        <v>#DIV/0!</v>
      </c>
      <c r="AV857"/>
      <c r="AW857"/>
      <c r="FY857" s="213">
        <v>852</v>
      </c>
      <c r="FZ857">
        <v>1.1743222411384853</v>
      </c>
      <c r="GA857">
        <v>13.145471360096526</v>
      </c>
      <c r="GB857">
        <v>6.428584311194367</v>
      </c>
      <c r="GC857">
        <v>2.5756603441349175</v>
      </c>
      <c r="GD857">
        <v>3.0401434790589001</v>
      </c>
      <c r="GE857">
        <v>2.4421358611747115</v>
      </c>
      <c r="GF857">
        <v>0.47734812494006024</v>
      </c>
      <c r="GG857">
        <v>4.0204602474929096</v>
      </c>
      <c r="GH857">
        <v>5.5283969650735436</v>
      </c>
      <c r="GI857">
        <v>4.6209878072664354</v>
      </c>
      <c r="GJ857"/>
      <c r="GK857"/>
      <c r="GL857"/>
      <c r="GM857"/>
      <c r="GN857" s="208"/>
      <c r="GO857" s="208"/>
      <c r="GP857" s="208"/>
      <c r="GQ857" s="208"/>
      <c r="GR857" s="208"/>
      <c r="GS857" s="208"/>
      <c r="GT857" s="208"/>
      <c r="GU857" s="213">
        <v>852</v>
      </c>
    </row>
    <row r="858" spans="1:203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31.267139988525525</v>
      </c>
      <c r="AO858">
        <v>9.116911584128129</v>
      </c>
      <c r="AP858">
        <v>423.55306774095925</v>
      </c>
      <c r="AQ858">
        <v>58.42535280720827</v>
      </c>
      <c r="AR858">
        <v>8.3966439818352683</v>
      </c>
      <c r="AS858">
        <v>91.790524276292487</v>
      </c>
      <c r="AT858" t="e">
        <v>#DIV/0!</v>
      </c>
      <c r="AU858" t="e">
        <v>#DIV/0!</v>
      </c>
      <c r="AV858"/>
      <c r="AW858"/>
      <c r="FY858" s="213">
        <v>853</v>
      </c>
      <c r="FZ858">
        <v>1.1743222411384853</v>
      </c>
      <c r="GA858">
        <v>20.967649436648024</v>
      </c>
      <c r="GB858">
        <v>10.347675992025831</v>
      </c>
      <c r="GC858">
        <v>2.8903413070913326</v>
      </c>
      <c r="GD858">
        <v>3.6823255204552607</v>
      </c>
      <c r="GE858">
        <v>3.2524277459813367</v>
      </c>
      <c r="GF858">
        <v>0.47734812494006024</v>
      </c>
      <c r="GG858">
        <v>1.7849700454468378</v>
      </c>
      <c r="GH858">
        <v>2.4606186291154417</v>
      </c>
      <c r="GI858">
        <v>5.4776562361671823</v>
      </c>
      <c r="GJ858"/>
      <c r="GK858"/>
      <c r="GL858"/>
      <c r="GM858"/>
      <c r="GN858" s="208"/>
      <c r="GO858" s="208"/>
      <c r="GP858" s="208"/>
      <c r="GQ858" s="208"/>
      <c r="GR858" s="208"/>
      <c r="GS858" s="208"/>
      <c r="GT858" s="208"/>
      <c r="GU858" s="213">
        <v>853</v>
      </c>
    </row>
    <row r="859" spans="1:203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29.288126438430236</v>
      </c>
      <c r="AO859">
        <v>6.6282817575136495</v>
      </c>
      <c r="AP859">
        <v>329.01776789228836</v>
      </c>
      <c r="AQ859">
        <v>40.953910935507515</v>
      </c>
      <c r="AR859">
        <v>6.1342532303675572</v>
      </c>
      <c r="AS859">
        <v>71.87897107365211</v>
      </c>
      <c r="AT859" t="e">
        <v>#DIV/0!</v>
      </c>
      <c r="AU859" t="e">
        <v>#DIV/0!</v>
      </c>
      <c r="AV859"/>
      <c r="AW859"/>
      <c r="FY859" s="213">
        <v>854</v>
      </c>
      <c r="FZ859">
        <v>3.7797135260832437</v>
      </c>
      <c r="GA859">
        <v>17.283203229069787</v>
      </c>
      <c r="GB859">
        <v>6.6302719788341005</v>
      </c>
      <c r="GC859">
        <v>2.4342274887666489</v>
      </c>
      <c r="GD859">
        <v>2.5894407954294403</v>
      </c>
      <c r="GE859">
        <v>1.4577584293019186</v>
      </c>
      <c r="GF859">
        <v>0</v>
      </c>
      <c r="GG859">
        <v>2.3967944608538589</v>
      </c>
      <c r="GH859">
        <v>3.2687638598689679</v>
      </c>
      <c r="GI859">
        <v>4.3319613754622175</v>
      </c>
      <c r="GJ859"/>
      <c r="GK859"/>
      <c r="GL859"/>
      <c r="GM859"/>
      <c r="GN859" s="208"/>
      <c r="GO859" s="208"/>
      <c r="GP859" s="208"/>
      <c r="GQ859" s="208"/>
      <c r="GR859" s="208"/>
      <c r="GS859" s="208"/>
      <c r="GT859" s="208"/>
      <c r="GU859" s="213">
        <v>854</v>
      </c>
    </row>
    <row r="860" spans="1:203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25.023092369477911</v>
      </c>
      <c r="AO860">
        <v>6.998293597013415</v>
      </c>
      <c r="AP860">
        <v>134.06494242147815</v>
      </c>
      <c r="AQ860">
        <v>48.734215083617642</v>
      </c>
      <c r="AR860">
        <v>6.4163563590534078</v>
      </c>
      <c r="AS860">
        <v>72.17013210637765</v>
      </c>
      <c r="AT860" t="e">
        <v>#DIV/0!</v>
      </c>
      <c r="AU860" t="e">
        <v>#DIV/0!</v>
      </c>
      <c r="AV860"/>
      <c r="AW860"/>
      <c r="FY860" s="213">
        <v>855</v>
      </c>
      <c r="FZ860">
        <v>1.1743222411384853</v>
      </c>
      <c r="GA860">
        <v>28.941515478102605</v>
      </c>
      <c r="GB860">
        <v>14.436269652403865</v>
      </c>
      <c r="GC860">
        <v>2.139036529942933</v>
      </c>
      <c r="GD860">
        <v>1.8035164325967945</v>
      </c>
      <c r="GE860">
        <v>0.61459346933905445</v>
      </c>
      <c r="GF860">
        <v>0.47734812494006024</v>
      </c>
      <c r="GG860">
        <v>9.219798480111228</v>
      </c>
      <c r="GH860">
        <v>12.922215624742883</v>
      </c>
      <c r="GI860">
        <v>7.0504839037669695</v>
      </c>
      <c r="GJ860"/>
      <c r="GK860"/>
      <c r="GL860"/>
      <c r="GM860"/>
      <c r="GN860" s="208"/>
      <c r="GO860" s="208"/>
      <c r="GP860" s="208"/>
      <c r="GQ860" s="208"/>
      <c r="GR860" s="208"/>
      <c r="GS860" s="208"/>
      <c r="GT860" s="208"/>
      <c r="GU860" s="213">
        <v>855</v>
      </c>
    </row>
    <row r="861" spans="1:203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37.679409963334457</v>
      </c>
      <c r="AO861">
        <v>9.1625720799134527</v>
      </c>
      <c r="AP861">
        <v>257.67880747005381</v>
      </c>
      <c r="AQ861">
        <v>62.162426549587998</v>
      </c>
      <c r="AR861">
        <v>8.329610981739501</v>
      </c>
      <c r="AS861">
        <v>106.44768992591703</v>
      </c>
      <c r="AT861" t="e">
        <v>#DIV/0!</v>
      </c>
      <c r="AU861" t="e">
        <v>#DIV/0!</v>
      </c>
      <c r="AV861"/>
      <c r="AW861"/>
      <c r="FY861" s="213">
        <v>856</v>
      </c>
      <c r="FZ861">
        <v>4.3668746466524873</v>
      </c>
      <c r="GA861">
        <v>21.590528605833239</v>
      </c>
      <c r="GB861">
        <v>8.9533216931423265</v>
      </c>
      <c r="GC861">
        <v>1.3302638723983682</v>
      </c>
      <c r="GD861">
        <v>1.966991287040186</v>
      </c>
      <c r="GE861">
        <v>2.2042483879030739</v>
      </c>
      <c r="GF861">
        <v>0.47734812494006024</v>
      </c>
      <c r="GG861">
        <v>6.6111965596753564</v>
      </c>
      <c r="GH861">
        <v>9.4886491778179121</v>
      </c>
      <c r="GI861">
        <v>5.6755904189683983</v>
      </c>
      <c r="GJ861"/>
      <c r="GK861"/>
      <c r="GL861"/>
      <c r="GM861"/>
      <c r="GN861" s="208"/>
      <c r="GO861" s="208"/>
      <c r="GP861" s="208"/>
      <c r="GQ861" s="208"/>
      <c r="GR861" s="208"/>
      <c r="GS861" s="208"/>
      <c r="GT861" s="208"/>
      <c r="GU861" s="213">
        <v>856</v>
      </c>
    </row>
    <row r="862" spans="1:203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34.895269295573094</v>
      </c>
      <c r="AO862">
        <v>6.9940419445380941</v>
      </c>
      <c r="AP862">
        <v>85.80618128109235</v>
      </c>
      <c r="AQ862">
        <v>42.321684221782199</v>
      </c>
      <c r="AR862">
        <v>6.4124912204394793</v>
      </c>
      <c r="AS862">
        <v>91.992989257274033</v>
      </c>
      <c r="AT862" t="e">
        <v>#DIV/0!</v>
      </c>
      <c r="AU862" t="e">
        <v>#DIV/0!</v>
      </c>
      <c r="AV862"/>
      <c r="AW862"/>
      <c r="FY862" s="213">
        <v>857</v>
      </c>
      <c r="FZ862">
        <v>0.58716112056924263</v>
      </c>
      <c r="GA862">
        <v>17.401782502997023</v>
      </c>
      <c r="GB862">
        <v>8.6362043449245451</v>
      </c>
      <c r="GC862">
        <v>1.7851605407960478</v>
      </c>
      <c r="GD862">
        <v>2.490688206733207</v>
      </c>
      <c r="GE862">
        <v>2.2716958694402463</v>
      </c>
      <c r="GF862">
        <v>0</v>
      </c>
      <c r="GG862">
        <v>4.9003276783417631</v>
      </c>
      <c r="GH862">
        <v>6.6781101422620921</v>
      </c>
      <c r="GI862">
        <v>4.8964538060933656</v>
      </c>
      <c r="GJ862"/>
      <c r="GK862"/>
      <c r="GL862"/>
      <c r="GM862"/>
      <c r="GN862" s="208"/>
      <c r="GO862" s="208"/>
      <c r="GP862" s="208"/>
      <c r="GQ862" s="208"/>
      <c r="GR862" s="208"/>
      <c r="GS862" s="208"/>
      <c r="GT862" s="208"/>
      <c r="GU862" s="213">
        <v>857</v>
      </c>
    </row>
    <row r="863" spans="1:203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30.648159963334457</v>
      </c>
      <c r="AO863">
        <v>9.5477137217793366</v>
      </c>
      <c r="AP863">
        <v>311.06957970041879</v>
      </c>
      <c r="AQ863">
        <v>61.007562210460513</v>
      </c>
      <c r="AR863">
        <v>8.7340110179315165</v>
      </c>
      <c r="AS863">
        <v>86.877819663810527</v>
      </c>
      <c r="AT863" t="e">
        <v>#DIV/0!</v>
      </c>
      <c r="AU863" t="e">
        <v>#DIV/0!</v>
      </c>
      <c r="AV863"/>
      <c r="AW863"/>
      <c r="FY863" s="213">
        <v>858</v>
      </c>
      <c r="FZ863">
        <v>3.192552405514002</v>
      </c>
      <c r="GA863">
        <v>18.536967277433611</v>
      </c>
      <c r="GB863">
        <v>7.3573431241203728</v>
      </c>
      <c r="GC863">
        <v>1.0795281381189963</v>
      </c>
      <c r="GD863">
        <v>2.0153457470551288</v>
      </c>
      <c r="GE863">
        <v>3.5743242577313823</v>
      </c>
      <c r="GF863">
        <v>1.9093924997602409</v>
      </c>
      <c r="GG863">
        <v>7.2466189384213955</v>
      </c>
      <c r="GH863">
        <v>9.9830569389859214</v>
      </c>
      <c r="GI863">
        <v>5.5495343185263764</v>
      </c>
      <c r="GJ863"/>
      <c r="GK863"/>
      <c r="GL863"/>
      <c r="GM863"/>
      <c r="GN863" s="208"/>
      <c r="GO863" s="208"/>
      <c r="GP863" s="208"/>
      <c r="GQ863" s="208"/>
      <c r="GR863" s="208"/>
      <c r="GS863" s="208"/>
      <c r="GT863" s="208"/>
      <c r="GU863" s="213">
        <v>858</v>
      </c>
    </row>
    <row r="864" spans="1:203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22.202380952380953</v>
      </c>
      <c r="AO864">
        <v>6.5922660477689075</v>
      </c>
      <c r="AP864">
        <v>75.768455459225692</v>
      </c>
      <c r="AQ864">
        <v>48.322759970614428</v>
      </c>
      <c r="AR864">
        <v>6.1557829469135514</v>
      </c>
      <c r="AS864">
        <v>64.571560746945025</v>
      </c>
      <c r="AT864" t="e">
        <v>#DIV/0!</v>
      </c>
      <c r="AU864" t="e">
        <v>#DIV/0!</v>
      </c>
      <c r="AV864"/>
      <c r="AW864"/>
      <c r="FY864" s="213">
        <v>859</v>
      </c>
      <c r="FZ864">
        <v>0</v>
      </c>
      <c r="GA864">
        <v>13.576582112116634</v>
      </c>
      <c r="GB864">
        <v>6.7391231976231216</v>
      </c>
      <c r="GC864">
        <v>2.3505772380318346</v>
      </c>
      <c r="GD864">
        <v>2.65956537734758</v>
      </c>
      <c r="GE864">
        <v>2.3105629126723395</v>
      </c>
      <c r="GF864">
        <v>0.95469624988012047</v>
      </c>
      <c r="GG864">
        <v>7.1162822184483332</v>
      </c>
      <c r="GH864">
        <v>10.156211986047284</v>
      </c>
      <c r="GI864">
        <v>5.0957207973360354</v>
      </c>
      <c r="GJ864"/>
      <c r="GK864"/>
      <c r="GL864"/>
      <c r="GM864"/>
      <c r="GN864" s="208"/>
      <c r="GO864" s="208"/>
      <c r="GP864" s="208"/>
      <c r="GQ864" s="208"/>
      <c r="GR864" s="208"/>
      <c r="GS864" s="208"/>
      <c r="GT864" s="208"/>
      <c r="GU864" s="213">
        <v>859</v>
      </c>
    </row>
    <row r="865" spans="1:203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21.05516297538265</v>
      </c>
      <c r="AO865">
        <v>7.0684560267823304</v>
      </c>
      <c r="AP865">
        <v>122.48591326352232</v>
      </c>
      <c r="AQ865">
        <v>47.971127676408443</v>
      </c>
      <c r="AR865">
        <v>6.4258691152566652</v>
      </c>
      <c r="AS865">
        <v>71.731628720896055</v>
      </c>
      <c r="AT865" t="e">
        <v>#DIV/0!</v>
      </c>
      <c r="AU865" t="e">
        <v>#DIV/0!</v>
      </c>
      <c r="AV865"/>
      <c r="AW865"/>
      <c r="FY865" s="213">
        <v>860</v>
      </c>
      <c r="FZ865">
        <v>0.58716112056924263</v>
      </c>
      <c r="GA865">
        <v>14.392263647174184</v>
      </c>
      <c r="GB865">
        <v>7.1936202347956009</v>
      </c>
      <c r="GC865">
        <v>1.4077514990895934</v>
      </c>
      <c r="GD865">
        <v>2.7010332375106931</v>
      </c>
      <c r="GE865">
        <v>3.5743382405631321</v>
      </c>
      <c r="GF865">
        <v>0.47734812494006024</v>
      </c>
      <c r="GG865">
        <v>6.9044747588663187</v>
      </c>
      <c r="GH865">
        <v>9.9914093989912782</v>
      </c>
      <c r="GI865">
        <v>5.2577807189157229</v>
      </c>
      <c r="GJ865"/>
      <c r="GK865"/>
      <c r="GL865"/>
      <c r="GM865"/>
      <c r="GN865" s="208"/>
      <c r="GO865" s="208"/>
      <c r="GP865" s="208"/>
      <c r="GQ865" s="208"/>
      <c r="GR865" s="208"/>
      <c r="GS865" s="208"/>
      <c r="GT865" s="208"/>
      <c r="GU865" s="213">
        <v>860</v>
      </c>
    </row>
    <row r="866" spans="1:203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34.977696500286861</v>
      </c>
      <c r="AO866">
        <v>6.7523104104849647</v>
      </c>
      <c r="AP866">
        <v>195.24593292611468</v>
      </c>
      <c r="AQ866">
        <v>45.40484217981831</v>
      </c>
      <c r="AR866">
        <v>6.1384640095317877</v>
      </c>
      <c r="AS866">
        <v>88.828195343253938</v>
      </c>
      <c r="AT866" t="e">
        <v>#DIV/0!</v>
      </c>
      <c r="AU866" t="e">
        <v>#DIV/0!</v>
      </c>
      <c r="AV866"/>
      <c r="AW866"/>
      <c r="FY866" s="213">
        <v>861</v>
      </c>
      <c r="FZ866">
        <v>3.7797135260832437</v>
      </c>
      <c r="GA866">
        <v>17.609165985169483</v>
      </c>
      <c r="GB866">
        <v>6.9378896214013137</v>
      </c>
      <c r="GC866">
        <v>0.46227644236827292</v>
      </c>
      <c r="GD866">
        <v>2.1913206572883239</v>
      </c>
      <c r="GE866">
        <v>4.0184917181677218</v>
      </c>
      <c r="GF866">
        <v>0.47734812494006024</v>
      </c>
      <c r="GG866">
        <v>6.5785589671545566</v>
      </c>
      <c r="GH866">
        <v>8.9981463488533784</v>
      </c>
      <c r="GI866">
        <v>5.2240749997111982</v>
      </c>
      <c r="GJ866"/>
      <c r="GK866"/>
      <c r="GL866"/>
      <c r="GM866"/>
      <c r="GN866" s="208"/>
      <c r="GO866" s="208"/>
      <c r="GP866" s="208"/>
      <c r="GQ866" s="208"/>
      <c r="GR866" s="208"/>
      <c r="GS866" s="208"/>
      <c r="GT866" s="208"/>
      <c r="GU866" s="213">
        <v>861</v>
      </c>
    </row>
    <row r="867" spans="1:203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28.438988095238102</v>
      </c>
      <c r="AO867">
        <v>6.7571638565072361</v>
      </c>
      <c r="AP867">
        <v>323.26042551865726</v>
      </c>
      <c r="AQ867">
        <v>42.819682283355405</v>
      </c>
      <c r="AR867">
        <v>6.3056900457665774</v>
      </c>
      <c r="AS867">
        <v>87.105126677696504</v>
      </c>
      <c r="AT867" t="e">
        <v>#DIV/0!</v>
      </c>
      <c r="AU867" t="e">
        <v>#DIV/0!</v>
      </c>
      <c r="AV867"/>
      <c r="AW867"/>
      <c r="FY867" s="213">
        <v>862</v>
      </c>
      <c r="FZ867">
        <v>0.58716112056924263</v>
      </c>
      <c r="GA867">
        <v>20.455343831396647</v>
      </c>
      <c r="GB867">
        <v>10.232182913946499</v>
      </c>
      <c r="GC867">
        <v>2.1773291304436881</v>
      </c>
      <c r="GD867">
        <v>2.7005974483513482</v>
      </c>
      <c r="GE867">
        <v>2.3743648388778098</v>
      </c>
      <c r="GF867">
        <v>0.47734812494006024</v>
      </c>
      <c r="GG867">
        <v>3.2530639283636935</v>
      </c>
      <c r="GH867">
        <v>4.7322145066430314</v>
      </c>
      <c r="GI867">
        <v>5.1479566348872901</v>
      </c>
      <c r="GJ867"/>
      <c r="GK867"/>
      <c r="GL867"/>
      <c r="GM867"/>
      <c r="GN867" s="208"/>
      <c r="GO867" s="208"/>
      <c r="GP867" s="208"/>
      <c r="GQ867" s="208"/>
      <c r="GR867" s="208"/>
      <c r="GS867" s="208"/>
      <c r="GT867" s="208"/>
      <c r="GU867" s="213">
        <v>862</v>
      </c>
    </row>
    <row r="868" spans="1:203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39.608973043240283</v>
      </c>
      <c r="AO868">
        <v>7.1082976076545608</v>
      </c>
      <c r="AP868">
        <v>347.32724500499233</v>
      </c>
      <c r="AQ868">
        <v>43.453510741570859</v>
      </c>
      <c r="AR868">
        <v>6.5706312759502037</v>
      </c>
      <c r="AS868">
        <v>100.97942205244253</v>
      </c>
      <c r="AT868" t="e">
        <v>#DIV/0!</v>
      </c>
      <c r="AU868" t="e">
        <v>#DIV/0!</v>
      </c>
      <c r="AV868"/>
      <c r="AW868"/>
      <c r="FY868" s="213">
        <v>863</v>
      </c>
      <c r="FZ868">
        <v>2.7705984438954863</v>
      </c>
      <c r="GA868">
        <v>17.744080075300836</v>
      </c>
      <c r="GB868">
        <v>7.7169452376491083</v>
      </c>
      <c r="GC868">
        <v>1.0155829094419531</v>
      </c>
      <c r="GD868">
        <v>1.8739600769027271</v>
      </c>
      <c r="GE868">
        <v>2.5062613281399106</v>
      </c>
      <c r="GF868">
        <v>0.47734812494006024</v>
      </c>
      <c r="GG868">
        <v>1.5731625858648244</v>
      </c>
      <c r="GH868">
        <v>2.295816042059438</v>
      </c>
      <c r="GI868">
        <v>3.9641253787809698</v>
      </c>
      <c r="GJ868"/>
      <c r="GK868"/>
      <c r="GL868"/>
      <c r="GM868"/>
      <c r="GN868" s="208"/>
      <c r="GO868" s="208"/>
      <c r="GP868" s="208"/>
      <c r="GQ868" s="208"/>
      <c r="GR868" s="208"/>
      <c r="GS868" s="208"/>
      <c r="GT868" s="208"/>
      <c r="GU868" s="213">
        <v>863</v>
      </c>
    </row>
    <row r="869" spans="1:203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43.687499999999993</v>
      </c>
      <c r="AO869">
        <v>8.3669615701581286</v>
      </c>
      <c r="AP869">
        <v>411.00211185281597</v>
      </c>
      <c r="AQ869">
        <v>52.515335279009797</v>
      </c>
      <c r="AR869">
        <v>7.7148712418625385</v>
      </c>
      <c r="AS869">
        <v>117.31165979664</v>
      </c>
      <c r="AT869" t="e">
        <v>#DIV/0!</v>
      </c>
      <c r="AU869" t="e">
        <v>#DIV/0!</v>
      </c>
      <c r="AV869"/>
      <c r="AW869"/>
      <c r="FY869" s="213">
        <v>864</v>
      </c>
      <c r="FZ869">
        <v>0.58716112056924263</v>
      </c>
      <c r="GA869">
        <v>11.869120485439174</v>
      </c>
      <c r="GB869">
        <v>5.7328994824340302</v>
      </c>
      <c r="GC869">
        <v>1.5736198327071467</v>
      </c>
      <c r="GD869">
        <v>1.5947922889817243</v>
      </c>
      <c r="GE869">
        <v>1.0720460085146524</v>
      </c>
      <c r="GF869">
        <v>0.47734812494006024</v>
      </c>
      <c r="GG869">
        <v>5.6498583892175525</v>
      </c>
      <c r="GH869">
        <v>8.0009783665119993</v>
      </c>
      <c r="GI869">
        <v>3.9057456285426655</v>
      </c>
      <c r="GJ869"/>
      <c r="GK869"/>
      <c r="GL869"/>
      <c r="GM869"/>
      <c r="GN869" s="208"/>
      <c r="GO869" s="208"/>
      <c r="GP869" s="208"/>
      <c r="GQ869" s="208"/>
      <c r="GR869" s="208"/>
      <c r="GS869" s="208"/>
      <c r="GT869" s="208"/>
      <c r="GU869" s="213">
        <v>864</v>
      </c>
    </row>
    <row r="870" spans="1:203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31.738180760810074</v>
      </c>
      <c r="AO870">
        <v>6.68579116272074</v>
      </c>
      <c r="AP870">
        <v>144.39874775421333</v>
      </c>
      <c r="AQ870">
        <v>44.172135143670189</v>
      </c>
      <c r="AR870">
        <v>6.1322632369691581</v>
      </c>
      <c r="AS870">
        <v>81.270409325236699</v>
      </c>
      <c r="AT870" t="e">
        <v>#DIV/0!</v>
      </c>
      <c r="AU870" t="e">
        <v>#DIV/0!</v>
      </c>
      <c r="AV870"/>
      <c r="AW870"/>
      <c r="FY870" s="213">
        <v>865</v>
      </c>
      <c r="FZ870">
        <v>1.7614833617077283</v>
      </c>
      <c r="GA870">
        <v>19.190438982905746</v>
      </c>
      <c r="GB870">
        <v>9.4473822517642141</v>
      </c>
      <c r="GC870">
        <v>0.86798743003009515</v>
      </c>
      <c r="GD870">
        <v>2.1950323726435967</v>
      </c>
      <c r="GE870">
        <v>3.6872512581063477</v>
      </c>
      <c r="GF870">
        <v>0.95469624988012047</v>
      </c>
      <c r="GG870">
        <v>5.8616658487995661</v>
      </c>
      <c r="GH870">
        <v>8.165780953568003</v>
      </c>
      <c r="GI870">
        <v>5.5784665352015388</v>
      </c>
      <c r="GJ870"/>
      <c r="GK870"/>
      <c r="GL870"/>
      <c r="GM870"/>
      <c r="GN870" s="208"/>
      <c r="GO870" s="208"/>
      <c r="GP870" s="208"/>
      <c r="GQ870" s="208"/>
      <c r="GR870" s="208"/>
      <c r="GS870" s="208"/>
      <c r="GT870" s="208"/>
      <c r="GU870" s="213">
        <v>865</v>
      </c>
    </row>
    <row r="871" spans="1:203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37.203219487143983</v>
      </c>
      <c r="AO871">
        <v>11.000112553298507</v>
      </c>
      <c r="AP871">
        <v>627.09034779084686</v>
      </c>
      <c r="AQ871">
        <v>78.779099937084879</v>
      </c>
      <c r="AR871">
        <v>10.108644862899249</v>
      </c>
      <c r="AS871">
        <v>119.04680413196728</v>
      </c>
      <c r="AT871" t="e">
        <v>#DIV/0!</v>
      </c>
      <c r="AU871" t="e">
        <v>#DIV/0!</v>
      </c>
      <c r="AV871"/>
      <c r="AW871"/>
      <c r="FY871" s="213">
        <v>866</v>
      </c>
      <c r="FZ871">
        <v>0.58716112056924263</v>
      </c>
      <c r="GA871">
        <v>15.644356153102999</v>
      </c>
      <c r="GB871">
        <v>7.838183361662928</v>
      </c>
      <c r="GC871">
        <v>0.1475954794118578</v>
      </c>
      <c r="GD871">
        <v>1.1393882115918326</v>
      </c>
      <c r="GE871">
        <v>2.9597307883923274</v>
      </c>
      <c r="GF871">
        <v>1.432044374820181</v>
      </c>
      <c r="GG871">
        <v>0.82530192867511065</v>
      </c>
      <c r="GH871">
        <v>1.0893100758018361</v>
      </c>
      <c r="GI871">
        <v>3.232777502226269</v>
      </c>
      <c r="GJ871"/>
      <c r="GK871"/>
      <c r="GL871"/>
      <c r="GM871"/>
      <c r="GN871" s="208"/>
      <c r="GO871" s="208"/>
      <c r="GP871" s="208"/>
      <c r="GQ871" s="208"/>
      <c r="GR871" s="208"/>
      <c r="GS871" s="208"/>
      <c r="GT871" s="208"/>
      <c r="GU871" s="213">
        <v>866</v>
      </c>
    </row>
    <row r="872" spans="1:203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33.594503012048186</v>
      </c>
      <c r="AO872">
        <v>8.8693618057928116</v>
      </c>
      <c r="AP872">
        <v>235.04836997475115</v>
      </c>
      <c r="AQ872">
        <v>62.665012774371405</v>
      </c>
      <c r="AR872">
        <v>8.1715987288031613</v>
      </c>
      <c r="AS872">
        <v>101.67658469704642</v>
      </c>
      <c r="AT872" t="e">
        <v>#DIV/0!</v>
      </c>
      <c r="AU872" t="e">
        <v>#DIV/0!</v>
      </c>
      <c r="AV872"/>
      <c r="AW872"/>
      <c r="FY872" s="213">
        <v>867</v>
      </c>
      <c r="FZ872">
        <v>3.192552405514002</v>
      </c>
      <c r="GA872">
        <v>21.040326335320376</v>
      </c>
      <c r="GB872">
        <v>8.7157911194819508</v>
      </c>
      <c r="GC872">
        <v>1.5553469785014511</v>
      </c>
      <c r="GD872">
        <v>1.7215842227123836</v>
      </c>
      <c r="GE872">
        <v>1.0680769124232219</v>
      </c>
      <c r="GF872">
        <v>0</v>
      </c>
      <c r="GG872">
        <v>2.5035332174879037</v>
      </c>
      <c r="GH872">
        <v>3.4093462823931233</v>
      </c>
      <c r="GI872">
        <v>4.236735405382281</v>
      </c>
      <c r="GJ872"/>
      <c r="GK872"/>
      <c r="GL872"/>
      <c r="GM872"/>
      <c r="GN872" s="208"/>
      <c r="GO872" s="208"/>
      <c r="GP872" s="208"/>
      <c r="GQ872" s="208"/>
      <c r="GR872" s="208"/>
      <c r="GS872" s="208"/>
      <c r="GT872" s="208"/>
      <c r="GU872" s="213">
        <v>867</v>
      </c>
    </row>
    <row r="873" spans="1:203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30.933959771763579</v>
      </c>
      <c r="AO873">
        <v>7.5881239887969247</v>
      </c>
      <c r="AP873">
        <v>381.77740155702577</v>
      </c>
      <c r="AQ873">
        <v>49.647584212157525</v>
      </c>
      <c r="AR873">
        <v>6.952565806129325</v>
      </c>
      <c r="AS873">
        <v>85.113881876593055</v>
      </c>
      <c r="AT873" t="e">
        <v>#DIV/0!</v>
      </c>
      <c r="AU873" t="e">
        <v>#DIV/0!</v>
      </c>
      <c r="AV873"/>
      <c r="AW873"/>
      <c r="FY873" s="213">
        <v>868</v>
      </c>
      <c r="FZ873">
        <v>2.1834373233262436</v>
      </c>
      <c r="GA873">
        <v>18.326878792224026</v>
      </c>
      <c r="GB873">
        <v>8.1969861036244343</v>
      </c>
      <c r="GC873">
        <v>2.441607262737242</v>
      </c>
      <c r="GD873">
        <v>2.4211730217661582</v>
      </c>
      <c r="GE873">
        <v>1.3939565030964483</v>
      </c>
      <c r="GF873">
        <v>0.47734812494006024</v>
      </c>
      <c r="GG873">
        <v>2.2917257579058905</v>
      </c>
      <c r="GH873">
        <v>3.2445436953371196</v>
      </c>
      <c r="GI873">
        <v>4.4052512427486423</v>
      </c>
      <c r="GJ873"/>
      <c r="GK873"/>
      <c r="GL873"/>
      <c r="GM873"/>
      <c r="GN873" s="208"/>
      <c r="GO873" s="208"/>
      <c r="GP873" s="208"/>
      <c r="GQ873" s="208"/>
      <c r="GR873" s="208"/>
      <c r="GS873" s="208"/>
      <c r="GT873" s="208"/>
      <c r="GU873" s="213">
        <v>868</v>
      </c>
    </row>
    <row r="874" spans="1:203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28.407003012048186</v>
      </c>
      <c r="AO874">
        <v>8.7193887932649758</v>
      </c>
      <c r="AP874">
        <v>269.97649358625824</v>
      </c>
      <c r="AQ874">
        <v>60.44466364566744</v>
      </c>
      <c r="AR874">
        <v>7.9267170847863433</v>
      </c>
      <c r="AS874">
        <v>96.083284387728554</v>
      </c>
      <c r="AT874" t="e">
        <v>#DIV/0!</v>
      </c>
      <c r="AU874" t="e">
        <v>#DIV/0!</v>
      </c>
      <c r="AV874"/>
      <c r="AW874"/>
      <c r="FY874" s="213">
        <v>869</v>
      </c>
      <c r="FZ874">
        <v>4.7888286082710039</v>
      </c>
      <c r="GA874">
        <v>13.707659531095489</v>
      </c>
      <c r="GB874">
        <v>4.0980933660286052</v>
      </c>
      <c r="GC874">
        <v>1.0082031354713601</v>
      </c>
      <c r="GD874">
        <v>1.4596088057240271</v>
      </c>
      <c r="GE874">
        <v>1.9753533565195354</v>
      </c>
      <c r="GF874">
        <v>0.95469624988012047</v>
      </c>
      <c r="GG874">
        <v>5.0380339738105313</v>
      </c>
      <c r="GH874">
        <v>7.1928331357584732</v>
      </c>
      <c r="GI874">
        <v>3.9974941207056522</v>
      </c>
      <c r="GJ874"/>
      <c r="GK874"/>
      <c r="GL874"/>
      <c r="GM874"/>
      <c r="GN874" s="208"/>
      <c r="GO874" s="208"/>
      <c r="GP874" s="208"/>
      <c r="GQ874" s="208"/>
      <c r="GR874" s="208"/>
      <c r="GS874" s="208"/>
      <c r="GT874" s="208"/>
      <c r="GU874" s="213">
        <v>869</v>
      </c>
    </row>
    <row r="875" spans="1:203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38.785799808429118</v>
      </c>
      <c r="AO875">
        <v>8.1275481307708191</v>
      </c>
      <c r="AP875">
        <v>431.50149116082571</v>
      </c>
      <c r="AQ875">
        <v>50.959322089503281</v>
      </c>
      <c r="AR875">
        <v>7.3886801188825615</v>
      </c>
      <c r="AS875">
        <v>100.64000900024025</v>
      </c>
      <c r="AT875" t="e">
        <v>#DIV/0!</v>
      </c>
      <c r="AU875" t="e">
        <v>#DIV/0!</v>
      </c>
      <c r="AV875"/>
      <c r="AW875"/>
      <c r="FY875" s="213">
        <v>870</v>
      </c>
      <c r="FZ875">
        <v>1.596276202757001</v>
      </c>
      <c r="GA875">
        <v>21.861515595860322</v>
      </c>
      <c r="GB875">
        <v>9.8953008271476701</v>
      </c>
      <c r="GC875">
        <v>2.6457681968555504</v>
      </c>
      <c r="GD875">
        <v>2.5687249382542685</v>
      </c>
      <c r="GE875">
        <v>1.6667419235087486</v>
      </c>
      <c r="GF875">
        <v>0.95469624988012047</v>
      </c>
      <c r="GG875">
        <v>3.9699570467186831</v>
      </c>
      <c r="GH875">
        <v>5.5645799019284059</v>
      </c>
      <c r="GI875">
        <v>5.3230848879760639</v>
      </c>
      <c r="GJ875"/>
      <c r="GK875"/>
      <c r="GL875"/>
      <c r="GM875"/>
      <c r="GN875" s="208"/>
      <c r="GO875" s="208"/>
      <c r="GP875" s="208"/>
      <c r="GQ875" s="208"/>
      <c r="GR875" s="208"/>
      <c r="GS875" s="208"/>
      <c r="GT875" s="208"/>
      <c r="GU875" s="213">
        <v>870</v>
      </c>
    </row>
    <row r="876" spans="1:203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32.098299808429104</v>
      </c>
      <c r="AO876">
        <v>8.388630439249054</v>
      </c>
      <c r="AP876">
        <v>420.23653060330349</v>
      </c>
      <c r="AQ876">
        <v>52.487180981415833</v>
      </c>
      <c r="AR876">
        <v>7.6802989429039874</v>
      </c>
      <c r="AS876">
        <v>88.177691048685205</v>
      </c>
      <c r="AT876" t="e">
        <v>#DIV/0!</v>
      </c>
      <c r="AU876" t="e">
        <v>#DIV/0!</v>
      </c>
      <c r="AV876"/>
      <c r="AW876"/>
      <c r="FY876" s="213">
        <v>871</v>
      </c>
      <c r="FZ876">
        <v>4.7888286082710039</v>
      </c>
      <c r="GA876">
        <v>19.57418332386721</v>
      </c>
      <c r="GB876">
        <v>6.8830813483668463</v>
      </c>
      <c r="GC876">
        <v>1.0674179079568897</v>
      </c>
      <c r="GD876">
        <v>1.8805177464648304</v>
      </c>
      <c r="GE876">
        <v>2.4421358611747115</v>
      </c>
      <c r="GF876">
        <v>0.47734812494006024</v>
      </c>
      <c r="GG876">
        <v>7.2230209750823775</v>
      </c>
      <c r="GH876">
        <v>10.29679440857144</v>
      </c>
      <c r="GI876">
        <v>5.3921071623415981</v>
      </c>
      <c r="GJ876"/>
      <c r="GK876"/>
      <c r="GL876"/>
      <c r="GM876"/>
      <c r="GN876" s="208"/>
      <c r="GO876" s="208"/>
      <c r="GP876" s="208"/>
      <c r="GQ876" s="208"/>
      <c r="GR876" s="208"/>
      <c r="GS876" s="208"/>
      <c r="GT876" s="208"/>
      <c r="GU876" s="213">
        <v>871</v>
      </c>
    </row>
    <row r="877" spans="1:203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25.279932950191572</v>
      </c>
      <c r="AO877">
        <v>8.1040743593293083</v>
      </c>
      <c r="AP877">
        <v>185.06918673114157</v>
      </c>
      <c r="AQ877">
        <v>56.276986391137548</v>
      </c>
      <c r="AR877">
        <v>7.4216115975224</v>
      </c>
      <c r="AS877">
        <v>91.624366669897626</v>
      </c>
      <c r="AT877" t="e">
        <v>#DIV/0!</v>
      </c>
      <c r="AU877" t="e">
        <v>#DIV/0!</v>
      </c>
      <c r="AV877"/>
      <c r="AW877"/>
      <c r="FY877" s="213">
        <v>872</v>
      </c>
      <c r="FZ877">
        <v>0.58716112056924263</v>
      </c>
      <c r="GA877">
        <v>15.226057743644972</v>
      </c>
      <c r="GB877">
        <v>7.6678820105491292</v>
      </c>
      <c r="GC877">
        <v>2.2474369831643211</v>
      </c>
      <c r="GD877">
        <v>3.2314462643028885</v>
      </c>
      <c r="GE877">
        <v>3.3400963226231966</v>
      </c>
      <c r="GF877">
        <v>0.47734812494006024</v>
      </c>
      <c r="GG877">
        <v>5.5431196325835081</v>
      </c>
      <c r="GH877">
        <v>7.8603959439878439</v>
      </c>
      <c r="GI877">
        <v>5.2947949395284999</v>
      </c>
      <c r="GJ877"/>
      <c r="GK877"/>
      <c r="GL877"/>
      <c r="GM877"/>
      <c r="GN877" s="208"/>
      <c r="GO877" s="208"/>
      <c r="GP877" s="208"/>
      <c r="GQ877" s="208"/>
      <c r="GR877" s="208"/>
      <c r="GS877" s="208"/>
      <c r="GT877" s="208"/>
      <c r="GU877" s="213">
        <v>872</v>
      </c>
    </row>
    <row r="878" spans="1:203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36.500753012048193</v>
      </c>
      <c r="AO878">
        <v>8.0251226008661583</v>
      </c>
      <c r="AP878">
        <v>415.46372047359364</v>
      </c>
      <c r="AQ878">
        <v>52.137562478419312</v>
      </c>
      <c r="AR878">
        <v>7.3498372716468108</v>
      </c>
      <c r="AS878">
        <v>93.704651459170094</v>
      </c>
      <c r="AT878" t="e">
        <v>#DIV/0!</v>
      </c>
      <c r="AU878" t="e">
        <v>#DIV/0!</v>
      </c>
      <c r="AV878"/>
      <c r="AW878"/>
      <c r="FY878" s="213">
        <v>873</v>
      </c>
      <c r="FZ878">
        <v>6.9722659315972457</v>
      </c>
      <c r="GA878">
        <v>21.709001188881253</v>
      </c>
      <c r="GB878">
        <v>7.0175397934600019</v>
      </c>
      <c r="GC878">
        <v>1.8883007956635618</v>
      </c>
      <c r="GD878">
        <v>2.0108416610250335</v>
      </c>
      <c r="GE878">
        <v>1.4285309094773821</v>
      </c>
      <c r="GF878">
        <v>0.47734812494006024</v>
      </c>
      <c r="GG878">
        <v>2.5035332174879037</v>
      </c>
      <c r="GH878">
        <v>3.4093462823931233</v>
      </c>
      <c r="GI878">
        <v>4.6758386961762692</v>
      </c>
      <c r="GJ878"/>
      <c r="GK878"/>
      <c r="GL878"/>
      <c r="GM878"/>
      <c r="GN878" s="208"/>
      <c r="GO878" s="208"/>
      <c r="GP878" s="208"/>
      <c r="GQ878" s="208"/>
      <c r="GR878" s="208"/>
      <c r="GS878" s="208"/>
      <c r="GT878" s="208"/>
      <c r="GU878" s="213">
        <v>873</v>
      </c>
    </row>
    <row r="879" spans="1:203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24.944940476190478</v>
      </c>
      <c r="AO879">
        <v>6.1578939714481855</v>
      </c>
      <c r="AP879">
        <v>95.531951378606308</v>
      </c>
      <c r="AQ879">
        <v>41.937880202975307</v>
      </c>
      <c r="AR879">
        <v>5.7066279703080456</v>
      </c>
      <c r="AS879">
        <v>67.745452702267741</v>
      </c>
      <c r="AT879" t="e">
        <v>#DIV/0!</v>
      </c>
      <c r="AU879" t="e">
        <v>#DIV/0!</v>
      </c>
      <c r="AV879"/>
      <c r="AW879"/>
      <c r="FY879" s="213">
        <v>874</v>
      </c>
      <c r="FZ879">
        <v>0</v>
      </c>
      <c r="GA879">
        <v>16.323964788264817</v>
      </c>
      <c r="GB879">
        <v>8.1297568810778582</v>
      </c>
      <c r="GC879">
        <v>0.98255050729507165</v>
      </c>
      <c r="GD879">
        <v>1.8823880818062695</v>
      </c>
      <c r="GE879">
        <v>2.5740323504368119</v>
      </c>
      <c r="GF879">
        <v>0.47734812494006024</v>
      </c>
      <c r="GG879">
        <v>8.2910979021742239</v>
      </c>
      <c r="GH879">
        <v>11.925047642401505</v>
      </c>
      <c r="GI879">
        <v>5.1984919516504844</v>
      </c>
      <c r="GJ879"/>
      <c r="GK879"/>
      <c r="GL879"/>
      <c r="GM879"/>
      <c r="GN879" s="208"/>
      <c r="GO879" s="208"/>
      <c r="GP879" s="208"/>
      <c r="GQ879" s="208"/>
      <c r="GR879" s="208"/>
      <c r="GS879" s="208"/>
      <c r="GT879" s="208"/>
      <c r="GU879" s="213">
        <v>874</v>
      </c>
    </row>
    <row r="880" spans="1:203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25.491909963334454</v>
      </c>
      <c r="AO880">
        <v>6.2515341957381079</v>
      </c>
      <c r="AP880">
        <v>344.01766023705733</v>
      </c>
      <c r="AQ880">
        <v>40.46356972785825</v>
      </c>
      <c r="AR880">
        <v>5.7374841760758546</v>
      </c>
      <c r="AS880">
        <v>67.587365396936747</v>
      </c>
      <c r="AT880" t="e">
        <v>#DIV/0!</v>
      </c>
      <c r="AU880" t="e">
        <v>#DIV/0!</v>
      </c>
      <c r="AV880"/>
      <c r="AW880"/>
      <c r="FY880" s="213">
        <v>875</v>
      </c>
      <c r="FZ880">
        <v>2.1834373233262436</v>
      </c>
      <c r="GA880">
        <v>13.934189523388412</v>
      </c>
      <c r="GB880">
        <v>5.9732879024546639</v>
      </c>
      <c r="GC880">
        <v>0.71301217664764449</v>
      </c>
      <c r="GD880">
        <v>1.6746496653091958</v>
      </c>
      <c r="GE880">
        <v>2.5740323504368119</v>
      </c>
      <c r="GF880">
        <v>0.47734812494006024</v>
      </c>
      <c r="GG880">
        <v>6.504457803041312</v>
      </c>
      <c r="GH880">
        <v>9.3480667552937575</v>
      </c>
      <c r="GI880">
        <v>4.4420225434331648</v>
      </c>
      <c r="GJ880"/>
      <c r="GK880"/>
      <c r="GL880"/>
      <c r="GM880"/>
      <c r="GN880" s="208"/>
      <c r="GO880" s="208"/>
      <c r="GP880" s="208"/>
      <c r="GQ880" s="208"/>
      <c r="GR880" s="208"/>
      <c r="GS880" s="208"/>
      <c r="GT880" s="208"/>
      <c r="GU880" s="213">
        <v>875</v>
      </c>
    </row>
    <row r="881" spans="1:203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25.359469487143976</v>
      </c>
      <c r="AO881">
        <v>8.6905297187282269</v>
      </c>
      <c r="AP881">
        <v>416.608629390803</v>
      </c>
      <c r="AQ881">
        <v>57.710185244606961</v>
      </c>
      <c r="AR881">
        <v>8.063295375058388</v>
      </c>
      <c r="AS881">
        <v>88.091812083785015</v>
      </c>
      <c r="AT881" t="e">
        <v>#DIV/0!</v>
      </c>
      <c r="AU881" t="e">
        <v>#DIV/0!</v>
      </c>
      <c r="AV881"/>
      <c r="AW881"/>
      <c r="FY881" s="213">
        <v>876</v>
      </c>
      <c r="FZ881">
        <v>1.1743222411384853</v>
      </c>
      <c r="GA881">
        <v>12.478675067496788</v>
      </c>
      <c r="GB881">
        <v>6.2772483270943917</v>
      </c>
      <c r="GC881">
        <v>1.8883007956635618</v>
      </c>
      <c r="GD881">
        <v>2.5784861731736965</v>
      </c>
      <c r="GE881">
        <v>2.8667153251940705</v>
      </c>
      <c r="GF881">
        <v>0.95469624988012047</v>
      </c>
      <c r="GG881">
        <v>4.4767127591777358</v>
      </c>
      <c r="GH881">
        <v>6.3485049681500838</v>
      </c>
      <c r="GI881">
        <v>4.4546309286968366</v>
      </c>
      <c r="GJ881"/>
      <c r="GK881"/>
      <c r="GL881"/>
      <c r="GM881"/>
      <c r="GN881" s="208"/>
      <c r="GO881" s="208"/>
      <c r="GP881" s="208"/>
      <c r="GQ881" s="208"/>
      <c r="GR881" s="208"/>
      <c r="GS881" s="208"/>
      <c r="GT881" s="208"/>
      <c r="GU881" s="213">
        <v>876</v>
      </c>
    </row>
    <row r="882" spans="1:203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16.77391297538265</v>
      </c>
      <c r="AO882">
        <v>4.9311862019999086</v>
      </c>
      <c r="AP882">
        <v>213.18734416278417</v>
      </c>
      <c r="AQ882">
        <v>34.895848996254585</v>
      </c>
      <c r="AR882">
        <v>4.5371678181320378</v>
      </c>
      <c r="AS882">
        <v>47.741562014193264</v>
      </c>
      <c r="AT882" t="e">
        <v>#DIV/0!</v>
      </c>
      <c r="AU882" t="e">
        <v>#DIV/0!</v>
      </c>
      <c r="AV882"/>
      <c r="AW882"/>
      <c r="FY882" s="213">
        <v>877</v>
      </c>
      <c r="FZ882">
        <v>3.192552405514002</v>
      </c>
      <c r="GA882">
        <v>19.925437909297553</v>
      </c>
      <c r="GB882">
        <v>8.0179844184272948</v>
      </c>
      <c r="GC882">
        <v>1.1631783888538108</v>
      </c>
      <c r="GD882">
        <v>1.7378076504472946</v>
      </c>
      <c r="GE882">
        <v>2.0045808763440718</v>
      </c>
      <c r="GF882">
        <v>0.47734812494006024</v>
      </c>
      <c r="GG882">
        <v>0.21347751326808947</v>
      </c>
      <c r="GH882">
        <v>0.28116484504831013</v>
      </c>
      <c r="GI882">
        <v>3.7041147984553486</v>
      </c>
      <c r="GJ882"/>
      <c r="GK882"/>
      <c r="GL882"/>
      <c r="GM882"/>
      <c r="GN882" s="208"/>
      <c r="GO882" s="208"/>
      <c r="GP882" s="208"/>
      <c r="GQ882" s="208"/>
      <c r="GR882" s="208"/>
      <c r="GS882" s="208"/>
      <c r="GT882" s="208"/>
      <c r="GU882" s="213">
        <v>877</v>
      </c>
    </row>
    <row r="883" spans="1:203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26.793993296667793</v>
      </c>
      <c r="AO883">
        <v>6.5044020938938063</v>
      </c>
      <c r="AP883">
        <v>166.69186819995431</v>
      </c>
      <c r="AQ883">
        <v>47.443292879216706</v>
      </c>
      <c r="AR883">
        <v>5.9130928126307323</v>
      </c>
      <c r="AS883">
        <v>75.59033962886123</v>
      </c>
      <c r="AT883" t="e">
        <v>#DIV/0!</v>
      </c>
      <c r="AU883" t="e">
        <v>#DIV/0!</v>
      </c>
      <c r="AV883"/>
      <c r="AW883"/>
      <c r="FY883" s="213">
        <v>878</v>
      </c>
      <c r="FZ883">
        <v>2.1834373233262436</v>
      </c>
      <c r="GA883">
        <v>16.534053273474406</v>
      </c>
      <c r="GB883">
        <v>7.290113901573795</v>
      </c>
      <c r="GC883">
        <v>0.93809528275072762</v>
      </c>
      <c r="GD883">
        <v>2.590480726150862</v>
      </c>
      <c r="GE883">
        <v>3.7935797657073644</v>
      </c>
      <c r="GF883">
        <v>0</v>
      </c>
      <c r="GG883">
        <v>3.8901563607958103</v>
      </c>
      <c r="GH883">
        <v>5.3429845258033488</v>
      </c>
      <c r="GI883">
        <v>4.6347642519651391</v>
      </c>
      <c r="GJ883"/>
      <c r="GK883"/>
      <c r="GL883"/>
      <c r="GM883"/>
      <c r="GN883" s="208"/>
      <c r="GO883" s="208"/>
      <c r="GP883" s="208"/>
      <c r="GQ883" s="208"/>
      <c r="GR883" s="208"/>
      <c r="GS883" s="208"/>
      <c r="GT883" s="208"/>
      <c r="GU883" s="213">
        <v>878</v>
      </c>
    </row>
    <row r="884" spans="1:203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37.866909963334457</v>
      </c>
      <c r="AO884">
        <v>6.7608657329967414</v>
      </c>
      <c r="AP884">
        <v>144.71014256115063</v>
      </c>
      <c r="AQ884">
        <v>45.382907827706262</v>
      </c>
      <c r="AR884">
        <v>6.2005128463109749</v>
      </c>
      <c r="AS884">
        <v>100.77940225322918</v>
      </c>
      <c r="AT884" t="e">
        <v>#DIV/0!</v>
      </c>
      <c r="AU884" t="e">
        <v>#DIV/0!</v>
      </c>
      <c r="AV884"/>
      <c r="AW884"/>
      <c r="FY884" s="213">
        <v>879</v>
      </c>
      <c r="FZ884">
        <v>2.1834373233262436</v>
      </c>
      <c r="GA884">
        <v>13.837684831189181</v>
      </c>
      <c r="GB884">
        <v>6.0149098986971063</v>
      </c>
      <c r="GC884">
        <v>1.8883007956635618</v>
      </c>
      <c r="GD884">
        <v>2.9796408041981257</v>
      </c>
      <c r="GE884">
        <v>3.1018853085918305</v>
      </c>
      <c r="GF884">
        <v>0</v>
      </c>
      <c r="GG884">
        <v>2.2917257579058905</v>
      </c>
      <c r="GH884">
        <v>3.2445436953371196</v>
      </c>
      <c r="GI884">
        <v>4.1842189294862582</v>
      </c>
      <c r="GJ884"/>
      <c r="GK884"/>
      <c r="GL884"/>
      <c r="GM884"/>
      <c r="GN884" s="208"/>
      <c r="GO884" s="208"/>
      <c r="GP884" s="208"/>
      <c r="GQ884" s="208"/>
      <c r="GR884" s="208"/>
      <c r="GS884" s="208"/>
      <c r="GT884" s="208"/>
      <c r="GU884" s="213">
        <v>879</v>
      </c>
    </row>
    <row r="885" spans="1:203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18.99480063109581</v>
      </c>
      <c r="AO885">
        <v>6.3662293660514182</v>
      </c>
      <c r="AP885">
        <v>245.46218810580854</v>
      </c>
      <c r="AQ885">
        <v>44.220804283264798</v>
      </c>
      <c r="AR885">
        <v>5.7874812418649251</v>
      </c>
      <c r="AS885">
        <v>67.303012814048898</v>
      </c>
      <c r="AT885" t="e">
        <v>#DIV/0!</v>
      </c>
      <c r="AU885" t="e">
        <v>#DIV/0!</v>
      </c>
      <c r="AV885"/>
      <c r="AW885"/>
      <c r="FY885" s="213">
        <v>880</v>
      </c>
      <c r="FZ885">
        <v>2.1834373233262436</v>
      </c>
      <c r="GA885">
        <v>10.408196023473298</v>
      </c>
      <c r="GB885">
        <v>4.3195164190354163</v>
      </c>
      <c r="GC885">
        <v>1.0795281381189963</v>
      </c>
      <c r="GD885">
        <v>2.2315805087941207</v>
      </c>
      <c r="GE885">
        <v>3.1301847629585433</v>
      </c>
      <c r="GF885">
        <v>0.47734812494006024</v>
      </c>
      <c r="GG885">
        <v>2.7170107307559936</v>
      </c>
      <c r="GH885">
        <v>3.6905111274414333</v>
      </c>
      <c r="GI885">
        <v>3.3617643952344247</v>
      </c>
      <c r="GJ885"/>
      <c r="GK885"/>
      <c r="GL885"/>
      <c r="GM885"/>
      <c r="GN885" s="208"/>
      <c r="GO885" s="208"/>
      <c r="GP885" s="208"/>
      <c r="GQ885" s="208"/>
      <c r="GR885" s="208"/>
      <c r="GS885" s="208"/>
      <c r="GT885" s="208"/>
      <c r="GU885" s="213">
        <v>880</v>
      </c>
    </row>
    <row r="886" spans="1:203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40.60276409414341</v>
      </c>
      <c r="AO886">
        <v>8.3166277581861969</v>
      </c>
      <c r="AP886">
        <v>214.15308622852041</v>
      </c>
      <c r="AQ886">
        <v>56.046645770886833</v>
      </c>
      <c r="AR886">
        <v>7.5605706892601789</v>
      </c>
      <c r="AS886">
        <v>105.97779617085639</v>
      </c>
      <c r="AT886" t="e">
        <v>#DIV/0!</v>
      </c>
      <c r="AU886" t="e">
        <v>#DIV/0!</v>
      </c>
      <c r="AV886"/>
      <c r="AW886"/>
      <c r="FY886" s="213">
        <v>881</v>
      </c>
      <c r="FZ886">
        <v>1.596276202757001</v>
      </c>
      <c r="GA886">
        <v>19.316835118478185</v>
      </c>
      <c r="GB886">
        <v>8.7895988038175528</v>
      </c>
      <c r="GC886">
        <v>1.2527762457071427</v>
      </c>
      <c r="GD886">
        <v>1.6563721392247697</v>
      </c>
      <c r="GE886">
        <v>1.695969443333285</v>
      </c>
      <c r="GF886">
        <v>0.47734812494006024</v>
      </c>
      <c r="GG886">
        <v>2.9035501733129117</v>
      </c>
      <c r="GH886">
        <v>4.0526889260906458</v>
      </c>
      <c r="GI886">
        <v>4.1315264580235294</v>
      </c>
      <c r="GJ886"/>
      <c r="GK886"/>
      <c r="GL886"/>
      <c r="GM886"/>
      <c r="GN886" s="208"/>
      <c r="GO886" s="208"/>
      <c r="GP886" s="208"/>
      <c r="GQ886" s="208"/>
      <c r="GR886" s="208"/>
      <c r="GS886" s="208"/>
      <c r="GT886" s="208"/>
      <c r="GU886" s="213">
        <v>881</v>
      </c>
    </row>
    <row r="887" spans="1:203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27.186850439524925</v>
      </c>
      <c r="AO887">
        <v>8.6730209694408611</v>
      </c>
      <c r="AP887">
        <v>301.12454621966509</v>
      </c>
      <c r="AQ887">
        <v>60.025435467036964</v>
      </c>
      <c r="AR887">
        <v>7.8845645176735104</v>
      </c>
      <c r="AS887">
        <v>84.632638542386445</v>
      </c>
      <c r="AT887" t="e">
        <v>#DIV/0!</v>
      </c>
      <c r="AU887" t="e">
        <v>#DIV/0!</v>
      </c>
      <c r="AV887"/>
      <c r="AW887"/>
      <c r="FY887" s="213">
        <v>882</v>
      </c>
      <c r="FZ887">
        <v>0.58716112056924263</v>
      </c>
      <c r="GA887">
        <v>12.190914202697972</v>
      </c>
      <c r="GB887">
        <v>5.9448228297902705</v>
      </c>
      <c r="GC887">
        <v>1.2972314702514869</v>
      </c>
      <c r="GD887">
        <v>1.8413209638378112</v>
      </c>
      <c r="GE887">
        <v>2.0045808763440718</v>
      </c>
      <c r="GF887">
        <v>0.47734812494006024</v>
      </c>
      <c r="GG887">
        <v>2.5035332174879037</v>
      </c>
      <c r="GH887">
        <v>3.4093462823931233</v>
      </c>
      <c r="GI887">
        <v>3.3814823830714893</v>
      </c>
      <c r="GJ887"/>
      <c r="GK887"/>
      <c r="GL887"/>
      <c r="GM887"/>
      <c r="GN887" s="208"/>
      <c r="GO887" s="208"/>
      <c r="GP887" s="208"/>
      <c r="GQ887" s="208"/>
      <c r="GR887" s="208"/>
      <c r="GS887" s="208"/>
      <c r="GT887" s="208"/>
      <c r="GU887" s="213">
        <v>882</v>
      </c>
    </row>
    <row r="888" spans="1:203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42.001573617952928</v>
      </c>
      <c r="AO888">
        <v>8.2339068324951903</v>
      </c>
      <c r="AP888">
        <v>406.68529348531615</v>
      </c>
      <c r="AQ888">
        <v>51.475739085893657</v>
      </c>
      <c r="AR888">
        <v>7.539641118582292</v>
      </c>
      <c r="AS888">
        <v>104.81144839669044</v>
      </c>
      <c r="AT888" t="e">
        <v>#DIV/0!</v>
      </c>
      <c r="AU888" t="e">
        <v>#DIV/0!</v>
      </c>
      <c r="AV888"/>
      <c r="AW888"/>
      <c r="FY888" s="213">
        <v>883</v>
      </c>
      <c r="FZ888">
        <v>0.58716112056924263</v>
      </c>
      <c r="GA888">
        <v>14.399235408460353</v>
      </c>
      <c r="GB888">
        <v>7.1556554564806394</v>
      </c>
      <c r="GC888">
        <v>0.79049980333886993</v>
      </c>
      <c r="GD888">
        <v>1.7926043573546409</v>
      </c>
      <c r="GE888">
        <v>2.9889583082168647</v>
      </c>
      <c r="GF888">
        <v>0.95469624988012047</v>
      </c>
      <c r="GG888">
        <v>4.0766958033527283</v>
      </c>
      <c r="GH888">
        <v>5.7051623244525604</v>
      </c>
      <c r="GI888">
        <v>4.1115485680847303</v>
      </c>
      <c r="GJ888"/>
      <c r="GK888"/>
      <c r="GL888"/>
      <c r="GM888"/>
      <c r="GN888" s="208"/>
      <c r="GO888" s="208"/>
      <c r="GP888" s="208"/>
      <c r="GQ888" s="208"/>
      <c r="GR888" s="208"/>
      <c r="GS888" s="208"/>
      <c r="GT888" s="208"/>
      <c r="GU888" s="213">
        <v>883</v>
      </c>
    </row>
    <row r="889" spans="1:203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28.880302820477311</v>
      </c>
      <c r="AO889">
        <v>7.2108072232455269</v>
      </c>
      <c r="AP889">
        <v>135.47408937632432</v>
      </c>
      <c r="AQ889">
        <v>52.09254660110183</v>
      </c>
      <c r="AR889">
        <v>6.6095505647189645</v>
      </c>
      <c r="AS889">
        <v>81.328984163983407</v>
      </c>
      <c r="AT889" t="e">
        <v>#DIV/0!</v>
      </c>
      <c r="AU889" t="e">
        <v>#DIV/0!</v>
      </c>
      <c r="AV889"/>
      <c r="AW889"/>
      <c r="FY889" s="213">
        <v>884</v>
      </c>
      <c r="FZ889">
        <v>3.192552405514002</v>
      </c>
      <c r="GA889">
        <v>17.454675297821126</v>
      </c>
      <c r="GB889">
        <v>6.9020467153806706</v>
      </c>
      <c r="GC889">
        <v>1.689400059899127</v>
      </c>
      <c r="GD889">
        <v>3.0770678681811443</v>
      </c>
      <c r="GE889">
        <v>3.8962487351449275</v>
      </c>
      <c r="GF889">
        <v>0.47734812494006024</v>
      </c>
      <c r="GG889">
        <v>7.3280896780303451</v>
      </c>
      <c r="GH889">
        <v>10.321014573103287</v>
      </c>
      <c r="GI889">
        <v>5.7991776329848737</v>
      </c>
      <c r="GJ889"/>
      <c r="GK889"/>
      <c r="GL889"/>
      <c r="GM889"/>
      <c r="GN889" s="208"/>
      <c r="GO889" s="208"/>
      <c r="GP889" s="208"/>
      <c r="GQ889" s="208"/>
      <c r="GR889" s="208"/>
      <c r="GS889" s="208"/>
      <c r="GT889" s="208"/>
      <c r="GU889" s="213">
        <v>884</v>
      </c>
    </row>
    <row r="890" spans="1:203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29.690494119334481</v>
      </c>
      <c r="AO890">
        <v>8.3951902940465732</v>
      </c>
      <c r="AP890">
        <v>456.07277413679333</v>
      </c>
      <c r="AQ890">
        <v>55.784678230047106</v>
      </c>
      <c r="AR890">
        <v>7.6319911764059754</v>
      </c>
      <c r="AS890">
        <v>86.386593418174655</v>
      </c>
      <c r="AT890" t="e">
        <v>#DIV/0!</v>
      </c>
      <c r="AU890" t="e">
        <v>#DIV/0!</v>
      </c>
      <c r="AV890"/>
      <c r="AW890"/>
      <c r="FY890" s="213">
        <v>885</v>
      </c>
      <c r="FZ890">
        <v>1.596276202757001</v>
      </c>
      <c r="GA890">
        <v>19.976354423752358</v>
      </c>
      <c r="GB890">
        <v>9.1257449165504418</v>
      </c>
      <c r="GC890">
        <v>1.0082031354713601</v>
      </c>
      <c r="GD890">
        <v>3.1114316344883424</v>
      </c>
      <c r="GE890">
        <v>5.3247796446223097</v>
      </c>
      <c r="GF890">
        <v>0.95469624988012047</v>
      </c>
      <c r="GG890">
        <v>3.1153576328949253</v>
      </c>
      <c r="GH890">
        <v>4.2174915131466495</v>
      </c>
      <c r="GI890">
        <v>5.2850221259173846</v>
      </c>
      <c r="GJ890"/>
      <c r="GK890"/>
      <c r="GL890"/>
      <c r="GM890"/>
      <c r="GN890" s="208"/>
      <c r="GO890" s="208"/>
      <c r="GP890" s="208"/>
      <c r="GQ890" s="208"/>
      <c r="GR890" s="208"/>
      <c r="GS890" s="208"/>
      <c r="GT890" s="208"/>
      <c r="GU890" s="213">
        <v>885</v>
      </c>
    </row>
    <row r="891" spans="1:203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23.562500000000007</v>
      </c>
      <c r="AO891">
        <v>7.0959660183204436</v>
      </c>
      <c r="AP891">
        <v>216.40586504276186</v>
      </c>
      <c r="AQ891">
        <v>47.824504168271275</v>
      </c>
      <c r="AR891">
        <v>6.5051494693325242</v>
      </c>
      <c r="AS891">
        <v>72.900675690442682</v>
      </c>
      <c r="AT891" t="e">
        <v>#DIV/0!</v>
      </c>
      <c r="AU891" t="e">
        <v>#DIV/0!</v>
      </c>
      <c r="AV891"/>
      <c r="AW891"/>
      <c r="FY891" s="213">
        <v>886</v>
      </c>
      <c r="FZ891">
        <v>2.7705984438954863</v>
      </c>
      <c r="GA891">
        <v>15.688813150837159</v>
      </c>
      <c r="GB891">
        <v>6.904967959242212</v>
      </c>
      <c r="GC891">
        <v>1.6119124332079018</v>
      </c>
      <c r="GD891">
        <v>3.3252719854650947</v>
      </c>
      <c r="GE891">
        <v>4.2311347505380041</v>
      </c>
      <c r="GF891">
        <v>0</v>
      </c>
      <c r="GG891">
        <v>4.1817645063006967</v>
      </c>
      <c r="GH891">
        <v>5.7293824889844096</v>
      </c>
      <c r="GI891">
        <v>5.0947499348574441</v>
      </c>
      <c r="GJ891"/>
      <c r="GK891"/>
      <c r="GL891"/>
      <c r="GM891"/>
      <c r="GN891" s="208"/>
      <c r="GO891" s="208"/>
      <c r="GP891" s="208"/>
      <c r="GQ891" s="208"/>
      <c r="GR891" s="208"/>
      <c r="GS891" s="208"/>
      <c r="GT891" s="208"/>
      <c r="GU891" s="213">
        <v>886</v>
      </c>
    </row>
    <row r="892" spans="1:203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36.91610262890643</v>
      </c>
      <c r="AO892">
        <v>6.8292235164862998</v>
      </c>
      <c r="AP892">
        <v>326.05807865193196</v>
      </c>
      <c r="AQ892">
        <v>43.498292835665772</v>
      </c>
      <c r="AR892">
        <v>6.3169275567063323</v>
      </c>
      <c r="AS892">
        <v>97.211571332976661</v>
      </c>
      <c r="AT892" t="e">
        <v>#DIV/0!</v>
      </c>
      <c r="AU892" t="e">
        <v>#DIV/0!</v>
      </c>
      <c r="AV892"/>
      <c r="AW892"/>
      <c r="FY892" s="213">
        <v>887</v>
      </c>
      <c r="FZ892">
        <v>5.1192429261724577</v>
      </c>
      <c r="GA892">
        <v>23.607179113838662</v>
      </c>
      <c r="GB892">
        <v>10.876716687599854</v>
      </c>
      <c r="GC892">
        <v>1.1752886190159173</v>
      </c>
      <c r="GD892">
        <v>2.9469160600391846</v>
      </c>
      <c r="GE892">
        <v>4.4427476414273528</v>
      </c>
      <c r="GF892">
        <v>0.47734812494006024</v>
      </c>
      <c r="GG892">
        <v>3.4648713879457071</v>
      </c>
      <c r="GH892">
        <v>4.8970170936990343</v>
      </c>
      <c r="GI892">
        <v>6.2600461568589409</v>
      </c>
      <c r="GJ892"/>
      <c r="GK892"/>
      <c r="GL892"/>
      <c r="GM892"/>
      <c r="GN892" s="208"/>
      <c r="GO892" s="208"/>
      <c r="GP892" s="208"/>
      <c r="GQ892" s="208"/>
      <c r="GR892" s="208"/>
      <c r="GS892" s="208"/>
      <c r="GT892" s="208"/>
      <c r="GU892" s="213">
        <v>887</v>
      </c>
    </row>
    <row r="893" spans="1:203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23.453886976477342</v>
      </c>
      <c r="AO893">
        <v>5.7429217828150225</v>
      </c>
      <c r="AP893">
        <v>101.35865912251982</v>
      </c>
      <c r="AQ893">
        <v>40.717646930595834</v>
      </c>
      <c r="AR893">
        <v>5.2208379843772939</v>
      </c>
      <c r="AS893">
        <v>70.000924991699094</v>
      </c>
      <c r="AT893" t="e">
        <v>#DIV/0!</v>
      </c>
      <c r="AU893" t="e">
        <v>#DIV/0!</v>
      </c>
      <c r="AV893"/>
      <c r="AW893"/>
      <c r="FY893" s="213">
        <v>888</v>
      </c>
      <c r="FZ893">
        <v>2.1834373233262436</v>
      </c>
      <c r="GA893">
        <v>14.830760685637834</v>
      </c>
      <c r="GB893">
        <v>6.379584481595673</v>
      </c>
      <c r="GC893">
        <v>0.86060765605950218</v>
      </c>
      <c r="GD893">
        <v>1.5136247985463847</v>
      </c>
      <c r="GE893">
        <v>2.0178799379150805</v>
      </c>
      <c r="GF893">
        <v>0.47734812494006024</v>
      </c>
      <c r="GG893">
        <v>6.5785589671545566</v>
      </c>
      <c r="GH893">
        <v>8.9981463488533784</v>
      </c>
      <c r="GI893">
        <v>4.3669076169344665</v>
      </c>
      <c r="GJ893"/>
      <c r="GK893"/>
      <c r="GL893"/>
      <c r="GM893"/>
      <c r="GN893" s="208"/>
      <c r="GO893" s="208"/>
      <c r="GP893" s="208"/>
      <c r="GQ893" s="208"/>
      <c r="GR893" s="208"/>
      <c r="GS893" s="208"/>
      <c r="GT893" s="208"/>
      <c r="GU893" s="213">
        <v>888</v>
      </c>
    </row>
    <row r="894" spans="1:203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26.79094951233505</v>
      </c>
      <c r="AO894">
        <v>7.1784739874556207</v>
      </c>
      <c r="AP894">
        <v>127.44214612600921</v>
      </c>
      <c r="AQ894">
        <v>47.197665411547689</v>
      </c>
      <c r="AR894">
        <v>6.5801567140008688</v>
      </c>
      <c r="AS894">
        <v>77.962750941577809</v>
      </c>
      <c r="AT894" t="e">
        <v>#DIV/0!</v>
      </c>
      <c r="AU894" t="e">
        <v>#DIV/0!</v>
      </c>
      <c r="AV894"/>
      <c r="AW894"/>
      <c r="FY894" s="213">
        <v>889</v>
      </c>
      <c r="FZ894">
        <v>2.1834373233262436</v>
      </c>
      <c r="GA894">
        <v>22.94797661431371</v>
      </c>
      <c r="GB894">
        <v>10.446291531098343</v>
      </c>
      <c r="GC894">
        <v>1.6584872333689651</v>
      </c>
      <c r="GD894">
        <v>2.5855168765559942</v>
      </c>
      <c r="GE894">
        <v>2.6577318309872413</v>
      </c>
      <c r="GF894">
        <v>0</v>
      </c>
      <c r="GG894">
        <v>3.22209638952897</v>
      </c>
      <c r="GH894">
        <v>4.3580739356708049</v>
      </c>
      <c r="GI894">
        <v>5.213570605614728</v>
      </c>
      <c r="GJ894"/>
      <c r="GK894"/>
      <c r="GL894"/>
      <c r="GM894"/>
      <c r="GN894" s="208"/>
      <c r="GO894" s="208"/>
      <c r="GP894" s="208"/>
      <c r="GQ894" s="208"/>
      <c r="GR894" s="208"/>
      <c r="GS894" s="208"/>
      <c r="GT894" s="208"/>
      <c r="GU894" s="213">
        <v>889</v>
      </c>
    </row>
    <row r="895" spans="1:203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31.401136153810654</v>
      </c>
      <c r="AO895">
        <v>6.4504491633111369</v>
      </c>
      <c r="AP895">
        <v>132.17115417216257</v>
      </c>
      <c r="AQ895">
        <v>39.726347344395322</v>
      </c>
      <c r="AR895">
        <v>5.9183159647786079</v>
      </c>
      <c r="AS895">
        <v>77.375912893501081</v>
      </c>
      <c r="AT895" t="e">
        <v>#DIV/0!</v>
      </c>
      <c r="AU895" t="e">
        <v>#DIV/0!</v>
      </c>
      <c r="AV895"/>
      <c r="AW895"/>
      <c r="FY895" s="213">
        <v>890</v>
      </c>
      <c r="FZ895">
        <v>0.58716112056924263</v>
      </c>
      <c r="GA895">
        <v>15.652999456824185</v>
      </c>
      <c r="GB895">
        <v>7.8827266017669135</v>
      </c>
      <c r="GC895">
        <v>0.68735954847135594</v>
      </c>
      <c r="GD895">
        <v>1.1548043728640822</v>
      </c>
      <c r="GE895">
        <v>1.2677444239822235</v>
      </c>
      <c r="GF895">
        <v>0</v>
      </c>
      <c r="GG895">
        <v>6.5785589671545566</v>
      </c>
      <c r="GH895">
        <v>8.9981463488533784</v>
      </c>
      <c r="GI895">
        <v>4.1624716339926868</v>
      </c>
      <c r="GJ895"/>
      <c r="GK895"/>
      <c r="GL895"/>
      <c r="GM895"/>
      <c r="GN895" s="208"/>
      <c r="GO895" s="208"/>
      <c r="GP895" s="208"/>
      <c r="GQ895" s="208"/>
      <c r="GR895" s="208"/>
      <c r="GS895" s="208"/>
      <c r="GT895" s="208"/>
      <c r="GU895" s="213">
        <v>890</v>
      </c>
    </row>
    <row r="896" spans="1:203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30.121392177907023</v>
      </c>
      <c r="AO896">
        <v>5.0485039312203623</v>
      </c>
      <c r="AP896">
        <v>109.69675398541192</v>
      </c>
      <c r="AQ896">
        <v>33.599077554078526</v>
      </c>
      <c r="AR896">
        <v>4.6438202992415398</v>
      </c>
      <c r="AS896">
        <v>69.08231449948363</v>
      </c>
      <c r="AT896" t="e">
        <v>#DIV/0!</v>
      </c>
      <c r="AU896" t="e">
        <v>#DIV/0!</v>
      </c>
      <c r="AV896"/>
      <c r="AW896"/>
      <c r="FY896" s="213">
        <v>891</v>
      </c>
      <c r="FZ896">
        <v>3.3577595644647293</v>
      </c>
      <c r="GA896">
        <v>8.5955864008754226</v>
      </c>
      <c r="GB896">
        <v>3.3103714599847804</v>
      </c>
      <c r="GC896">
        <v>1.233286241574443</v>
      </c>
      <c r="GD896">
        <v>1.4489301840249786</v>
      </c>
      <c r="GE896">
        <v>1.5989709012118469</v>
      </c>
      <c r="GF896">
        <v>0.95469624988012047</v>
      </c>
      <c r="GG896">
        <v>3.5699400908936756</v>
      </c>
      <c r="GH896">
        <v>4.9212372582308834</v>
      </c>
      <c r="GI896">
        <v>3.1626030192067778</v>
      </c>
      <c r="GJ896"/>
      <c r="GK896"/>
      <c r="GL896"/>
      <c r="GM896"/>
      <c r="GN896" s="208"/>
      <c r="GO896" s="208"/>
      <c r="GP896" s="208"/>
      <c r="GQ896" s="208"/>
      <c r="GR896" s="208"/>
      <c r="GS896" s="208"/>
      <c r="GT896" s="208"/>
      <c r="GU896" s="213">
        <v>891</v>
      </c>
    </row>
    <row r="897" spans="1:203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31.38485262890643</v>
      </c>
      <c r="AO897">
        <v>6.3623169419701266</v>
      </c>
      <c r="AP897">
        <v>136.86280253633083</v>
      </c>
      <c r="AQ897">
        <v>45.872941635685073</v>
      </c>
      <c r="AR897">
        <v>5.7839244927001143</v>
      </c>
      <c r="AS897">
        <v>74.734079520971761</v>
      </c>
      <c r="AT897" t="e">
        <v>#DIV/0!</v>
      </c>
      <c r="AU897" t="e">
        <v>#DIV/0!</v>
      </c>
      <c r="AV897"/>
      <c r="AW897"/>
      <c r="FY897" s="213">
        <v>892</v>
      </c>
      <c r="FZ897">
        <v>1.596276202757001</v>
      </c>
      <c r="GA897">
        <v>17.1126829515567</v>
      </c>
      <c r="GB897">
        <v>7.6744604723381524</v>
      </c>
      <c r="GC897">
        <v>0.2951909588237156</v>
      </c>
      <c r="GD897">
        <v>0.41954007972965551</v>
      </c>
      <c r="GE897">
        <v>0.38968151687869679</v>
      </c>
      <c r="GF897">
        <v>0</v>
      </c>
      <c r="GG897">
        <v>6.8230040192573682</v>
      </c>
      <c r="GH897">
        <v>9.653451764873914</v>
      </c>
      <c r="GI897">
        <v>3.9712604884082587</v>
      </c>
      <c r="GJ897"/>
      <c r="GK897"/>
      <c r="GL897"/>
      <c r="GM897"/>
      <c r="GN897" s="208"/>
      <c r="GO897" s="208"/>
      <c r="GP897" s="208"/>
      <c r="GQ897" s="208"/>
      <c r="GR897" s="208"/>
      <c r="GS897" s="208"/>
      <c r="GT897" s="208"/>
      <c r="GU897" s="213">
        <v>892</v>
      </c>
    </row>
    <row r="898" spans="1:203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23.707683772858264</v>
      </c>
      <c r="AO898">
        <v>5.2566541356721554</v>
      </c>
      <c r="AP898">
        <v>258.34727993207332</v>
      </c>
      <c r="AQ898">
        <v>33.637741471383436</v>
      </c>
      <c r="AR898">
        <v>4.8330477578340796</v>
      </c>
      <c r="AS898">
        <v>59.510213152734615</v>
      </c>
      <c r="AT898" t="e">
        <v>#DIV/0!</v>
      </c>
      <c r="AU898" t="e">
        <v>#DIV/0!</v>
      </c>
      <c r="AV898"/>
      <c r="AW898"/>
      <c r="FY898" s="213">
        <v>893</v>
      </c>
      <c r="FZ898">
        <v>2.1834373233262436</v>
      </c>
      <c r="GA898">
        <v>18.593489236778971</v>
      </c>
      <c r="GB898">
        <v>8.1977854751916599</v>
      </c>
      <c r="GC898">
        <v>1.5553469785014511</v>
      </c>
      <c r="GD898">
        <v>2.2319647415353514</v>
      </c>
      <c r="GE898">
        <v>2.1015794184655103</v>
      </c>
      <c r="GF898">
        <v>0</v>
      </c>
      <c r="GG898">
        <v>6.7667684633975504</v>
      </c>
      <c r="GH898">
        <v>9.4766864054948954</v>
      </c>
      <c r="GI898">
        <v>5.310431198411135</v>
      </c>
      <c r="GJ898"/>
      <c r="GK898"/>
      <c r="GL898"/>
      <c r="GM898"/>
      <c r="GN898" s="208"/>
      <c r="GO898" s="208"/>
      <c r="GP898" s="208"/>
      <c r="GQ898" s="208"/>
      <c r="GR898" s="208"/>
      <c r="GS898" s="208"/>
      <c r="GT898" s="208"/>
      <c r="GU898" s="213">
        <v>893</v>
      </c>
    </row>
    <row r="899" spans="1:203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22.807386153810643</v>
      </c>
      <c r="AO899">
        <v>6.4261291399221205</v>
      </c>
      <c r="AP899">
        <v>306.24086715135672</v>
      </c>
      <c r="AQ899">
        <v>42.562217400190754</v>
      </c>
      <c r="AR899">
        <v>5.8962068526067766</v>
      </c>
      <c r="AS899">
        <v>68.819766082560946</v>
      </c>
      <c r="AT899" t="e">
        <v>#DIV/0!</v>
      </c>
      <c r="AU899" t="e">
        <v>#DIV/0!</v>
      </c>
      <c r="AV899"/>
      <c r="AW899"/>
      <c r="FY899" s="213">
        <v>894</v>
      </c>
      <c r="FZ899">
        <v>2.7705984438954863</v>
      </c>
      <c r="GA899">
        <v>23.397505153786451</v>
      </c>
      <c r="GB899">
        <v>10.629749805790194</v>
      </c>
      <c r="GC899">
        <v>1.6511074593983719</v>
      </c>
      <c r="GD899">
        <v>2.3623024530353121</v>
      </c>
      <c r="GE899">
        <v>3.0952728329861308</v>
      </c>
      <c r="GF899">
        <v>1.432044374820181</v>
      </c>
      <c r="GG899">
        <v>6.0498753450425617</v>
      </c>
      <c r="GH899">
        <v>8.6443210102095236</v>
      </c>
      <c r="GI899">
        <v>6.2497432163097439</v>
      </c>
      <c r="GJ899"/>
      <c r="GK899"/>
      <c r="GL899"/>
      <c r="GM899"/>
      <c r="GN899" s="208"/>
      <c r="GO899" s="208"/>
      <c r="GP899" s="208"/>
      <c r="GQ899" s="208"/>
      <c r="GR899" s="208"/>
      <c r="GS899" s="208"/>
      <c r="GT899" s="208"/>
      <c r="GU899" s="213">
        <v>894</v>
      </c>
    </row>
    <row r="900" spans="1:203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39.522406951286257</v>
      </c>
      <c r="AO900">
        <v>9.1175467611004102</v>
      </c>
      <c r="AP900">
        <v>306.0457805549571</v>
      </c>
      <c r="AQ900">
        <v>60.137621090999566</v>
      </c>
      <c r="AR900">
        <v>8.288678873727644</v>
      </c>
      <c r="AS900">
        <v>109.64505983444388</v>
      </c>
      <c r="AT900" t="e">
        <v>#DIV/0!</v>
      </c>
      <c r="AU900" t="e">
        <v>#DIV/0!</v>
      </c>
      <c r="AV900"/>
      <c r="AW900"/>
      <c r="FY900" s="213">
        <v>895</v>
      </c>
      <c r="FZ900">
        <v>2.1834373233262436</v>
      </c>
      <c r="GA900">
        <v>12.266296104407447</v>
      </c>
      <c r="GB900">
        <v>5.1716097012655613</v>
      </c>
      <c r="GC900">
        <v>3.0122841583269024</v>
      </c>
      <c r="GD900">
        <v>3.7765133880856938</v>
      </c>
      <c r="GE900">
        <v>3.5451107207385957</v>
      </c>
      <c r="GF900">
        <v>0.95469624988012047</v>
      </c>
      <c r="GG900">
        <v>4.7194877575944743</v>
      </c>
      <c r="GH900">
        <v>6.8874481261783158</v>
      </c>
      <c r="GI900">
        <v>5.1917926109769041</v>
      </c>
      <c r="GJ900"/>
      <c r="GK900"/>
      <c r="GL900"/>
      <c r="GM900"/>
      <c r="GN900" s="208"/>
      <c r="GO900" s="208"/>
      <c r="GP900" s="208"/>
      <c r="GQ900" s="208"/>
      <c r="GR900" s="208"/>
      <c r="GS900" s="208"/>
      <c r="GT900" s="208"/>
      <c r="GU900" s="213">
        <v>895</v>
      </c>
    </row>
    <row r="901" spans="1:203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35.149733581287379</v>
      </c>
      <c r="AO901">
        <v>8.127392797426694</v>
      </c>
      <c r="AP901">
        <v>151.06486134709107</v>
      </c>
      <c r="AQ901">
        <v>53.715357479480893</v>
      </c>
      <c r="AR901">
        <v>7.3885389067515401</v>
      </c>
      <c r="AS901">
        <v>94.72608661026122</v>
      </c>
      <c r="AT901" t="e">
        <v>#DIV/0!</v>
      </c>
      <c r="AU901" t="e">
        <v>#DIV/0!</v>
      </c>
      <c r="AV901"/>
      <c r="AW901"/>
      <c r="FY901" s="213">
        <v>896</v>
      </c>
      <c r="FZ901">
        <v>0</v>
      </c>
      <c r="GA901">
        <v>16.739460475277571</v>
      </c>
      <c r="GB901">
        <v>8.433717305717586</v>
      </c>
      <c r="GC901">
        <v>1.4003717251190004</v>
      </c>
      <c r="GD901">
        <v>1.6358243599854922</v>
      </c>
      <c r="GE901">
        <v>1.1358479347201231</v>
      </c>
      <c r="GF901">
        <v>0</v>
      </c>
      <c r="GG901">
        <v>3.4086358320858881</v>
      </c>
      <c r="GH901">
        <v>4.7202517343200174</v>
      </c>
      <c r="GI901">
        <v>3.8645312230339073</v>
      </c>
      <c r="GJ901"/>
      <c r="GK901"/>
      <c r="GL901"/>
      <c r="GM901"/>
      <c r="GN901" s="208"/>
      <c r="GO901" s="208"/>
      <c r="GP901" s="208"/>
      <c r="GQ901" s="208"/>
      <c r="GR901" s="208"/>
      <c r="GS901" s="208"/>
      <c r="GT901" s="208"/>
      <c r="GU901" s="213">
        <v>896</v>
      </c>
    </row>
    <row r="902" spans="1:203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36.689073617952928</v>
      </c>
      <c r="AO902">
        <v>7.7766314589970618</v>
      </c>
      <c r="AP902">
        <v>159.41457113697919</v>
      </c>
      <c r="AQ902">
        <v>49.538595653328414</v>
      </c>
      <c r="AR902">
        <v>7.1782075044433888</v>
      </c>
      <c r="AS902">
        <v>93.198310155269908</v>
      </c>
      <c r="AT902" t="e">
        <v>#DIV/0!</v>
      </c>
      <c r="AU902" t="e">
        <v>#DIV/0!</v>
      </c>
      <c r="AV902"/>
      <c r="AW902"/>
      <c r="FY902" s="213">
        <v>897</v>
      </c>
      <c r="FZ902">
        <v>2.1834373233262436</v>
      </c>
      <c r="GA902">
        <v>19.42895487568477</v>
      </c>
      <c r="GB902">
        <v>8.7545552693641344</v>
      </c>
      <c r="GC902">
        <v>0.86060765605950218</v>
      </c>
      <c r="GD902">
        <v>2.3470234792752014</v>
      </c>
      <c r="GE902">
        <v>4.0025632599141936</v>
      </c>
      <c r="GF902">
        <v>0.95469624988012047</v>
      </c>
      <c r="GG902">
        <v>0.61182441540702126</v>
      </c>
      <c r="GH902">
        <v>0.80814523075352618</v>
      </c>
      <c r="GI902">
        <v>4.2594572941014865</v>
      </c>
      <c r="GJ902"/>
      <c r="GK902"/>
      <c r="GL902"/>
      <c r="GM902"/>
      <c r="GN902" s="208"/>
      <c r="GO902" s="208"/>
      <c r="GP902" s="208"/>
      <c r="GQ902" s="208"/>
      <c r="GR902" s="208"/>
      <c r="GS902" s="208"/>
      <c r="GT902" s="208"/>
      <c r="GU902" s="213">
        <v>897</v>
      </c>
    </row>
    <row r="903" spans="1:203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28.8445030120482</v>
      </c>
      <c r="AO903">
        <v>9.4488630178109219</v>
      </c>
      <c r="AP903">
        <v>162.66783201831385</v>
      </c>
      <c r="AQ903">
        <v>63.267373811537169</v>
      </c>
      <c r="AR903">
        <v>8.9155030958935626</v>
      </c>
      <c r="AS903">
        <v>107.88441439334692</v>
      </c>
      <c r="AT903" t="e">
        <v>#DIV/0!</v>
      </c>
      <c r="AU903" t="e">
        <v>#DIV/0!</v>
      </c>
      <c r="AV903"/>
      <c r="AW903"/>
      <c r="FY903" s="213">
        <v>898</v>
      </c>
      <c r="FZ903">
        <v>3.192552405514002</v>
      </c>
      <c r="GA903">
        <v>16.473362275288153</v>
      </c>
      <c r="GB903">
        <v>6.3539772552915394</v>
      </c>
      <c r="GC903">
        <v>1.965788422354787</v>
      </c>
      <c r="GD903">
        <v>2.396993009282312</v>
      </c>
      <c r="GE903">
        <v>2.0856509602119822</v>
      </c>
      <c r="GF903">
        <v>0.47734812494006024</v>
      </c>
      <c r="GG903">
        <v>3.6766788475277208</v>
      </c>
      <c r="GH903">
        <v>5.061819680755038</v>
      </c>
      <c r="GI903">
        <v>4.3578387088227934</v>
      </c>
      <c r="GJ903"/>
      <c r="GK903"/>
      <c r="GL903"/>
      <c r="GM903"/>
      <c r="GN903" s="208"/>
      <c r="GO903" s="208"/>
      <c r="GP903" s="208"/>
      <c r="GQ903" s="208"/>
      <c r="GR903" s="208"/>
      <c r="GS903" s="208"/>
      <c r="GT903" s="208"/>
      <c r="GU903" s="213">
        <v>898</v>
      </c>
    </row>
    <row r="904" spans="1:203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26.818623426382043</v>
      </c>
      <c r="AO904">
        <v>6.776233822506839</v>
      </c>
      <c r="AP904">
        <v>181.21068188224098</v>
      </c>
      <c r="AQ904">
        <v>48.20685594096318</v>
      </c>
      <c r="AR904">
        <v>6.2144838367747006</v>
      </c>
      <c r="AS904">
        <v>73.677801690784122</v>
      </c>
      <c r="AT904" t="e">
        <v>#DIV/0!</v>
      </c>
      <c r="AU904" t="e">
        <v>#DIV/0!</v>
      </c>
      <c r="AV904"/>
      <c r="AW904"/>
      <c r="FY904" s="213">
        <v>899</v>
      </c>
      <c r="FZ904">
        <v>0</v>
      </c>
      <c r="GA904">
        <v>10.449102917811301</v>
      </c>
      <c r="GB904">
        <v>5.1533803083176775</v>
      </c>
      <c r="GC904">
        <v>0.83495502788321374</v>
      </c>
      <c r="GD904">
        <v>2.844420076279579</v>
      </c>
      <c r="GE904">
        <v>4.7646581360091487</v>
      </c>
      <c r="GF904">
        <v>0.47734812494006024</v>
      </c>
      <c r="GG904">
        <v>2.5035332174879037</v>
      </c>
      <c r="GH904">
        <v>3.4093462823931233</v>
      </c>
      <c r="GI904">
        <v>3.7731977294819394</v>
      </c>
      <c r="GJ904"/>
      <c r="GK904"/>
      <c r="GL904"/>
      <c r="GM904"/>
      <c r="GN904" s="208"/>
      <c r="GO904" s="208"/>
      <c r="GP904" s="208"/>
      <c r="GQ904" s="208"/>
      <c r="GR904" s="208"/>
      <c r="GS904" s="208"/>
      <c r="GT904" s="208"/>
      <c r="GU904" s="213">
        <v>899</v>
      </c>
    </row>
    <row r="905" spans="1:203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35.91685564095463</v>
      </c>
      <c r="AO905">
        <v>8.0084999338200049</v>
      </c>
      <c r="AP905">
        <v>126.03331350078361</v>
      </c>
      <c r="AQ905">
        <v>55.273182340464999</v>
      </c>
      <c r="AR905">
        <v>7.3347257561503056</v>
      </c>
      <c r="AS905">
        <v>95.318575350911672</v>
      </c>
      <c r="AT905" t="e">
        <v>#DIV/0!</v>
      </c>
      <c r="AU905" t="e">
        <v>#DIV/0!</v>
      </c>
      <c r="AV905"/>
      <c r="AW905"/>
      <c r="FY905" s="213">
        <v>900</v>
      </c>
      <c r="FZ905">
        <v>3.7797135260832437</v>
      </c>
      <c r="GA905">
        <v>14.718738647839398</v>
      </c>
      <c r="GB905">
        <v>5.4222971985039887</v>
      </c>
      <c r="GC905">
        <v>1.5344248065166763</v>
      </c>
      <c r="GD905">
        <v>2.8906778909314168</v>
      </c>
      <c r="GE905">
        <v>3.7643522458828276</v>
      </c>
      <c r="GF905">
        <v>0.47734812494006024</v>
      </c>
      <c r="GG905">
        <v>5.0070664349758074</v>
      </c>
      <c r="GH905">
        <v>6.8186925647862466</v>
      </c>
      <c r="GI905">
        <v>4.9075819345685332</v>
      </c>
      <c r="GJ905"/>
      <c r="GK905"/>
      <c r="GL905"/>
      <c r="GM905"/>
      <c r="GN905" s="208"/>
      <c r="GO905" s="208"/>
      <c r="GP905" s="208"/>
      <c r="GQ905" s="208"/>
      <c r="GR905" s="208"/>
      <c r="GS905" s="208"/>
      <c r="GT905" s="208"/>
      <c r="GU905" s="213">
        <v>900</v>
      </c>
    </row>
    <row r="906" spans="1:203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24.412373426382043</v>
      </c>
      <c r="AO906">
        <v>6.3738065441262099</v>
      </c>
      <c r="AP906">
        <v>339.02150105098593</v>
      </c>
      <c r="AQ906">
        <v>46.971972474478626</v>
      </c>
      <c r="AR906">
        <v>5.8486408564286734</v>
      </c>
      <c r="AS906">
        <v>75.051155251832981</v>
      </c>
      <c r="AT906" t="e">
        <v>#DIV/0!</v>
      </c>
      <c r="AU906" t="e">
        <v>#DIV/0!</v>
      </c>
      <c r="AV906"/>
      <c r="AW906"/>
      <c r="FY906" s="213">
        <v>901</v>
      </c>
      <c r="FZ906">
        <v>2.1834373233262436</v>
      </c>
      <c r="GA906">
        <v>13.500276048923027</v>
      </c>
      <c r="GB906">
        <v>5.7964080895518393</v>
      </c>
      <c r="GC906">
        <v>0.53976406905949814</v>
      </c>
      <c r="GD906">
        <v>2.751417306652217</v>
      </c>
      <c r="GE906">
        <v>5.0320966698650507</v>
      </c>
      <c r="GF906">
        <v>0.47734812494006024</v>
      </c>
      <c r="GG906">
        <v>3.5716101445797515</v>
      </c>
      <c r="GH906">
        <v>5.0375995162231906</v>
      </c>
      <c r="GI906">
        <v>4.4047906668751509</v>
      </c>
      <c r="GJ906"/>
      <c r="GK906"/>
      <c r="GL906"/>
      <c r="GM906"/>
      <c r="GN906" s="208"/>
      <c r="GO906" s="208"/>
      <c r="GP906" s="208"/>
      <c r="GQ906" s="208"/>
      <c r="GR906" s="208"/>
      <c r="GS906" s="208"/>
      <c r="GT906" s="208"/>
      <c r="GU906" s="213">
        <v>901</v>
      </c>
    </row>
    <row r="907" spans="1:203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19.959821428571423</v>
      </c>
      <c r="AO907">
        <v>4.7543522726042866</v>
      </c>
      <c r="AP907">
        <v>135.82549262076702</v>
      </c>
      <c r="AQ907">
        <v>32.153381370347653</v>
      </c>
      <c r="AR907">
        <v>4.4849522422184416</v>
      </c>
      <c r="AS907">
        <v>57.133443382776228</v>
      </c>
      <c r="AT907" t="e">
        <v>#DIV/0!</v>
      </c>
      <c r="AU907" t="e">
        <v>#DIV/0!</v>
      </c>
      <c r="AV907"/>
      <c r="AW907"/>
      <c r="FY907" s="213">
        <v>902</v>
      </c>
      <c r="FZ907">
        <v>2.1834373233262436</v>
      </c>
      <c r="GA907">
        <v>15.145582641610464</v>
      </c>
      <c r="GB907">
        <v>6.6294726072668766</v>
      </c>
      <c r="GC907">
        <v>1.1752886190159173</v>
      </c>
      <c r="GD907">
        <v>3.389058017357633</v>
      </c>
      <c r="GE907">
        <v>5.0414266353446298</v>
      </c>
      <c r="GF907">
        <v>0</v>
      </c>
      <c r="GG907">
        <v>4.7952589753937938</v>
      </c>
      <c r="GH907">
        <v>6.6538899777302429</v>
      </c>
      <c r="GI907">
        <v>5.1359070985812298</v>
      </c>
      <c r="GJ907"/>
      <c r="GK907"/>
      <c r="GL907"/>
      <c r="GM907"/>
      <c r="GN907" s="208"/>
      <c r="GO907" s="208"/>
      <c r="GP907" s="208"/>
      <c r="GQ907" s="208"/>
      <c r="GR907" s="208"/>
      <c r="GS907" s="208"/>
      <c r="GT907" s="208"/>
      <c r="GU907" s="213">
        <v>902</v>
      </c>
    </row>
    <row r="908" spans="1:203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15.901050631095814</v>
      </c>
      <c r="AO908">
        <v>6.3344920894618744</v>
      </c>
      <c r="AP908">
        <v>204.30630122586226</v>
      </c>
      <c r="AQ908">
        <v>47.935548454623458</v>
      </c>
      <c r="AR908">
        <v>5.7586291722380674</v>
      </c>
      <c r="AS908">
        <v>55.680413580493521</v>
      </c>
      <c r="AT908" t="e">
        <v>#DIV/0!</v>
      </c>
      <c r="AU908" t="e">
        <v>#DIV/0!</v>
      </c>
      <c r="AV908"/>
      <c r="AW908"/>
      <c r="FY908" s="213">
        <v>903</v>
      </c>
      <c r="FZ908">
        <v>1.1743222411384853</v>
      </c>
      <c r="GA908">
        <v>10.938516470729764</v>
      </c>
      <c r="GB908">
        <v>5.4471050532408976</v>
      </c>
      <c r="GC908">
        <v>0.86798743003009515</v>
      </c>
      <c r="GD908">
        <v>2.2520708921956971</v>
      </c>
      <c r="GE908">
        <v>3.2175297988406744</v>
      </c>
      <c r="GF908">
        <v>0</v>
      </c>
      <c r="GG908">
        <v>7.8348453904893987</v>
      </c>
      <c r="GH908">
        <v>11.104939639324964</v>
      </c>
      <c r="GI908">
        <v>4.7837644410835338</v>
      </c>
      <c r="GJ908"/>
      <c r="GK908"/>
      <c r="GL908"/>
      <c r="GM908"/>
      <c r="GN908" s="208"/>
      <c r="GO908" s="208"/>
      <c r="GP908" s="208"/>
      <c r="GQ908" s="208"/>
      <c r="GR908" s="208"/>
      <c r="GS908" s="208"/>
      <c r="GT908" s="208"/>
      <c r="GU908" s="213">
        <v>903</v>
      </c>
    </row>
    <row r="909" spans="1:203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33.062756568144501</v>
      </c>
      <c r="AO909">
        <v>8.3989179486240424</v>
      </c>
      <c r="AP909">
        <v>213.59819825099368</v>
      </c>
      <c r="AQ909">
        <v>56.417489241102778</v>
      </c>
      <c r="AR909">
        <v>7.6896512241539785</v>
      </c>
      <c r="AS909">
        <v>97.152467224667319</v>
      </c>
      <c r="AT909" t="e">
        <v>#DIV/0!</v>
      </c>
      <c r="AU909" t="e">
        <v>#DIV/0!</v>
      </c>
      <c r="AV909"/>
      <c r="AW909"/>
      <c r="FY909" s="213">
        <v>904</v>
      </c>
      <c r="FZ909">
        <v>0</v>
      </c>
      <c r="GA909">
        <v>16.871364336332405</v>
      </c>
      <c r="GB909">
        <v>8.5009465282641639</v>
      </c>
      <c r="GC909">
        <v>1.3868293271048187</v>
      </c>
      <c r="GD909">
        <v>2.3772748453787069</v>
      </c>
      <c r="GE909">
        <v>2.9504148057444999</v>
      </c>
      <c r="GF909">
        <v>0.47734812494006024</v>
      </c>
      <c r="GG909">
        <v>2.2917257579058905</v>
      </c>
      <c r="GH909">
        <v>3.2445436953371196</v>
      </c>
      <c r="GI909">
        <v>4.1688815023873769</v>
      </c>
      <c r="GJ909"/>
      <c r="GK909"/>
      <c r="GL909"/>
      <c r="GM909"/>
      <c r="GN909" s="208"/>
      <c r="GO909" s="208"/>
      <c r="GP909" s="208"/>
      <c r="GQ909" s="208"/>
      <c r="GR909" s="208"/>
      <c r="GS909" s="208"/>
      <c r="GT909" s="208"/>
      <c r="GU909" s="213">
        <v>904</v>
      </c>
    </row>
    <row r="910" spans="1:203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34.78812643843024</v>
      </c>
      <c r="AO910">
        <v>9.8515360619943237</v>
      </c>
      <c r="AP910">
        <v>227.51390438847585</v>
      </c>
      <c r="AQ910">
        <v>66.282520095273952</v>
      </c>
      <c r="AR910">
        <v>9.0644844162590807</v>
      </c>
      <c r="AS910">
        <v>107.10076976281798</v>
      </c>
      <c r="AT910" t="e">
        <v>#DIV/0!</v>
      </c>
      <c r="AU910" t="e">
        <v>#DIV/0!</v>
      </c>
      <c r="AV910"/>
      <c r="AW910"/>
      <c r="FY910" s="213">
        <v>905</v>
      </c>
      <c r="FZ910">
        <v>4.9540357672217299</v>
      </c>
      <c r="GA910">
        <v>19.902851083004027</v>
      </c>
      <c r="GB910">
        <v>8.0493707349532286</v>
      </c>
      <c r="GC910">
        <v>1.1752886190159173</v>
      </c>
      <c r="GD910">
        <v>1.8962059570066132</v>
      </c>
      <c r="GE910">
        <v>2.5992767913381676</v>
      </c>
      <c r="GF910">
        <v>0.95469624988012047</v>
      </c>
      <c r="GG910">
        <v>5.1431026767584997</v>
      </c>
      <c r="GH910">
        <v>7.2170533002903205</v>
      </c>
      <c r="GI910">
        <v>5.2836811801263082</v>
      </c>
      <c r="GJ910"/>
      <c r="GK910"/>
      <c r="GL910"/>
      <c r="GM910"/>
      <c r="GN910" s="208"/>
      <c r="GO910" s="208"/>
      <c r="GP910" s="208"/>
      <c r="GQ910" s="208"/>
      <c r="GR910" s="208"/>
      <c r="GS910" s="208"/>
      <c r="GT910" s="208"/>
      <c r="GU910" s="213">
        <v>905</v>
      </c>
    </row>
    <row r="911" spans="1:203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43.02529761904762</v>
      </c>
      <c r="AO911">
        <v>8.1802074094756723</v>
      </c>
      <c r="AP911">
        <v>265.64991386630902</v>
      </c>
      <c r="AQ911">
        <v>47.708676140780256</v>
      </c>
      <c r="AR911">
        <v>7.4908234612918214</v>
      </c>
      <c r="AS911">
        <v>109.2033511834295</v>
      </c>
      <c r="AT911" t="e">
        <v>#DIV/0!</v>
      </c>
      <c r="AU911" t="e">
        <v>#DIV/0!</v>
      </c>
      <c r="AV911"/>
      <c r="AW911"/>
      <c r="FY911" s="213">
        <v>906</v>
      </c>
      <c r="FZ911">
        <v>3.7797135260832437</v>
      </c>
      <c r="GA911">
        <v>15.921488462340267</v>
      </c>
      <c r="GB911">
        <v>6.0339386632122149</v>
      </c>
      <c r="GC911">
        <v>1.1496359908396288</v>
      </c>
      <c r="GD911">
        <v>1.7028979746637924</v>
      </c>
      <c r="GE911">
        <v>1.9501089156181792</v>
      </c>
      <c r="GF911">
        <v>0.47734812494006024</v>
      </c>
      <c r="GG911">
        <v>1.6799013424988689</v>
      </c>
      <c r="GH911">
        <v>2.436398464583593</v>
      </c>
      <c r="GI911">
        <v>3.5646356033987807</v>
      </c>
      <c r="GJ911"/>
      <c r="GK911"/>
      <c r="GL911"/>
      <c r="GM911"/>
      <c r="GN911" s="208"/>
      <c r="GO911" s="208"/>
      <c r="GP911" s="208"/>
      <c r="GQ911" s="208"/>
      <c r="GR911" s="208"/>
      <c r="GS911" s="208"/>
      <c r="GT911" s="208"/>
      <c r="GU911" s="213">
        <v>906</v>
      </c>
    </row>
    <row r="912" spans="1:203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26.687756568144501</v>
      </c>
      <c r="AO912">
        <v>5.9875920859781475</v>
      </c>
      <c r="AP912">
        <v>317.87393504036993</v>
      </c>
      <c r="AQ912">
        <v>41.33864059025958</v>
      </c>
      <c r="AR912">
        <v>5.4432655327074064</v>
      </c>
      <c r="AS912">
        <v>63.440051490962006</v>
      </c>
      <c r="AT912" t="e">
        <v>#DIV/0!</v>
      </c>
      <c r="AU912" t="e">
        <v>#DIV/0!</v>
      </c>
      <c r="AV912"/>
      <c r="AW912"/>
      <c r="FY912" s="213">
        <v>907</v>
      </c>
      <c r="FZ912">
        <v>0</v>
      </c>
      <c r="GA912">
        <v>10.169680130694278</v>
      </c>
      <c r="GB912">
        <v>5.0123434014354968</v>
      </c>
      <c r="GC912">
        <v>1.1631783888538108</v>
      </c>
      <c r="GD912">
        <v>1.8954762845222317</v>
      </c>
      <c r="GE912">
        <v>2.6125758529091763</v>
      </c>
      <c r="GF912">
        <v>0.95469624988012047</v>
      </c>
      <c r="GG912">
        <v>2.3984645145399348</v>
      </c>
      <c r="GH912">
        <v>3.3851261178612746</v>
      </c>
      <c r="GI912">
        <v>3.1158911329152925</v>
      </c>
      <c r="GJ912"/>
      <c r="GK912"/>
      <c r="GL912"/>
      <c r="GM912"/>
      <c r="GN912" s="208"/>
      <c r="GO912" s="208"/>
      <c r="GP912" s="208"/>
      <c r="GQ912" s="208"/>
      <c r="GR912" s="208"/>
      <c r="GS912" s="208"/>
      <c r="GT912" s="208"/>
      <c r="GU912" s="213">
        <v>907</v>
      </c>
    </row>
    <row r="913" spans="1:203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29.053656951286257</v>
      </c>
      <c r="AO913">
        <v>6.4941696529727313</v>
      </c>
      <c r="AP913">
        <v>64.913363316520218</v>
      </c>
      <c r="AQ913">
        <v>44.211265053766205</v>
      </c>
      <c r="AR913">
        <v>5.9580618644709693</v>
      </c>
      <c r="AS913">
        <v>84.933931177531619</v>
      </c>
      <c r="AT913" t="e">
        <v>#DIV/0!</v>
      </c>
      <c r="AU913" t="e">
        <v>#DIV/0!</v>
      </c>
      <c r="AV913"/>
      <c r="AW913"/>
      <c r="FY913" s="213">
        <v>908</v>
      </c>
      <c r="FZ913">
        <v>1.596276202757001</v>
      </c>
      <c r="GA913">
        <v>21.078430507213103</v>
      </c>
      <c r="GB913">
        <v>9.683314082290142</v>
      </c>
      <c r="GC913">
        <v>2.0176234208697239</v>
      </c>
      <c r="GD913">
        <v>3.2620472736542068</v>
      </c>
      <c r="GE913">
        <v>3.4716692711255686</v>
      </c>
      <c r="GF913">
        <v>0</v>
      </c>
      <c r="GG913">
        <v>3.5716101445797515</v>
      </c>
      <c r="GH913">
        <v>5.0375995162231906</v>
      </c>
      <c r="GI913">
        <v>5.4606774288538533</v>
      </c>
      <c r="GJ913"/>
      <c r="GK913"/>
      <c r="GL913"/>
      <c r="GM913"/>
      <c r="GN913" s="208"/>
      <c r="GO913" s="208"/>
      <c r="GP913" s="208"/>
      <c r="GQ913" s="208"/>
      <c r="GR913" s="208"/>
      <c r="GS913" s="208"/>
      <c r="GT913" s="208"/>
      <c r="GU913" s="213">
        <v>908</v>
      </c>
    </row>
    <row r="914" spans="1:203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35.6257530120482</v>
      </c>
      <c r="AO914">
        <v>6.7185455970105705</v>
      </c>
      <c r="AP914">
        <v>204.12704605496083</v>
      </c>
      <c r="AQ914">
        <v>46.042009689988376</v>
      </c>
      <c r="AR914">
        <v>6.107768724555064</v>
      </c>
      <c r="AS914">
        <v>96.32632535168915</v>
      </c>
      <c r="AT914" t="e">
        <v>#DIV/0!</v>
      </c>
      <c r="AU914" t="e">
        <v>#DIV/0!</v>
      </c>
      <c r="AV914"/>
      <c r="AW914"/>
      <c r="FY914" s="213">
        <v>909</v>
      </c>
      <c r="FZ914">
        <v>0.58716112056924263</v>
      </c>
      <c r="GA914">
        <v>18.255665929355448</v>
      </c>
      <c r="GB914">
        <v>9.0658935273601138</v>
      </c>
      <c r="GC914">
        <v>1.2527762457071427</v>
      </c>
      <c r="GD914">
        <v>2.2823573052638921</v>
      </c>
      <c r="GE914">
        <v>2.67103089255825</v>
      </c>
      <c r="GF914">
        <v>0</v>
      </c>
      <c r="GG914">
        <v>0.10673875663404474</v>
      </c>
      <c r="GH914">
        <v>0.14058242252415507</v>
      </c>
      <c r="GI914">
        <v>3.7124471695098777</v>
      </c>
      <c r="GJ914"/>
      <c r="GK914"/>
      <c r="GL914"/>
      <c r="GM914"/>
      <c r="GN914" s="208"/>
      <c r="GO914" s="208"/>
      <c r="GP914" s="208"/>
      <c r="GQ914" s="208"/>
      <c r="GR914" s="208"/>
      <c r="GS914" s="208"/>
      <c r="GT914" s="208"/>
      <c r="GU914" s="213">
        <v>909</v>
      </c>
    </row>
    <row r="915" spans="1:203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21.343100439524928</v>
      </c>
      <c r="AO915">
        <v>5.936824012336932</v>
      </c>
      <c r="AP915">
        <v>237.8452611240007</v>
      </c>
      <c r="AQ915">
        <v>34.209941820603945</v>
      </c>
      <c r="AR915">
        <v>5.3971127384881212</v>
      </c>
      <c r="AS915">
        <v>64.792801305502408</v>
      </c>
      <c r="AT915" t="e">
        <v>#DIV/0!</v>
      </c>
      <c r="AU915" t="e">
        <v>#DIV/0!</v>
      </c>
      <c r="AV915"/>
      <c r="AW915"/>
      <c r="FY915" s="213">
        <v>910</v>
      </c>
      <c r="FZ915">
        <v>0</v>
      </c>
      <c r="GA915">
        <v>7.6791334153695985</v>
      </c>
      <c r="GB915">
        <v>3.7941329413888769</v>
      </c>
      <c r="GC915">
        <v>0.2951909588237156</v>
      </c>
      <c r="GD915">
        <v>1.8454557129145144</v>
      </c>
      <c r="GE915">
        <v>3.2816552658058735</v>
      </c>
      <c r="GF915">
        <v>0</v>
      </c>
      <c r="GG915">
        <v>5.9684046054336104</v>
      </c>
      <c r="GH915">
        <v>8.3063633760921576</v>
      </c>
      <c r="GI915">
        <v>3.4355466073600573</v>
      </c>
      <c r="GJ915"/>
      <c r="GK915"/>
      <c r="GL915"/>
      <c r="GM915"/>
      <c r="GN915" s="208"/>
      <c r="GO915" s="208"/>
      <c r="GP915" s="208"/>
      <c r="GQ915" s="208"/>
      <c r="GR915" s="208"/>
      <c r="GS915" s="208"/>
      <c r="GT915" s="208"/>
      <c r="GU915" s="213">
        <v>910</v>
      </c>
    </row>
    <row r="916" spans="1:203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33.101379450478433</v>
      </c>
      <c r="AO916">
        <v>7.5969764434165956</v>
      </c>
      <c r="AP916">
        <v>184.56984952353267</v>
      </c>
      <c r="AQ916">
        <v>49.320893375028199</v>
      </c>
      <c r="AR916">
        <v>6.9606134921472087</v>
      </c>
      <c r="AS916">
        <v>87.616346385563531</v>
      </c>
      <c r="AT916" t="e">
        <v>#DIV/0!</v>
      </c>
      <c r="AU916" t="e">
        <v>#DIV/0!</v>
      </c>
      <c r="AV916"/>
      <c r="AW916"/>
      <c r="FY916" s="213">
        <v>911</v>
      </c>
      <c r="FZ916">
        <v>1.1743222411384853</v>
      </c>
      <c r="GA916">
        <v>9.3286090468979328</v>
      </c>
      <c r="GB916">
        <v>4.7228917543148832</v>
      </c>
      <c r="GC916">
        <v>7.7487626691225331E-2</v>
      </c>
      <c r="GD916">
        <v>3.2540338078850781</v>
      </c>
      <c r="GE916">
        <v>7.0712519525900568</v>
      </c>
      <c r="GF916">
        <v>0.95469624988012047</v>
      </c>
      <c r="GG916">
        <v>6.0734733083815797</v>
      </c>
      <c r="GH916">
        <v>8.3305835406240085</v>
      </c>
      <c r="GI916">
        <v>4.9939770163993229</v>
      </c>
      <c r="GJ916"/>
      <c r="GK916"/>
      <c r="GL916"/>
      <c r="GM916"/>
      <c r="GN916" s="208"/>
      <c r="GO916" s="208"/>
      <c r="GP916" s="208"/>
      <c r="GQ916" s="208"/>
      <c r="GR916" s="208"/>
      <c r="GS916" s="208"/>
      <c r="GT916" s="208"/>
      <c r="GU916" s="213">
        <v>911</v>
      </c>
    </row>
    <row r="917" spans="1:203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26.407756024096379</v>
      </c>
      <c r="AO917">
        <v>6.8753574014483636</v>
      </c>
      <c r="AP917">
        <v>139.30057966389492</v>
      </c>
      <c r="AQ917">
        <v>43.29474795999603</v>
      </c>
      <c r="AR917">
        <v>6.3045961812669971</v>
      </c>
      <c r="AS917">
        <v>77.094752830304401</v>
      </c>
      <c r="AT917" t="e">
        <v>#DIV/0!</v>
      </c>
      <c r="AU917" t="e">
        <v>#DIV/0!</v>
      </c>
      <c r="AV917"/>
      <c r="AW917"/>
      <c r="FY917" s="213">
        <v>912</v>
      </c>
      <c r="FZ917">
        <v>1.596276202757001</v>
      </c>
      <c r="GA917">
        <v>12.409645991628739</v>
      </c>
      <c r="GB917">
        <v>5.1497230903901956</v>
      </c>
      <c r="GC917">
        <v>0.52765383889739159</v>
      </c>
      <c r="GD917">
        <v>0.40594321219823715</v>
      </c>
      <c r="GE917">
        <v>0.29268297475725885</v>
      </c>
      <c r="GF917">
        <v>0.47734812494006024</v>
      </c>
      <c r="GG917">
        <v>6.8735072200315948</v>
      </c>
      <c r="GH917">
        <v>9.6172688280190535</v>
      </c>
      <c r="GI917">
        <v>3.4598200161957928</v>
      </c>
      <c r="GJ917"/>
      <c r="GK917"/>
      <c r="GL917"/>
      <c r="GM917"/>
      <c r="GN917" s="208"/>
      <c r="GO917" s="208"/>
      <c r="GP917" s="208"/>
      <c r="GQ917" s="208"/>
      <c r="GR917" s="208"/>
      <c r="GS917" s="208"/>
      <c r="GT917" s="208"/>
      <c r="GU917" s="213">
        <v>912</v>
      </c>
    </row>
    <row r="918" spans="1:203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34.88560564095463</v>
      </c>
      <c r="AO918">
        <v>7.957711895144203</v>
      </c>
      <c r="AP918">
        <v>157.78912354964314</v>
      </c>
      <c r="AQ918">
        <v>50.149321895627025</v>
      </c>
      <c r="AR918">
        <v>7.2885548118995782</v>
      </c>
      <c r="AS918">
        <v>88.95887569100303</v>
      </c>
      <c r="AT918" t="e">
        <v>#DIV/0!</v>
      </c>
      <c r="AU918" t="e">
        <v>#DIV/0!</v>
      </c>
      <c r="AV918"/>
      <c r="AW918"/>
      <c r="FY918" s="213">
        <v>913</v>
      </c>
      <c r="FZ918">
        <v>2.1834373233262436</v>
      </c>
      <c r="GA918">
        <v>18.76079226668941</v>
      </c>
      <c r="GB918">
        <v>8.3738659165272598</v>
      </c>
      <c r="GC918">
        <v>1.3107738682656682</v>
      </c>
      <c r="GD918">
        <v>2.1345293882190868</v>
      </c>
      <c r="GE918">
        <v>2.5740323504368119</v>
      </c>
      <c r="GF918">
        <v>0.47734812494006024</v>
      </c>
      <c r="GG918">
        <v>0.71856317204106601</v>
      </c>
      <c r="GH918">
        <v>0.94872765327768138</v>
      </c>
      <c r="GI918">
        <v>3.9172646368506792</v>
      </c>
      <c r="GJ918"/>
      <c r="GK918"/>
      <c r="GL918"/>
      <c r="GM918"/>
      <c r="GN918" s="208"/>
      <c r="GO918" s="208"/>
      <c r="GP918" s="208"/>
      <c r="GQ918" s="208"/>
      <c r="GR918" s="208"/>
      <c r="GS918" s="208"/>
      <c r="GT918" s="208"/>
      <c r="GU918" s="213">
        <v>913</v>
      </c>
    </row>
    <row r="919" spans="1:203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23.624435962239765</v>
      </c>
      <c r="AO919">
        <v>7.5920679114927792</v>
      </c>
      <c r="AP919">
        <v>356.3741751127252</v>
      </c>
      <c r="AQ919">
        <v>47.621081357073507</v>
      </c>
      <c r="AR919">
        <v>7.010422461257674</v>
      </c>
      <c r="AS919">
        <v>69.059822526925302</v>
      </c>
      <c r="AT919" t="e">
        <v>#DIV/0!</v>
      </c>
      <c r="AU919" t="e">
        <v>#DIV/0!</v>
      </c>
      <c r="AV919"/>
      <c r="AW919"/>
      <c r="FY919" s="213">
        <v>914</v>
      </c>
      <c r="FZ919">
        <v>1.596276202757001</v>
      </c>
      <c r="GA919">
        <v>18.915282954037767</v>
      </c>
      <c r="GB919">
        <v>8.4097088225479038</v>
      </c>
      <c r="GC919">
        <v>2.5055524914142855</v>
      </c>
      <c r="GD919">
        <v>3.0199006557039221</v>
      </c>
      <c r="GE919">
        <v>2.5062613281399106</v>
      </c>
      <c r="GF919">
        <v>0.47734812494006024</v>
      </c>
      <c r="GG919">
        <v>4.0766958033527283</v>
      </c>
      <c r="GH919">
        <v>5.7051623244525604</v>
      </c>
      <c r="GI919">
        <v>5.1367997132473793</v>
      </c>
      <c r="GJ919"/>
      <c r="GK919"/>
      <c r="GL919"/>
      <c r="GM919"/>
      <c r="GN919" s="208"/>
      <c r="GO919" s="208"/>
      <c r="GP919" s="208"/>
      <c r="GQ919" s="208"/>
      <c r="GR919" s="208"/>
      <c r="GS919" s="208"/>
      <c r="GT919" s="208"/>
      <c r="GU919" s="213">
        <v>914</v>
      </c>
    </row>
    <row r="920" spans="1:203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32.703219487143976</v>
      </c>
      <c r="AO920">
        <v>6.4495070929888598</v>
      </c>
      <c r="AP920">
        <v>309.29685531293302</v>
      </c>
      <c r="AQ920">
        <v>42.269328923395044</v>
      </c>
      <c r="AR920">
        <v>5.8631882663535082</v>
      </c>
      <c r="AS920">
        <v>83.690628724987391</v>
      </c>
      <c r="AT920" t="e">
        <v>#DIV/0!</v>
      </c>
      <c r="AU920" t="e">
        <v>#DIV/0!</v>
      </c>
      <c r="AV920"/>
      <c r="AW920"/>
      <c r="FY920" s="213">
        <v>915</v>
      </c>
      <c r="FZ920">
        <v>1.1743222411384853</v>
      </c>
      <c r="GA920">
        <v>17.555142010335118</v>
      </c>
      <c r="GB920">
        <v>8.8882143428900662</v>
      </c>
      <c r="GC920">
        <v>2.9295363332818036</v>
      </c>
      <c r="GD920">
        <v>3.9711008463301276</v>
      </c>
      <c r="GE920">
        <v>3.7776513074538358</v>
      </c>
      <c r="GF920">
        <v>0.47734812494006024</v>
      </c>
      <c r="GG920">
        <v>7.1398801817873512</v>
      </c>
      <c r="GH920">
        <v>9.8424745164617669</v>
      </c>
      <c r="GI920">
        <v>6.4022775603107966</v>
      </c>
      <c r="GJ920"/>
      <c r="GK920"/>
      <c r="GL920"/>
      <c r="GM920"/>
      <c r="GN920" s="208"/>
      <c r="GO920" s="208"/>
      <c r="GP920" s="208"/>
      <c r="GQ920" s="208"/>
      <c r="GR920" s="208"/>
      <c r="GS920" s="208"/>
      <c r="GT920" s="208"/>
      <c r="GU920" s="213">
        <v>915</v>
      </c>
    </row>
    <row r="921" spans="1:203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25.65625</v>
      </c>
      <c r="AO921">
        <v>8.1378068715298291</v>
      </c>
      <c r="AP921">
        <v>188.83749622795767</v>
      </c>
      <c r="AQ921">
        <v>57.175562359594934</v>
      </c>
      <c r="AR921">
        <v>7.56082005942348</v>
      </c>
      <c r="AS921">
        <v>83.07022708476039</v>
      </c>
      <c r="AT921" t="e">
        <v>#DIV/0!</v>
      </c>
      <c r="AU921" t="e">
        <v>#DIV/0!</v>
      </c>
      <c r="AV921"/>
      <c r="AW921"/>
      <c r="FY921" s="213">
        <v>916</v>
      </c>
      <c r="FZ921">
        <v>3.7797135260832437</v>
      </c>
      <c r="GA921">
        <v>20.722701656902476</v>
      </c>
      <c r="GB921">
        <v>8.599562067336679</v>
      </c>
      <c r="GC921">
        <v>0.45016621220616626</v>
      </c>
      <c r="GD921">
        <v>1.0975914211389934</v>
      </c>
      <c r="GE921">
        <v>2.4035783758705969</v>
      </c>
      <c r="GF921">
        <v>1.432044374820181</v>
      </c>
      <c r="GG921">
        <v>3.7271820483019464</v>
      </c>
      <c r="GH921">
        <v>5.0256367439001757</v>
      </c>
      <c r="GI921">
        <v>4.4736120861880595</v>
      </c>
      <c r="GJ921"/>
      <c r="GK921"/>
      <c r="GL921"/>
      <c r="GM921"/>
      <c r="GN921" s="208"/>
      <c r="GO921" s="208"/>
      <c r="GP921" s="208"/>
      <c r="GQ921" s="208"/>
      <c r="GR921" s="208"/>
      <c r="GS921" s="208"/>
      <c r="GT921" s="208"/>
      <c r="GU921" s="213">
        <v>916</v>
      </c>
    </row>
    <row r="922" spans="1:203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27.383193488238668</v>
      </c>
      <c r="AO922">
        <v>5.508369395759507</v>
      </c>
      <c r="AP922">
        <v>96.118168834326454</v>
      </c>
      <c r="AQ922">
        <v>38.696067068178621</v>
      </c>
      <c r="AR922">
        <v>5.0618798124589466</v>
      </c>
      <c r="AS922">
        <v>69.992652809093173</v>
      </c>
      <c r="AT922" t="e">
        <v>#DIV/0!</v>
      </c>
      <c r="AU922" t="e">
        <v>#DIV/0!</v>
      </c>
      <c r="AV922"/>
      <c r="AW922"/>
      <c r="FY922" s="213">
        <v>917</v>
      </c>
      <c r="FZ922">
        <v>0.58716112056924263</v>
      </c>
      <c r="GA922">
        <v>13.968124656440246</v>
      </c>
      <c r="GB922">
        <v>6.8451165700518848</v>
      </c>
      <c r="GC922">
        <v>0.53976406905949814</v>
      </c>
      <c r="GD922">
        <v>1.8746525047262594</v>
      </c>
      <c r="GE922">
        <v>3.2524277459813367</v>
      </c>
      <c r="GF922">
        <v>0.47734812494006024</v>
      </c>
      <c r="GG922">
        <v>4.1834345599867726</v>
      </c>
      <c r="GH922">
        <v>5.8457447469767168</v>
      </c>
      <c r="GI922">
        <v>4.0321643794167441</v>
      </c>
      <c r="GJ922"/>
      <c r="GK922"/>
      <c r="GL922"/>
      <c r="GM922"/>
      <c r="GN922" s="208"/>
      <c r="GO922" s="208"/>
      <c r="GP922" s="208"/>
      <c r="GQ922" s="208"/>
      <c r="GR922" s="208"/>
      <c r="GS922" s="208"/>
      <c r="GT922" s="208"/>
      <c r="GU922" s="213">
        <v>917</v>
      </c>
    </row>
    <row r="923" spans="1:203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25.573020118239789</v>
      </c>
      <c r="AO923">
        <v>4.8859660321330578</v>
      </c>
      <c r="AP923">
        <v>229.40577575316794</v>
      </c>
      <c r="AQ923">
        <v>30.707432073611621</v>
      </c>
      <c r="AR923">
        <v>4.4417873019391436</v>
      </c>
      <c r="AS923">
        <v>68.872577344313427</v>
      </c>
      <c r="AT923" t="e">
        <v>#DIV/0!</v>
      </c>
      <c r="AU923" t="e">
        <v>#DIV/0!</v>
      </c>
      <c r="AV923"/>
      <c r="AW923"/>
      <c r="FY923" s="213">
        <v>918</v>
      </c>
      <c r="FZ923">
        <v>0.58716112056924263</v>
      </c>
      <c r="GA923">
        <v>11.928472796983923</v>
      </c>
      <c r="GB923">
        <v>6.0397177534340161</v>
      </c>
      <c r="GC923">
        <v>1.8060827127808228</v>
      </c>
      <c r="GD923">
        <v>3.0068855808615695</v>
      </c>
      <c r="GE923">
        <v>3.285300821137576</v>
      </c>
      <c r="GF923">
        <v>0</v>
      </c>
      <c r="GG923">
        <v>3.5699400908936756</v>
      </c>
      <c r="GH923">
        <v>4.9212372582308834</v>
      </c>
      <c r="GI923">
        <v>4.2244163912684023</v>
      </c>
      <c r="GJ923"/>
      <c r="GK923"/>
      <c r="GL923"/>
      <c r="GM923"/>
      <c r="GN923" s="208"/>
      <c r="GO923" s="208"/>
      <c r="GP923" s="208"/>
      <c r="GQ923" s="208"/>
      <c r="GR923" s="208"/>
      <c r="GS923" s="208"/>
      <c r="GT923" s="208"/>
      <c r="GU923" s="213">
        <v>918</v>
      </c>
    </row>
    <row r="924" spans="1:203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38.071446500286861</v>
      </c>
      <c r="AO924">
        <v>8.4819538476776248</v>
      </c>
      <c r="AP924">
        <v>191.79158533874852</v>
      </c>
      <c r="AQ924">
        <v>55.179247847566543</v>
      </c>
      <c r="AR924">
        <v>7.7108671342523865</v>
      </c>
      <c r="AS924">
        <v>101.44412519025022</v>
      </c>
      <c r="AT924" t="e">
        <v>#DIV/0!</v>
      </c>
      <c r="AU924" t="e">
        <v>#DIV/0!</v>
      </c>
      <c r="AV924"/>
      <c r="AW924"/>
      <c r="FY924" s="213">
        <v>919</v>
      </c>
      <c r="FZ924">
        <v>3.7797135260832437</v>
      </c>
      <c r="GA924">
        <v>17.687558115955479</v>
      </c>
      <c r="GB924">
        <v>6.8765028865778204</v>
      </c>
      <c r="GC924">
        <v>1.6511074593983723</v>
      </c>
      <c r="GD924">
        <v>2.5798393491126621</v>
      </c>
      <c r="GE924">
        <v>2.9504148057444999</v>
      </c>
      <c r="GF924">
        <v>0.47734812494006024</v>
      </c>
      <c r="GG924">
        <v>6.1549440479905293</v>
      </c>
      <c r="GH924">
        <v>8.668541174741371</v>
      </c>
      <c r="GI924">
        <v>5.3662844032657695</v>
      </c>
      <c r="GJ924"/>
      <c r="GK924"/>
      <c r="GL924"/>
      <c r="GM924"/>
      <c r="GN924" s="208"/>
      <c r="GO924" s="208"/>
      <c r="GP924" s="208"/>
      <c r="GQ924" s="208"/>
      <c r="GR924" s="208"/>
      <c r="GS924" s="208"/>
      <c r="GT924" s="208"/>
      <c r="GU924" s="213">
        <v>919</v>
      </c>
    </row>
    <row r="925" spans="1:203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32.490336345381522</v>
      </c>
      <c r="AO925">
        <v>5.6212730286198997</v>
      </c>
      <c r="AP925">
        <v>255.92098870256882</v>
      </c>
      <c r="AQ925">
        <v>38.074653369482171</v>
      </c>
      <c r="AR925">
        <v>5.1645194786956665</v>
      </c>
      <c r="AS925">
        <v>76.227355189577054</v>
      </c>
      <c r="AT925" t="e">
        <v>#DIV/0!</v>
      </c>
      <c r="AU925" t="e">
        <v>#DIV/0!</v>
      </c>
      <c r="AV925"/>
      <c r="AW925"/>
      <c r="FY925" s="213">
        <v>920</v>
      </c>
      <c r="FZ925">
        <v>1.596276202757001</v>
      </c>
      <c r="GA925">
        <v>19.438729359416214</v>
      </c>
      <c r="GB925">
        <v>8.5829314175232447</v>
      </c>
      <c r="GC925">
        <v>0.53976406905949814</v>
      </c>
      <c r="GD925">
        <v>1.0995944778879017</v>
      </c>
      <c r="GE925">
        <v>1.9753533565195354</v>
      </c>
      <c r="GF925">
        <v>0.95469624988012047</v>
      </c>
      <c r="GG925">
        <v>2.0001176124010032</v>
      </c>
      <c r="GH925">
        <v>2.8581457321560584</v>
      </c>
      <c r="GI925">
        <v>3.8055341777249163</v>
      </c>
      <c r="GJ925"/>
      <c r="GK925"/>
      <c r="GL925"/>
      <c r="GM925"/>
      <c r="GN925" s="208"/>
      <c r="GO925" s="208"/>
      <c r="GP925" s="208"/>
      <c r="GQ925" s="208"/>
      <c r="GR925" s="208"/>
      <c r="GS925" s="208"/>
      <c r="GT925" s="208"/>
      <c r="GU925" s="213">
        <v>920</v>
      </c>
    </row>
    <row r="926" spans="1:203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19.041770118239789</v>
      </c>
      <c r="AO926">
        <v>5.4665588063118005</v>
      </c>
      <c r="AP926">
        <v>241.62507575684234</v>
      </c>
      <c r="AQ926">
        <v>34.605882883188407</v>
      </c>
      <c r="AR926">
        <v>4.9695989148289108</v>
      </c>
      <c r="AS926">
        <v>49.739072427652509</v>
      </c>
      <c r="AT926" t="e">
        <v>#DIV/0!</v>
      </c>
      <c r="AU926" t="e">
        <v>#DIV/0!</v>
      </c>
      <c r="AV926"/>
      <c r="AW926"/>
      <c r="FY926" s="213">
        <v>921</v>
      </c>
      <c r="FZ926">
        <v>2.1834373233262436</v>
      </c>
      <c r="GA926">
        <v>15.04043464569005</v>
      </c>
      <c r="GB926">
        <v>6.6265513634053326</v>
      </c>
      <c r="GC926">
        <v>2.8263960784142892</v>
      </c>
      <c r="GD926">
        <v>4.5678541735928135</v>
      </c>
      <c r="GE926">
        <v>5.1543396528878453</v>
      </c>
      <c r="GF926">
        <v>0.47734812494006024</v>
      </c>
      <c r="GG926">
        <v>4.8262265142285186</v>
      </c>
      <c r="GH926">
        <v>7.0280305487024703</v>
      </c>
      <c r="GI926">
        <v>6.0406902665890678</v>
      </c>
      <c r="GJ926"/>
      <c r="GK926"/>
      <c r="GL926"/>
      <c r="GM926"/>
      <c r="GN926" s="208"/>
      <c r="GO926" s="208"/>
      <c r="GP926" s="208"/>
      <c r="GQ926" s="208"/>
      <c r="GR926" s="208"/>
      <c r="GS926" s="208"/>
      <c r="GT926" s="208"/>
      <c r="GU926" s="213">
        <v>921</v>
      </c>
    </row>
    <row r="927" spans="1:203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20.58863615381064</v>
      </c>
      <c r="AO927">
        <v>7.728474311182052</v>
      </c>
      <c r="AP927">
        <v>283.79961195966757</v>
      </c>
      <c r="AQ927">
        <v>45.981326544802691</v>
      </c>
      <c r="AR927">
        <v>7.1344282791570155</v>
      </c>
      <c r="AS927">
        <v>68.686652428545116</v>
      </c>
      <c r="AT927" t="e">
        <v>#DIV/0!</v>
      </c>
      <c r="AU927" t="e">
        <v>#DIV/0!</v>
      </c>
      <c r="AV927"/>
      <c r="AW927"/>
      <c r="FY927" s="213">
        <v>922</v>
      </c>
      <c r="FZ927">
        <v>3.192552405514002</v>
      </c>
      <c r="GA927">
        <v>13.077601093992859</v>
      </c>
      <c r="GB927">
        <v>4.6849269759999226</v>
      </c>
      <c r="GC927">
        <v>1.3228840984277752</v>
      </c>
      <c r="GD927">
        <v>1.7437768635195039</v>
      </c>
      <c r="GE927">
        <v>1.7637404656301865</v>
      </c>
      <c r="GF927">
        <v>0.47734812494006024</v>
      </c>
      <c r="GG927">
        <v>4.0766958033527283</v>
      </c>
      <c r="GH927">
        <v>5.7051623244525604</v>
      </c>
      <c r="GI927">
        <v>3.6683100552145547</v>
      </c>
      <c r="GJ927"/>
      <c r="GK927"/>
      <c r="GL927"/>
      <c r="GM927"/>
      <c r="GN927" s="208"/>
      <c r="GO927" s="208"/>
      <c r="GP927" s="208"/>
      <c r="GQ927" s="208"/>
      <c r="GR927" s="208"/>
      <c r="GS927" s="208"/>
      <c r="GT927" s="208"/>
      <c r="GU927" s="213">
        <v>922</v>
      </c>
    </row>
    <row r="928" spans="1:203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15.1542833897165</v>
      </c>
      <c r="AO928">
        <v>5.6023595533917971</v>
      </c>
      <c r="AP928">
        <v>204.98746972168132</v>
      </c>
      <c r="AQ928">
        <v>40.809869499815328</v>
      </c>
      <c r="AR928">
        <v>5.093054139447089</v>
      </c>
      <c r="AS928">
        <v>49.840664172610701</v>
      </c>
      <c r="AT928" t="e">
        <v>#DIV/0!</v>
      </c>
      <c r="AU928" t="e">
        <v>#DIV/0!</v>
      </c>
      <c r="AV928"/>
      <c r="AW928"/>
      <c r="FY928" s="213">
        <v>923</v>
      </c>
      <c r="FZ928">
        <v>3.3577595644647293</v>
      </c>
      <c r="GA928">
        <v>18.74237447923678</v>
      </c>
      <c r="GB928">
        <v>8.5009465282641639</v>
      </c>
      <c r="GC928">
        <v>0.76484717516258138</v>
      </c>
      <c r="GD928">
        <v>2.7990793388436273</v>
      </c>
      <c r="GE928">
        <v>5.0706401723374155</v>
      </c>
      <c r="GF928">
        <v>0.95469624988012047</v>
      </c>
      <c r="GG928">
        <v>2.105186315348972</v>
      </c>
      <c r="GH928">
        <v>2.8823658966879071</v>
      </c>
      <c r="GI928">
        <v>4.9999896104923884</v>
      </c>
      <c r="GJ928"/>
      <c r="GK928"/>
      <c r="GL928"/>
      <c r="GM928"/>
      <c r="GN928" s="208"/>
      <c r="GO928" s="208"/>
      <c r="GP928" s="208"/>
      <c r="GQ928" s="208"/>
      <c r="GR928" s="208"/>
      <c r="GS928" s="208"/>
      <c r="GT928" s="208"/>
      <c r="GU928" s="213">
        <v>923</v>
      </c>
    </row>
    <row r="929" spans="1:203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31.204707582382071</v>
      </c>
      <c r="AO929">
        <v>5.946807574508302</v>
      </c>
      <c r="AP929">
        <v>71.664723703790344</v>
      </c>
      <c r="AQ929">
        <v>41.399334700573959</v>
      </c>
      <c r="AR929">
        <v>5.4604599749578488</v>
      </c>
      <c r="AS929">
        <v>86.907914482323477</v>
      </c>
      <c r="AT929" t="e">
        <v>#DIV/0!</v>
      </c>
      <c r="AU929" t="e">
        <v>#DIV/0!</v>
      </c>
      <c r="AV929"/>
      <c r="AW929"/>
      <c r="FY929" s="213">
        <v>924</v>
      </c>
      <c r="FZ929">
        <v>2.7705984438954863</v>
      </c>
      <c r="GA929">
        <v>16.576424203616178</v>
      </c>
      <c r="GB929">
        <v>7.3610003420478565</v>
      </c>
      <c r="GC929">
        <v>2.1133839017666447</v>
      </c>
      <c r="GD929">
        <v>1.7841537513605883</v>
      </c>
      <c r="GE929">
        <v>0.32191049458179555</v>
      </c>
      <c r="GF929">
        <v>0</v>
      </c>
      <c r="GG929">
        <v>3.2530639283636935</v>
      </c>
      <c r="GH929">
        <v>4.7322145066430314</v>
      </c>
      <c r="GI929">
        <v>4.0631942158759875</v>
      </c>
      <c r="GJ929"/>
      <c r="GK929"/>
      <c r="GL929"/>
      <c r="GM929"/>
      <c r="GN929" s="208"/>
      <c r="GO929" s="208"/>
      <c r="GP929" s="208"/>
      <c r="GQ929" s="208"/>
      <c r="GR929" s="208"/>
      <c r="GS929" s="208"/>
      <c r="GT929" s="208"/>
      <c r="GU929" s="213">
        <v>924</v>
      </c>
    </row>
    <row r="930" spans="1:203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41.526136153810647</v>
      </c>
      <c r="AO930">
        <v>8.015472719451024</v>
      </c>
      <c r="AP930">
        <v>215.69411923033968</v>
      </c>
      <c r="AQ930">
        <v>52.348988420593514</v>
      </c>
      <c r="AR930">
        <v>7.2867933813191108</v>
      </c>
      <c r="AS930">
        <v>98.065478227516735</v>
      </c>
      <c r="AT930" t="e">
        <v>#DIV/0!</v>
      </c>
      <c r="AU930" t="e">
        <v>#DIV/0!</v>
      </c>
      <c r="AV930"/>
      <c r="AW930"/>
      <c r="FY930" s="213">
        <v>925</v>
      </c>
      <c r="FZ930">
        <v>3.7797135260832437</v>
      </c>
      <c r="GA930">
        <v>14.307411999667538</v>
      </c>
      <c r="GB930">
        <v>5.2140310690752294</v>
      </c>
      <c r="GC930">
        <v>2.7933636762674081</v>
      </c>
      <c r="GD930">
        <v>3.2076305386371944</v>
      </c>
      <c r="GE930">
        <v>2.1494528864174529</v>
      </c>
      <c r="GF930">
        <v>0</v>
      </c>
      <c r="GG930">
        <v>2.7968114166788669</v>
      </c>
      <c r="GH930">
        <v>3.9121065035664904</v>
      </c>
      <c r="GI930">
        <v>4.4206269867639225</v>
      </c>
      <c r="GJ930"/>
      <c r="GK930"/>
      <c r="GL930"/>
      <c r="GM930"/>
      <c r="GN930" s="208"/>
      <c r="GO930" s="208"/>
      <c r="GP930" s="208"/>
      <c r="GQ930" s="208"/>
      <c r="GR930" s="208"/>
      <c r="GS930" s="208"/>
      <c r="GT930" s="208"/>
      <c r="GU930" s="213">
        <v>925</v>
      </c>
    </row>
    <row r="931" spans="1:203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47.697916666666657</v>
      </c>
      <c r="AO931">
        <v>9.743025542025304</v>
      </c>
      <c r="AP931">
        <v>484.77849696019962</v>
      </c>
      <c r="AQ931">
        <v>62.157947464929407</v>
      </c>
      <c r="AR931">
        <v>8.9658384890145211</v>
      </c>
      <c r="AS931">
        <v>114.35901331622696</v>
      </c>
      <c r="AT931" t="e">
        <v>#DIV/0!</v>
      </c>
      <c r="AU931" t="e">
        <v>#DIV/0!</v>
      </c>
      <c r="AV931"/>
      <c r="AW931"/>
      <c r="FY931" s="213">
        <v>926</v>
      </c>
      <c r="FZ931">
        <v>1.596276202757001</v>
      </c>
      <c r="GA931">
        <v>20.146460176108075</v>
      </c>
      <c r="GB931">
        <v>9.1681662843601117</v>
      </c>
      <c r="GC931">
        <v>1.79870293881023</v>
      </c>
      <c r="GD931">
        <v>2.7851987654528414</v>
      </c>
      <c r="GE931">
        <v>3.4331117858214535</v>
      </c>
      <c r="GF931">
        <v>0.95469624988012047</v>
      </c>
      <c r="GG931">
        <v>3.010288929946956</v>
      </c>
      <c r="GH931">
        <v>4.1932713486148003</v>
      </c>
      <c r="GI931">
        <v>5.1250928925399943</v>
      </c>
      <c r="GJ931"/>
      <c r="GK931"/>
      <c r="GL931"/>
      <c r="GM931"/>
      <c r="GN931" s="208"/>
      <c r="GO931" s="208"/>
      <c r="GP931" s="208"/>
      <c r="GQ931" s="208"/>
      <c r="GR931" s="208"/>
      <c r="GS931" s="208"/>
      <c r="GT931" s="208"/>
      <c r="GU931" s="213">
        <v>926</v>
      </c>
    </row>
    <row r="932" spans="1:203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24.279283389716504</v>
      </c>
      <c r="AO932">
        <v>6.8097606714290295</v>
      </c>
      <c r="AP932">
        <v>102.88004009845973</v>
      </c>
      <c r="AQ932">
        <v>51.71178851274852</v>
      </c>
      <c r="AR932">
        <v>6.2449627903403293</v>
      </c>
      <c r="AS932">
        <v>78.198490810456889</v>
      </c>
      <c r="AT932" t="e">
        <v>#DIV/0!</v>
      </c>
      <c r="AU932" t="e">
        <v>#DIV/0!</v>
      </c>
      <c r="AV932"/>
      <c r="AW932"/>
      <c r="FY932" s="213">
        <v>927</v>
      </c>
      <c r="FZ932">
        <v>0.58716112056924263</v>
      </c>
      <c r="GA932">
        <v>12.08296348433228</v>
      </c>
      <c r="GB932">
        <v>6.0755606594546574</v>
      </c>
      <c r="GC932">
        <v>1.0721483641484035</v>
      </c>
      <c r="GD932">
        <v>2.9784673627848894</v>
      </c>
      <c r="GE932">
        <v>4.9549956820885708</v>
      </c>
      <c r="GF932">
        <v>0.95469624988012047</v>
      </c>
      <c r="GG932">
        <v>1.7866400991329137</v>
      </c>
      <c r="GH932">
        <v>2.5769808871077484</v>
      </c>
      <c r="GI932">
        <v>4.0521291662528363</v>
      </c>
      <c r="GJ932"/>
      <c r="GK932"/>
      <c r="GL932"/>
      <c r="GM932"/>
      <c r="GN932" s="208"/>
      <c r="GO932" s="208"/>
      <c r="GP932" s="208"/>
      <c r="GQ932" s="208"/>
      <c r="GR932" s="208"/>
      <c r="GS932" s="208"/>
      <c r="GT932" s="208"/>
      <c r="GU932" s="213">
        <v>927</v>
      </c>
    </row>
    <row r="933" spans="1:203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21.995639165858837</v>
      </c>
      <c r="AO933">
        <v>6.3498423190777071</v>
      </c>
      <c r="AP933">
        <v>301.61996272525766</v>
      </c>
      <c r="AQ933">
        <v>41.605938478148758</v>
      </c>
      <c r="AR933">
        <v>5.8268551972936722</v>
      </c>
      <c r="AS933">
        <v>69.314537022514443</v>
      </c>
      <c r="AT933" t="e">
        <v>#DIV/0!</v>
      </c>
      <c r="AU933" t="e">
        <v>#DIV/0!</v>
      </c>
      <c r="AV933"/>
      <c r="AW933"/>
      <c r="FY933" s="213">
        <v>928</v>
      </c>
      <c r="FZ933">
        <v>3.192552405514002</v>
      </c>
      <c r="GA933">
        <v>15.813842970013976</v>
      </c>
      <c r="GB933">
        <v>6.0178311425586504</v>
      </c>
      <c r="GC933">
        <v>1.2197438435602614</v>
      </c>
      <c r="GD933">
        <v>2.1566869820615171</v>
      </c>
      <c r="GE933">
        <v>2.4713633809992483</v>
      </c>
      <c r="GF933">
        <v>0</v>
      </c>
      <c r="GG933">
        <v>3.7581495871366699</v>
      </c>
      <c r="GH933">
        <v>5.3997773148724022</v>
      </c>
      <c r="GI933">
        <v>4.1747245723610078</v>
      </c>
      <c r="GJ933"/>
      <c r="GK933"/>
      <c r="GL933"/>
      <c r="GM933"/>
      <c r="GN933" s="208"/>
      <c r="GO933" s="208"/>
      <c r="GP933" s="208"/>
      <c r="GQ933" s="208"/>
      <c r="GR933" s="208"/>
      <c r="GS933" s="208"/>
      <c r="GT933" s="208"/>
      <c r="GU933" s="213">
        <v>928</v>
      </c>
    </row>
    <row r="934" spans="1:203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29.569940476190482</v>
      </c>
      <c r="AO934">
        <v>6.468862979561143</v>
      </c>
      <c r="AP934">
        <v>289.04696184244472</v>
      </c>
      <c r="AQ934">
        <v>39.369214526160107</v>
      </c>
      <c r="AR934">
        <v>5.9350557977331597</v>
      </c>
      <c r="AS934">
        <v>76.390413010739408</v>
      </c>
      <c r="AT934" t="e">
        <v>#DIV/0!</v>
      </c>
      <c r="AU934" t="e">
        <v>#DIV/0!</v>
      </c>
      <c r="AV934"/>
      <c r="AW934"/>
      <c r="FY934" s="213">
        <v>929</v>
      </c>
      <c r="FZ934">
        <v>0</v>
      </c>
      <c r="GA934">
        <v>19.85860159190111</v>
      </c>
      <c r="GB934">
        <v>9.8280716046010905</v>
      </c>
      <c r="GC934">
        <v>0.79049980333886993</v>
      </c>
      <c r="GD934">
        <v>1.459688287834731</v>
      </c>
      <c r="GE934">
        <v>1.7251969631578217</v>
      </c>
      <c r="GF934">
        <v>0</v>
      </c>
      <c r="GG934">
        <v>2.1849870012718453</v>
      </c>
      <c r="GH934">
        <v>3.1039612728129642</v>
      </c>
      <c r="GI934">
        <v>3.8449689605086572</v>
      </c>
      <c r="GJ934"/>
      <c r="GK934"/>
      <c r="GL934"/>
      <c r="GM934"/>
      <c r="GN934" s="208"/>
      <c r="GO934" s="208"/>
      <c r="GP934" s="208"/>
      <c r="GQ934" s="208"/>
      <c r="GR934" s="208"/>
      <c r="GS934" s="208"/>
      <c r="GT934" s="208"/>
      <c r="GU934" s="213">
        <v>929</v>
      </c>
    </row>
    <row r="935" spans="1:203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32.891540093048704</v>
      </c>
      <c r="AO935">
        <v>8.4482997701585383</v>
      </c>
      <c r="AP935">
        <v>223.47526495605456</v>
      </c>
      <c r="AQ935">
        <v>56.192253893809806</v>
      </c>
      <c r="AR935">
        <v>7.7345437891853361</v>
      </c>
      <c r="AS935">
        <v>96.891846671115843</v>
      </c>
      <c r="AT935" t="e">
        <v>#DIV/0!</v>
      </c>
      <c r="AU935" t="e">
        <v>#DIV/0!</v>
      </c>
      <c r="AV935"/>
      <c r="AW935"/>
      <c r="FY935" s="213">
        <v>930</v>
      </c>
      <c r="FZ935">
        <v>0.58716112056924263</v>
      </c>
      <c r="GA935">
        <v>14.205176513415495</v>
      </c>
      <c r="GB935">
        <v>6.9152670364600066</v>
      </c>
      <c r="GC935">
        <v>1.4778593518102259</v>
      </c>
      <c r="GD935">
        <v>1.8544091665537736</v>
      </c>
      <c r="GE935">
        <v>1.7504414040591776</v>
      </c>
      <c r="GF935">
        <v>0.47734812494006024</v>
      </c>
      <c r="GG935">
        <v>4.1834345599867726</v>
      </c>
      <c r="GH935">
        <v>5.8457447469767168</v>
      </c>
      <c r="GI935">
        <v>4.0488058480974862</v>
      </c>
      <c r="GJ935"/>
      <c r="GK935"/>
      <c r="GL935"/>
      <c r="GM935"/>
      <c r="GN935" s="208"/>
      <c r="GO935" s="208"/>
      <c r="GP935" s="208"/>
      <c r="GQ935" s="208"/>
      <c r="GR935" s="208"/>
      <c r="GS935" s="208"/>
      <c r="GT935" s="208"/>
      <c r="GU935" s="213">
        <v>930</v>
      </c>
    </row>
    <row r="936" spans="1:203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17.148845381526101</v>
      </c>
      <c r="AO936">
        <v>6.096541440202321</v>
      </c>
      <c r="AP936">
        <v>102.06891689764254</v>
      </c>
      <c r="AQ936">
        <v>42.851142655325496</v>
      </c>
      <c r="AR936">
        <v>5.5423104001839265</v>
      </c>
      <c r="AS936">
        <v>61.710276402008489</v>
      </c>
      <c r="AT936" t="e">
        <v>#DIV/0!</v>
      </c>
      <c r="AU936" t="e">
        <v>#DIV/0!</v>
      </c>
      <c r="AV936"/>
      <c r="AW936"/>
      <c r="FY936" s="213">
        <v>931</v>
      </c>
      <c r="FZ936">
        <v>0</v>
      </c>
      <c r="GA936">
        <v>13.185039567793028</v>
      </c>
      <c r="GB936">
        <v>6.6331298251943593</v>
      </c>
      <c r="GC936">
        <v>1.2527762457071427</v>
      </c>
      <c r="GD936">
        <v>1.6328018332557497</v>
      </c>
      <c r="GE936">
        <v>1.940778950138601</v>
      </c>
      <c r="GF936">
        <v>0.95469624988012047</v>
      </c>
      <c r="GG936">
        <v>3.7581495871366699</v>
      </c>
      <c r="GH936">
        <v>5.3997773148724022</v>
      </c>
      <c r="GI936">
        <v>3.675524589497559</v>
      </c>
      <c r="GJ936"/>
      <c r="GK936"/>
      <c r="GL936"/>
      <c r="GM936"/>
      <c r="GN936" s="208"/>
      <c r="GO936" s="208"/>
      <c r="GP936" s="208"/>
      <c r="GQ936" s="208"/>
      <c r="GR936" s="208"/>
      <c r="GS936" s="208"/>
      <c r="GT936" s="208"/>
      <c r="GU936" s="213">
        <v>931</v>
      </c>
    </row>
    <row r="937" spans="1:203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42.622776821571996</v>
      </c>
      <c r="AO937">
        <v>9.5074790534103606</v>
      </c>
      <c r="AP937">
        <v>272.95040733297662</v>
      </c>
      <c r="AQ937">
        <v>54.771308691776689</v>
      </c>
      <c r="AR937">
        <v>8.697434046686995</v>
      </c>
      <c r="AS937">
        <v>112.537842583653</v>
      </c>
      <c r="AT937" t="e">
        <v>#DIV/0!</v>
      </c>
      <c r="AU937" t="e">
        <v>#DIV/0!</v>
      </c>
      <c r="AV937"/>
      <c r="AW937"/>
      <c r="FY937" s="213">
        <v>932</v>
      </c>
      <c r="FZ937">
        <v>2.1834373233262436</v>
      </c>
      <c r="GA937">
        <v>21.621661016439798</v>
      </c>
      <c r="GB937">
        <v>9.9588094342654792</v>
      </c>
      <c r="GC937">
        <v>1.9401357941784985</v>
      </c>
      <c r="GD937">
        <v>3.5776387656515083</v>
      </c>
      <c r="GE937">
        <v>4.5201721699635602</v>
      </c>
      <c r="GF937">
        <v>0.47734812494006024</v>
      </c>
      <c r="GG937">
        <v>5.405413337114739</v>
      </c>
      <c r="GH937">
        <v>7.345672950491462</v>
      </c>
      <c r="GI937">
        <v>6.1888729115486205</v>
      </c>
      <c r="GJ937"/>
      <c r="GK937"/>
      <c r="GL937"/>
      <c r="GM937"/>
      <c r="GN937" s="208"/>
      <c r="GO937" s="208"/>
      <c r="GP937" s="208"/>
      <c r="GQ937" s="208"/>
      <c r="GR937" s="208"/>
      <c r="GS937" s="208"/>
      <c r="GT937" s="208"/>
      <c r="GU937" s="213">
        <v>932</v>
      </c>
    </row>
    <row r="938" spans="1:203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28.283576630001125</v>
      </c>
      <c r="AO938">
        <v>5.7153698688948964</v>
      </c>
      <c r="AP938">
        <v>191.9146999164156</v>
      </c>
      <c r="AQ938">
        <v>39.712998211044152</v>
      </c>
      <c r="AR938">
        <v>5.1957907899044509</v>
      </c>
      <c r="AS938">
        <v>68.477983067562079</v>
      </c>
      <c r="AT938" t="e">
        <v>#DIV/0!</v>
      </c>
      <c r="AU938" t="e">
        <v>#DIV/0!</v>
      </c>
      <c r="AV938"/>
      <c r="AW938"/>
      <c r="FY938" s="213">
        <v>933</v>
      </c>
      <c r="FZ938">
        <v>1.1743222411384853</v>
      </c>
      <c r="GA938">
        <v>16.569354722921862</v>
      </c>
      <c r="GB938">
        <v>8.3912959379079197</v>
      </c>
      <c r="GC938">
        <v>1.2527762457071427</v>
      </c>
      <c r="GD938">
        <v>2.0562246359108403</v>
      </c>
      <c r="GE938">
        <v>2.5099068834716127</v>
      </c>
      <c r="GF938">
        <v>0.47734812494006024</v>
      </c>
      <c r="GG938">
        <v>3.4648713879457071</v>
      </c>
      <c r="GH938">
        <v>4.8970170936990343</v>
      </c>
      <c r="GI938">
        <v>4.3917830368665092</v>
      </c>
      <c r="GJ938"/>
      <c r="GK938"/>
      <c r="GL938"/>
      <c r="GM938"/>
      <c r="GN938" s="208"/>
      <c r="GO938" s="208"/>
      <c r="GP938" s="208"/>
      <c r="GQ938" s="208"/>
      <c r="GR938" s="208"/>
      <c r="GS938" s="208"/>
      <c r="GT938" s="208"/>
      <c r="GU938" s="213">
        <v>933</v>
      </c>
    </row>
    <row r="939" spans="1:203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31.176366179001725</v>
      </c>
      <c r="AO939">
        <v>7.5261064719349466</v>
      </c>
      <c r="AP939">
        <v>104.74697464884638</v>
      </c>
      <c r="AQ939">
        <v>50.177885330718695</v>
      </c>
      <c r="AR939">
        <v>7.0047287870644972</v>
      </c>
      <c r="AS939">
        <v>85.137497251045858</v>
      </c>
      <c r="AT939" t="e">
        <v>#DIV/0!</v>
      </c>
      <c r="AU939" t="e">
        <v>#DIV/0!</v>
      </c>
      <c r="AV939"/>
      <c r="AW939"/>
      <c r="FY939" s="213">
        <v>934</v>
      </c>
      <c r="FZ939">
        <v>1.596276202757001</v>
      </c>
      <c r="GA939">
        <v>18.478566757127112</v>
      </c>
      <c r="GB939">
        <v>8.36648808317101</v>
      </c>
      <c r="GC939">
        <v>0.59776169161802395</v>
      </c>
      <c r="GD939">
        <v>1.1442055428394724</v>
      </c>
      <c r="GE939">
        <v>1.3899874070050173</v>
      </c>
      <c r="GF939">
        <v>0</v>
      </c>
      <c r="GG939">
        <v>1.8917088020808825</v>
      </c>
      <c r="GH939">
        <v>2.6012010516395971</v>
      </c>
      <c r="GI939">
        <v>3.4567933653642275</v>
      </c>
      <c r="GJ939"/>
      <c r="GK939"/>
      <c r="GL939"/>
      <c r="GM939"/>
      <c r="GN939" s="208"/>
      <c r="GO939" s="208"/>
      <c r="GP939" s="208"/>
      <c r="GQ939" s="208"/>
      <c r="GR939" s="208"/>
      <c r="GS939" s="208"/>
      <c r="GT939" s="208"/>
      <c r="GU939" s="213">
        <v>934</v>
      </c>
    </row>
    <row r="940" spans="1:203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29.174860154905339</v>
      </c>
      <c r="AO940">
        <v>6.2651531903296638</v>
      </c>
      <c r="AP940">
        <v>160.85426886204681</v>
      </c>
      <c r="AQ940">
        <v>42.975943788151262</v>
      </c>
      <c r="AR940">
        <v>5.8041363511093902</v>
      </c>
      <c r="AS940">
        <v>89.241261669204661</v>
      </c>
      <c r="AT940" t="e">
        <v>#DIV/0!</v>
      </c>
      <c r="AU940" t="e">
        <v>#DIV/0!</v>
      </c>
      <c r="AV940"/>
      <c r="AW940"/>
      <c r="FY940" s="213">
        <v>935</v>
      </c>
      <c r="FZ940">
        <v>3.7797135260832437</v>
      </c>
      <c r="GA940">
        <v>19.223547673881601</v>
      </c>
      <c r="GB940">
        <v>7.6109518652203434</v>
      </c>
      <c r="GC940">
        <v>2.3384670078697281</v>
      </c>
      <c r="GD940">
        <v>2.7907170191110304</v>
      </c>
      <c r="GE940">
        <v>2.3065938165809086</v>
      </c>
      <c r="GF940">
        <v>0.47734812494006024</v>
      </c>
      <c r="GG940">
        <v>6.366751507572542</v>
      </c>
      <c r="GH940">
        <v>8.8333437617973747</v>
      </c>
      <c r="GI940">
        <v>5.696325605425919</v>
      </c>
      <c r="GJ940"/>
      <c r="GK940"/>
      <c r="GL940"/>
      <c r="GM940"/>
      <c r="GN940" s="208"/>
      <c r="GO940" s="208"/>
      <c r="GP940" s="208"/>
      <c r="GQ940" s="208"/>
      <c r="GR940" s="208"/>
      <c r="GS940" s="208"/>
      <c r="GT940" s="208"/>
      <c r="GU940" s="213">
        <v>935</v>
      </c>
    </row>
    <row r="941" spans="1:203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39.291837712096338</v>
      </c>
      <c r="AO941">
        <v>6.8153376613877699</v>
      </c>
      <c r="AP941">
        <v>167.7031898460159</v>
      </c>
      <c r="AQ941">
        <v>42.581148603157345</v>
      </c>
      <c r="AR941">
        <v>6.2500327812119139</v>
      </c>
      <c r="AS941">
        <v>103.57242693539833</v>
      </c>
      <c r="AT941" t="e">
        <v>#DIV/0!</v>
      </c>
      <c r="AU941" t="e">
        <v>#DIV/0!</v>
      </c>
      <c r="AV941"/>
      <c r="AW941"/>
      <c r="FY941" s="213">
        <v>936</v>
      </c>
      <c r="FZ941">
        <v>1.596276202757001</v>
      </c>
      <c r="GA941">
        <v>14.078905727005326</v>
      </c>
      <c r="GB941">
        <v>6.1807546603161958</v>
      </c>
      <c r="GC941">
        <v>1.9071033920316176</v>
      </c>
      <c r="GD941">
        <v>2.4595989933070208</v>
      </c>
      <c r="GE941">
        <v>2.01391084182365</v>
      </c>
      <c r="GF941">
        <v>0</v>
      </c>
      <c r="GG941">
        <v>5.088537174584757</v>
      </c>
      <c r="GH941">
        <v>7.15665019890361</v>
      </c>
      <c r="GI941">
        <v>4.4040037479335243</v>
      </c>
      <c r="GJ941"/>
      <c r="GK941"/>
      <c r="GL941"/>
      <c r="GM941"/>
      <c r="GN941" s="208"/>
      <c r="GO941" s="208"/>
      <c r="GP941" s="208"/>
      <c r="GQ941" s="208"/>
      <c r="GR941" s="208"/>
      <c r="GS941" s="208"/>
      <c r="GT941" s="208"/>
      <c r="GU941" s="213">
        <v>936</v>
      </c>
    </row>
    <row r="942" spans="1:203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33.994236593335572</v>
      </c>
      <c r="AO942">
        <v>7.9752777326968793</v>
      </c>
      <c r="AP942">
        <v>174.5670229844408</v>
      </c>
      <c r="AQ942">
        <v>52.211265574291588</v>
      </c>
      <c r="AR942">
        <v>7.2502524842698888</v>
      </c>
      <c r="AS942">
        <v>93.719312411908177</v>
      </c>
      <c r="AT942" t="e">
        <v>#DIV/0!</v>
      </c>
      <c r="AU942" t="e">
        <v>#DIV/0!</v>
      </c>
      <c r="AV942"/>
      <c r="AW942"/>
      <c r="FY942" s="213">
        <v>937</v>
      </c>
      <c r="FZ942">
        <v>2.7705984438954863</v>
      </c>
      <c r="GA942">
        <v>21.057280086969236</v>
      </c>
      <c r="GB942">
        <v>9.3516879565532474</v>
      </c>
      <c r="GC942">
        <v>1.0721483641484035</v>
      </c>
      <c r="GD942">
        <v>2.3425842891317066</v>
      </c>
      <c r="GE942">
        <v>3.0819877542468719</v>
      </c>
      <c r="GF942">
        <v>0</v>
      </c>
      <c r="GG942">
        <v>9.0079910205292144</v>
      </c>
      <c r="GH942">
        <v>12.757413037686881</v>
      </c>
      <c r="GI942">
        <v>6.3827677238842107</v>
      </c>
      <c r="GJ942"/>
      <c r="GK942"/>
      <c r="GL942"/>
      <c r="GM942"/>
      <c r="GN942" s="208"/>
      <c r="GO942" s="208"/>
      <c r="GP942" s="208"/>
      <c r="GQ942" s="208"/>
      <c r="GR942" s="208"/>
      <c r="GS942" s="208"/>
      <c r="GT942" s="208"/>
      <c r="GU942" s="213">
        <v>937</v>
      </c>
    </row>
    <row r="943" spans="1:203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30.238113166953525</v>
      </c>
      <c r="AO943">
        <v>6.2644110783146711</v>
      </c>
      <c r="AP943">
        <v>250.99495928478711</v>
      </c>
      <c r="AQ943">
        <v>37.121743075751667</v>
      </c>
      <c r="AR943">
        <v>5.7491904329636423</v>
      </c>
      <c r="AS943">
        <v>83.076918389359051</v>
      </c>
      <c r="AT943" t="e">
        <v>#DIV/0!</v>
      </c>
      <c r="AU943" t="e">
        <v>#DIV/0!</v>
      </c>
      <c r="AV943"/>
      <c r="AW943"/>
      <c r="FY943" s="213">
        <v>938</v>
      </c>
      <c r="FZ943">
        <v>2.7705984438954863</v>
      </c>
      <c r="GA943">
        <v>12.809526613634143</v>
      </c>
      <c r="GB943">
        <v>5.4471050532408984</v>
      </c>
      <c r="GC943">
        <v>0.75746740119198852</v>
      </c>
      <c r="GD943">
        <v>1.2422090971588167</v>
      </c>
      <c r="GE943">
        <v>1.6281984210363838</v>
      </c>
      <c r="GF943">
        <v>0.47734812494006024</v>
      </c>
      <c r="GG943">
        <v>4.4767127591777358</v>
      </c>
      <c r="GH943">
        <v>6.3485049681500838</v>
      </c>
      <c r="GI943">
        <v>3.6339983379776575</v>
      </c>
      <c r="GJ943"/>
      <c r="GK943"/>
      <c r="GL943"/>
      <c r="GM943"/>
      <c r="GN943" s="208"/>
      <c r="GO943" s="208"/>
      <c r="GP943" s="208"/>
      <c r="GQ943" s="208"/>
      <c r="GR943" s="208"/>
      <c r="GS943" s="208"/>
      <c r="GT943" s="208"/>
      <c r="GU943" s="213">
        <v>938</v>
      </c>
    </row>
    <row r="944" spans="1:203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28.456930760810071</v>
      </c>
      <c r="AO944">
        <v>6.6047203279795728</v>
      </c>
      <c r="AP944">
        <v>187.12125267699372</v>
      </c>
      <c r="AQ944">
        <v>44.204672199077741</v>
      </c>
      <c r="AR944">
        <v>6.0042912072541572</v>
      </c>
      <c r="AS944">
        <v>67.178266867557028</v>
      </c>
      <c r="AT944" t="e">
        <v>#DIV/0!</v>
      </c>
      <c r="AU944" t="e">
        <v>#DIV/0!</v>
      </c>
      <c r="AV944"/>
      <c r="AW944"/>
      <c r="FY944" s="213">
        <v>939</v>
      </c>
      <c r="FZ944">
        <v>2.7705984438954863</v>
      </c>
      <c r="GA944">
        <v>18.15957576231359</v>
      </c>
      <c r="GB944">
        <v>8.0209056622888362</v>
      </c>
      <c r="GC944">
        <v>2.4981727174436923</v>
      </c>
      <c r="GD944">
        <v>4.0649332312931614</v>
      </c>
      <c r="GE944">
        <v>4.6424151529863549</v>
      </c>
      <c r="GF944">
        <v>0.47734812494006024</v>
      </c>
      <c r="GG944">
        <v>8.1517215530193798</v>
      </c>
      <c r="GH944">
        <v>11.293962390912817</v>
      </c>
      <c r="GI944">
        <v>6.8381968570462863</v>
      </c>
      <c r="GJ944"/>
      <c r="GK944"/>
      <c r="GL944"/>
      <c r="GM944"/>
      <c r="GN944" s="208"/>
      <c r="GO944" s="208"/>
      <c r="GP944" s="208"/>
      <c r="GQ944" s="208"/>
      <c r="GR944" s="208"/>
      <c r="GS944" s="208"/>
      <c r="GT944" s="208"/>
      <c r="GU944" s="213">
        <v>939</v>
      </c>
    </row>
    <row r="945" spans="1:203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25.952466475095786</v>
      </c>
      <c r="AO945">
        <v>6.0284458000958692</v>
      </c>
      <c r="AP945">
        <v>309.97216513307308</v>
      </c>
      <c r="AQ945">
        <v>42.795975485427093</v>
      </c>
      <c r="AR945">
        <v>5.4804052728144264</v>
      </c>
      <c r="AS945">
        <v>91.582058013055786</v>
      </c>
      <c r="AT945" t="e">
        <v>#DIV/0!</v>
      </c>
      <c r="AU945" t="e">
        <v>#DIV/0!</v>
      </c>
      <c r="AV945"/>
      <c r="AW945"/>
      <c r="FY945" s="213">
        <v>940</v>
      </c>
      <c r="FZ945">
        <v>2.1834373233262436</v>
      </c>
      <c r="GA945">
        <v>9.7941671765353959</v>
      </c>
      <c r="GB945">
        <v>3.8263186294820364</v>
      </c>
      <c r="GC945">
        <v>2.6788005990024315</v>
      </c>
      <c r="GD945">
        <v>4.6368446991084902</v>
      </c>
      <c r="GE945">
        <v>5.5241236154215834</v>
      </c>
      <c r="GF945">
        <v>0.47734812494006024</v>
      </c>
      <c r="GG945">
        <v>6.4751603178926631</v>
      </c>
      <c r="GH945">
        <v>9.0902884423138346</v>
      </c>
      <c r="GI945">
        <v>5.7429385923241023</v>
      </c>
      <c r="GJ945"/>
      <c r="GK945"/>
      <c r="GL945"/>
      <c r="GM945"/>
      <c r="GN945" s="208"/>
      <c r="GO945" s="208"/>
      <c r="GP945" s="208"/>
      <c r="GQ945" s="208"/>
      <c r="GR945" s="208"/>
      <c r="GS945" s="208"/>
      <c r="GT945" s="208"/>
      <c r="GU945" s="213">
        <v>940</v>
      </c>
    </row>
    <row r="946" spans="1:203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24.909329642049311</v>
      </c>
      <c r="AO946">
        <v>6.4025496214221533</v>
      </c>
      <c r="AP946">
        <v>332.47262687562494</v>
      </c>
      <c r="AQ946">
        <v>41.345647872868952</v>
      </c>
      <c r="AR946">
        <v>5.8747709266977139</v>
      </c>
      <c r="AS946">
        <v>66.996576281839893</v>
      </c>
      <c r="AT946" t="e">
        <v>#DIV/0!</v>
      </c>
      <c r="AU946" t="e">
        <v>#DIV/0!</v>
      </c>
      <c r="AV946"/>
      <c r="AW946"/>
      <c r="FY946" s="213">
        <v>941</v>
      </c>
      <c r="FZ946">
        <v>2.3486444822769705</v>
      </c>
      <c r="GA946">
        <v>11.512977109971169</v>
      </c>
      <c r="GB946">
        <v>5.7357573287942873</v>
      </c>
      <c r="GC946">
        <v>1.7359748600601903</v>
      </c>
      <c r="GD946">
        <v>1.9271114074247229</v>
      </c>
      <c r="GE946">
        <v>1.2036189570170248</v>
      </c>
      <c r="GF946">
        <v>0</v>
      </c>
      <c r="GG946">
        <v>6.0734733083815797</v>
      </c>
      <c r="GH946">
        <v>8.3305835406240085</v>
      </c>
      <c r="GI946">
        <v>4.3023808625077358</v>
      </c>
      <c r="GJ946"/>
      <c r="GK946"/>
      <c r="GL946"/>
      <c r="GM946"/>
      <c r="GN946" s="208"/>
      <c r="GO946" s="208"/>
      <c r="GP946" s="208"/>
      <c r="GQ946" s="208"/>
      <c r="GR946" s="208"/>
      <c r="GS946" s="208"/>
      <c r="GT946" s="208"/>
      <c r="GU946" s="213">
        <v>941</v>
      </c>
    </row>
    <row r="947" spans="1:203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28.129549808429118</v>
      </c>
      <c r="AO947">
        <v>5.7862320665064946</v>
      </c>
      <c r="AP947">
        <v>297.31993623889593</v>
      </c>
      <c r="AQ947">
        <v>38.432674163475632</v>
      </c>
      <c r="AR947">
        <v>5.2602109695513581</v>
      </c>
      <c r="AS947">
        <v>70.764202397728056</v>
      </c>
      <c r="AT947" t="e">
        <v>#DIV/0!</v>
      </c>
      <c r="AU947" t="e">
        <v>#DIV/0!</v>
      </c>
      <c r="AV947"/>
      <c r="AW947"/>
      <c r="FY947" s="213">
        <v>942</v>
      </c>
      <c r="FZ947">
        <v>2.7705984438954863</v>
      </c>
      <c r="GA947">
        <v>20.542171759272584</v>
      </c>
      <c r="GB947">
        <v>9.3698539519998452</v>
      </c>
      <c r="GC947">
        <v>1.8883007956635618</v>
      </c>
      <c r="GD947">
        <v>2.886529802386228</v>
      </c>
      <c r="GE947">
        <v>2.9052728104981855</v>
      </c>
      <c r="GF947">
        <v>0</v>
      </c>
      <c r="GG947">
        <v>2.3967944608538589</v>
      </c>
      <c r="GH947">
        <v>3.2687638598689679</v>
      </c>
      <c r="GI947">
        <v>4.935033619645492</v>
      </c>
      <c r="GJ947"/>
      <c r="GK947"/>
      <c r="GL947"/>
      <c r="GM947"/>
      <c r="GN947" s="208"/>
      <c r="GO947" s="208"/>
      <c r="GP947" s="208"/>
      <c r="GQ947" s="208"/>
      <c r="GR947" s="208"/>
      <c r="GS947" s="208"/>
      <c r="GT947" s="208"/>
      <c r="GU947" s="213">
        <v>942</v>
      </c>
    </row>
    <row r="948" spans="1:203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47.271089901477822</v>
      </c>
      <c r="AO948">
        <v>9.4144139009074443</v>
      </c>
      <c r="AP948">
        <v>205.40969798788061</v>
      </c>
      <c r="AQ948">
        <v>63.219161827919962</v>
      </c>
      <c r="AR948">
        <v>8.612829362593434</v>
      </c>
      <c r="AS948">
        <v>132.015133350089</v>
      </c>
      <c r="AT948" t="e">
        <v>#DIV/0!</v>
      </c>
      <c r="AU948" t="e">
        <v>#DIV/0!</v>
      </c>
      <c r="AV948"/>
      <c r="AW948"/>
      <c r="FY948" s="213">
        <v>943</v>
      </c>
      <c r="FZ948">
        <v>3.3577595644647293</v>
      </c>
      <c r="GA948">
        <v>19.862868350150155</v>
      </c>
      <c r="GB948">
        <v>8.9314350822669581</v>
      </c>
      <c r="GC948">
        <v>1.3228840984277752</v>
      </c>
      <c r="GD948">
        <v>2.8528276204425347</v>
      </c>
      <c r="GE948">
        <v>4.0221372734994247</v>
      </c>
      <c r="GF948">
        <v>0.47734812494006024</v>
      </c>
      <c r="GG948">
        <v>1.8917088020808825</v>
      </c>
      <c r="GH948">
        <v>2.6012010516395971</v>
      </c>
      <c r="GI948">
        <v>5.0932031854810695</v>
      </c>
      <c r="GJ948"/>
      <c r="GK948"/>
      <c r="GL948"/>
      <c r="GM948"/>
      <c r="GN948" s="208"/>
      <c r="GO948" s="208"/>
      <c r="GP948" s="208"/>
      <c r="GQ948" s="208"/>
      <c r="GR948" s="208"/>
      <c r="GS948" s="208"/>
      <c r="GT948" s="208"/>
      <c r="GU948" s="213">
        <v>943</v>
      </c>
    </row>
    <row r="949" spans="1:203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28.667419678714857</v>
      </c>
      <c r="AO949">
        <v>6.69745500508383</v>
      </c>
      <c r="AP949">
        <v>328.34316150835457</v>
      </c>
      <c r="AQ949">
        <v>45.184900310509171</v>
      </c>
      <c r="AR949">
        <v>6.1971380008859045</v>
      </c>
      <c r="AS949">
        <v>76.349734415825125</v>
      </c>
      <c r="AT949" t="e">
        <v>#DIV/0!</v>
      </c>
      <c r="AU949" t="e">
        <v>#DIV/0!</v>
      </c>
      <c r="AV949"/>
      <c r="AW949"/>
      <c r="FY949" s="213">
        <v>944</v>
      </c>
      <c r="FZ949">
        <v>1.596276202757001</v>
      </c>
      <c r="GA949">
        <v>19.735133527936217</v>
      </c>
      <c r="GB949">
        <v>8.9599001549313506</v>
      </c>
      <c r="GC949">
        <v>1.8883007956635618</v>
      </c>
      <c r="GD949">
        <v>2.7957975954774512</v>
      </c>
      <c r="GE949">
        <v>3.0181858280414011</v>
      </c>
      <c r="GF949">
        <v>0.47734812494006024</v>
      </c>
      <c r="GG949">
        <v>7.646635894246403</v>
      </c>
      <c r="GH949">
        <v>10.626399582683446</v>
      </c>
      <c r="GI949">
        <v>5.9646983888641456</v>
      </c>
      <c r="GJ949"/>
      <c r="GK949"/>
      <c r="GL949"/>
      <c r="GM949"/>
      <c r="GN949" s="208"/>
      <c r="GO949" s="208"/>
      <c r="GP949" s="208"/>
      <c r="GQ949" s="208"/>
      <c r="GR949" s="208"/>
      <c r="GS949" s="208"/>
      <c r="GT949" s="208"/>
      <c r="GU949" s="213">
        <v>944</v>
      </c>
    </row>
    <row r="950" spans="1:203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17.898074440619617</v>
      </c>
      <c r="AO950">
        <v>5.3304854736981007</v>
      </c>
      <c r="AP950">
        <v>90.656505992555196</v>
      </c>
      <c r="AQ950">
        <v>39.522988903602347</v>
      </c>
      <c r="AR950">
        <v>4.8458958851800915</v>
      </c>
      <c r="AS950">
        <v>52.429720080557239</v>
      </c>
      <c r="AT950" t="e">
        <v>#DIV/0!</v>
      </c>
      <c r="AU950" t="e">
        <v>#DIV/0!</v>
      </c>
      <c r="AV950"/>
      <c r="AW950"/>
      <c r="FY950" s="213">
        <v>945</v>
      </c>
      <c r="FZ950">
        <v>1.1743222411384853</v>
      </c>
      <c r="GA950">
        <v>12.606409889710726</v>
      </c>
      <c r="GB950">
        <v>6.2487832544299993</v>
      </c>
      <c r="GC950">
        <v>2.0432760490460127</v>
      </c>
      <c r="GD950">
        <v>3.1807798403675762</v>
      </c>
      <c r="GE950">
        <v>3.2720017595665674</v>
      </c>
      <c r="GF950">
        <v>0</v>
      </c>
      <c r="GG950">
        <v>0.82530192867511065</v>
      </c>
      <c r="GH950">
        <v>1.0893100758018361</v>
      </c>
      <c r="GI950">
        <v>3.9363379300144503</v>
      </c>
      <c r="GJ950"/>
      <c r="GK950"/>
      <c r="GL950"/>
      <c r="GM950"/>
      <c r="GN950" s="208"/>
      <c r="GO950" s="208"/>
      <c r="GP950" s="208"/>
      <c r="GQ950" s="208"/>
      <c r="GR950" s="208"/>
      <c r="GS950" s="208"/>
      <c r="GT950" s="208"/>
      <c r="GU950" s="213">
        <v>945</v>
      </c>
    </row>
    <row r="951" spans="1:203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36.148980569239185</v>
      </c>
      <c r="AO951">
        <v>8.9079081282000274</v>
      </c>
      <c r="AP951">
        <v>244.27846289946865</v>
      </c>
      <c r="AQ951">
        <v>59.423759908482751</v>
      </c>
      <c r="AR951">
        <v>8.1523695692230547</v>
      </c>
      <c r="AS951">
        <v>97.271832086811798</v>
      </c>
      <c r="AT951" t="e">
        <v>#DIV/0!</v>
      </c>
      <c r="AU951" t="e">
        <v>#DIV/0!</v>
      </c>
      <c r="AV951"/>
      <c r="AW951"/>
      <c r="FY951" s="213">
        <v>946</v>
      </c>
      <c r="FZ951">
        <v>0.58716112056924263</v>
      </c>
      <c r="GA951">
        <v>13.371077190905318</v>
      </c>
      <c r="GB951">
        <v>6.5878506110244324</v>
      </c>
      <c r="GC951">
        <v>1.4778593518102259</v>
      </c>
      <c r="GD951">
        <v>2.8133104021128057</v>
      </c>
      <c r="GE951">
        <v>3.6965812235859268</v>
      </c>
      <c r="GF951">
        <v>0.47734812494006024</v>
      </c>
      <c r="GG951">
        <v>2.9035501733129117</v>
      </c>
      <c r="GH951">
        <v>4.0526889260906458</v>
      </c>
      <c r="GI951">
        <v>4.2605975808120169</v>
      </c>
      <c r="GJ951"/>
      <c r="GK951"/>
      <c r="GL951"/>
      <c r="GM951"/>
      <c r="GN951" s="208"/>
      <c r="GO951" s="208"/>
      <c r="GP951" s="208"/>
      <c r="GQ951" s="208"/>
      <c r="GR951" s="208"/>
      <c r="GS951" s="208"/>
      <c r="GT951" s="208"/>
      <c r="GU951" s="213">
        <v>946</v>
      </c>
    </row>
    <row r="952" spans="1:203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35.026307199240314</v>
      </c>
      <c r="AO952">
        <v>6.8787971036091093</v>
      </c>
      <c r="AP952">
        <v>212.60420676633078</v>
      </c>
      <c r="AQ952">
        <v>44.885740938662707</v>
      </c>
      <c r="AR952">
        <v>6.2534519123719186</v>
      </c>
      <c r="AS952">
        <v>92.332573507146535</v>
      </c>
      <c r="AT952" t="e">
        <v>#DIV/0!</v>
      </c>
      <c r="AU952" t="e">
        <v>#DIV/0!</v>
      </c>
      <c r="AV952"/>
      <c r="AW952"/>
      <c r="FY952" s="213">
        <v>947</v>
      </c>
      <c r="FZ952">
        <v>1.596276202757001</v>
      </c>
      <c r="GA952">
        <v>13.053550231895564</v>
      </c>
      <c r="GB952">
        <v>5.4792907413340588</v>
      </c>
      <c r="GC952">
        <v>0.53503361286798445</v>
      </c>
      <c r="GD952">
        <v>2.4547002918162537</v>
      </c>
      <c r="GE952">
        <v>4.7354306161846118</v>
      </c>
      <c r="GF952">
        <v>0.95469624988012047</v>
      </c>
      <c r="GG952">
        <v>2.2917257579058905</v>
      </c>
      <c r="GH952">
        <v>3.2445436953371196</v>
      </c>
      <c r="GI952">
        <v>3.961581552055522</v>
      </c>
      <c r="GJ952"/>
      <c r="GK952"/>
      <c r="GL952"/>
      <c r="GM952"/>
      <c r="GN952" s="208"/>
      <c r="GO952" s="208"/>
      <c r="GP952" s="208"/>
      <c r="GQ952" s="208"/>
      <c r="GR952" s="208"/>
      <c r="GS952" s="208"/>
      <c r="GT952" s="208"/>
      <c r="GU952" s="213">
        <v>947</v>
      </c>
    </row>
    <row r="953" spans="1:203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26.939826630001125</v>
      </c>
      <c r="AO953">
        <v>10.221942248817374</v>
      </c>
      <c r="AP953">
        <v>277.609632685647</v>
      </c>
      <c r="AQ953">
        <v>67.824458677045257</v>
      </c>
      <c r="AR953">
        <v>9.4012173133709442</v>
      </c>
      <c r="AS953">
        <v>98.266545132322491</v>
      </c>
      <c r="AT953" t="e">
        <v>#DIV/0!</v>
      </c>
      <c r="AU953" t="e">
        <v>#DIV/0!</v>
      </c>
      <c r="AV953"/>
      <c r="AW953"/>
      <c r="FY953" s="213">
        <v>948</v>
      </c>
      <c r="FZ953">
        <v>1.596276202757001</v>
      </c>
      <c r="GA953">
        <v>18.924243063508179</v>
      </c>
      <c r="GB953">
        <v>8.3599730188832684</v>
      </c>
      <c r="GC953">
        <v>2.8263960784142892</v>
      </c>
      <c r="GD953">
        <v>2.85769069093804</v>
      </c>
      <c r="GE953">
        <v>1.6826703817622763</v>
      </c>
      <c r="GF953">
        <v>0.47734812494006024</v>
      </c>
      <c r="GG953">
        <v>6.5785589671545566</v>
      </c>
      <c r="GH953">
        <v>8.9981463488533784</v>
      </c>
      <c r="GI953">
        <v>5.6261617013782725</v>
      </c>
      <c r="GJ953"/>
      <c r="GK953"/>
      <c r="GL953"/>
      <c r="GM953"/>
      <c r="GN953" s="208"/>
      <c r="GO953" s="208"/>
      <c r="GP953" s="208"/>
      <c r="GQ953" s="208"/>
      <c r="GR953" s="208"/>
      <c r="GS953" s="208"/>
      <c r="GT953" s="208"/>
      <c r="GU953" s="213">
        <v>948</v>
      </c>
    </row>
    <row r="954" spans="1:203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23.837233581287382</v>
      </c>
      <c r="AO954">
        <v>5.6338512085648054</v>
      </c>
      <c r="AP954">
        <v>142.00881763373312</v>
      </c>
      <c r="AQ954">
        <v>39.591669220403254</v>
      </c>
      <c r="AR954">
        <v>5.2302254585958821</v>
      </c>
      <c r="AS954">
        <v>68.246725567859613</v>
      </c>
      <c r="AT954" t="e">
        <v>#DIV/0!</v>
      </c>
      <c r="AU954" t="e">
        <v>#DIV/0!</v>
      </c>
      <c r="AV954"/>
      <c r="AW954"/>
      <c r="FY954" s="213">
        <v>949</v>
      </c>
      <c r="FZ954">
        <v>2.7705984438954863</v>
      </c>
      <c r="GA954">
        <v>17.899937079044815</v>
      </c>
      <c r="GB954">
        <v>7.9821415124066508</v>
      </c>
      <c r="GC954">
        <v>1.6254548312220838</v>
      </c>
      <c r="GD954">
        <v>2.4015058994631602</v>
      </c>
      <c r="GE954">
        <v>2.921187285919963</v>
      </c>
      <c r="GF954">
        <v>0.95469624988012047</v>
      </c>
      <c r="GG954">
        <v>3.22209638952897</v>
      </c>
      <c r="GH954">
        <v>4.3580739356708049</v>
      </c>
      <c r="GI954">
        <v>4.7528861226080634</v>
      </c>
      <c r="GJ954"/>
      <c r="GK954"/>
      <c r="GL954"/>
      <c r="GM954"/>
      <c r="GN954" s="208"/>
      <c r="GO954" s="208"/>
      <c r="GP954" s="208"/>
      <c r="GQ954" s="208"/>
      <c r="GR954" s="208"/>
      <c r="GS954" s="208"/>
      <c r="GT954" s="208"/>
      <c r="GU954" s="213">
        <v>949</v>
      </c>
    </row>
    <row r="955" spans="1:203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44.537373426382047</v>
      </c>
      <c r="AO955">
        <v>10.643118952661911</v>
      </c>
      <c r="AP955">
        <v>304.86945625696677</v>
      </c>
      <c r="AQ955">
        <v>66.917829896139665</v>
      </c>
      <c r="AR955">
        <v>9.7841052259568873</v>
      </c>
      <c r="AS955">
        <v>125.19771510961613</v>
      </c>
      <c r="AT955" t="e">
        <v>#DIV/0!</v>
      </c>
      <c r="AU955" t="e">
        <v>#DIV/0!</v>
      </c>
      <c r="AV955"/>
      <c r="AW955"/>
      <c r="FY955" s="213">
        <v>950</v>
      </c>
      <c r="FZ955">
        <v>1.1743222411384853</v>
      </c>
      <c r="GA955">
        <v>18.818680542430393</v>
      </c>
      <c r="GB955">
        <v>9.4436616363354471</v>
      </c>
      <c r="GC955">
        <v>1.426024353295289</v>
      </c>
      <c r="GD955">
        <v>3.0811026744065577</v>
      </c>
      <c r="GE955">
        <v>4.6131876331618171</v>
      </c>
      <c r="GF955">
        <v>0.95469624988012047</v>
      </c>
      <c r="GG955">
        <v>3.6221133453539771</v>
      </c>
      <c r="GH955">
        <v>5.0014165793683265</v>
      </c>
      <c r="GI955">
        <v>5.4321582949191187</v>
      </c>
      <c r="GJ955"/>
      <c r="GK955"/>
      <c r="GL955"/>
      <c r="GM955"/>
      <c r="GN955" s="208"/>
      <c r="GO955" s="208"/>
      <c r="GP955" s="208"/>
      <c r="GQ955" s="208"/>
      <c r="GR955" s="208"/>
      <c r="GS955" s="208"/>
      <c r="GT955" s="208"/>
      <c r="GU955" s="213">
        <v>950</v>
      </c>
    </row>
    <row r="956" spans="1:203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41.636358653002816</v>
      </c>
      <c r="AO956">
        <v>9.0759641420910491</v>
      </c>
      <c r="AP956">
        <v>284.71686871834959</v>
      </c>
      <c r="AQ956">
        <v>50.429427520346842</v>
      </c>
      <c r="AR956">
        <v>8.3051477636694351</v>
      </c>
      <c r="AS956">
        <v>102.01541469634236</v>
      </c>
      <c r="AT956" t="e">
        <v>#DIV/0!</v>
      </c>
      <c r="AU956" t="e">
        <v>#DIV/0!</v>
      </c>
      <c r="AV956"/>
      <c r="AW956"/>
      <c r="FY956" s="213">
        <v>951</v>
      </c>
      <c r="FZ956">
        <v>3.3577595644647293</v>
      </c>
      <c r="GA956">
        <v>18.445970310716785</v>
      </c>
      <c r="GB956">
        <v>8.123977790856058</v>
      </c>
      <c r="GC956">
        <v>1.1752886190159173</v>
      </c>
      <c r="GD956">
        <v>2.7146301050421116</v>
      </c>
      <c r="GE956">
        <v>3.6713367826845702</v>
      </c>
      <c r="GF956">
        <v>0</v>
      </c>
      <c r="GG956">
        <v>1.8917088020808825</v>
      </c>
      <c r="GH956">
        <v>2.6012010516395971</v>
      </c>
      <c r="GI956">
        <v>4.6198732606606958</v>
      </c>
      <c r="GJ956"/>
      <c r="GK956"/>
      <c r="GL956"/>
      <c r="GM956"/>
      <c r="GN956" s="208"/>
      <c r="GO956" s="208"/>
      <c r="GP956" s="208"/>
      <c r="GQ956" s="208"/>
      <c r="GR956" s="208"/>
      <c r="GS956" s="208"/>
      <c r="GT956" s="208"/>
      <c r="GU956" s="213">
        <v>951</v>
      </c>
    </row>
    <row r="957" spans="1:203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25.661552820477311</v>
      </c>
      <c r="AO957">
        <v>6.4750867065112363</v>
      </c>
      <c r="AP957">
        <v>333.3852013987555</v>
      </c>
      <c r="AQ957">
        <v>43.170521857057679</v>
      </c>
      <c r="AR957">
        <v>6.1035275439023335</v>
      </c>
      <c r="AS957">
        <v>73.455356261391628</v>
      </c>
      <c r="AT957" t="e">
        <v>#DIV/0!</v>
      </c>
      <c r="AU957" t="e">
        <v>#DIV/0!</v>
      </c>
      <c r="AV957"/>
      <c r="AW957"/>
      <c r="FY957" s="213">
        <v>952</v>
      </c>
      <c r="FZ957">
        <v>2.7705984438954863</v>
      </c>
      <c r="GA957">
        <v>16.658985373243066</v>
      </c>
      <c r="GB957">
        <v>7.3953079024353343</v>
      </c>
      <c r="GC957">
        <v>2.0432760490460127</v>
      </c>
      <c r="GD957">
        <v>3.0889709728940371</v>
      </c>
      <c r="GE957">
        <v>3.0819877542468719</v>
      </c>
      <c r="GF957">
        <v>0</v>
      </c>
      <c r="GG957">
        <v>1.7849700454468378</v>
      </c>
      <c r="GH957">
        <v>2.4606186291154417</v>
      </c>
      <c r="GI957">
        <v>4.557027447905373</v>
      </c>
      <c r="GJ957"/>
      <c r="GK957"/>
      <c r="GL957"/>
      <c r="GM957"/>
      <c r="GN957" s="208"/>
      <c r="GO957" s="208"/>
      <c r="GP957" s="208"/>
      <c r="GQ957" s="208"/>
      <c r="GR957" s="208"/>
      <c r="GS957" s="208"/>
      <c r="GT957" s="208"/>
      <c r="GU957" s="213">
        <v>952</v>
      </c>
    </row>
    <row r="958" spans="1:203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40.07746647509579</v>
      </c>
      <c r="AO958">
        <v>7.3976636482521574</v>
      </c>
      <c r="AP958">
        <v>117.08722530619875</v>
      </c>
      <c r="AQ958">
        <v>50.963319504084211</v>
      </c>
      <c r="AR958">
        <v>6.83369131285711</v>
      </c>
      <c r="AS958">
        <v>100.16322773246242</v>
      </c>
      <c r="AT958" t="e">
        <v>#DIV/0!</v>
      </c>
      <c r="AU958" t="e">
        <v>#DIV/0!</v>
      </c>
      <c r="AV958"/>
      <c r="AW958"/>
      <c r="FY958" s="213">
        <v>953</v>
      </c>
      <c r="FZ958">
        <v>3.192552405514002</v>
      </c>
      <c r="GA958">
        <v>20.159687043827532</v>
      </c>
      <c r="GB958">
        <v>8.2217939583613457</v>
      </c>
      <c r="GC958">
        <v>2.0358962750754199</v>
      </c>
      <c r="GD958">
        <v>2.8087180298212542</v>
      </c>
      <c r="GE958">
        <v>3.6965672407541765</v>
      </c>
      <c r="GF958">
        <v>1.9093924997602409</v>
      </c>
      <c r="GG958">
        <v>4.1834345599867726</v>
      </c>
      <c r="GH958">
        <v>5.8457447469767168</v>
      </c>
      <c r="GI958">
        <v>5.6060128346540363</v>
      </c>
      <c r="GJ958"/>
      <c r="GK958"/>
      <c r="GL958"/>
      <c r="GM958"/>
      <c r="GN958" s="208"/>
      <c r="GO958" s="208"/>
      <c r="GP958" s="208"/>
      <c r="GQ958" s="208"/>
      <c r="GR958" s="208"/>
      <c r="GS958" s="208"/>
      <c r="GT958" s="208"/>
      <c r="GU958" s="213">
        <v>953</v>
      </c>
    </row>
    <row r="959" spans="1:203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27.529026821572</v>
      </c>
      <c r="AO959">
        <v>7.7851100397722988</v>
      </c>
      <c r="AP959">
        <v>120.27372220295273</v>
      </c>
      <c r="AQ959">
        <v>50.413373153393181</v>
      </c>
      <c r="AR959">
        <v>7.2401865760075417</v>
      </c>
      <c r="AS959">
        <v>80.557267462824427</v>
      </c>
      <c r="AT959" t="e">
        <v>#DIV/0!</v>
      </c>
      <c r="AU959" t="e">
        <v>#DIV/0!</v>
      </c>
      <c r="AV959"/>
      <c r="AW959"/>
      <c r="FY959" s="213">
        <v>954</v>
      </c>
      <c r="FZ959">
        <v>1.596276202757001</v>
      </c>
      <c r="GA959">
        <v>15.300073328958822</v>
      </c>
      <c r="GB959">
        <v>6.6653155132875179</v>
      </c>
      <c r="GC959">
        <v>3.0771318126936613</v>
      </c>
      <c r="GD959">
        <v>3.3917298019914837</v>
      </c>
      <c r="GE959">
        <v>2.0816818641205512</v>
      </c>
      <c r="GF959">
        <v>0</v>
      </c>
      <c r="GG959">
        <v>2.9035501733129117</v>
      </c>
      <c r="GH959">
        <v>4.0526889260906458</v>
      </c>
      <c r="GI959">
        <v>4.5879806064368882</v>
      </c>
      <c r="GJ959"/>
      <c r="GK959"/>
      <c r="GL959"/>
      <c r="GM959"/>
      <c r="GN959" s="208"/>
      <c r="GO959" s="208"/>
      <c r="GP959" s="208"/>
      <c r="GQ959" s="208"/>
      <c r="GR959" s="208"/>
      <c r="GS959" s="208"/>
      <c r="GT959" s="208"/>
      <c r="GU959" s="213">
        <v>954</v>
      </c>
    </row>
    <row r="960" spans="1:203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37.74488615381064</v>
      </c>
      <c r="AO960">
        <v>9.3308515356595656</v>
      </c>
      <c r="AP960">
        <v>283.33596305196727</v>
      </c>
      <c r="AQ960">
        <v>62.708676095541037</v>
      </c>
      <c r="AR960">
        <v>8.482592305145058</v>
      </c>
      <c r="AS960">
        <v>101.78892635018053</v>
      </c>
      <c r="AT960" t="e">
        <v>#DIV/0!</v>
      </c>
      <c r="AU960" t="e">
        <v>#DIV/0!</v>
      </c>
      <c r="AV960"/>
      <c r="AW960"/>
      <c r="FY960" s="213">
        <v>955</v>
      </c>
      <c r="FZ960">
        <v>0</v>
      </c>
      <c r="GA960">
        <v>8.508758472999487</v>
      </c>
      <c r="GB960">
        <v>4.1727004219314345</v>
      </c>
      <c r="GC960">
        <v>1.4003717251190004</v>
      </c>
      <c r="GD960">
        <v>1.7364544745083292</v>
      </c>
      <c r="GE960">
        <v>1.6281984210363838</v>
      </c>
      <c r="GF960">
        <v>0.47734812494006024</v>
      </c>
      <c r="GG960">
        <v>4.0766958033527283</v>
      </c>
      <c r="GH960">
        <v>5.7051623244525622</v>
      </c>
      <c r="GI960">
        <v>3.0925492366641314</v>
      </c>
      <c r="GJ960"/>
      <c r="GK960"/>
      <c r="GL960"/>
      <c r="GM960"/>
      <c r="GN960" s="208"/>
      <c r="GO960" s="208"/>
      <c r="GP960" s="208"/>
      <c r="GQ960" s="208"/>
      <c r="GR960" s="208"/>
      <c r="GS960" s="208"/>
      <c r="GT960" s="208"/>
      <c r="GU960" s="213">
        <v>955</v>
      </c>
    </row>
    <row r="961" spans="1:203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27.912305832525504</v>
      </c>
      <c r="AO961">
        <v>6.0002611814713918</v>
      </c>
      <c r="AP961">
        <v>261.54382154266318</v>
      </c>
      <c r="AQ961">
        <v>34.37652296875077</v>
      </c>
      <c r="AR961">
        <v>5.5633254339655061</v>
      </c>
      <c r="AS961">
        <v>75.59943264347892</v>
      </c>
      <c r="AT961" t="e">
        <v>#DIV/0!</v>
      </c>
      <c r="AU961" t="e">
        <v>#DIV/0!</v>
      </c>
      <c r="AV961"/>
      <c r="AW961"/>
      <c r="FY961" s="213">
        <v>956</v>
      </c>
      <c r="FZ961">
        <v>0</v>
      </c>
      <c r="GA961">
        <v>18.233079103061922</v>
      </c>
      <c r="GB961">
        <v>9.0972798438860494</v>
      </c>
      <c r="GC961">
        <v>1.426024353295289</v>
      </c>
      <c r="GD961">
        <v>2.2228315533703622</v>
      </c>
      <c r="GE961">
        <v>3.1593982999513295</v>
      </c>
      <c r="GF961">
        <v>1.432044374820181</v>
      </c>
      <c r="GG961">
        <v>1.8917088020808825</v>
      </c>
      <c r="GH961">
        <v>2.6012010516395971</v>
      </c>
      <c r="GI961">
        <v>4.2797950304460839</v>
      </c>
      <c r="GJ961"/>
      <c r="GK961"/>
      <c r="GL961"/>
      <c r="GM961"/>
      <c r="GN961" s="208"/>
      <c r="GO961" s="208"/>
      <c r="GP961" s="208"/>
      <c r="GQ961" s="208"/>
      <c r="GR961" s="208"/>
      <c r="GS961" s="208"/>
      <c r="GT961" s="208"/>
      <c r="GU961" s="213">
        <v>956</v>
      </c>
    </row>
    <row r="962" spans="1:203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29.215209771763575</v>
      </c>
      <c r="AO962">
        <v>6.6521674802312489</v>
      </c>
      <c r="AP962">
        <v>298.45341494926225</v>
      </c>
      <c r="AQ962">
        <v>40.228024705163591</v>
      </c>
      <c r="AR962">
        <v>6.1016962528878</v>
      </c>
      <c r="AS962">
        <v>81.922884916083106</v>
      </c>
      <c r="AT962" t="e">
        <v>#DIV/0!</v>
      </c>
      <c r="AU962" t="e">
        <v>#DIV/0!</v>
      </c>
      <c r="AV962"/>
      <c r="AW962"/>
      <c r="FY962" s="213">
        <v>957</v>
      </c>
      <c r="FZ962">
        <v>3.7797135260832437</v>
      </c>
      <c r="GA962">
        <v>14.9755746086629</v>
      </c>
      <c r="GB962">
        <v>5.5947204219121049</v>
      </c>
      <c r="GC962">
        <v>2.1133839017666447</v>
      </c>
      <c r="GD962">
        <v>2.4770753445658715</v>
      </c>
      <c r="GE962">
        <v>2.3105629126723395</v>
      </c>
      <c r="GF962">
        <v>0.95469624988012047</v>
      </c>
      <c r="GG962">
        <v>1.6799013424988689</v>
      </c>
      <c r="GH962">
        <v>2.436398464583593</v>
      </c>
      <c r="GI962">
        <v>3.9861762127471652</v>
      </c>
      <c r="GJ962"/>
      <c r="GK962"/>
      <c r="GL962"/>
      <c r="GM962"/>
      <c r="GN962" s="208"/>
      <c r="GO962" s="208"/>
      <c r="GP962" s="208"/>
      <c r="GQ962" s="208"/>
      <c r="GR962" s="208"/>
      <c r="GS962" s="208"/>
      <c r="GT962" s="208"/>
      <c r="GU962" s="213">
        <v>957</v>
      </c>
    </row>
    <row r="963" spans="1:203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17.627326630001122</v>
      </c>
      <c r="AO963">
        <v>6.3318331222464419</v>
      </c>
      <c r="AP963">
        <v>126.17918361119169</v>
      </c>
      <c r="AQ963">
        <v>38.306828952034124</v>
      </c>
      <c r="AR963">
        <v>5.7562119293149463</v>
      </c>
      <c r="AS963">
        <v>53.505761142080125</v>
      </c>
      <c r="AT963" t="e">
        <v>#DIV/0!</v>
      </c>
      <c r="AU963" t="e">
        <v>#DIV/0!</v>
      </c>
      <c r="AV963"/>
      <c r="AW963"/>
      <c r="FY963" s="213">
        <v>958</v>
      </c>
      <c r="FZ963">
        <v>0</v>
      </c>
      <c r="GA963">
        <v>10.918732366881514</v>
      </c>
      <c r="GB963">
        <v>5.3448322962409023</v>
      </c>
      <c r="GC963">
        <v>1.8883007956635618</v>
      </c>
      <c r="GD963">
        <v>2.2953149842685439</v>
      </c>
      <c r="GE963">
        <v>2.0045808763440718</v>
      </c>
      <c r="GF963">
        <v>0.47734812494006024</v>
      </c>
      <c r="GG963">
        <v>5.3565801900265892</v>
      </c>
      <c r="GH963">
        <v>7.4982181453386314</v>
      </c>
      <c r="GI963">
        <v>4.0694974417472247</v>
      </c>
      <c r="GJ963"/>
      <c r="GK963"/>
      <c r="GL963"/>
      <c r="GM963"/>
      <c r="GN963" s="208"/>
      <c r="GO963" s="208"/>
      <c r="GP963" s="208"/>
      <c r="GQ963" s="208"/>
      <c r="GR963" s="208"/>
      <c r="GS963" s="208"/>
      <c r="GT963" s="208"/>
      <c r="GU963" s="213">
        <v>958</v>
      </c>
    </row>
    <row r="964" spans="1:203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38.204040093048711</v>
      </c>
      <c r="AO964">
        <v>8.819943981098632</v>
      </c>
      <c r="AP964">
        <v>278.51218550075515</v>
      </c>
      <c r="AQ964">
        <v>57.92746457858933</v>
      </c>
      <c r="AR964">
        <v>8.0181308919078447</v>
      </c>
      <c r="AS964">
        <v>94.944428286248566</v>
      </c>
      <c r="AT964" t="e">
        <v>#DIV/0!</v>
      </c>
      <c r="AU964" t="e">
        <v>#DIV/0!</v>
      </c>
      <c r="AV964"/>
      <c r="AW964"/>
      <c r="FY964" s="213">
        <v>959</v>
      </c>
      <c r="FZ964">
        <v>0</v>
      </c>
      <c r="GA964">
        <v>11.088838119237227</v>
      </c>
      <c r="GB964">
        <v>5.3872536640505704</v>
      </c>
      <c r="GC964">
        <v>1.5736198327071467</v>
      </c>
      <c r="GD964">
        <v>2.3029138886539218</v>
      </c>
      <c r="GE964">
        <v>2.5062613281399106</v>
      </c>
      <c r="GF964">
        <v>0.47734812494006024</v>
      </c>
      <c r="GG964">
        <v>2.2917257579058905</v>
      </c>
      <c r="GH964">
        <v>3.2445436953371196</v>
      </c>
      <c r="GI964">
        <v>3.3476128910453693</v>
      </c>
      <c r="GJ964"/>
      <c r="GK964"/>
      <c r="GL964"/>
      <c r="GM964"/>
      <c r="GN964" s="208"/>
      <c r="GO964" s="208"/>
      <c r="GP964" s="208"/>
      <c r="GQ964" s="208"/>
      <c r="GR964" s="208"/>
      <c r="GS964" s="208"/>
      <c r="GT964" s="208"/>
      <c r="GU964" s="213">
        <v>959</v>
      </c>
    </row>
    <row r="965" spans="1:203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33.22340326000225</v>
      </c>
      <c r="AO965">
        <v>7.2198532551356207</v>
      </c>
      <c r="AP965">
        <v>139.37851621444281</v>
      </c>
      <c r="AQ965">
        <v>48.88857774964012</v>
      </c>
      <c r="AR965">
        <v>6.6720455009329882</v>
      </c>
      <c r="AS965">
        <v>98.779347446535709</v>
      </c>
      <c r="AT965" t="e">
        <v>#DIV/0!</v>
      </c>
      <c r="AU965" t="e">
        <v>#DIV/0!</v>
      </c>
      <c r="AV965"/>
      <c r="AW965"/>
      <c r="FY965" s="213">
        <v>960</v>
      </c>
      <c r="FZ965">
        <v>1.596276202757001</v>
      </c>
      <c r="GA965">
        <v>21.566477743735945</v>
      </c>
      <c r="GB965">
        <v>9.7476854584764627</v>
      </c>
      <c r="GC965">
        <v>1.3228840984277752</v>
      </c>
      <c r="GD965">
        <v>1.2767624658936771</v>
      </c>
      <c r="GE965">
        <v>0.81790653622975862</v>
      </c>
      <c r="GF965">
        <v>0.47734812494006024</v>
      </c>
      <c r="GG965">
        <v>1.8354732462210637</v>
      </c>
      <c r="GH965">
        <v>2.4244356922605785</v>
      </c>
      <c r="GI965">
        <v>3.9241101095094466</v>
      </c>
      <c r="GJ965"/>
      <c r="GK965"/>
      <c r="GL965"/>
      <c r="GM965"/>
      <c r="GN965" s="208"/>
      <c r="GO965" s="208"/>
      <c r="GP965" s="208"/>
      <c r="GQ965" s="208"/>
      <c r="GR965" s="208"/>
      <c r="GS965" s="208"/>
      <c r="GT965" s="208"/>
      <c r="GU965" s="213">
        <v>960</v>
      </c>
    </row>
    <row r="966" spans="1:203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34.900572116050412</v>
      </c>
      <c r="AO966">
        <v>8.3100094747938691</v>
      </c>
      <c r="AP966">
        <v>367.03563720731228</v>
      </c>
      <c r="AQ966">
        <v>53.567363550289528</v>
      </c>
      <c r="AR966">
        <v>7.6630966097132145</v>
      </c>
      <c r="AS966">
        <v>93.718386458514956</v>
      </c>
      <c r="AT966" t="e">
        <v>#DIV/0!</v>
      </c>
      <c r="AU966" t="e">
        <v>#DIV/0!</v>
      </c>
      <c r="AV966"/>
      <c r="AW966"/>
      <c r="FY966" s="213">
        <v>961</v>
      </c>
      <c r="FZ966">
        <v>0</v>
      </c>
      <c r="GA966">
        <v>11.94689058443655</v>
      </c>
      <c r="GB966">
        <v>5.9126371416971111</v>
      </c>
      <c r="GC966">
        <v>0.6947393224419488</v>
      </c>
      <c r="GD966">
        <v>2.770015268439352</v>
      </c>
      <c r="GE966">
        <v>5.1251121330633094</v>
      </c>
      <c r="GF966">
        <v>0.95469624988012047</v>
      </c>
      <c r="GG966">
        <v>4.583451515811781</v>
      </c>
      <c r="GH966">
        <v>6.4890873906742392</v>
      </c>
      <c r="GI966">
        <v>4.5325106332727492</v>
      </c>
      <c r="GJ966"/>
      <c r="GK966"/>
      <c r="GL966"/>
      <c r="GM966"/>
      <c r="GN966" s="208"/>
      <c r="GO966" s="208"/>
      <c r="GP966" s="208"/>
      <c r="GQ966" s="208"/>
      <c r="GR966" s="208"/>
      <c r="GS966" s="208"/>
      <c r="GT966" s="208"/>
      <c r="GU966" s="213">
        <v>961</v>
      </c>
    </row>
    <row r="967" spans="1:203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31.3757530120482</v>
      </c>
      <c r="AO967">
        <v>7.0219519683287093</v>
      </c>
      <c r="AP967">
        <v>88.867868430982639</v>
      </c>
      <c r="AQ967">
        <v>46.601746287161347</v>
      </c>
      <c r="AR967">
        <v>6.5464065110588248</v>
      </c>
      <c r="AS967">
        <v>86.494621177388609</v>
      </c>
      <c r="AT967" t="e">
        <v>#DIV/0!</v>
      </c>
      <c r="AU967" t="e">
        <v>#DIV/0!</v>
      </c>
      <c r="AV967"/>
      <c r="AW967"/>
      <c r="FY967" s="213">
        <v>962</v>
      </c>
      <c r="FZ967">
        <v>1.596276202757001</v>
      </c>
      <c r="GA967">
        <v>15.350038052175384</v>
      </c>
      <c r="GB967">
        <v>6.4571127813600446</v>
      </c>
      <c r="GC967">
        <v>1.4003717251190004</v>
      </c>
      <c r="GD967">
        <v>2.4542485080209908</v>
      </c>
      <c r="GE967">
        <v>3.0859568503383024</v>
      </c>
      <c r="GF967">
        <v>0.47734812494006024</v>
      </c>
      <c r="GG967">
        <v>2.2917257579058905</v>
      </c>
      <c r="GH967">
        <v>3.2445436953371196</v>
      </c>
      <c r="GI967">
        <v>4.0326403330859186</v>
      </c>
      <c r="GJ967"/>
      <c r="GK967"/>
      <c r="GL967"/>
      <c r="GM967"/>
      <c r="GN967" s="208"/>
      <c r="GO967" s="208"/>
      <c r="GP967" s="208"/>
      <c r="GQ967" s="208"/>
      <c r="GR967" s="208"/>
      <c r="GS967" s="208"/>
      <c r="GT967" s="208"/>
      <c r="GU967" s="213">
        <v>962</v>
      </c>
    </row>
    <row r="968" spans="1:203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30.968749999999993</v>
      </c>
      <c r="AO968">
        <v>6.9245567245948809</v>
      </c>
      <c r="AP968">
        <v>130.60040398283172</v>
      </c>
      <c r="AQ968">
        <v>43.841742618228466</v>
      </c>
      <c r="AR968">
        <v>6.4035941095323148</v>
      </c>
      <c r="AS968">
        <v>85.677570955460794</v>
      </c>
      <c r="AT968" t="e">
        <v>#DIV/0!</v>
      </c>
      <c r="AU968" t="e">
        <v>#DIV/0!</v>
      </c>
      <c r="AV968"/>
      <c r="AW968"/>
      <c r="FY968" s="213">
        <v>963</v>
      </c>
      <c r="FZ968">
        <v>0</v>
      </c>
      <c r="GA968">
        <v>11.966674688284801</v>
      </c>
      <c r="GB968">
        <v>6.0149098986971072</v>
      </c>
      <c r="GC968">
        <v>0.37267858551494082</v>
      </c>
      <c r="GD968">
        <v>1.0714455965670877</v>
      </c>
      <c r="GE968">
        <v>1.5933004738957215</v>
      </c>
      <c r="GF968">
        <v>0</v>
      </c>
      <c r="GG968">
        <v>6.1549440479905293</v>
      </c>
      <c r="GH968">
        <v>8.668541174741371</v>
      </c>
      <c r="GI968">
        <v>3.5945788760571613</v>
      </c>
      <c r="GJ968"/>
      <c r="GK968"/>
      <c r="GL968"/>
      <c r="GM968"/>
      <c r="GN968" s="208"/>
      <c r="GO968" s="208"/>
      <c r="GP968" s="208"/>
      <c r="GQ968" s="208"/>
      <c r="GR968" s="208"/>
      <c r="GS968" s="208"/>
      <c r="GT968" s="208"/>
      <c r="GU968" s="213">
        <v>963</v>
      </c>
    </row>
    <row r="969" spans="1:203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34.232246308715979</v>
      </c>
      <c r="AO969">
        <v>8.7796828533658022</v>
      </c>
      <c r="AP969">
        <v>237.2380736513457</v>
      </c>
      <c r="AQ969">
        <v>57.65979959473151</v>
      </c>
      <c r="AR969">
        <v>7.9815298666961834</v>
      </c>
      <c r="AS969">
        <v>94.608975819547609</v>
      </c>
      <c r="AT969" t="e">
        <v>#DIV/0!</v>
      </c>
      <c r="AU969" t="e">
        <v>#DIV/0!</v>
      </c>
      <c r="AV969"/>
      <c r="AW969"/>
      <c r="FY969" s="213">
        <v>964</v>
      </c>
      <c r="FZ969">
        <v>0.58716112056924263</v>
      </c>
      <c r="GA969">
        <v>17.137974780887351</v>
      </c>
      <c r="GB969">
        <v>8.5017458998313913</v>
      </c>
      <c r="GC969">
        <v>1.0856907621625855</v>
      </c>
      <c r="GD969">
        <v>1.8607346866746246</v>
      </c>
      <c r="GE969">
        <v>2.6670478136350688</v>
      </c>
      <c r="GF969">
        <v>0.95469624988012047</v>
      </c>
      <c r="GG969">
        <v>1.8917088020808825</v>
      </c>
      <c r="GH969">
        <v>2.6012010516395971</v>
      </c>
      <c r="GI969">
        <v>3.9857316559710654</v>
      </c>
      <c r="GJ969"/>
      <c r="GK969"/>
      <c r="GL969"/>
      <c r="GM969"/>
      <c r="GN969" s="208"/>
      <c r="GO969" s="208"/>
      <c r="GP969" s="208"/>
      <c r="GQ969" s="208"/>
      <c r="GR969" s="208"/>
      <c r="GS969" s="208"/>
      <c r="GT969" s="208"/>
      <c r="GU969" s="213">
        <v>964</v>
      </c>
    </row>
    <row r="970" spans="1:203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40.142293105096897</v>
      </c>
      <c r="AO970">
        <v>7.1191492698381342</v>
      </c>
      <c r="AP970">
        <v>201.11782684719287</v>
      </c>
      <c r="AQ970">
        <v>43.656428229649485</v>
      </c>
      <c r="AR970">
        <v>6.4719538816710314</v>
      </c>
      <c r="AS970">
        <v>101.9537656373238</v>
      </c>
      <c r="AT970" t="e">
        <v>#DIV/0!</v>
      </c>
      <c r="AU970" t="e">
        <v>#DIV/0!</v>
      </c>
      <c r="AV970"/>
      <c r="AW970"/>
      <c r="FY970" s="213">
        <v>965</v>
      </c>
      <c r="FZ970">
        <v>1.596276202757001</v>
      </c>
      <c r="GA970">
        <v>13.278839256955131</v>
      </c>
      <c r="GB970">
        <v>5.7328360849327433</v>
      </c>
      <c r="GC970">
        <v>2.9038837051055144</v>
      </c>
      <c r="GD970">
        <v>3.2922847854717183</v>
      </c>
      <c r="GE970">
        <v>2.1494528864174529</v>
      </c>
      <c r="GF970">
        <v>0</v>
      </c>
      <c r="GG970">
        <v>3.7581495871366699</v>
      </c>
      <c r="GH970">
        <v>5.3997773148724022</v>
      </c>
      <c r="GI970">
        <v>4.5057737835877036</v>
      </c>
      <c r="GJ970"/>
      <c r="GK970"/>
      <c r="GL970"/>
      <c r="GM970"/>
      <c r="GN970" s="208"/>
      <c r="GO970" s="208"/>
      <c r="GP970" s="208"/>
      <c r="GQ970" s="208"/>
      <c r="GR970" s="208"/>
      <c r="GS970" s="208"/>
      <c r="GT970" s="208"/>
      <c r="GU970" s="213">
        <v>965</v>
      </c>
    </row>
    <row r="971" spans="1:203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24.616909963334454</v>
      </c>
      <c r="AO971">
        <v>4.8887378261861487</v>
      </c>
      <c r="AP971">
        <v>252.50680506987882</v>
      </c>
      <c r="AQ971">
        <v>30.798239005004117</v>
      </c>
      <c r="AR971">
        <v>4.4443071147146807</v>
      </c>
      <c r="AS971">
        <v>59.230212064171404</v>
      </c>
      <c r="AT971" t="e">
        <v>#DIV/0!</v>
      </c>
      <c r="AU971" t="e">
        <v>#DIV/0!</v>
      </c>
      <c r="AV971"/>
      <c r="AW971"/>
      <c r="FY971" s="213">
        <v>966</v>
      </c>
      <c r="FZ971">
        <v>4.9540357672217299</v>
      </c>
      <c r="GA971">
        <v>15.863185661441914</v>
      </c>
      <c r="GB971">
        <v>6.0507528047177486</v>
      </c>
      <c r="GC971">
        <v>1.1557986148832178</v>
      </c>
      <c r="GD971">
        <v>1.2402432850707572</v>
      </c>
      <c r="GE971">
        <v>0.71159201146049245</v>
      </c>
      <c r="GF971">
        <v>0</v>
      </c>
      <c r="GG971">
        <v>5.4380509296355397</v>
      </c>
      <c r="GH971">
        <v>7.8361757794559974</v>
      </c>
      <c r="GI971">
        <v>4.2591644343245267</v>
      </c>
      <c r="GJ971"/>
      <c r="GK971"/>
      <c r="GL971"/>
      <c r="GM971"/>
      <c r="GN971" s="208"/>
      <c r="GO971" s="208"/>
      <c r="GP971" s="208"/>
      <c r="GQ971" s="208"/>
      <c r="GR971" s="208"/>
      <c r="GS971" s="208"/>
      <c r="GT971" s="208"/>
      <c r="GU971" s="213">
        <v>966</v>
      </c>
    </row>
    <row r="972" spans="1:203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31.5007530120482</v>
      </c>
      <c r="AO972">
        <v>6.5904532641782563</v>
      </c>
      <c r="AP972">
        <v>316.44055178449781</v>
      </c>
      <c r="AQ972">
        <v>44.343362412551699</v>
      </c>
      <c r="AR972">
        <v>5.9913211492529612</v>
      </c>
      <c r="AS972">
        <v>89.321689637920386</v>
      </c>
      <c r="AT972" t="e">
        <v>#DIV/0!</v>
      </c>
      <c r="AU972" t="e">
        <v>#DIV/0!</v>
      </c>
      <c r="AV972"/>
      <c r="AW972"/>
      <c r="FY972" s="213">
        <v>967</v>
      </c>
      <c r="FZ972">
        <v>2.1834373233262436</v>
      </c>
      <c r="GA972">
        <v>19.226252676918726</v>
      </c>
      <c r="GB972">
        <v>8.4696236092395143</v>
      </c>
      <c r="GC972">
        <v>7.7487626691225331E-2</v>
      </c>
      <c r="GD972">
        <v>2.5697079879554967</v>
      </c>
      <c r="GE972">
        <v>5.6812645455850399</v>
      </c>
      <c r="GF972">
        <v>0.95469624988012047</v>
      </c>
      <c r="GG972">
        <v>4.9003276783417631</v>
      </c>
      <c r="GH972">
        <v>6.6781101422620921</v>
      </c>
      <c r="GI972">
        <v>5.4362390094868065</v>
      </c>
      <c r="GJ972"/>
      <c r="GK972"/>
      <c r="GL972"/>
      <c r="GM972"/>
      <c r="GN972" s="208"/>
      <c r="GO972" s="208"/>
      <c r="GP972" s="208"/>
      <c r="GQ972" s="208"/>
      <c r="GR972" s="208"/>
      <c r="GS972" s="208"/>
      <c r="GT972" s="208"/>
      <c r="GU972" s="213">
        <v>967</v>
      </c>
    </row>
    <row r="973" spans="1:203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34.945693488238661</v>
      </c>
      <c r="AO973">
        <v>6.1207233458085772</v>
      </c>
      <c r="AP973">
        <v>130.3961531325663</v>
      </c>
      <c r="AQ973">
        <v>40.308202985372851</v>
      </c>
      <c r="AR973">
        <v>5.6185652215944648</v>
      </c>
      <c r="AS973">
        <v>80.010583666905276</v>
      </c>
      <c r="AT973" t="e">
        <v>#DIV/0!</v>
      </c>
      <c r="AU973" t="e">
        <v>#DIV/0!</v>
      </c>
      <c r="AV973"/>
      <c r="AW973"/>
      <c r="FY973" s="213">
        <v>968</v>
      </c>
      <c r="FZ973">
        <v>0</v>
      </c>
      <c r="GA973">
        <v>13.518596116967508</v>
      </c>
      <c r="GB973">
        <v>6.6616582953600352</v>
      </c>
      <c r="GC973">
        <v>0.68735954847135594</v>
      </c>
      <c r="GD973">
        <v>1.221740800030243</v>
      </c>
      <c r="GE973">
        <v>1.988652418090544</v>
      </c>
      <c r="GF973">
        <v>0.95469624988012047</v>
      </c>
      <c r="GG973">
        <v>6.366751507572542</v>
      </c>
      <c r="GH973">
        <v>8.8333437617973747</v>
      </c>
      <c r="GI973">
        <v>4.0292706937054872</v>
      </c>
      <c r="GJ973"/>
      <c r="GK973"/>
      <c r="GL973"/>
      <c r="GM973"/>
      <c r="GN973" s="208"/>
      <c r="GO973" s="208"/>
      <c r="GP973" s="208"/>
      <c r="GQ973" s="208"/>
      <c r="GR973" s="208"/>
      <c r="GS973" s="208"/>
      <c r="GT973" s="208"/>
      <c r="GU973" s="213">
        <v>968</v>
      </c>
    </row>
    <row r="974" spans="1:203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27.022339357429722</v>
      </c>
      <c r="AO974">
        <v>6.480910295444211</v>
      </c>
      <c r="AP974">
        <v>339.27288132990145</v>
      </c>
      <c r="AQ974">
        <v>39.853405221451098</v>
      </c>
      <c r="AR974">
        <v>5.8917366322220097</v>
      </c>
      <c r="AS974">
        <v>72.665696624603257</v>
      </c>
      <c r="AT974" t="e">
        <v>#DIV/0!</v>
      </c>
      <c r="AU974" t="e">
        <v>#DIV/0!</v>
      </c>
      <c r="AV974"/>
      <c r="AW974"/>
      <c r="FY974" s="213">
        <v>969</v>
      </c>
      <c r="FZ974">
        <v>1.596276202757001</v>
      </c>
      <c r="GA974">
        <v>20.293979102170265</v>
      </c>
      <c r="GB974">
        <v>9.2419739686957136</v>
      </c>
      <c r="GC974">
        <v>0.30257073279430846</v>
      </c>
      <c r="GD974">
        <v>1.9852315684637636</v>
      </c>
      <c r="GE974">
        <v>3.841776774419035</v>
      </c>
      <c r="GF974">
        <v>0.47734812494006024</v>
      </c>
      <c r="GG974">
        <v>7.646635894246403</v>
      </c>
      <c r="GH974">
        <v>10.626399582683446</v>
      </c>
      <c r="GI974">
        <v>5.5117252076766006</v>
      </c>
      <c r="GJ974"/>
      <c r="GK974"/>
      <c r="GL974"/>
      <c r="GM974"/>
      <c r="GN974" s="208"/>
      <c r="GO974" s="208"/>
      <c r="GP974" s="208"/>
      <c r="GQ974" s="208"/>
      <c r="GR974" s="208"/>
      <c r="GS974" s="208"/>
      <c r="GT974" s="208"/>
      <c r="GU974" s="213">
        <v>969</v>
      </c>
    </row>
    <row r="975" spans="1:203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28.168993296667786</v>
      </c>
      <c r="AO975">
        <v>5.2750365079205483</v>
      </c>
      <c r="AP975">
        <v>256.61598994124807</v>
      </c>
      <c r="AQ975">
        <v>32.220117302017222</v>
      </c>
      <c r="AR975">
        <v>4.795487734473225</v>
      </c>
      <c r="AS975">
        <v>66.340679801978723</v>
      </c>
      <c r="AT975" t="e">
        <v>#DIV/0!</v>
      </c>
      <c r="AU975" t="e">
        <v>#DIV/0!</v>
      </c>
      <c r="AV975"/>
      <c r="AW975"/>
      <c r="FY975" s="213">
        <v>970</v>
      </c>
      <c r="FZ975">
        <v>1.596276202757001</v>
      </c>
      <c r="GA975">
        <v>12.867512608783271</v>
      </c>
      <c r="GB975">
        <v>5.5245699555039849</v>
      </c>
      <c r="GC975">
        <v>0.22508310610308313</v>
      </c>
      <c r="GD975">
        <v>0.85749040695120704</v>
      </c>
      <c r="GE975">
        <v>1.3899874070050173</v>
      </c>
      <c r="GF975">
        <v>0</v>
      </c>
      <c r="GG975">
        <v>1.5731625858648244</v>
      </c>
      <c r="GH975">
        <v>2.295816042059438</v>
      </c>
      <c r="GI975">
        <v>2.5509003145476998</v>
      </c>
      <c r="GJ975"/>
      <c r="GK975"/>
      <c r="GL975"/>
      <c r="GM975"/>
      <c r="GN975" s="208"/>
      <c r="GO975" s="208"/>
      <c r="GP975" s="208"/>
      <c r="GQ975" s="208"/>
      <c r="GR975" s="208"/>
      <c r="GS975" s="208"/>
      <c r="GT975" s="208"/>
      <c r="GU975" s="213">
        <v>970</v>
      </c>
    </row>
    <row r="976" spans="1:203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29.666923234811161</v>
      </c>
      <c r="AO976">
        <v>6.0507935292484358</v>
      </c>
      <c r="AP976">
        <v>102.06142775060337</v>
      </c>
      <c r="AQ976">
        <v>44.98935967845177</v>
      </c>
      <c r="AR976">
        <v>5.5007213902258494</v>
      </c>
      <c r="AS976">
        <v>72.68402612546204</v>
      </c>
      <c r="AT976" t="e">
        <v>#DIV/0!</v>
      </c>
      <c r="AU976" t="e">
        <v>#DIV/0!</v>
      </c>
      <c r="AV976"/>
      <c r="AW976"/>
      <c r="FY976" s="213">
        <v>971</v>
      </c>
      <c r="FZ976">
        <v>2.7705984438954863</v>
      </c>
      <c r="GA976">
        <v>24.076808562908877</v>
      </c>
      <c r="GB976">
        <v>11.068168675523077</v>
      </c>
      <c r="GC976">
        <v>2.3641196360460164</v>
      </c>
      <c r="GD976">
        <v>4.3029317606982573</v>
      </c>
      <c r="GE976">
        <v>5.9194755596164059</v>
      </c>
      <c r="GF976">
        <v>1.432044374820181</v>
      </c>
      <c r="GG976">
        <v>5.2498414333925441</v>
      </c>
      <c r="GH976">
        <v>7.3576357228144769</v>
      </c>
      <c r="GI976">
        <v>7.2831582247773685</v>
      </c>
      <c r="GJ976"/>
      <c r="GK976"/>
      <c r="GL976"/>
      <c r="GM976"/>
      <c r="GN976" s="208"/>
      <c r="GO976" s="208"/>
      <c r="GP976" s="208"/>
      <c r="GQ976" s="208"/>
      <c r="GR976" s="208"/>
      <c r="GS976" s="208"/>
      <c r="GT976" s="208"/>
      <c r="GU976" s="213">
        <v>971</v>
      </c>
    </row>
    <row r="977" spans="1:203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23.927272307621291</v>
      </c>
      <c r="AO977">
        <v>7.2607201812831574</v>
      </c>
      <c r="AP977">
        <v>306.36645937764911</v>
      </c>
      <c r="AQ977">
        <v>43.009140239717169</v>
      </c>
      <c r="AR977">
        <v>6.600654710257416</v>
      </c>
      <c r="AS977">
        <v>79.729596130026607</v>
      </c>
      <c r="AT977" t="e">
        <v>#DIV/0!</v>
      </c>
      <c r="AU977" t="e">
        <v>#DIV/0!</v>
      </c>
      <c r="AV977"/>
      <c r="AW977"/>
      <c r="FY977" s="213">
        <v>972</v>
      </c>
      <c r="FZ977">
        <v>0</v>
      </c>
      <c r="GA977">
        <v>15.655802179269456</v>
      </c>
      <c r="GB977">
        <v>7.7490675282409835</v>
      </c>
      <c r="GC977">
        <v>1.2271236175308544</v>
      </c>
      <c r="GD977">
        <v>1.1365268467796563</v>
      </c>
      <c r="GE977">
        <v>0.38968151687869679</v>
      </c>
      <c r="GF977">
        <v>0</v>
      </c>
      <c r="GG977">
        <v>3.4648713879457071</v>
      </c>
      <c r="GH977">
        <v>4.8970170936990343</v>
      </c>
      <c r="GI977">
        <v>3.4205248188325013</v>
      </c>
      <c r="GJ977"/>
      <c r="GK977"/>
      <c r="GL977"/>
      <c r="GM977"/>
      <c r="GN977" s="208"/>
      <c r="GO977" s="208"/>
      <c r="GP977" s="208"/>
      <c r="GQ977" s="208"/>
      <c r="GR977" s="208"/>
      <c r="GS977" s="208"/>
      <c r="GT977" s="208"/>
      <c r="GU977" s="213">
        <v>972</v>
      </c>
    </row>
    <row r="978" spans="1:203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29.08565996333445</v>
      </c>
      <c r="AO978">
        <v>6.4428293752062515</v>
      </c>
      <c r="AP978">
        <v>145.86731377973896</v>
      </c>
      <c r="AQ978">
        <v>40.390262031039711</v>
      </c>
      <c r="AR978">
        <v>5.8571176138238652</v>
      </c>
      <c r="AS978">
        <v>80.567961054798175</v>
      </c>
      <c r="AT978" t="e">
        <v>#DIV/0!</v>
      </c>
      <c r="AU978" t="e">
        <v>#DIV/0!</v>
      </c>
      <c r="AV978"/>
      <c r="AW978"/>
      <c r="FY978" s="213">
        <v>973</v>
      </c>
      <c r="FZ978">
        <v>0.58716112056924263</v>
      </c>
      <c r="GA978">
        <v>17.368054876576434</v>
      </c>
      <c r="GB978">
        <v>8.6098611445544719</v>
      </c>
      <c r="GC978">
        <v>0.90506288060384632</v>
      </c>
      <c r="GD978">
        <v>3.9241942497164262</v>
      </c>
      <c r="GE978">
        <v>6.8463400001296986</v>
      </c>
      <c r="GF978">
        <v>0.47734812494006024</v>
      </c>
      <c r="GG978">
        <v>1.5438651007161768</v>
      </c>
      <c r="GH978">
        <v>2.0380377290795177</v>
      </c>
      <c r="GI978">
        <v>5.1846492836253129</v>
      </c>
      <c r="GJ978"/>
      <c r="GK978"/>
      <c r="GL978"/>
      <c r="GM978"/>
      <c r="GN978" s="208"/>
      <c r="GO978" s="208"/>
      <c r="GP978" s="208"/>
      <c r="GQ978" s="208"/>
      <c r="GR978" s="208"/>
      <c r="GS978" s="208"/>
      <c r="GT978" s="208"/>
      <c r="GU978" s="213">
        <v>973</v>
      </c>
    </row>
    <row r="979" spans="1:203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17.742730569239193</v>
      </c>
      <c r="AO979">
        <v>5.7467357738238327</v>
      </c>
      <c r="AP979">
        <v>296.51264005432785</v>
      </c>
      <c r="AQ979">
        <v>39.437073341748722</v>
      </c>
      <c r="AR979">
        <v>5.2243052489307571</v>
      </c>
      <c r="AS979">
        <v>58.894015549142992</v>
      </c>
      <c r="AT979" t="e">
        <v>#DIV/0!</v>
      </c>
      <c r="AU979" t="e">
        <v>#DIV/0!</v>
      </c>
      <c r="AV979"/>
      <c r="AW979"/>
      <c r="FY979" s="213">
        <v>974</v>
      </c>
      <c r="FZ979">
        <v>2.7705984438954863</v>
      </c>
      <c r="GA979">
        <v>21.794569491240786</v>
      </c>
      <c r="GB979">
        <v>9.8675717285492155</v>
      </c>
      <c r="GC979">
        <v>0.94547505672132059</v>
      </c>
      <c r="GD979">
        <v>3.7376005635355427</v>
      </c>
      <c r="GE979">
        <v>6.4021865225251107</v>
      </c>
      <c r="GF979">
        <v>0.47734812494006024</v>
      </c>
      <c r="GG979">
        <v>4.2885032629347419</v>
      </c>
      <c r="GH979">
        <v>5.8699649115085659</v>
      </c>
      <c r="GI979">
        <v>6.2864167916761913</v>
      </c>
      <c r="GJ979"/>
      <c r="GK979"/>
      <c r="GL979"/>
      <c r="GM979"/>
      <c r="GN979" s="208"/>
      <c r="GO979" s="208"/>
      <c r="GP979" s="208"/>
      <c r="GQ979" s="208"/>
      <c r="GR979" s="208"/>
      <c r="GS979" s="208"/>
      <c r="GT979" s="208"/>
      <c r="GU979" s="213">
        <v>974</v>
      </c>
    </row>
    <row r="980" spans="1:203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23.078133964429146</v>
      </c>
      <c r="AO980">
        <v>6.1532950749947481</v>
      </c>
      <c r="AP980">
        <v>295.52931654338539</v>
      </c>
      <c r="AQ980">
        <v>41.273692823331935</v>
      </c>
      <c r="AR980">
        <v>5.6481758844909828</v>
      </c>
      <c r="AS980">
        <v>72.511842306176987</v>
      </c>
      <c r="AT980" t="e">
        <v>#DIV/0!</v>
      </c>
      <c r="AU980" t="e">
        <v>#DIV/0!</v>
      </c>
      <c r="AV980"/>
      <c r="AW980"/>
      <c r="FY980" s="213">
        <v>975</v>
      </c>
      <c r="FZ980">
        <v>3.192552405514002</v>
      </c>
      <c r="GA980">
        <v>17.640396115184188</v>
      </c>
      <c r="GB980">
        <v>6.9510465449793628</v>
      </c>
      <c r="GC980">
        <v>0.86798743003009515</v>
      </c>
      <c r="GD980">
        <v>1.6014387596227917</v>
      </c>
      <c r="GE980">
        <v>2.4770338083153738</v>
      </c>
      <c r="GF980">
        <v>0.95469624988012047</v>
      </c>
      <c r="GG980">
        <v>0.10673875663404474</v>
      </c>
      <c r="GH980">
        <v>0.14058242252415507</v>
      </c>
      <c r="GI980">
        <v>3.3537120017451492</v>
      </c>
      <c r="GJ980"/>
      <c r="GK980"/>
      <c r="GL980"/>
      <c r="GM980"/>
      <c r="GN980" s="208"/>
      <c r="GO980" s="208"/>
      <c r="GP980" s="208"/>
      <c r="GQ980" s="208"/>
      <c r="GR980" s="208"/>
      <c r="GS980" s="208"/>
      <c r="GT980" s="208"/>
      <c r="GU980" s="213">
        <v>975</v>
      </c>
    </row>
    <row r="981" spans="1:203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38.605740284619593</v>
      </c>
      <c r="AO981">
        <v>7.0528458656661739</v>
      </c>
      <c r="AP981">
        <v>226.2913067814751</v>
      </c>
      <c r="AQ981">
        <v>42.617273607236335</v>
      </c>
      <c r="AR981">
        <v>6.4116780596965208</v>
      </c>
      <c r="AS981">
        <v>103.42660057058194</v>
      </c>
      <c r="AT981" t="e">
        <v>#DIV/0!</v>
      </c>
      <c r="AU981" t="e">
        <v>#DIV/0!</v>
      </c>
      <c r="AV981"/>
      <c r="AW981"/>
      <c r="FY981" s="213">
        <v>976</v>
      </c>
      <c r="FZ981">
        <v>1.1743222411384853</v>
      </c>
      <c r="GA981">
        <v>19.780209461115117</v>
      </c>
      <c r="GB981">
        <v>9.8894583394245839</v>
      </c>
      <c r="GC981">
        <v>0.6947393224419488</v>
      </c>
      <c r="GD981">
        <v>1.8448077202369955</v>
      </c>
      <c r="GE981">
        <v>2.9504148057444999</v>
      </c>
      <c r="GF981">
        <v>0.47734812494006024</v>
      </c>
      <c r="GG981">
        <v>6.2616828046245736</v>
      </c>
      <c r="GH981">
        <v>8.8091235972655255</v>
      </c>
      <c r="GI981">
        <v>5.3141818324250343</v>
      </c>
      <c r="GJ981"/>
      <c r="GK981"/>
      <c r="GL981"/>
      <c r="GM981"/>
      <c r="GN981" s="208"/>
      <c r="GO981" s="208"/>
      <c r="GP981" s="208"/>
      <c r="GQ981" s="208"/>
      <c r="GR981" s="208"/>
      <c r="GS981" s="208"/>
      <c r="GT981" s="208"/>
      <c r="GU981" s="213">
        <v>976</v>
      </c>
    </row>
    <row r="982" spans="1:203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24.360957582382071</v>
      </c>
      <c r="AO982">
        <v>6.6226189229646506</v>
      </c>
      <c r="AP982">
        <v>181.23613556718163</v>
      </c>
      <c r="AQ982">
        <v>47.508999288211925</v>
      </c>
      <c r="AR982">
        <v>6.1833764698187714</v>
      </c>
      <c r="AS982">
        <v>94.004224413869096</v>
      </c>
      <c r="AT982" t="e">
        <v>#DIV/0!</v>
      </c>
      <c r="AU982" t="e">
        <v>#DIV/0!</v>
      </c>
      <c r="AV982"/>
      <c r="AW982"/>
      <c r="FY982" s="213">
        <v>977</v>
      </c>
      <c r="FZ982">
        <v>0.58716112056924263</v>
      </c>
      <c r="GA982">
        <v>12.195083241538866</v>
      </c>
      <c r="GB982">
        <v>6.0405171250012408</v>
      </c>
      <c r="GC982">
        <v>0.93809528275072762</v>
      </c>
      <c r="GD982">
        <v>2.6239489397339422</v>
      </c>
      <c r="GE982">
        <v>4.4467167375187833</v>
      </c>
      <c r="GF982">
        <v>0.95469624988012047</v>
      </c>
      <c r="GG982">
        <v>3.9699570467186831</v>
      </c>
      <c r="GH982">
        <v>5.5645799019284059</v>
      </c>
      <c r="GI982">
        <v>4.3492915716066261</v>
      </c>
      <c r="GJ982"/>
      <c r="GK982"/>
      <c r="GL982"/>
      <c r="GM982"/>
      <c r="GN982" s="208"/>
      <c r="GO982" s="208"/>
      <c r="GP982" s="208"/>
      <c r="GQ982" s="208"/>
      <c r="GR982" s="208"/>
      <c r="GS982" s="208"/>
      <c r="GT982" s="208"/>
      <c r="GU982" s="213">
        <v>977</v>
      </c>
    </row>
    <row r="983" spans="1:203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21.374435962239765</v>
      </c>
      <c r="AO983">
        <v>8.5636212360524659</v>
      </c>
      <c r="AP983">
        <v>140.67398111851713</v>
      </c>
      <c r="AQ983">
        <v>56.177146849687027</v>
      </c>
      <c r="AR983">
        <v>7.8393814854525452</v>
      </c>
      <c r="AS983">
        <v>80.502556066785999</v>
      </c>
      <c r="AT983" t="e">
        <v>#DIV/0!</v>
      </c>
      <c r="AU983" t="e">
        <v>#DIV/0!</v>
      </c>
      <c r="AV983"/>
      <c r="AW983"/>
      <c r="FY983" s="213">
        <v>978</v>
      </c>
      <c r="FZ983">
        <v>3.192552405514002</v>
      </c>
      <c r="GA983">
        <v>12.103259832746053</v>
      </c>
      <c r="GB983">
        <v>4.0988927375958299</v>
      </c>
      <c r="GC983">
        <v>1.0020405114277708</v>
      </c>
      <c r="GD983">
        <v>2.9481011580422551</v>
      </c>
      <c r="GE983">
        <v>5.2955521247977728</v>
      </c>
      <c r="GF983">
        <v>1.432044374820181</v>
      </c>
      <c r="GG983">
        <v>1.8933788557669584</v>
      </c>
      <c r="GH983">
        <v>2.7175633096319034</v>
      </c>
      <c r="GI983">
        <v>4.0757725559626561</v>
      </c>
      <c r="GJ983"/>
      <c r="GK983"/>
      <c r="GL983"/>
      <c r="GM983"/>
      <c r="GN983" s="208"/>
      <c r="GO983" s="208"/>
      <c r="GP983" s="208"/>
      <c r="GQ983" s="208"/>
      <c r="GR983" s="208"/>
      <c r="GS983" s="208"/>
      <c r="GT983" s="208"/>
      <c r="GU983" s="213">
        <v>978</v>
      </c>
    </row>
    <row r="984" spans="1:203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23.88112342638204</v>
      </c>
      <c r="AO984">
        <v>6.3945315208026727</v>
      </c>
      <c r="AP984">
        <v>336.45468989747189</v>
      </c>
      <c r="AQ984">
        <v>44.262069391875208</v>
      </c>
      <c r="AR984">
        <v>5.8132104734569747</v>
      </c>
      <c r="AS984">
        <v>66.813540946091507</v>
      </c>
      <c r="AT984" t="e">
        <v>#DIV/0!</v>
      </c>
      <c r="AU984" t="e">
        <v>#DIV/0!</v>
      </c>
      <c r="AV984"/>
      <c r="AW984"/>
      <c r="FY984" s="213">
        <v>979</v>
      </c>
      <c r="FZ984">
        <v>4.3668746466524873</v>
      </c>
      <c r="GA984">
        <v>18.105856525413504</v>
      </c>
      <c r="GB984">
        <v>7.0468042376916182</v>
      </c>
      <c r="GC984">
        <v>1.0020405114277708</v>
      </c>
      <c r="GD984">
        <v>2.5059592007238072</v>
      </c>
      <c r="GE984">
        <v>3.8188242066087206</v>
      </c>
      <c r="GF984">
        <v>0.47734812494006024</v>
      </c>
      <c r="GG984">
        <v>7.4348284346643911</v>
      </c>
      <c r="GH984">
        <v>10.461596995627442</v>
      </c>
      <c r="GI984">
        <v>5.8780763052179639</v>
      </c>
      <c r="GJ984"/>
      <c r="GK984"/>
      <c r="GL984"/>
      <c r="GM984"/>
      <c r="GN984" s="208"/>
      <c r="GO984" s="208"/>
      <c r="GP984" s="208"/>
      <c r="GQ984" s="208"/>
      <c r="GR984" s="208"/>
      <c r="GS984" s="208"/>
      <c r="GT984" s="208"/>
      <c r="GU984" s="213">
        <v>979</v>
      </c>
    </row>
    <row r="985" spans="1:203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31.49190996333445</v>
      </c>
      <c r="AO985">
        <v>8.6129531868306639</v>
      </c>
      <c r="AP985">
        <v>230.26083165434008</v>
      </c>
      <c r="AQ985">
        <v>61.523917158846587</v>
      </c>
      <c r="AR985">
        <v>7.8299574425733294</v>
      </c>
      <c r="AS985">
        <v>89.103919070121776</v>
      </c>
      <c r="AT985" t="e">
        <v>#DIV/0!</v>
      </c>
      <c r="AU985" t="e">
        <v>#DIV/0!</v>
      </c>
      <c r="AV985"/>
      <c r="AW985"/>
      <c r="FY985" s="213">
        <v>980</v>
      </c>
      <c r="FZ985">
        <v>2.1834373233262436</v>
      </c>
      <c r="GA985">
        <v>24.743604855508615</v>
      </c>
      <c r="GB985">
        <v>11.219504659623052</v>
      </c>
      <c r="GC985">
        <v>0.44278643823557334</v>
      </c>
      <c r="GD985">
        <v>1.0249774665295006</v>
      </c>
      <c r="GE985">
        <v>1.9753533565195354</v>
      </c>
      <c r="GF985">
        <v>0.95469624988012047</v>
      </c>
      <c r="GG985">
        <v>4.4767127591777358</v>
      </c>
      <c r="GH985">
        <v>6.3485049681500838</v>
      </c>
      <c r="GI985">
        <v>5.0881428638400195</v>
      </c>
      <c r="GJ985"/>
      <c r="GK985"/>
      <c r="GL985"/>
      <c r="GM985"/>
      <c r="GN985" s="208"/>
      <c r="GO985" s="208"/>
      <c r="GP985" s="208"/>
      <c r="GQ985" s="208"/>
      <c r="GR985" s="208"/>
      <c r="GS985" s="208"/>
      <c r="GT985" s="208"/>
      <c r="GU985" s="213">
        <v>980</v>
      </c>
    </row>
    <row r="986" spans="1:203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10.819940476190476</v>
      </c>
      <c r="AO986">
        <v>4.028795114774816</v>
      </c>
      <c r="AP986">
        <v>80.040001971066133</v>
      </c>
      <c r="AQ986">
        <v>28.880798629575526</v>
      </c>
      <c r="AR986">
        <v>3.6625410134316505</v>
      </c>
      <c r="AS986">
        <v>39.194996366388096</v>
      </c>
      <c r="AT986" t="e">
        <v>#DIV/0!</v>
      </c>
      <c r="AU986" t="e">
        <v>#DIV/0!</v>
      </c>
      <c r="AV986"/>
      <c r="AW986"/>
      <c r="FY986" s="213">
        <v>981</v>
      </c>
      <c r="FZ986">
        <v>1.596276202757001</v>
      </c>
      <c r="GA986">
        <v>19.455710740819189</v>
      </c>
      <c r="GB986">
        <v>8.8188632480491691</v>
      </c>
      <c r="GC986">
        <v>2.0358962750754199</v>
      </c>
      <c r="GD986">
        <v>3.5503078430765314</v>
      </c>
      <c r="GE986">
        <v>4.0278216836473</v>
      </c>
      <c r="GF986">
        <v>0</v>
      </c>
      <c r="GG986">
        <v>0.10673875663404474</v>
      </c>
      <c r="GH986">
        <v>0.14058242252415507</v>
      </c>
      <c r="GI986">
        <v>4.6238792285975574</v>
      </c>
      <c r="GJ986"/>
      <c r="GK986"/>
      <c r="GL986"/>
      <c r="GM986"/>
      <c r="GN986" s="208"/>
      <c r="GO986" s="208"/>
      <c r="GP986" s="208"/>
      <c r="GQ986" s="208"/>
      <c r="GR986" s="208"/>
      <c r="GS986" s="208"/>
      <c r="GT986" s="208"/>
      <c r="GU986" s="213">
        <v>981</v>
      </c>
    </row>
    <row r="987" spans="1:203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45.674860154905339</v>
      </c>
      <c r="AO987">
        <v>11.260564239587037</v>
      </c>
      <c r="AP987">
        <v>249.37453165939138</v>
      </c>
      <c r="AQ987">
        <v>71.824782394492686</v>
      </c>
      <c r="AR987">
        <v>10.345419123161548</v>
      </c>
      <c r="AS987">
        <v>137.45663996299217</v>
      </c>
      <c r="AT987" t="e">
        <v>#DIV/0!</v>
      </c>
      <c r="AU987" t="e">
        <v>#DIV/0!</v>
      </c>
      <c r="AV987"/>
      <c r="AW987"/>
      <c r="FY987" s="213">
        <v>982</v>
      </c>
      <c r="FZ987">
        <v>3.192552405514002</v>
      </c>
      <c r="GA987">
        <v>14.886041677749839</v>
      </c>
      <c r="GB987">
        <v>5.5983776398395877</v>
      </c>
      <c r="GC987">
        <v>1.3747190969427119</v>
      </c>
      <c r="GD987">
        <v>3.2011226065738447</v>
      </c>
      <c r="GE987">
        <v>4.646060708318057</v>
      </c>
      <c r="GF987">
        <v>0.47734812494006024</v>
      </c>
      <c r="GG987">
        <v>1.9984475587149273</v>
      </c>
      <c r="GH987">
        <v>2.7417834741637517</v>
      </c>
      <c r="GI987">
        <v>4.4259763689185307</v>
      </c>
      <c r="GJ987"/>
      <c r="GK987"/>
      <c r="GL987"/>
      <c r="GM987"/>
      <c r="GN987" s="208"/>
      <c r="GO987" s="208"/>
      <c r="GP987" s="208"/>
      <c r="GQ987" s="208"/>
      <c r="GR987" s="208"/>
      <c r="GS987" s="208"/>
      <c r="GT987" s="208"/>
      <c r="GU987" s="213">
        <v>982</v>
      </c>
    </row>
    <row r="988" spans="1:203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22.497776821572</v>
      </c>
      <c r="AO988">
        <v>5.409388965240848</v>
      </c>
      <c r="AP988">
        <v>309.25787734978132</v>
      </c>
      <c r="AQ988">
        <v>37.940614989176893</v>
      </c>
      <c r="AR988">
        <v>4.9176263320371341</v>
      </c>
      <c r="AS988">
        <v>67.124999726581564</v>
      </c>
      <c r="AT988" t="e">
        <v>#DIV/0!</v>
      </c>
      <c r="AU988" t="e">
        <v>#DIV/0!</v>
      </c>
      <c r="AV988"/>
      <c r="AW988"/>
      <c r="FY988" s="213">
        <v>983</v>
      </c>
      <c r="FZ988">
        <v>2.7705984438954863</v>
      </c>
      <c r="GA988">
        <v>14.624938958677292</v>
      </c>
      <c r="GB988">
        <v>6.322590938765603</v>
      </c>
      <c r="GC988">
        <v>1.3808817209863009</v>
      </c>
      <c r="GD988">
        <v>1.9387629236086688</v>
      </c>
      <c r="GE988">
        <v>2.072351898640973</v>
      </c>
      <c r="GF988">
        <v>0.47734812494006024</v>
      </c>
      <c r="GG988">
        <v>1.7866400991329137</v>
      </c>
      <c r="GH988">
        <v>2.5769808871077484</v>
      </c>
      <c r="GI988">
        <v>3.7071212838072443</v>
      </c>
      <c r="GJ988"/>
      <c r="GK988"/>
      <c r="GL988"/>
      <c r="GM988"/>
      <c r="GN988" s="208"/>
      <c r="GO988" s="208"/>
      <c r="GP988" s="208"/>
      <c r="GQ988" s="208"/>
      <c r="GR988" s="208"/>
      <c r="GS988" s="208"/>
      <c r="GT988" s="208"/>
      <c r="GU988" s="213">
        <v>983</v>
      </c>
    </row>
    <row r="989" spans="1:203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32.731596748240918</v>
      </c>
      <c r="AO989">
        <v>8.0196998176027137</v>
      </c>
      <c r="AP989">
        <v>305.94008524706464</v>
      </c>
      <c r="AQ989">
        <v>47.48457451051118</v>
      </c>
      <c r="AR989">
        <v>7.3449074686800406</v>
      </c>
      <c r="AS989">
        <v>101.65644850416686</v>
      </c>
      <c r="AT989" t="e">
        <v>#DIV/0!</v>
      </c>
      <c r="AU989" t="e">
        <v>#DIV/0!</v>
      </c>
      <c r="AV989"/>
      <c r="AW989"/>
      <c r="FY989" s="213">
        <v>984</v>
      </c>
      <c r="FZ989">
        <v>0</v>
      </c>
      <c r="GA989">
        <v>14.287115651253771</v>
      </c>
      <c r="GB989">
        <v>7.1906989909340577</v>
      </c>
      <c r="GC989">
        <v>0.93809528275072762</v>
      </c>
      <c r="GD989">
        <v>1.7137159242249047</v>
      </c>
      <c r="GE989">
        <v>2.01391084182365</v>
      </c>
      <c r="GF989">
        <v>0</v>
      </c>
      <c r="GG989">
        <v>3.971627100404759</v>
      </c>
      <c r="GH989">
        <v>5.6809421599207131</v>
      </c>
      <c r="GI989">
        <v>3.7742893172480478</v>
      </c>
      <c r="GJ989"/>
      <c r="GK989"/>
      <c r="GL989"/>
      <c r="GM989"/>
      <c r="GN989" s="208"/>
      <c r="GO989" s="208"/>
      <c r="GP989" s="208"/>
      <c r="GQ989" s="208"/>
      <c r="GR989" s="208"/>
      <c r="GS989" s="208"/>
      <c r="GT989" s="208"/>
      <c r="GU989" s="213">
        <v>984</v>
      </c>
    </row>
    <row r="990" spans="1:203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33.421969487143976</v>
      </c>
      <c r="AO990">
        <v>9.7072495807921175</v>
      </c>
      <c r="AP990">
        <v>167.00848237581553</v>
      </c>
      <c r="AQ990">
        <v>62.44023489752702</v>
      </c>
      <c r="AR990">
        <v>8.9333148878934381</v>
      </c>
      <c r="AS990">
        <v>100.30837179992197</v>
      </c>
      <c r="AT990" t="e">
        <v>#DIV/0!</v>
      </c>
      <c r="AU990" t="e">
        <v>#DIV/0!</v>
      </c>
      <c r="AV990"/>
      <c r="AW990"/>
      <c r="FY990" s="213">
        <v>985</v>
      </c>
      <c r="FZ990">
        <v>1.1743222411384853</v>
      </c>
      <c r="GA990">
        <v>24.168729691109835</v>
      </c>
      <c r="GB990">
        <v>12.017462245383387</v>
      </c>
      <c r="GC990">
        <v>0.75746740119198852</v>
      </c>
      <c r="GD990">
        <v>2.3177916404987666</v>
      </c>
      <c r="GE990">
        <v>3.5261412318514616</v>
      </c>
      <c r="GF990">
        <v>0</v>
      </c>
      <c r="GG990">
        <v>4.9003276783417631</v>
      </c>
      <c r="GH990">
        <v>6.6781101422620921</v>
      </c>
      <c r="GI990">
        <v>5.7973666928210337</v>
      </c>
      <c r="GJ990"/>
      <c r="GK990"/>
      <c r="GL990"/>
      <c r="GM990"/>
      <c r="GN990" s="208"/>
      <c r="GO990" s="208"/>
      <c r="GP990" s="208"/>
      <c r="GQ990" s="208"/>
      <c r="GR990" s="208"/>
      <c r="GS990" s="208"/>
      <c r="GT990" s="208"/>
      <c r="GU990" s="213">
        <v>985</v>
      </c>
    </row>
    <row r="991" spans="1:203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23.021586345381525</v>
      </c>
      <c r="AO991">
        <v>5.127326837774719</v>
      </c>
      <c r="AP991">
        <v>88.792928166637978</v>
      </c>
      <c r="AQ991">
        <v>37.286184494429286</v>
      </c>
      <c r="AR991">
        <v>4.6612062161588348</v>
      </c>
      <c r="AS991">
        <v>67.711508719783438</v>
      </c>
      <c r="AT991" t="e">
        <v>#DIV/0!</v>
      </c>
      <c r="AU991" t="e">
        <v>#DIV/0!</v>
      </c>
      <c r="AV991"/>
      <c r="AW991"/>
      <c r="FY991" s="213">
        <v>986</v>
      </c>
      <c r="FZ991">
        <v>0.58716112056924263</v>
      </c>
      <c r="GA991">
        <v>10.546973926406157</v>
      </c>
      <c r="GB991">
        <v>5.3411116808121353</v>
      </c>
      <c r="GC991">
        <v>1.9401357941784985</v>
      </c>
      <c r="GD991">
        <v>2.6770781839829354</v>
      </c>
      <c r="GE991">
        <v>2.6962753334596057</v>
      </c>
      <c r="GF991">
        <v>0.47734812494006024</v>
      </c>
      <c r="GG991">
        <v>1.7866400991329137</v>
      </c>
      <c r="GH991">
        <v>2.5769808871077484</v>
      </c>
      <c r="GI991">
        <v>3.5269879185799549</v>
      </c>
      <c r="GJ991"/>
      <c r="GK991"/>
      <c r="GL991"/>
      <c r="GM991"/>
      <c r="GN991" s="208"/>
      <c r="GO991" s="208"/>
      <c r="GP991" s="208"/>
      <c r="GQ991" s="208"/>
      <c r="GR991" s="208"/>
      <c r="GS991" s="208"/>
      <c r="GT991" s="208"/>
      <c r="GU991" s="213">
        <v>986</v>
      </c>
    </row>
    <row r="992" spans="1:203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28.66610262890643</v>
      </c>
      <c r="AO992">
        <v>8.2725030229754335</v>
      </c>
      <c r="AP992">
        <v>414.77989534398534</v>
      </c>
      <c r="AQ992">
        <v>57.196288249356826</v>
      </c>
      <c r="AR992">
        <v>7.6289998353328166</v>
      </c>
      <c r="AS992">
        <v>93.910146001272182</v>
      </c>
      <c r="AT992" t="e">
        <v>#DIV/0!</v>
      </c>
      <c r="AU992" t="e">
        <v>#DIV/0!</v>
      </c>
      <c r="AV992"/>
      <c r="AW992"/>
      <c r="FY992" s="213">
        <v>987</v>
      </c>
      <c r="FZ992">
        <v>2.1834373233262436</v>
      </c>
      <c r="GA992">
        <v>10.508869754513425</v>
      </c>
      <c r="GB992">
        <v>4.3735887180039423</v>
      </c>
      <c r="GC992">
        <v>1.2197438435602614</v>
      </c>
      <c r="GD992">
        <v>2.4411603053050279</v>
      </c>
      <c r="GE992">
        <v>3.3400963226231966</v>
      </c>
      <c r="GF992">
        <v>0.47734812494006024</v>
      </c>
      <c r="GG992">
        <v>8.0792904425922103</v>
      </c>
      <c r="GH992">
        <v>11.7602450553455</v>
      </c>
      <c r="GI992">
        <v>4.9149041924377013</v>
      </c>
      <c r="GJ992"/>
      <c r="GK992"/>
      <c r="GL992"/>
      <c r="GM992"/>
      <c r="GN992" s="208"/>
      <c r="GO992" s="208"/>
      <c r="GP992" s="208"/>
      <c r="GQ992" s="208"/>
      <c r="GR992" s="208"/>
      <c r="GS992" s="208"/>
      <c r="GT992" s="208"/>
      <c r="GU992" s="213">
        <v>987</v>
      </c>
    </row>
    <row r="993" spans="1:203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25.616156951286264</v>
      </c>
      <c r="AO993">
        <v>6.8204236555845581</v>
      </c>
      <c r="AP993">
        <v>296.30042833193176</v>
      </c>
      <c r="AQ993">
        <v>41.670047217246641</v>
      </c>
      <c r="AR993">
        <v>6.2546564122999007</v>
      </c>
      <c r="AS993">
        <v>63.187228003294472</v>
      </c>
      <c r="AT993" t="e">
        <v>#DIV/0!</v>
      </c>
      <c r="AU993" t="e">
        <v>#DIV/0!</v>
      </c>
      <c r="AV993"/>
      <c r="AW993"/>
      <c r="FY993" s="213">
        <v>988</v>
      </c>
      <c r="FZ993">
        <v>1.596276202757001</v>
      </c>
      <c r="GA993">
        <v>24.052855420219728</v>
      </c>
      <c r="GB993">
        <v>10.870201623312113</v>
      </c>
      <c r="GC993">
        <v>0.90506288060384632</v>
      </c>
      <c r="GD993">
        <v>2.2723714209521111</v>
      </c>
      <c r="GE993">
        <v>3.2042307372696666</v>
      </c>
      <c r="GF993">
        <v>0</v>
      </c>
      <c r="GG993">
        <v>2.1849870012718453</v>
      </c>
      <c r="GH993">
        <v>3.1039612728129642</v>
      </c>
      <c r="GI993">
        <v>5.0242869145952112</v>
      </c>
      <c r="GJ993"/>
      <c r="GK993"/>
      <c r="GL993"/>
      <c r="GM993"/>
      <c r="GN993" s="208"/>
      <c r="GO993" s="208"/>
      <c r="GP993" s="208"/>
      <c r="GQ993" s="208"/>
      <c r="GR993" s="208"/>
      <c r="GS993" s="208"/>
      <c r="GT993" s="208"/>
      <c r="GU993" s="213">
        <v>988</v>
      </c>
    </row>
    <row r="994" spans="1:203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27.471009036144572</v>
      </c>
      <c r="AO994">
        <v>6.4376488648024708</v>
      </c>
      <c r="AP994">
        <v>159.47074922268408</v>
      </c>
      <c r="AQ994">
        <v>38.759157866305387</v>
      </c>
      <c r="AR994">
        <v>5.8524080589113376</v>
      </c>
      <c r="AS994">
        <v>73.162348359566664</v>
      </c>
      <c r="AT994" t="e">
        <v>#DIV/0!</v>
      </c>
      <c r="AU994" t="e">
        <v>#DIV/0!</v>
      </c>
      <c r="AV994"/>
      <c r="AW994"/>
      <c r="FY994" s="213">
        <v>989</v>
      </c>
      <c r="FZ994">
        <v>3.3577595644647293</v>
      </c>
      <c r="GA994">
        <v>15.482991423876618</v>
      </c>
      <c r="GB994">
        <v>6.8479744164121445</v>
      </c>
      <c r="GC994">
        <v>0.93809528275072762</v>
      </c>
      <c r="GD994">
        <v>1.5732388367013708</v>
      </c>
      <c r="GE994">
        <v>1.7251969631578217</v>
      </c>
      <c r="GF994">
        <v>0</v>
      </c>
      <c r="GG994">
        <v>3.5153745887199328</v>
      </c>
      <c r="GH994">
        <v>4.860834156844172</v>
      </c>
      <c r="GI994">
        <v>3.8930676360494956</v>
      </c>
      <c r="GJ994"/>
      <c r="GK994"/>
      <c r="GL994"/>
      <c r="GM994"/>
      <c r="GN994" s="208"/>
      <c r="GO994" s="208"/>
      <c r="GP994" s="208"/>
      <c r="GQ994" s="208"/>
      <c r="GR994" s="208"/>
      <c r="GS994" s="208"/>
      <c r="GT994" s="208"/>
      <c r="GU994" s="213">
        <v>989</v>
      </c>
    </row>
    <row r="995" spans="1:203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24.255302820477311</v>
      </c>
      <c r="AO995">
        <v>9.3302264325729816</v>
      </c>
      <c r="AP995">
        <v>246.97987118312776</v>
      </c>
      <c r="AQ995">
        <v>61.098209188967765</v>
      </c>
      <c r="AR995">
        <v>8.590566571330589</v>
      </c>
      <c r="AS995">
        <v>89.718971410990804</v>
      </c>
      <c r="AT995" t="e">
        <v>#DIV/0!</v>
      </c>
      <c r="AU995" t="e">
        <v>#DIV/0!</v>
      </c>
      <c r="AV995"/>
      <c r="AW995"/>
      <c r="FY995" s="213">
        <v>990</v>
      </c>
      <c r="FZ995">
        <v>3.7797135260832437</v>
      </c>
      <c r="GA995">
        <v>11.30903394397177</v>
      </c>
      <c r="GB995">
        <v>3.8291764758422948</v>
      </c>
      <c r="GC995">
        <v>0.86060765605950218</v>
      </c>
      <c r="GD995">
        <v>2.4302365734730396</v>
      </c>
      <c r="GE995">
        <v>4.1792782036628813</v>
      </c>
      <c r="GF995">
        <v>0.95469624988012047</v>
      </c>
      <c r="GG995">
        <v>0.21347751326808947</v>
      </c>
      <c r="GH995">
        <v>0.28116484504831013</v>
      </c>
      <c r="GI995">
        <v>3.3221221413738236</v>
      </c>
      <c r="GJ995"/>
      <c r="GK995"/>
      <c r="GL995"/>
      <c r="GM995"/>
      <c r="GN995" s="208"/>
      <c r="GO995" s="208"/>
      <c r="GP995" s="208"/>
      <c r="GQ995" s="208"/>
      <c r="GR995" s="208"/>
      <c r="GS995" s="208"/>
      <c r="GT995" s="208"/>
      <c r="GU995" s="213">
        <v>990</v>
      </c>
    </row>
    <row r="996" spans="1:203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20.375924057477853</v>
      </c>
      <c r="AO996">
        <v>8.1107970148128885</v>
      </c>
      <c r="AP996">
        <v>134.98022335968471</v>
      </c>
      <c r="AQ996">
        <v>58.457720940790473</v>
      </c>
      <c r="AR996">
        <v>7.427723102507473</v>
      </c>
      <c r="AS996">
        <v>68.334773159851281</v>
      </c>
      <c r="AT996" t="e">
        <v>#DIV/0!</v>
      </c>
      <c r="AU996" t="e">
        <v>#DIV/0!</v>
      </c>
      <c r="AV996"/>
      <c r="AW996"/>
      <c r="FY996" s="213">
        <v>991</v>
      </c>
      <c r="FZ996">
        <v>1.1743222411384853</v>
      </c>
      <c r="GA996">
        <v>16.755075540284924</v>
      </c>
      <c r="GB996">
        <v>8.4402957675066119</v>
      </c>
      <c r="GC996">
        <v>0.71301217664764449</v>
      </c>
      <c r="GD996">
        <v>1.6323602046768184</v>
      </c>
      <c r="GE996">
        <v>2.2039248471433455</v>
      </c>
      <c r="GF996">
        <v>0</v>
      </c>
      <c r="GG996">
        <v>2.105186315348972</v>
      </c>
      <c r="GH996">
        <v>2.8823658966879071</v>
      </c>
      <c r="GI996">
        <v>3.8003966669304012</v>
      </c>
      <c r="GJ996"/>
      <c r="GK996"/>
      <c r="GL996"/>
      <c r="GM996"/>
      <c r="GN996" s="208"/>
      <c r="GO996" s="208"/>
      <c r="GP996" s="208"/>
      <c r="GQ996" s="208"/>
      <c r="GR996" s="208"/>
      <c r="GS996" s="208"/>
      <c r="GT996" s="208"/>
      <c r="GU996" s="213">
        <v>991</v>
      </c>
    </row>
    <row r="997" spans="1:203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35.445693488238668</v>
      </c>
      <c r="AO997">
        <v>7.0865380142946979</v>
      </c>
      <c r="AP997">
        <v>108.31863968654447</v>
      </c>
      <c r="AQ997">
        <v>44.356076401180367</v>
      </c>
      <c r="AR997">
        <v>6.4423072857224506</v>
      </c>
      <c r="AS997">
        <v>89.610189909726998</v>
      </c>
      <c r="AT997" t="e">
        <v>#DIV/0!</v>
      </c>
      <c r="AU997" t="e">
        <v>#DIV/0!</v>
      </c>
      <c r="AV997"/>
      <c r="AW997"/>
      <c r="FY997" s="213">
        <v>992</v>
      </c>
      <c r="FZ997">
        <v>0</v>
      </c>
      <c r="GA997">
        <v>10.11169413554515</v>
      </c>
      <c r="GB997">
        <v>4.9348784991724113</v>
      </c>
      <c r="GC997">
        <v>0.83495502788321374</v>
      </c>
      <c r="GD997">
        <v>1.6347392048337122</v>
      </c>
      <c r="GE997">
        <v>2.01391084182365</v>
      </c>
      <c r="GF997">
        <v>0</v>
      </c>
      <c r="GG997">
        <v>0</v>
      </c>
      <c r="GH997">
        <v>0</v>
      </c>
      <c r="GI997">
        <v>2.2716126556061571</v>
      </c>
      <c r="GJ997"/>
      <c r="GK997"/>
      <c r="GL997"/>
      <c r="GM997"/>
      <c r="GN997" s="208"/>
      <c r="GO997" s="208"/>
      <c r="GP997" s="208"/>
      <c r="GQ997" s="208"/>
      <c r="GR997" s="208"/>
      <c r="GS997" s="208"/>
      <c r="GT997" s="208"/>
      <c r="GU997" s="213">
        <v>992</v>
      </c>
    </row>
    <row r="998" spans="1:203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28.953886976477339</v>
      </c>
      <c r="AO998">
        <v>6.8761123156004142</v>
      </c>
      <c r="AP998">
        <v>169.03879047641163</v>
      </c>
      <c r="AQ998">
        <v>42.542429661675314</v>
      </c>
      <c r="AR998">
        <v>6.251011196000376</v>
      </c>
      <c r="AS998">
        <v>71.79165067594657</v>
      </c>
      <c r="AT998" t="e">
        <v>#DIV/0!</v>
      </c>
      <c r="AU998" t="e">
        <v>#DIV/0!</v>
      </c>
      <c r="AV998"/>
      <c r="AW998"/>
      <c r="FY998" s="213">
        <v>993</v>
      </c>
      <c r="FZ998">
        <v>2.1834373233262436</v>
      </c>
      <c r="GA998">
        <v>18.706975310381178</v>
      </c>
      <c r="GB998">
        <v>8.3920953094751436</v>
      </c>
      <c r="GC998">
        <v>1.4704795778396331</v>
      </c>
      <c r="GD998">
        <v>1.3568448011772367</v>
      </c>
      <c r="GE998">
        <v>0.75013551393285716</v>
      </c>
      <c r="GF998">
        <v>0.47734812494006024</v>
      </c>
      <c r="GG998">
        <v>5.6498583892175525</v>
      </c>
      <c r="GH998">
        <v>8.0009783665119993</v>
      </c>
      <c r="GI998">
        <v>4.6235923158200736</v>
      </c>
      <c r="GJ998"/>
      <c r="GK998"/>
      <c r="GL998"/>
      <c r="GM998"/>
      <c r="GN998" s="208"/>
      <c r="GO998" s="208"/>
      <c r="GP998" s="208"/>
      <c r="GQ998" s="208"/>
      <c r="GR998" s="208"/>
      <c r="GS998" s="208"/>
      <c r="GT998" s="208"/>
      <c r="GU998" s="213">
        <v>993</v>
      </c>
    </row>
    <row r="999" spans="1:203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24.729184595524959</v>
      </c>
      <c r="AO999">
        <v>5.7029346727221402</v>
      </c>
      <c r="AP999">
        <v>108.86380583828442</v>
      </c>
      <c r="AQ999">
        <v>37.658215279562299</v>
      </c>
      <c r="AR999">
        <v>5.2930286078298225</v>
      </c>
      <c r="AS999">
        <v>70.109004949616562</v>
      </c>
      <c r="AT999" t="e">
        <v>#DIV/0!</v>
      </c>
      <c r="AU999" t="e">
        <v>#DIV/0!</v>
      </c>
      <c r="AV999"/>
      <c r="AW999"/>
      <c r="FY999" s="213">
        <v>994</v>
      </c>
      <c r="FZ999">
        <v>0.58716112056924263</v>
      </c>
      <c r="GA999">
        <v>12.61922223227281</v>
      </c>
      <c r="GB999">
        <v>6.389020789744956</v>
      </c>
      <c r="GC999">
        <v>2.1908715284578704</v>
      </c>
      <c r="GD999">
        <v>2.503221169137777</v>
      </c>
      <c r="GE999">
        <v>1.6574259408609204</v>
      </c>
      <c r="GF999">
        <v>0</v>
      </c>
      <c r="GG999">
        <v>4.1817645063006967</v>
      </c>
      <c r="GH999">
        <v>5.7293824889844096</v>
      </c>
      <c r="GI999">
        <v>4.0258620321766072</v>
      </c>
      <c r="GJ999"/>
      <c r="GK999"/>
      <c r="GL999"/>
      <c r="GM999"/>
      <c r="GN999" s="208"/>
      <c r="GO999" s="208"/>
      <c r="GP999" s="208"/>
      <c r="GQ999" s="208"/>
      <c r="GR999" s="208"/>
      <c r="GS999" s="208"/>
      <c r="GT999" s="208"/>
      <c r="GU999" s="213">
        <v>994</v>
      </c>
    </row>
    <row r="1000" spans="1:203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22.08641297538265</v>
      </c>
      <c r="AO1000">
        <v>5.9641684638230803</v>
      </c>
      <c r="AP1000">
        <v>296.99921243270137</v>
      </c>
      <c r="AQ1000">
        <v>39.570395268560631</v>
      </c>
      <c r="AR1000">
        <v>5.4219713307482547</v>
      </c>
      <c r="AS1000">
        <v>78.443434816780524</v>
      </c>
      <c r="AT1000" t="e">
        <v>#DIV/0!</v>
      </c>
      <c r="AU1000" t="e">
        <v>#DIV/0!</v>
      </c>
      <c r="AV1000"/>
      <c r="AW1000"/>
      <c r="FY1000" s="213">
        <v>995</v>
      </c>
      <c r="FZ1000">
        <v>5.3759897288402456</v>
      </c>
      <c r="GA1000">
        <v>17.745958636261982</v>
      </c>
      <c r="GB1000">
        <v>5.8673579275271859</v>
      </c>
      <c r="GC1000">
        <v>1.4077514990895934</v>
      </c>
      <c r="GD1000">
        <v>1.3085858179089147</v>
      </c>
      <c r="GE1000">
        <v>1.042818488690116</v>
      </c>
      <c r="GF1000">
        <v>0.95469624988012047</v>
      </c>
      <c r="GG1000">
        <v>3.7581495871366699</v>
      </c>
      <c r="GH1000">
        <v>5.3997773148724022</v>
      </c>
      <c r="GI1000">
        <v>4.15770733673072</v>
      </c>
      <c r="GJ1000"/>
      <c r="GK1000"/>
      <c r="GL1000"/>
      <c r="GM1000"/>
      <c r="GN1000" s="208"/>
      <c r="GO1000" s="208"/>
      <c r="GP1000" s="208"/>
      <c r="GQ1000" s="208"/>
      <c r="GR1000" s="208"/>
      <c r="GS1000" s="208"/>
      <c r="GT1000" s="208"/>
      <c r="GU1000" s="213">
        <v>995</v>
      </c>
    </row>
    <row r="1001" spans="1:203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25.78515024795405</v>
      </c>
      <c r="AO1001">
        <v>8.9671657940113949</v>
      </c>
      <c r="AP1001">
        <v>427.68283958713687</v>
      </c>
      <c r="AQ1001">
        <v>61.337718964598814</v>
      </c>
      <c r="AR1001">
        <v>8.2605114453655073</v>
      </c>
      <c r="AS1001">
        <v>86.470688422335201</v>
      </c>
      <c r="AT1001" t="e">
        <v>#DIV/0!</v>
      </c>
      <c r="AU1001" t="e">
        <v>#DIV/0!</v>
      </c>
      <c r="AV1001"/>
      <c r="AW1001"/>
      <c r="FY1001" s="213">
        <v>996</v>
      </c>
      <c r="FZ1001">
        <v>1.7614833617077283</v>
      </c>
      <c r="GA1001">
        <v>18.2754500332037</v>
      </c>
      <c r="GB1001">
        <v>9.1681662843601117</v>
      </c>
      <c r="GC1001">
        <v>1.4778593518102259</v>
      </c>
      <c r="GD1001">
        <v>2.229614696706061</v>
      </c>
      <c r="GE1001">
        <v>2.5062613281399106</v>
      </c>
      <c r="GF1001">
        <v>0.47734812494006024</v>
      </c>
      <c r="GG1001">
        <v>3.0086188762608805</v>
      </c>
      <c r="GH1001">
        <v>4.0769090906224941</v>
      </c>
      <c r="GI1001">
        <v>4.5843760152406583</v>
      </c>
      <c r="GJ1001"/>
      <c r="GK1001"/>
      <c r="GL1001"/>
      <c r="GM1001"/>
      <c r="GN1001" s="208"/>
      <c r="GO1001" s="208"/>
      <c r="GP1001" s="208"/>
      <c r="GQ1001" s="208"/>
      <c r="GR1001" s="208"/>
      <c r="GS1001" s="208"/>
      <c r="GT1001" s="208"/>
      <c r="GU1001" s="213">
        <v>996</v>
      </c>
    </row>
    <row r="1002" spans="1:203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31.842279833620182</v>
      </c>
      <c r="AO1002">
        <v>5.3929657358575103</v>
      </c>
      <c r="AP1002">
        <v>247.20669351750894</v>
      </c>
      <c r="AQ1002">
        <v>32.156693069169251</v>
      </c>
      <c r="AR1002">
        <v>4.9569673943662211</v>
      </c>
      <c r="AS1002">
        <v>77.711073927564584</v>
      </c>
      <c r="AT1002" t="e">
        <v>#DIV/0!</v>
      </c>
      <c r="AU1002" t="e">
        <v>#DIV/0!</v>
      </c>
      <c r="AV1002"/>
      <c r="AW1002"/>
      <c r="FY1002" s="213">
        <v>997</v>
      </c>
      <c r="FZ1002">
        <v>1.596276202757001</v>
      </c>
      <c r="GA1002">
        <v>18.82773837130895</v>
      </c>
      <c r="GB1002">
        <v>8.4015950151257126</v>
      </c>
      <c r="GC1002">
        <v>0</v>
      </c>
      <c r="GD1002">
        <v>0.15897076841329566</v>
      </c>
      <c r="GE1002">
        <v>0.61459346933905445</v>
      </c>
      <c r="GF1002">
        <v>0.47734812494006024</v>
      </c>
      <c r="GG1002">
        <v>8.1533916067054566</v>
      </c>
      <c r="GH1002">
        <v>11.410324648905121</v>
      </c>
      <c r="GI1002">
        <v>4.4172625202157416</v>
      </c>
      <c r="GJ1002"/>
      <c r="GK1002"/>
      <c r="GL1002"/>
      <c r="GM1002"/>
      <c r="GN1002" s="208"/>
      <c r="GO1002" s="208"/>
      <c r="GP1002" s="208"/>
      <c r="GQ1002" s="208"/>
      <c r="GR1002" s="208"/>
      <c r="GS1002" s="208"/>
      <c r="GT1002" s="208"/>
      <c r="GU1002" s="213">
        <v>997</v>
      </c>
    </row>
    <row r="1003" spans="1:203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30.630970309810671</v>
      </c>
      <c r="AO1003">
        <v>7.9320677699819457</v>
      </c>
      <c r="AP1003">
        <v>288.28837623302888</v>
      </c>
      <c r="AQ1003">
        <v>49.298684082647576</v>
      </c>
      <c r="AR1003">
        <v>7.2652419708429807</v>
      </c>
      <c r="AS1003">
        <v>82.619687941215744</v>
      </c>
      <c r="AT1003" t="e">
        <v>#DIV/0!</v>
      </c>
      <c r="AU1003" t="e">
        <v>#DIV/0!</v>
      </c>
      <c r="AV1003"/>
      <c r="AW1003"/>
      <c r="FY1003" s="213">
        <v>998</v>
      </c>
      <c r="FZ1003">
        <v>1.596276202757001</v>
      </c>
      <c r="GA1003">
        <v>11.905983690098548</v>
      </c>
      <c r="GB1003">
        <v>5.078773252414849</v>
      </c>
      <c r="GC1003">
        <v>1.3046112442220796</v>
      </c>
      <c r="GD1003">
        <v>2.9983387088365507</v>
      </c>
      <c r="GE1003">
        <v>4.3404022127495177</v>
      </c>
      <c r="GF1003">
        <v>0.47734812494006024</v>
      </c>
      <c r="GG1003">
        <v>5.9684046054336104</v>
      </c>
      <c r="GH1003">
        <v>8.3063633760921576</v>
      </c>
      <c r="GI1003">
        <v>4.7793386455004105</v>
      </c>
      <c r="GJ1003"/>
      <c r="GK1003"/>
      <c r="GL1003"/>
      <c r="GM1003"/>
      <c r="GN1003" s="208"/>
      <c r="GO1003" s="208"/>
      <c r="GP1003" s="208"/>
      <c r="GQ1003" s="208"/>
      <c r="GR1003" s="208"/>
      <c r="GS1003" s="208"/>
      <c r="GT1003" s="208"/>
      <c r="GU1003" s="213">
        <v>998</v>
      </c>
    </row>
    <row r="1004" spans="1:203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21.172704570333877</v>
      </c>
      <c r="AO1004">
        <v>8.0259047080180892</v>
      </c>
      <c r="AP1004">
        <v>135.08945602442571</v>
      </c>
      <c r="AQ1004">
        <v>53.214233473794479</v>
      </c>
      <c r="AR1004">
        <v>7.2962770072891709</v>
      </c>
      <c r="AS1004">
        <v>78.964336024365878</v>
      </c>
      <c r="AT1004" t="e">
        <v>#DIV/0!</v>
      </c>
      <c r="AU1004" t="e">
        <v>#DIV/0!</v>
      </c>
      <c r="AV1004"/>
      <c r="AW1004"/>
      <c r="FY1004" s="213">
        <v>999</v>
      </c>
      <c r="FZ1004">
        <v>4.3668746466524873</v>
      </c>
      <c r="GA1004">
        <v>17.15129936801495</v>
      </c>
      <c r="GB1004">
        <v>6.5630427562875226</v>
      </c>
      <c r="GC1004">
        <v>0.2951909588237156</v>
      </c>
      <c r="GD1004">
        <v>0.41954007972965551</v>
      </c>
      <c r="GE1004">
        <v>0.38968151687869679</v>
      </c>
      <c r="GF1004">
        <v>0</v>
      </c>
      <c r="GG1004">
        <v>7.4348284346643911</v>
      </c>
      <c r="GH1004">
        <v>10.461596995627442</v>
      </c>
      <c r="GI1004">
        <v>4.2827768463652678</v>
      </c>
      <c r="GJ1004"/>
      <c r="GK1004"/>
      <c r="GL1004"/>
      <c r="GM1004"/>
      <c r="GN1004" s="208"/>
      <c r="GO1004" s="208"/>
      <c r="GP1004" s="208"/>
      <c r="GQ1004" s="208"/>
      <c r="GR1004" s="208"/>
      <c r="GS1004" s="208"/>
      <c r="GT1004" s="208"/>
      <c r="GU1004" s="213">
        <v>999</v>
      </c>
    </row>
    <row r="1005" spans="1:203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29.532259580192694</v>
      </c>
      <c r="AO1005">
        <v>5.813261419445924</v>
      </c>
      <c r="AP1005">
        <v>105.97200351115623</v>
      </c>
      <c r="AQ1005">
        <v>42.194532868977007</v>
      </c>
      <c r="AR1005">
        <v>5.4475969211653839</v>
      </c>
      <c r="AS1005">
        <v>86.841340878065097</v>
      </c>
      <c r="AT1005" t="e">
        <v>#DIV/0!</v>
      </c>
      <c r="AU1005" t="e">
        <v>#DIV/0!</v>
      </c>
      <c r="AV1005"/>
      <c r="AW1005"/>
      <c r="FY1005" s="213">
        <v>1000</v>
      </c>
      <c r="FZ1005">
        <v>2.7705984438954863</v>
      </c>
      <c r="GA1005">
        <v>20.837209611396961</v>
      </c>
      <c r="GB1005">
        <v>9.5174693206710508</v>
      </c>
      <c r="GC1005">
        <v>1.4003717251190004</v>
      </c>
      <c r="GD1005">
        <v>2.1611794115017782</v>
      </c>
      <c r="GE1005">
        <v>2.7892907966578626</v>
      </c>
      <c r="GF1005">
        <v>0.95469624988012047</v>
      </c>
      <c r="GG1005">
        <v>2.1849870012718453</v>
      </c>
      <c r="GH1005">
        <v>3.1039612728129642</v>
      </c>
      <c r="GI1005">
        <v>4.8563875670878982</v>
      </c>
      <c r="GJ1005"/>
      <c r="GK1005"/>
      <c r="GL1005"/>
      <c r="GM1005"/>
      <c r="GN1005" s="208"/>
      <c r="GO1005" s="208"/>
      <c r="GP1005" s="208"/>
      <c r="GQ1005" s="208"/>
      <c r="GR1005" s="208"/>
      <c r="GS1005" s="208"/>
      <c r="GT1005" s="208"/>
      <c r="GU1005" s="213">
        <v>1000</v>
      </c>
    </row>
    <row r="1006" spans="1:203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17.748529833620196</v>
      </c>
      <c r="AO1006">
        <v>5.0987788812018362</v>
      </c>
      <c r="AP1006">
        <v>64.381670305703381</v>
      </c>
      <c r="AQ1006">
        <v>31.159507128663076</v>
      </c>
      <c r="AR1006">
        <v>4.6895247992246976</v>
      </c>
      <c r="AS1006">
        <v>54.860678296015529</v>
      </c>
      <c r="AT1006" t="e">
        <v>#DIV/0!</v>
      </c>
      <c r="AU1006" t="e">
        <v>#DIV/0!</v>
      </c>
      <c r="AV1006"/>
      <c r="AW1006"/>
    </row>
    <row r="1007" spans="1:203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18.335592369477915</v>
      </c>
      <c r="AO1007">
        <v>5.7655261664432702</v>
      </c>
      <c r="AP1007">
        <v>270.96518478027872</v>
      </c>
      <c r="AQ1007">
        <v>39.706939656365115</v>
      </c>
      <c r="AR1007">
        <v>5.3499299657581236</v>
      </c>
      <c r="AS1007">
        <v>58.149432328980012</v>
      </c>
      <c r="AT1007" t="e">
        <v>#DIV/0!</v>
      </c>
      <c r="AU1007" t="e">
        <v>#DIV/0!</v>
      </c>
      <c r="AV1007"/>
      <c r="AW1007"/>
    </row>
    <row r="1008" spans="1:203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16.025297619047617</v>
      </c>
      <c r="AO1008">
        <v>3.5653522384634639</v>
      </c>
      <c r="AP1008">
        <v>157.71635464139868</v>
      </c>
      <c r="AQ1008">
        <v>21.801790364864289</v>
      </c>
      <c r="AR1008">
        <v>3.2412293076940579</v>
      </c>
      <c r="AS1008">
        <v>43.067380967699208</v>
      </c>
      <c r="AT1008" t="e">
        <v>#DIV/0!</v>
      </c>
      <c r="AU1008" t="e">
        <v>#DIV/0!</v>
      </c>
      <c r="AV1008"/>
      <c r="AW1008"/>
    </row>
    <row r="1009" spans="1:49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28.520183772858264</v>
      </c>
      <c r="AO1009">
        <v>7.2596717242444599</v>
      </c>
      <c r="AP1009">
        <v>192.75424576131931</v>
      </c>
      <c r="AQ1009">
        <v>51.611745032621982</v>
      </c>
      <c r="AR1009">
        <v>6.6539728383543579</v>
      </c>
      <c r="AS1009">
        <v>77.887640866299151</v>
      </c>
      <c r="AT1009" t="e">
        <v>#DIV/0!</v>
      </c>
      <c r="AU1009" t="e">
        <v>#DIV/0!</v>
      </c>
      <c r="AV1009"/>
      <c r="AW1009"/>
    </row>
    <row r="1010" spans="1:49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36.272406951286264</v>
      </c>
      <c r="AO1010">
        <v>6.0776608640353311</v>
      </c>
      <c r="AP1010">
        <v>303.43333773880238</v>
      </c>
      <c r="AQ1010">
        <v>39.883931808505281</v>
      </c>
      <c r="AR1010">
        <v>5.5794175108915098</v>
      </c>
      <c r="AS1010">
        <v>83.352156788285868</v>
      </c>
      <c r="AT1010" t="e">
        <v>#DIV/0!</v>
      </c>
      <c r="AU1010" t="e">
        <v>#DIV/0!</v>
      </c>
      <c r="AV1010"/>
      <c r="AW1010"/>
    </row>
    <row r="1011" spans="1:49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24.764966475095783</v>
      </c>
      <c r="AO1011">
        <v>6.6171700928826009</v>
      </c>
      <c r="AP1011">
        <v>153.00499511023745</v>
      </c>
      <c r="AQ1011">
        <v>47.018792586937948</v>
      </c>
      <c r="AR1011">
        <v>6.0698804462072129</v>
      </c>
      <c r="AS1011">
        <v>75.541531933585404</v>
      </c>
      <c r="AT1011" t="e">
        <v>#DIV/0!</v>
      </c>
      <c r="AU1011" t="e">
        <v>#DIV/0!</v>
      </c>
      <c r="AV1011"/>
      <c r="AW1011"/>
    </row>
    <row r="1012" spans="1:49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34.985290093048704</v>
      </c>
      <c r="AO1012">
        <v>6.8183885971210128</v>
      </c>
      <c r="AP1012">
        <v>330.20016766913074</v>
      </c>
      <c r="AQ1012">
        <v>47.566087162991828</v>
      </c>
      <c r="AR1012">
        <v>6.3613489008700101</v>
      </c>
      <c r="AS1012">
        <v>96.943162747824758</v>
      </c>
      <c r="AT1012" t="e">
        <v>#DIV/0!</v>
      </c>
      <c r="AU1012" t="e">
        <v>#DIV/0!</v>
      </c>
      <c r="AV1012"/>
      <c r="AW1012"/>
    </row>
    <row r="1013" spans="1:49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15.677272307621289</v>
      </c>
      <c r="AO1013">
        <v>7.1004987173679526</v>
      </c>
      <c r="AP1013">
        <v>220.79565586200596</v>
      </c>
      <c r="AQ1013">
        <v>54.057500727710391</v>
      </c>
      <c r="AR1013">
        <v>6.4549988339708673</v>
      </c>
      <c r="AS1013">
        <v>65.477836198292252</v>
      </c>
      <c r="AT1013" t="e">
        <v>#DIV/0!</v>
      </c>
      <c r="AU1013" t="e">
        <v>#DIV/0!</v>
      </c>
      <c r="AV1013"/>
      <c r="AW1013"/>
    </row>
    <row r="1014" spans="1:49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32.284329642049315</v>
      </c>
      <c r="AO1014">
        <v>7.4863469388070687</v>
      </c>
      <c r="AP1014">
        <v>233.07708591477666</v>
      </c>
      <c r="AQ1014">
        <v>46.755840063044779</v>
      </c>
      <c r="AR1014">
        <v>6.8057699443700637</v>
      </c>
      <c r="AS1014">
        <v>84.516376992964723</v>
      </c>
      <c r="AT1014" t="e">
        <v>#DIV/0!</v>
      </c>
      <c r="AU1014" t="e">
        <v>#DIV/0!</v>
      </c>
      <c r="AV1014"/>
      <c r="AW1014"/>
    </row>
    <row r="1015" spans="1:49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15.759767106191598</v>
      </c>
      <c r="AO1015">
        <v>6.7988005619959608</v>
      </c>
      <c r="AP1015">
        <v>190.66953961960016</v>
      </c>
      <c r="AQ1015">
        <v>51.364831603044124</v>
      </c>
      <c r="AR1015">
        <v>6.2892703253514792</v>
      </c>
      <c r="AS1015">
        <v>54.188095870168603</v>
      </c>
      <c r="AT1015" t="e">
        <v>#DIV/0!</v>
      </c>
      <c r="AU1015" t="e">
        <v>#DIV/0!</v>
      </c>
      <c r="AV1015"/>
      <c r="AW1015"/>
    </row>
    <row r="1016" spans="1:49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26.376573617952921</v>
      </c>
      <c r="AO1016">
        <v>7.4636155261938626</v>
      </c>
      <c r="AP1016">
        <v>126.10450678748694</v>
      </c>
      <c r="AQ1016">
        <v>50.576151400294968</v>
      </c>
      <c r="AR1016">
        <v>6.8936475655313885</v>
      </c>
      <c r="AS1016">
        <v>86.125853448503705</v>
      </c>
      <c r="AT1016" t="e">
        <v>#DIV/0!</v>
      </c>
      <c r="AU1016" t="e">
        <v>#DIV/0!</v>
      </c>
      <c r="AV1016"/>
      <c r="AW1016"/>
    </row>
    <row r="1017" spans="1:49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49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49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49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49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49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49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49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71">
    <mergeCell ref="FU16:FV16"/>
    <mergeCell ref="FS16:FT16"/>
    <mergeCell ref="FQ16:FR16"/>
    <mergeCell ref="FU15:FV15"/>
    <mergeCell ref="FS15:FT15"/>
    <mergeCell ref="FQ15:FR15"/>
    <mergeCell ref="FU14:FV14"/>
    <mergeCell ref="FS14:FT14"/>
    <mergeCell ref="FQ14:FR14"/>
    <mergeCell ref="FU13:FV13"/>
    <mergeCell ref="FS13:FT13"/>
    <mergeCell ref="FQ13:FR13"/>
    <mergeCell ref="FU12:FV12"/>
    <mergeCell ref="FS12:FT12"/>
    <mergeCell ref="FQ12:FR12"/>
    <mergeCell ref="FU11:FV11"/>
    <mergeCell ref="FS11:FT11"/>
    <mergeCell ref="FQ11:FR11"/>
    <mergeCell ref="FU10:FV10"/>
    <mergeCell ref="FS10:FT10"/>
    <mergeCell ref="FQ10:FR10"/>
    <mergeCell ref="FU9:FV9"/>
    <mergeCell ref="FS9:FT9"/>
    <mergeCell ref="FQ9:FR9"/>
    <mergeCell ref="FU8:FV8"/>
    <mergeCell ref="FS8:FT8"/>
    <mergeCell ref="FQ8:FR8"/>
    <mergeCell ref="FU7:FV7"/>
    <mergeCell ref="FS7:FT7"/>
    <mergeCell ref="FQ7:FR7"/>
    <mergeCell ref="FU6:FV6"/>
    <mergeCell ref="FS6:FT6"/>
    <mergeCell ref="FQ6:FR6"/>
    <mergeCell ref="FR4:FU4"/>
    <mergeCell ref="CW86:CX86"/>
    <mergeCell ref="FK10:FL10"/>
    <mergeCell ref="FM10:FN10"/>
    <mergeCell ref="FI11:FJ11"/>
    <mergeCell ref="FK11:FL11"/>
    <mergeCell ref="FM11:FN11"/>
    <mergeCell ref="FI12:FJ12"/>
    <mergeCell ref="FK12:FL12"/>
    <mergeCell ref="FM12:FN12"/>
    <mergeCell ref="FI13:FJ13"/>
    <mergeCell ref="FK13:FL13"/>
    <mergeCell ref="FM13:FN13"/>
    <mergeCell ref="O455:R455"/>
    <mergeCell ref="GC2:GI2"/>
    <mergeCell ref="FJ4:FM4"/>
    <mergeCell ref="FI6:FJ6"/>
    <mergeCell ref="FK6:FL6"/>
    <mergeCell ref="FM6:FN6"/>
    <mergeCell ref="FI7:FJ7"/>
    <mergeCell ref="FK7:FL7"/>
    <mergeCell ref="FM7:FN7"/>
    <mergeCell ref="FI8:FJ8"/>
    <mergeCell ref="FK8:FL8"/>
    <mergeCell ref="FM8:FN8"/>
    <mergeCell ref="FI9:FJ9"/>
    <mergeCell ref="FK9:FL9"/>
    <mergeCell ref="FM9:FN9"/>
    <mergeCell ref="FI10:FJ10"/>
    <mergeCell ref="FI16:FJ16"/>
    <mergeCell ref="FK16:FL16"/>
    <mergeCell ref="FM16:FN16"/>
    <mergeCell ref="FI14:FJ14"/>
    <mergeCell ref="FK14:FL14"/>
    <mergeCell ref="FM14:FN14"/>
    <mergeCell ref="FI15:FJ15"/>
    <mergeCell ref="FK15:FL15"/>
    <mergeCell ref="FM15:FN15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2011-01-12T21:27:45Z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